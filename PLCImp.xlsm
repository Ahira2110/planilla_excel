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5" i="1"/>
  <c r="AA164"/>
  <c r="AA163"/>
  <c r="AA162"/>
  <c r="AA16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<sst xmlns="http://schemas.openxmlformats.org/spreadsheetml/2006/main" count="2350" uniqueCount="1404">
  <si>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</si>
  <si>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</si>
  <si>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</si>
  <si>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</si>
  <si>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</si>
  <si>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</si>
  <si>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</si>
  <si>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</si>
  <si>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</si>
  <si>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</si>
  <si>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</si>
  <si>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</si>
  <si>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</si>
  <si>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</si>
  <si>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</si>
  <si>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</si>
  <si>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</si>
  <si>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</si>
  <si>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</si>
  <si>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</si>
  <si>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</si>
  <si>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</si>
  <si>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</si>
  <si>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</si>
  <si>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</si>
  <si>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</si>
  <si>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</si>
  <si>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</si>
  <si>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</si>
  <si>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</si>
  <si>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</si>
  <si>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</si>
  <si>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</si>
  <si>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</si>
  <si>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</si>
  <si>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</si>
  <si>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</si>
  <si>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</si>
  <si>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</si>
  <si>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</si>
  <si>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</si>
  <si>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</si>
  <si>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</si>
  <si>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</si>
  <si>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</si>
  <si>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</si>
  <si>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</si>
  <si>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</si>
  <si>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</si>
  <si>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</si>
  <si>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</si>
  <si>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</si>
  <si>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</si>
  <si>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</si>
  <si>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</si>
  <si>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</si>
  <si>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</si>
  <si>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</si>
  <si>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</si>
  <si>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</si>
  <si>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</si>
  <si>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</si>
  <si>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</si>
  <si>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</si>
  <si>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</si>
  <si>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</si>
  <si>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</si>
  <si>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</si>
  <si>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</si>
  <si>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</si>
  <si>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</si>
  <si>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</si>
  <si>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</si>
  <si>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</si>
  <si>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</si>
  <si>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</si>
  <si>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</si>
  <si>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</si>
  <si>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</si>
  <si>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</si>
  <si>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</si>
  <si>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</si>
  <si>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</si>
  <si>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</si>
  <si>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</si>
  <si>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</si>
  <si>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</si>
  <si>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</si>
  <si>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</si>
  <si>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</si>
  <si>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</si>
  <si>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</si>
  <si>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</si>
  <si>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</si>
  <si>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</si>
  <si>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</si>
  <si>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</si>
  <si>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</si>
  <si>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</si>
  <si>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</si>
  <si>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</si>
  <si>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</si>
  <si>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</si>
  <si>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</si>
  <si>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</si>
  <si>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</si>
  <si>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</si>
  <si>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</si>
  <si>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</si>
  <si>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</si>
  <si>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</si>
  <si>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</si>
  <si>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</si>
  <si>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</si>
  <si>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</si>
  <si>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</si>
  <si>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</si>
  <si>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</si>
  <si>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</si>
  <si>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</si>
  <si>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</si>
  <si>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</si>
  <si>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</si>
  <si>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</si>
  <si>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</si>
  <si>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</si>
  <si>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</si>
  <si>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</si>
  <si>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</si>
  <si>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</si>
  <si>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</si>
  <si>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</si>
  <si>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</si>
  <si>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</si>
  <si>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</si>
  <si>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</si>
  <si>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</si>
  <si>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</si>
  <si>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</si>
  <si>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</si>
  <si>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</si>
  <si>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</si>
  <si>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</si>
  <si>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</si>
  <si>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</si>
  <si>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</si>
  <si>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</si>
  <si>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</si>
  <si>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</si>
  <si>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</si>
  <si>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</si>
  <si>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</si>
  <si>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</si>
  <si>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</si>
  <si>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</si>
  <si>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</si>
  <si>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</si>
  <si>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</si>
  <si>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</si>
  <si>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</si>
  <si>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</si>
  <si>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</si>
  <si>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</si>
  <si>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</si>
  <si>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</si>
  <si>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</si>
  <si>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</si>
  <si>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</si>
  <si>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</si>
  <si>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</si>
  <si>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</si>
  <si>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</si>
  <si>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</si>
  <si>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</si>
  <si>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</si>
  <si>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</si>
  <si>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</si>
  <si>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</si>
  <si>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</si>
  <si>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</si>
  <si>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</si>
  <si>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</si>
  <si>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</si>
  <si>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</si>
  <si>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</si>
  <si>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</si>
  <si>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</si>
  <si>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</si>
  <si>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</si>
  <si>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</si>
  <si>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</si>
  <si>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</si>
  <si>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</si>
  <si>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</si>
  <si>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</si>
  <si>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</si>
  <si>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</si>
  <si>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</si>
  <si>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</si>
  <si>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</si>
  <si>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</si>
  <si>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</si>
  <si>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</si>
  <si>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</si>
  <si>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</si>
  <si>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</si>
  <si>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</si>
  <si>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</si>
  <si>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</si>
  <si>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</si>
  <si>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</si>
  <si>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</si>
  <si>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</si>
  <si>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</si>
  <si>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</si>
  <si>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</si>
  <si>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</si>
  <si>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</si>
  <si>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</si>
  <si>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</si>
  <si>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</si>
  <si>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</si>
  <si>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</si>
  <si>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</si>
  <si>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</si>
  <si>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</si>
  <si>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</si>
  <si>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</si>
  <si>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</si>
  <si>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</si>
  <si>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</si>
  <si>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</si>
  <si>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</si>
  <si>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</si>
  <si>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</si>
  <si>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</si>
  <si>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</si>
  <si>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</si>
  <si>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</si>
  <si>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</si>
  <si>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</si>
  <si>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</si>
  <si>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</si>
  <si>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</si>
  <si>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</si>
  <si>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</si>
  <si>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</si>
  <si>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</si>
  <si>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</si>
  <si>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</si>
  <si>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</si>
  <si>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</si>
  <si>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</si>
  <si>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</si>
  <si>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</si>
  <si>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</si>
  <si>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</si>
  <si>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</si>
  <si>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</si>
  <si>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</si>
  <si>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</si>
  <si>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</si>
  <si>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</si>
  <si>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</si>
  <si>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</si>
  <si>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</si>
  <si>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</si>
  <si>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</si>
  <si>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</si>
  <si>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</si>
  <si>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</si>
  <si>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</si>
  <si>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</si>
  <si>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</si>
  <si>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</si>
  <si>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</si>
  <si>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</si>
  <si>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</si>
  <si>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</si>
  <si>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</si>
  <si>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</si>
  <si>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</si>
  <si>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</si>
  <si>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</si>
  <si>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</si>
  <si>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</si>
  <si>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</si>
  <si>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</si>
  <si>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</si>
  <si>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</si>
  <si>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</si>
  <si>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</si>
  <si>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</si>
  <si>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</si>
  <si>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</si>
  <si>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</si>
  <si>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</si>
  <si>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</si>
  <si>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</si>
  <si>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</si>
  <si>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</si>
  <si>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</si>
  <si>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</si>
  <si>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</si>
  <si>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</si>
  <si>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</si>
  <si>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</si>
  <si>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</si>
  <si>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</si>
  <si>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</si>
  <si>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</si>
  <si>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</si>
  <si>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</si>
  <si>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</si>
  <si>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</si>
  <si>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</si>
  <si>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</si>
  <si>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</si>
  <si>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</si>
  <si>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</si>
  <si>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</si>
  <si>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</si>
  <si>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</si>
  <si>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</si>
  <si>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</si>
  <si>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</si>
  <si>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</si>
  <si>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</si>
  <si>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</si>
  <si>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</si>
  <si>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</si>
  <si>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</si>
  <si>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</si>
  <si>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</si>
  <si>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</si>
  <si>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</si>
  <si>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</si>
  <si>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</si>
  <si>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</si>
  <si>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</si>
  <si>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</si>
  <si>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</si>
  <si>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</si>
  <si>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</si>
  <si>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</si>
  <si>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</si>
  <si>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</si>
  <si>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</si>
  <si>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</si>
  <si>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</si>
  <si>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</si>
  <si>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</si>
  <si>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</si>
  <si>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</si>
  <si>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</si>
  <si>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</si>
  <si>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</si>
  <si>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</si>
  <si>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</si>
  <si>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</si>
  <si>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</si>
  <si>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</si>
  <si>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</si>
  <si>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</si>
  <si>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</si>
  <si>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</si>
  <si>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</si>
  <si>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</si>
  <si>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</si>
  <si>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</si>
  <si>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</si>
  <si>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</si>
  <si>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</si>
  <si>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</si>
  <si>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</si>
  <si>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</si>
  <si>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</si>
  <si>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</si>
  <si>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</si>
  <si>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</si>
  <si>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</si>
  <si>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</si>
  <si>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</si>
  <si>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</si>
  <si>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</si>
  <si>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</si>
  <si>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</si>
  <si>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</si>
  <si>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</si>
  <si>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</si>
  <si>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</si>
  <si>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</si>
  <si>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</si>
  <si>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</si>
  <si>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</si>
  <si>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</si>
  <si>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</si>
  <si>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</si>
  <si>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</si>
  <si>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</si>
  <si>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</si>
  <si>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</si>
  <si>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</si>
  <si>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</si>
  <si>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</si>
  <si>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</si>
  <si>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</si>
  <si>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</si>
  <si>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</si>
  <si>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</si>
  <si>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</si>
  <si>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</si>
  <si>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</si>
  <si>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</si>
  <si>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</si>
  <si>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</si>
  <si>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</si>
  <si>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</si>
  <si>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</si>
  <si>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</si>
  <si>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</si>
  <si>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</si>
  <si>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</si>
  <si>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</si>
  <si>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</si>
  <si>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</si>
  <si>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</si>
  <si>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</si>
  <si>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</si>
  <si>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</si>
  <si>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</si>
  <si>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</si>
  <si>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</si>
  <si>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</si>
  <si>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</si>
  <si>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</si>
  <si>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</si>
  <si>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</si>
  <si>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</si>
  <si>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</si>
  <si>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</si>
  <si>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</si>
  <si>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</si>
  <si>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</si>
  <si>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</si>
  <si>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</si>
  <si>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</si>
  <si>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</si>
  <si>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</si>
  <si>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</si>
  <si>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</si>
  <si>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</si>
  <si>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</si>
  <si>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</si>
  <si>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</si>
  <si>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</si>
  <si>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</si>
  <si>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</si>
  <si>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</si>
  <si>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</si>
  <si>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</si>
  <si>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</si>
  <si>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</si>
  <si>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</si>
  <si>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</si>
  <si>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</si>
  <si>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</si>
  <si>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</si>
  <si>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</si>
  <si>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</si>
  <si>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</si>
  <si>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</si>
  <si>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</si>
  <si>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</si>
  <si>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</si>
  <si>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</si>
  <si>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</si>
  <si>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</si>
  <si>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</si>
  <si>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</si>
  <si>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</si>
  <si>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</si>
  <si>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</si>
  <si>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</si>
  <si>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</si>
  <si>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</si>
  <si>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</si>
  <si>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</si>
  <si>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</si>
  <si>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</si>
  <si>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</si>
  <si>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</si>
  <si>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</si>
  <si>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</si>
  <si>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</si>
  <si>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</si>
  <si>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</si>
  <si>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</si>
  <si>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</si>
  <si>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</si>
  <si>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</si>
  <si>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</si>
  <si>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</si>
  <si>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</si>
  <si>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</si>
  <si>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</si>
  <si>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</si>
  <si>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</si>
  <si>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</si>
  <si>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</si>
  <si>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</si>
  <si>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</si>
  <si>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</si>
  <si>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</si>
  <si>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</si>
  <si>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</si>
  <si>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</si>
  <si>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</si>
  <si>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</si>
  <si>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</si>
  <si>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</si>
  <si>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</si>
  <si>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</si>
  <si>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</si>
  <si>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</si>
  <si>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</si>
  <si>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</si>
  <si>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</si>
  <si>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</si>
  <si>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</si>
  <si>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</si>
  <si>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</si>
  <si>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</si>
  <si>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</si>
  <si>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</si>
  <si>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</si>
  <si>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</si>
  <si>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</si>
  <si>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</si>
  <si>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</si>
  <si>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</si>
  <si>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</si>
  <si>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</si>
  <si>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</si>
  <si>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</si>
  <si>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</si>
  <si>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</si>
  <si>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</si>
  <si>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</si>
  <si>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</si>
  <si>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</si>
  <si>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</si>
  <si>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</si>
  <si>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</si>
  <si>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</si>
  <si>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</si>
  <si>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</si>
  <si>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</si>
  <si>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</si>
  <si>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</si>
  <si>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</si>
  <si>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</si>
  <si>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</si>
  <si>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</si>
  <si>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</si>
  <si>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</si>
  <si>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</si>
  <si>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</si>
  <si>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</si>
  <si>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</si>
  <si>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</si>
  <si>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</si>
  <si>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</si>
  <si>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</si>
  <si>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</si>
  <si>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</si>
  <si>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</si>
  <si>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</si>
  <si>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</si>
  <si>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</si>
  <si>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</si>
  <si>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</si>
  <si>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</si>
  <si>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</si>
  <si>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</si>
  <si>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</si>
  <si>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</si>
  <si>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</si>
  <si>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</si>
  <si>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</si>
  <si>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</si>
  <si>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</si>
  <si>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</si>
  <si>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</si>
  <si>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</si>
  <si>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</si>
  <si>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</si>
  <si>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</si>
  <si>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</si>
  <si>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</si>
  <si>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</si>
  <si>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</si>
  <si>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</si>
  <si>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</si>
  <si>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</si>
  <si>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</si>
  <si>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</si>
  <si>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</si>
  <si>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</si>
  <si>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</si>
  <si>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</si>
  <si>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</si>
  <si>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</si>
  <si>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</si>
  <si>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</si>
  <si>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</si>
  <si>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</si>
  <si>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</si>
  <si>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</si>
  <si>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</si>
  <si>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</si>
  <si>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</si>
  <si>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</si>
  <si>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</si>
  <si>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</si>
  <si>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</si>
  <si>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</si>
  <si>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</si>
  <si>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</si>
  <si>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</si>
  <si>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</si>
  <si>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</si>
  <si>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</si>
  <si>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</si>
  <si>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</si>
  <si>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</si>
  <si>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</si>
  <si>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</si>
  <si>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</si>
  <si>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</si>
  <si>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</si>
  <si>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</si>
  <si>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</si>
  <si>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</si>
  <si>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</si>
  <si>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</si>
  <si>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</si>
  <si>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</si>
  <si>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</si>
  <si>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</si>
  <si>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</si>
  <si>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</si>
  <si>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</si>
  <si>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</si>
  <si>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</si>
  <si>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</si>
  <si>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</si>
  <si>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</si>
  <si>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</si>
  <si>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</si>
  <si>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</si>
  <si>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</si>
  <si>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</si>
  <si>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</si>
  <si>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</si>
  <si>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</si>
  <si>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</si>
  <si>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</si>
  <si>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</si>
  <si>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</si>
  <si>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</si>
  <si>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</si>
  <si>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</si>
  <si>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</si>
  <si>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</si>
  <si>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</si>
  <si>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</si>
  <si>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</si>
  <si>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</si>
  <si>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</si>
  <si>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</si>
  <si>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</si>
  <si>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</si>
  <si>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</si>
  <si>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</si>
  <si>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</si>
  <si>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</si>
  <si>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</si>
  <si>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</si>
  <si>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</si>
  <si>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</si>
  <si>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</si>
  <si>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</si>
  <si>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</si>
  <si>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</si>
  <si>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</si>
  <si>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</si>
  <si>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</si>
  <si>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</si>
  <si>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</si>
  <si>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</si>
  <si>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</si>
  <si>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</si>
  <si>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</si>
  <si>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</si>
  <si>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</si>
  <si>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</si>
  <si>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</si>
  <si>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</si>
  <si>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</si>
  <si>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</si>
  <si>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</si>
  <si>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</si>
  <si>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</si>
  <si>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</si>
  <si>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</si>
  <si>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</si>
  <si>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</si>
  <si>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</si>
  <si>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</si>
  <si>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</si>
  <si>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</si>
  <si>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</si>
  <si>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</si>
  <si>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</si>
  <si>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</si>
  <si>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</si>
  <si>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</si>
  <si>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</si>
  <si>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</si>
  <si>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</si>
  <si>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</si>
  <si>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</si>
  <si>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</si>
  <si>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</si>
  <si>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</si>
  <si>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</si>
  <si>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</si>
  <si>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</si>
  <si>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</si>
  <si>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</si>
  <si>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</si>
  <si>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</si>
  <si>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</si>
  <si>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</si>
  <si>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</si>
  <si>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</si>
  <si>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</si>
  <si>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</si>
  <si>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</si>
  <si>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</si>
  <si>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</si>
  <si>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</si>
  <si>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</si>
  <si>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</si>
  <si>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</si>
  <si>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</si>
  <si>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</si>
  <si>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</si>
  <si>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</si>
  <si>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</si>
  <si>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</si>
  <si>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</si>
  <si>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</si>
  <si>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</si>
  <si>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</si>
  <si>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</si>
  <si>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</si>
  <si>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</si>
  <si>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</si>
  <si>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</si>
  <si>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</si>
  <si>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</si>
  <si>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</si>
  <si>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</si>
  <si>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</si>
  <si>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</si>
  <si>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</si>
  <si>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</si>
  <si>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</si>
  <si>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</si>
  <si>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</si>
  <si>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</si>
  <si>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</si>
  <si>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</si>
  <si>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</si>
  <si>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</si>
  <si>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</si>
  <si>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</si>
  <si>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</si>
  <si>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</si>
  <si>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</si>
  <si>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</si>
  <si>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</si>
  <si>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</si>
  <si>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</si>
  <si>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</si>
  <si>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</si>
  <si>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</si>
  <si>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</si>
  <si>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</si>
  <si>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</si>
  <si>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</si>
  <si>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</si>
  <si>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</si>
  <si>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</si>
  <si>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</si>
  <si>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</si>
  <si>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</si>
  <si>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</si>
  <si>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</si>
  <si>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</si>
  <si>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</si>
  <si>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</si>
  <si>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</si>
  <si>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</si>
  <si>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</si>
  <si>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</si>
  <si>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</si>
  <si>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</si>
  <si>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</si>
  <si>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</si>
  <si>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</si>
  <si>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</si>
  <si>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</si>
  <si>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</si>
  <si>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</si>
  <si>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</si>
  <si>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</si>
  <si>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</si>
  <si>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</si>
  <si>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</si>
  <si>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</si>
  <si>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</si>
  <si>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</si>
  <si>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</si>
  <si>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</si>
  <si>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</si>
  <si>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</si>
  <si>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</si>
  <si>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</si>
  <si>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</si>
  <si>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</si>
  <si>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</si>
  <si>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</si>
  <si>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</si>
  <si>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</si>
  <si>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</si>
  <si>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</si>
  <si>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</si>
  <si>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</si>
  <si>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</si>
  <si>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</si>
  <si>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</si>
  <si>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</si>
  <si>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</si>
  <si>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</si>
  <si>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</si>
  <si>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</si>
  <si>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</si>
  <si>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</si>
  <si>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</si>
  <si>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</si>
  <si>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</si>
  <si>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</si>
  <si>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</si>
  <si>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</si>
  <si>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</si>
  <si>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</si>
  <si>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</si>
  <si>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</si>
  <si>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</si>
  <si>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</si>
  <si>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</si>
  <si>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</si>
  <si>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</si>
  <si>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</si>
  <si>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</si>
  <si>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</si>
  <si>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</si>
  <si>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</si>
  <si>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</si>
  <si>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</si>
  <si>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</si>
  <si>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</si>
  <si>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</si>
  <si>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</si>
  <si>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</si>
  <si>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</si>
  <si>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</si>
  <si>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</si>
  <si>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</si>
  <si>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</si>
  <si>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</si>
  <si>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</si>
  <si>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</si>
  <si>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</si>
  <si>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</si>
  <si>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</si>
  <si>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</si>
  <si>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</si>
  <si>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</si>
  <si>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</si>
  <si>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</si>
  <si>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</si>
  <si>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</si>
  <si>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</si>
  <si>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</si>
  <si>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</si>
  <si>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</si>
  <si>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</si>
  <si>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</si>
  <si>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</si>
  <si>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</si>
  <si>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</si>
  <si>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</si>
  <si>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</si>
  <si>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</si>
  <si>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</si>
  <si>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</si>
  <si>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</si>
  <si>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</si>
  <si>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</si>
  <si>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</si>
  <si>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</si>
  <si>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</si>
  <si>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</si>
  <si>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</si>
  <si>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</si>
  <si>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</si>
  <si>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</si>
  <si>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</si>
  <si>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</si>
  <si>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</si>
  <si>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</si>
  <si>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</si>
  <si>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</si>
  <si>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</si>
  <si>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</si>
  <si>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</si>
  <si>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</si>
  <si>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</si>
  <si>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</si>
  <si>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</si>
  <si>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</si>
  <si>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</si>
  <si>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</si>
  <si>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</si>
  <si>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</si>
  <si>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</si>
  <si>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</si>
  <si>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</si>
  <si>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</si>
  <si>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</si>
  <si>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</si>
  <si>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</si>
  <si>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</si>
  <si>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</si>
  <si>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</si>
  <si>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</si>
  <si>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</si>
  <si>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</si>
  <si>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</si>
  <si>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</si>
  <si>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</si>
  <si>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</si>
  <si>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</si>
  <si>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</si>
  <si>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</si>
  <si>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</si>
  <si>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</si>
  <si>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</si>
  <si>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</si>
  <si>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</si>
  <si>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</si>
  <si>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</si>
  <si>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</si>
  <si>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</si>
  <si>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</si>
  <si>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</si>
  <si>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</si>
  <si>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</si>
  <si>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</si>
  <si>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</si>
  <si>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</si>
  <si>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</si>
  <si>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</si>
  <si>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</si>
  <si>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</si>
  <si>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</si>
  <si>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</si>
  <si>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</si>
  <si>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</si>
  <si>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</si>
  <si>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</si>
  <si>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</si>
  <si>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</si>
  <si>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</si>
  <si>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</si>
  <si>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</si>
  <si>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</si>
  <si>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</si>
  <si>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</si>
  <si>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</si>
  <si>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</si>
  <si>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</si>
  <si>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</si>
  <si>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</si>
  <si>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</si>
  <si>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</si>
  <si>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</si>
  <si>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</si>
  <si>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</si>
  <si>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</si>
  <si>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</si>
  <si>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</si>
  <si>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</si>
  <si>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</si>
  <si>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</si>
  <si>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</si>
  <si>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</si>
  <si>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</si>
  <si>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</si>
  <si>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</si>
  <si>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</si>
  <si>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</si>
  <si>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</si>
  <si>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</si>
  <si>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</si>
  <si>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</si>
  <si>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</si>
  <si>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</si>
  <si>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</si>
  <si>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</si>
  <si>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</si>
  <si>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</si>
  <si>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</si>
  <si>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</si>
  <si>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</si>
  <si>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</si>
  <si>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</si>
  <si>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</si>
  <si>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</si>
  <si>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</si>
  <si>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</si>
  <si>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</si>
  <si>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</si>
  <si>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</si>
  <si>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</si>
  <si>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</si>
  <si>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</si>
  <si>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</si>
  <si>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</si>
  <si>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</si>
  <si>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</si>
  <si>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</si>
  <si>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</si>
  <si>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</si>
  <si>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</si>
  <si>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</si>
  <si>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</si>
  <si>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</si>
  <si>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</si>
  <si>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</si>
  <si>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</si>
  <si>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</si>
  <si>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</si>
  <si>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</si>
  <si>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</si>
  <si>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</si>
  <si>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</si>
  <si>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</si>
  <si>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</si>
  <si>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</si>
  <si>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</si>
  <si>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</si>
  <si>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</si>
  <si>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</si>
  <si>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</si>
  <si>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</si>
  <si>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</si>
  <si>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</si>
  <si>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</si>
  <si>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</si>
  <si>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</si>
  <si>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</si>
  <si>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</si>
  <si>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</si>
  <si>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</si>
  <si>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</si>
  <si>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</si>
  <si>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</si>
  <si>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</si>
  <si>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</si>
  <si>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</si>
  <si>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</si>
  <si>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</si>
  <si>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</si>
  <si>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</si>
  <si>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</si>
  <si>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</si>
  <si>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</si>
  <si>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</si>
  <si>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</si>
  <si>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</si>
  <si>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</si>
  <si>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</si>
  <si>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</si>
  <si>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</si>
  <si>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</si>
  <si>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</si>
  <si>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</si>
  <si>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</si>
  <si>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</si>
  <si>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</si>
  <si>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</si>
  <si>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</si>
  <si>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</si>
  <si>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</si>
  <si>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</si>
  <si>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</si>
  <si>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</si>
  <si>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</si>
  <si>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</si>
  <si>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</si>
  <si>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</si>
  <si>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</si>
  <si>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</si>
  <si>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</si>
  <si>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</si>
  <si>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</si>
  <si>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</si>
  <si>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</si>
  <si>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</si>
  <si>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</si>
  <si>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</si>
  <si>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</si>
  <si>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</si>
  <si>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</si>
  <si>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</si>
  <si>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</si>
  <si>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</si>
  <si>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</si>
  <si>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</si>
  <si>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</si>
  <si>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</si>
  <si>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</si>
  <si>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</si>
  <si>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</si>
  <si>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</si>
  <si>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</si>
  <si>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</si>
  <si>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</si>
  <si>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</si>
  <si>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</si>
  <si>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</si>
  <si>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</si>
  <si>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</si>
  <si>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</si>
  <si>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</si>
  <si>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</si>
  <si>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</si>
  <si>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</si>
  <si>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</si>
  <si>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</si>
  <si>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</si>
  <si>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</si>
  <si>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</si>
  <si>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</si>
  <si>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</si>
  <si>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</si>
  <si>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</si>
  <si>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</si>
  <si>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</si>
  <si>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</si>
  <si>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</si>
  <si>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</si>
  <si>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</si>
  <si>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</si>
  <si>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</si>
  <si>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</si>
  <si>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</si>
  <si>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</si>
  <si>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</si>
  <si>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</si>
  <si>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</si>
  <si>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</si>
  <si>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</si>
  <si>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</si>
  <si>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</si>
  <si>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</si>
  <si>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</si>
  <si>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</si>
  <si>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</si>
  <si>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</si>
  <si>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</si>
  <si>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</si>
  <si>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</si>
  <si>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</si>
  <si>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</si>
  <si>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</si>
  <si>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</si>
  <si>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</si>
  <si>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</si>
  <si>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</si>
  <si>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</si>
  <si>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</si>
  <si>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</si>
  <si>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</si>
  <si>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</si>
  <si>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</si>
  <si>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</si>
  <si>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</si>
  <si>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</si>
  <si>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</si>
  <si>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</si>
  <si>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</si>
  <si>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</si>
  <si>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</si>
  <si>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</si>
  <si>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</si>
  <si>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</si>
  <si>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</si>
  <si>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</si>
  <si>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</si>
  <si>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</si>
  <si>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</si>
  <si>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</si>
  <si>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</si>
  <si>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</si>
  <si>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</si>
  <si>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</si>
  <si>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</si>
  <si>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</si>
  <si>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</si>
  <si>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</si>
  <si>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</si>
  <si>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</si>
  <si>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</si>
  <si>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</si>
  <si>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</si>
  <si>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</si>
  <si>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</si>
  <si>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</si>
  <si>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</si>
  <si>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</si>
  <si>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</si>
  <si>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</si>
  <si>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</si>
  <si>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</si>
  <si>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</si>
  <si>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</si>
  <si>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</si>
  <si>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</si>
  <si>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</si>
  <si>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</si>
  <si>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</si>
  <si>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</si>
  <si>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</si>
  <si>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</si>
  <si>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</si>
  <si>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</si>
  <si>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</si>
  <si>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</si>
  <si>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</si>
  <si>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</si>
  <si>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</si>
  <si>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</si>
  <si>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</si>
  <si>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</si>
  <si>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</si>
  <si>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</si>
  <si>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</si>
  <si>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</si>
  <si>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</si>
  <si>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</si>
  <si>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</si>
  <si>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</si>
  <si>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</si>
  <si>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</si>
  <si>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</si>
  <si>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</si>
  <si>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</si>
  <si>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</si>
  <si>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</si>
  <si>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</si>
  <si>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</si>
  <si>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</si>
  <si>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</si>
  <si>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</si>
  <si>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</si>
  <si>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</si>
  <si>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</si>
  <si>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</si>
  <si>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</si>
  <si>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</si>
  <si>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</si>
  <si>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</si>
  <si>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</si>
  <si>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</si>
  <si>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</si>
  <si>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</si>
  <si>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</si>
  <si>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</si>
  <si>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</si>
  <si>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</si>
  <si>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</si>
  <si>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</si>
  <si>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</si>
  <si>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</si>
  <si>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</si>
  <si>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</si>
  <si>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</si>
  <si>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</si>
  <si>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</si>
  <si>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</si>
  <si>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</si>
  <si>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</si>
  <si>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</si>
  <si>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</si>
  <si>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</si>
  <si>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</si>
  <si>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</si>
  <si>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</si>
  <si>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</si>
  <si>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</si>
  <si>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</si>
  <si>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</si>
  <si>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</si>
  <si>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</si>
  <si>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</si>
  <si>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</si>
  <si>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</si>
  <si>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</si>
  <si>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</si>
  <si>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</si>
  <si>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</si>
  <si>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</si>
  <si>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</si>
  <si>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</si>
  <si>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</si>
  <si>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</si>
  <si>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</si>
  <si>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</si>
  <si>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</si>
  <si>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</si>
  <si>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</si>
  <si>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</si>
  <si>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</si>
  <si>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</si>
  <si>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</si>
  <si>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</si>
  <si>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</si>
  <si>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</si>
  <si>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</si>
  <si>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</si>
  <si>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</si>
  <si>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</si>
  <si>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</si>
  <si>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</si>
  <si>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</si>
  <si>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</si>
  <si>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</si>
  <si>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</si>
  <si>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</si>
  <si>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</si>
  <si>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</si>
  <si>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</si>
  <si>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</si>
  <si>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</si>
  <si>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</si>
  <si>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</si>
  <si>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</si>
  <si>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</si>
  <si>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</si>
  <si>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</si>
  <si>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</si>
  <si>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</si>
  <si>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</si>
  <si>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</si>
  <si>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</si>
  <si>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</si>
  <si>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</si>
  <si>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</si>
  <si>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</si>
  <si>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Se remite en fiscalía fecha 23/11/2023 OJO ACORDARSE AVERIGUAR SOBRE LA QUERELLA CUANDOVUELVA DE FISCALIA </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</si>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</sst>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9">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2" fillId="0"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669" l="0.70866141732291565" r="0.70866141732291565" t="0.74803149606312669" header="0.31496062992131585" footer="0.31496062992131585"/>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7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8019"/>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194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7"/>
                  <c:y val="0.35111261781950975"/>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863"/>
          <c:h val="0.98333333333333328"/>
        </c:manualLayout>
      </c:layout>
      <c:pie3DChart>
        <c:varyColors val="1"/>
        <c:ser>
          <c:idx val="0"/>
          <c:order val="0"/>
          <c:explosion val="25"/>
          <c:dLbls>
            <c:dLbl>
              <c:idx val="0"/>
              <c:layout>
                <c:manualLayout>
                  <c:x val="4.3113992584026824E-2"/>
                  <c:y val="1.537517604133611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651"/>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723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713" l="0.70866141732291565" r="0.70866141732291565" t="0.74803149606312713" header="0.31496062992131596" footer="0.31496062992131596"/>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H1" zoomScaleSheetLayoutView="55" workbookViewId="0">
      <pane ySplit="2" topLeftCell="A162" activePane="bottomLeft" state="frozen"/>
      <selection pane="bottomLeft" activeCell="Q165" sqref="Q165"/>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163</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46"/>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46"/>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46"/>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46"/>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46"/>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46"/>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46"/>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69" t="s">
        <v>1252</v>
      </c>
      <c r="U155" s="224" t="s">
        <v>1319</v>
      </c>
      <c r="V155" s="147"/>
      <c r="W155" s="148"/>
      <c r="X155" s="148"/>
      <c r="Y155" s="148" t="s">
        <v>994</v>
      </c>
      <c r="Z155" s="229" t="s">
        <v>1018</v>
      </c>
      <c r="AA155" s="229" t="str">
        <f>IF(Z155&lt;&gt;"",VLOOKUP($Z155,Resultados!$A$1:$B$49,2,FALSE),"")</f>
        <v>Recursos Denegados</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69" t="s">
        <v>1376</v>
      </c>
      <c r="U156" s="223"/>
      <c r="V156" s="147"/>
      <c r="W156" s="148"/>
      <c r="X156" s="148"/>
      <c r="Y156" s="148" t="s">
        <v>994</v>
      </c>
      <c r="Z156" s="229" t="s">
        <v>1042</v>
      </c>
      <c r="AA156" s="229" t="str">
        <f>IF(Z156&lt;&gt;"",VLOOKUP($Z156,Resultados!$A$1:$B$49,2,FALSE),"")</f>
        <v>Recursos Abstractos</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69" t="s">
        <v>1375</v>
      </c>
      <c r="U157" s="224" t="s">
        <v>1338</v>
      </c>
      <c r="V157" s="147"/>
      <c r="W157" s="148"/>
      <c r="X157" s="148"/>
      <c r="Y157" s="148" t="s">
        <v>994</v>
      </c>
      <c r="Z157" s="229" t="s">
        <v>1018</v>
      </c>
      <c r="AA157" s="229" t="str">
        <f>IF(Z157&lt;&gt;"",VLOOKUP($Z157,Resultados!$A$1:$B$49,2,FALSE),"")</f>
        <v>Recursos Denegados</v>
      </c>
      <c r="AB157" s="8"/>
    </row>
    <row r="158" spans="1:28" ht="39.950000000000003" customHeight="1">
      <c r="A158" s="234" t="s">
        <v>82</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69" t="s">
        <v>1374</v>
      </c>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8" t="s">
        <v>136</v>
      </c>
      <c r="R159" s="146">
        <v>45251</v>
      </c>
      <c r="S159" s="188">
        <v>0.39583333333333331</v>
      </c>
      <c r="T159" s="169" t="s">
        <v>961</v>
      </c>
      <c r="U159" s="224" t="s">
        <v>1352</v>
      </c>
      <c r="V159" s="147"/>
      <c r="W159" s="148"/>
      <c r="X159" s="148"/>
      <c r="Y159" s="148" t="s">
        <v>994</v>
      </c>
      <c r="Z159" s="229" t="s">
        <v>1019</v>
      </c>
      <c r="AA159" s="229" t="str">
        <f>IF(Z159&lt;&gt;"",VLOOKUP($Z159,Resultados!$A$1:$B$49,2,FALSE),"")</f>
        <v>Recursos donde se hizo lugar</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v>45252</v>
      </c>
      <c r="S160" s="188">
        <v>0.39583333333333331</v>
      </c>
      <c r="T160" s="169" t="s">
        <v>1394</v>
      </c>
      <c r="U160" s="224" t="s">
        <v>1361</v>
      </c>
      <c r="V160" s="147"/>
      <c r="W160" s="148"/>
      <c r="X160" s="148"/>
      <c r="Y160" s="148" t="s">
        <v>1002</v>
      </c>
      <c r="Z160" s="229" t="s">
        <v>1016</v>
      </c>
      <c r="AA160" s="229" t="str">
        <f>IF(Z160&lt;&gt;"",VLOOKUP($Z160,Resultados!$A$1:$B$49,2,FALSE),"")</f>
        <v>Recursos donde se hizo lugar</v>
      </c>
      <c r="AB160" s="8"/>
    </row>
    <row r="161" spans="1:28" ht="39.950000000000003" customHeight="1">
      <c r="A161" s="145">
        <v>159</v>
      </c>
      <c r="B161" s="146">
        <v>44939</v>
      </c>
      <c r="C161" s="188">
        <v>0.51388888888888895</v>
      </c>
      <c r="D161" s="148" t="s">
        <v>242</v>
      </c>
      <c r="E161" s="147" t="s">
        <v>1362</v>
      </c>
      <c r="F161" s="148" t="s">
        <v>1364</v>
      </c>
      <c r="G161" s="149">
        <v>23749907</v>
      </c>
      <c r="H161" s="148" t="s">
        <v>1365</v>
      </c>
      <c r="I161" s="150" t="s">
        <v>1366</v>
      </c>
      <c r="J161" s="150" t="s">
        <v>1367</v>
      </c>
      <c r="K161" s="151"/>
      <c r="L161" s="151"/>
      <c r="M161" s="148" t="s">
        <v>1368</v>
      </c>
      <c r="N161" s="147"/>
      <c r="O161" s="147"/>
      <c r="P161" s="147"/>
      <c r="Q161" s="148" t="s">
        <v>132</v>
      </c>
      <c r="R161" s="146">
        <v>45254</v>
      </c>
      <c r="S161" s="188">
        <v>0.39583333333333331</v>
      </c>
      <c r="T161" s="146"/>
      <c r="U161" s="224" t="s">
        <v>1384</v>
      </c>
      <c r="V161" s="147"/>
      <c r="W161" s="148"/>
      <c r="X161" s="148"/>
      <c r="Y161" s="148" t="s">
        <v>994</v>
      </c>
      <c r="Z161" s="229" t="s">
        <v>1094</v>
      </c>
      <c r="AA161" s="229" t="str">
        <f>IF(Z161&lt;&gt;"",VLOOKUP($Z161,Resultados!$A$1:$B$49,2,FALSE),"")</f>
        <v>Audiencias Suspendidas</v>
      </c>
      <c r="AB161" s="8"/>
    </row>
    <row r="162" spans="1:28" ht="89.25">
      <c r="A162" s="145">
        <v>160</v>
      </c>
      <c r="B162" s="146">
        <v>45251</v>
      </c>
      <c r="C162" s="188">
        <v>0.41666666666666669</v>
      </c>
      <c r="D162" s="148" t="s">
        <v>229</v>
      </c>
      <c r="E162" s="148" t="s">
        <v>1370</v>
      </c>
      <c r="F162" s="148" t="s">
        <v>768</v>
      </c>
      <c r="G162" s="147"/>
      <c r="H162" s="147"/>
      <c r="I162" s="150" t="s">
        <v>770</v>
      </c>
      <c r="J162" s="150" t="s">
        <v>1371</v>
      </c>
      <c r="K162" s="151"/>
      <c r="L162" s="151"/>
      <c r="M162" s="148" t="s">
        <v>1372</v>
      </c>
      <c r="N162" s="148" t="s">
        <v>1373</v>
      </c>
      <c r="O162" s="147"/>
      <c r="P162" s="147"/>
      <c r="Q162" s="148" t="s">
        <v>599</v>
      </c>
      <c r="R162" s="146"/>
      <c r="S162" s="188"/>
      <c r="T162" s="146"/>
      <c r="U162" s="224" t="s">
        <v>1385</v>
      </c>
      <c r="V162" s="147"/>
      <c r="W162" s="148"/>
      <c r="X162" s="148"/>
      <c r="Y162" s="148" t="s">
        <v>994</v>
      </c>
      <c r="Z162" s="229"/>
      <c r="AA162" s="229" t="str">
        <f>IF(Z162&lt;&gt;"",VLOOKUP($Z162,Resultados!$A$1:$B$49,2,FALSE),"")</f>
        <v/>
      </c>
      <c r="AB162" s="8"/>
    </row>
    <row r="163" spans="1:28" ht="51">
      <c r="A163" s="145">
        <v>161</v>
      </c>
      <c r="B163" s="146">
        <v>45252</v>
      </c>
      <c r="C163" s="188">
        <v>0.45833333333333331</v>
      </c>
      <c r="D163" s="148" t="s">
        <v>230</v>
      </c>
      <c r="E163" s="148" t="s">
        <v>1377</v>
      </c>
      <c r="F163" s="148" t="s">
        <v>1378</v>
      </c>
      <c r="G163" s="149">
        <v>37777016</v>
      </c>
      <c r="H163" s="148" t="s">
        <v>1379</v>
      </c>
      <c r="I163" s="150" t="s">
        <v>1380</v>
      </c>
      <c r="J163" s="150" t="s">
        <v>1381</v>
      </c>
      <c r="K163" s="151"/>
      <c r="L163" s="151"/>
      <c r="M163" s="148" t="s">
        <v>1382</v>
      </c>
      <c r="N163" s="147"/>
      <c r="O163" s="148" t="s">
        <v>1383</v>
      </c>
      <c r="P163" s="147"/>
      <c r="Q163" s="148" t="s">
        <v>572</v>
      </c>
      <c r="R163" s="146">
        <v>45257</v>
      </c>
      <c r="S163" s="188">
        <v>0.45833333333333331</v>
      </c>
      <c r="T163" s="146"/>
      <c r="U163" s="223"/>
      <c r="V163" s="147"/>
      <c r="W163" s="148"/>
      <c r="X163" s="148"/>
      <c r="Y163" s="148" t="s">
        <v>994</v>
      </c>
      <c r="Z163" s="229" t="s">
        <v>1040</v>
      </c>
      <c r="AA163" s="229" t="str">
        <f>IF(Z163&lt;&gt;"",VLOOKUP($Z163,Resultados!$A$1:$B$49,2,FALSE),"")</f>
        <v>Audiencias de Visu</v>
      </c>
      <c r="AB163" s="8"/>
    </row>
    <row r="164" spans="1:28" ht="39.950000000000003" customHeight="1">
      <c r="A164" s="145">
        <v>162</v>
      </c>
      <c r="B164" s="146">
        <v>45253</v>
      </c>
      <c r="C164" s="188">
        <v>0.4375</v>
      </c>
      <c r="D164" s="148" t="s">
        <v>1386</v>
      </c>
      <c r="E164" s="148" t="s">
        <v>1387</v>
      </c>
      <c r="F164" s="148" t="s">
        <v>1388</v>
      </c>
      <c r="G164" s="147"/>
      <c r="H164" s="147"/>
      <c r="I164" s="150" t="s">
        <v>1389</v>
      </c>
      <c r="J164" s="150" t="s">
        <v>1390</v>
      </c>
      <c r="K164" s="151"/>
      <c r="L164" s="151"/>
      <c r="M164" s="148" t="s">
        <v>1391</v>
      </c>
      <c r="N164" s="148" t="s">
        <v>1392</v>
      </c>
      <c r="O164" s="147"/>
      <c r="P164" s="147"/>
      <c r="Q164" s="148" t="s">
        <v>1393</v>
      </c>
      <c r="R164" s="146">
        <v>45253</v>
      </c>
      <c r="S164" s="188">
        <v>0.4375</v>
      </c>
      <c r="T164" s="169" t="s">
        <v>1374</v>
      </c>
      <c r="U164" s="223"/>
      <c r="V164" s="147"/>
      <c r="W164" s="148"/>
      <c r="X164" s="148"/>
      <c r="Y164" s="148" t="s">
        <v>994</v>
      </c>
      <c r="Z164" s="229" t="s">
        <v>1040</v>
      </c>
      <c r="AA164" s="229" t="str">
        <f>IF(Z164&lt;&gt;"",VLOOKUP($Z164,Resultados!$A$1:$B$49,2,FALSE),"")</f>
        <v>Audiencias de Visu</v>
      </c>
      <c r="AB164" s="8"/>
    </row>
    <row r="165" spans="1:28" ht="89.25">
      <c r="A165" s="43">
        <v>163</v>
      </c>
      <c r="B165" s="82">
        <v>45252</v>
      </c>
      <c r="C165" s="83">
        <v>0.41666666666666669</v>
      </c>
      <c r="D165" s="6" t="s">
        <v>230</v>
      </c>
      <c r="E165" s="6" t="s">
        <v>1395</v>
      </c>
      <c r="F165" s="6" t="s">
        <v>1396</v>
      </c>
      <c r="G165" s="85">
        <v>38737981</v>
      </c>
      <c r="H165" s="6" t="s">
        <v>1397</v>
      </c>
      <c r="I165" s="37" t="s">
        <v>1398</v>
      </c>
      <c r="J165" s="37" t="s">
        <v>1399</v>
      </c>
      <c r="K165" s="37" t="s">
        <v>1400</v>
      </c>
      <c r="L165" s="37" t="s">
        <v>1401</v>
      </c>
      <c r="M165" s="6" t="s">
        <v>1163</v>
      </c>
      <c r="N165" s="6" t="s">
        <v>1403</v>
      </c>
      <c r="O165" s="5"/>
      <c r="P165" s="5"/>
      <c r="Q165" s="6" t="s">
        <v>1402</v>
      </c>
      <c r="R165" s="82"/>
      <c r="S165" s="83"/>
      <c r="T165" s="82"/>
      <c r="U165" s="218"/>
      <c r="V165" s="5"/>
      <c r="W165" s="6"/>
      <c r="X165" s="6"/>
      <c r="Y165" s="6" t="s">
        <v>994</v>
      </c>
      <c r="Z165" s="174"/>
      <c r="AA165" s="174" t="str">
        <f>IF(Z165&lt;&gt;"",VLOOKUP($Z165,Resultados!$A$1:$B$49,2,FALSE),"")</f>
        <v/>
      </c>
      <c r="AB165" s="8"/>
    </row>
    <row r="166" spans="1:28">
      <c r="Z166" s="123"/>
      <c r="AA166" s="123"/>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5">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45253</v>
      </c>
      <c r="H1" s="26"/>
    </row>
    <row r="2" spans="2:9">
      <c r="H2" s="11"/>
    </row>
    <row r="3" spans="2:9" ht="20.100000000000001" customHeight="1">
      <c r="B3" s="235" t="s">
        <v>109</v>
      </c>
      <c r="C3" s="235"/>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5" t="s">
        <v>110</v>
      </c>
      <c r="C13" s="235"/>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5" t="s">
        <v>111</v>
      </c>
      <c r="C23" s="235"/>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6" t="s">
        <v>42</v>
      </c>
      <c r="C33" s="236"/>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9" sqref="C9"/>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7" t="s">
        <v>1105</v>
      </c>
      <c r="C1" s="237"/>
      <c r="D1" s="237"/>
      <c r="E1" s="237"/>
      <c r="F1" s="237"/>
      <c r="G1" s="237"/>
      <c r="H1" s="237"/>
      <c r="I1" s="237"/>
      <c r="J1" s="237"/>
      <c r="K1" s="237"/>
      <c r="L1" s="237"/>
    </row>
    <row r="2" spans="2:12" ht="12.75" customHeight="1">
      <c r="B2" s="111"/>
      <c r="C2" s="111"/>
      <c r="D2" s="111"/>
      <c r="E2" s="111"/>
      <c r="F2" s="111"/>
      <c r="G2" s="111"/>
      <c r="H2" s="111"/>
      <c r="I2" s="111"/>
      <c r="J2" s="111"/>
      <c r="K2" s="111"/>
      <c r="L2" s="111"/>
    </row>
    <row r="3" spans="2:12" ht="30.75" customHeight="1">
      <c r="B3" s="238" t="s">
        <v>886</v>
      </c>
      <c r="C3" s="238"/>
      <c r="D3" s="238"/>
      <c r="E3" s="238"/>
      <c r="F3" s="238"/>
      <c r="G3" s="238"/>
      <c r="H3" s="238"/>
      <c r="I3" s="238"/>
      <c r="J3" s="238"/>
      <c r="K3" s="238"/>
      <c r="L3" s="238"/>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23/11/2023</v>
      </c>
      <c r="P20" s="160"/>
    </row>
    <row r="21" spans="2:16" ht="28.35" customHeight="1">
      <c r="P21" s="109"/>
    </row>
    <row r="22" spans="2:16" ht="30" customHeight="1">
      <c r="B22" s="237" t="s">
        <v>885</v>
      </c>
      <c r="C22" s="237"/>
      <c r="D22" s="237"/>
      <c r="E22" s="237"/>
      <c r="F22" s="237"/>
      <c r="G22" s="237"/>
      <c r="H22" s="237"/>
      <c r="I22" s="237"/>
      <c r="J22" s="237"/>
      <c r="K22" s="237"/>
    </row>
    <row r="23" spans="2:16" ht="30" customHeight="1">
      <c r="B23" s="238" t="s">
        <v>890</v>
      </c>
      <c r="C23" s="238"/>
      <c r="D23" s="238"/>
      <c r="E23" s="238"/>
      <c r="F23" s="238"/>
      <c r="G23" s="238"/>
      <c r="H23" s="238"/>
      <c r="I23" s="238"/>
      <c r="J23" s="238"/>
      <c r="K23" s="238"/>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2023-11-23T14:29:13Z</dcterms:modified>
</cp:coreProperties>
</file>