
<file path=[Content_Types].xml><?xml version="1.0" encoding="utf-8"?>
<Types xmlns="http://schemas.openxmlformats.org/package/2006/content-types">
  <Override PartName="/xl/charts/chart6.xml" ContentType="application/vnd.openxmlformats-officedocument.drawingml.char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Override PartName="/xl/ctrlProps/ctrlProp18.xml" ContentType="application/vnd.ms-excel.controlproperties+xml"/>
  <Override PartName="/xl/ctrlProps/ctrlProp17.xml" ContentType="application/vnd.ms-excel.controlproperti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15.xml" ContentType="application/vnd.ms-excel.controlproperties+xml"/>
  <Override PartName="/xl/ctrlProps/ctrlProp9.xml" ContentType="application/vnd.ms-excel.controlproperties+xml"/>
  <Override PartName="/xl/ctrlProps/ctrlProp16.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14.xml" ContentType="application/vnd.ms-excel.controlproperties+xml"/>
  <Override PartName="/xl/ctrlProps/ctrlProp13.xml" ContentType="application/vnd.ms-excel.controlpropertie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harts/chart8.xml" ContentType="application/vnd.openxmlformats-officedocument.drawingml.char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Default Extension="bin" ContentType="application/vnd.openxmlformats-officedocument.spreadsheetml.printerSettings"/>
  <Override PartName="/xl/charts/chart7.xml" ContentType="application/vnd.openxmlformats-officedocument.drawingml.chart+xml"/>
  <Override PartName="/xl/charts/chart5.xml" ContentType="application/vnd.openxmlformats-officedocument.drawingml.chart+xml"/>
  <Override PartName="/xl/ctrlProps/ctrlProp19.xml" ContentType="application/vnd.ms-excel.contro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60" windowWidth="15600" windowHeight="8925" tabRatio="776"/>
  </bookViews>
  <sheets>
    <sheet name="EXPEDIENTES" sheetId="1" r:id="rId1"/>
    <sheet name="Jueces" sheetId="2" r:id="rId2"/>
    <sheet name="Internos" sheetId="3" r:id="rId3"/>
    <sheet name="Exp por Vocales" sheetId="5" r:id="rId4"/>
    <sheet name="Exp por Vocales - Grafica" sheetId="6" r:id="rId5"/>
    <sheet name="Graficos Estadisticos (2)" sheetId="14" r:id="rId6"/>
    <sheet name="Graficos Estadisticos" sheetId="13" r:id="rId7"/>
    <sheet name="fiscalias penales" sheetId="8" r:id="rId8"/>
    <sheet name="defensores" sheetId="10" r:id="rId9"/>
    <sheet name="Asesores" sheetId="11" r:id="rId10"/>
    <sheet name="fiscalimpug" sheetId="12" r:id="rId11"/>
    <sheet name="Resultados" sheetId="15" r:id="rId12"/>
  </sheets>
  <functionGroups/>
  <externalReferences>
    <externalReference r:id="rId13"/>
  </externalReferences>
  <definedNames>
    <definedName name="_xlnm._FilterDatabase" localSheetId="0" hidden="1">EXPEDIENTES!$A$2:$AA$2</definedName>
    <definedName name="Audiencia_cancelada___inimputabilidad">Resultados!$A$1:$A$49</definedName>
    <definedName name="INTERNOS">[1]Internos!$A$1:$A$11</definedName>
  </definedNames>
  <calcPr calcId="124519"/>
  <fileRecoveryPr autoRecover="0"/>
</workbook>
</file>

<file path=xl/calcChain.xml><?xml version="1.0" encoding="utf-8"?>
<calcChain xmlns="http://schemas.openxmlformats.org/spreadsheetml/2006/main">
  <c r="AA162" i="1"/>
  <c r="AA161"/>
  <c r="AA160"/>
  <c r="AA159"/>
  <c r="AA158"/>
  <c r="AA157"/>
  <c r="AA156"/>
  <c r="AA155"/>
  <c r="AA154"/>
  <c r="AA153"/>
  <c r="AA152"/>
  <c r="AA151"/>
  <c r="AA150"/>
  <c r="AA149"/>
  <c r="AA148"/>
  <c r="AA147"/>
  <c r="AA146"/>
  <c r="AA145"/>
  <c r="AA144"/>
  <c r="AA78"/>
  <c r="AA101"/>
  <c r="AA143"/>
  <c r="AA142"/>
  <c r="AA141"/>
  <c r="AA140"/>
  <c r="AA139"/>
  <c r="AA138"/>
  <c r="AA137"/>
  <c r="AA136"/>
  <c r="AA135"/>
  <c r="AA134"/>
  <c r="AA133"/>
  <c r="AA132"/>
  <c r="AA131"/>
  <c r="AA130"/>
  <c r="AA129"/>
  <c r="AA128"/>
  <c r="AA127"/>
  <c r="AA126"/>
  <c r="AA125"/>
  <c r="AA124"/>
  <c r="AA123"/>
  <c r="AA122"/>
  <c r="AA121"/>
  <c r="AA120"/>
  <c r="AA119"/>
  <c r="AA118"/>
  <c r="AA117"/>
  <c r="AA116"/>
  <c r="AA115"/>
  <c r="AA114"/>
  <c r="AA113"/>
  <c r="AA112"/>
  <c r="AA111"/>
  <c r="AA110"/>
  <c r="AA109"/>
  <c r="AA108"/>
  <c r="AA107"/>
  <c r="AA106"/>
  <c r="AA105"/>
  <c r="AA104"/>
  <c r="AA103"/>
  <c r="AA102"/>
  <c r="AA100"/>
  <c r="AA99"/>
  <c r="AA98"/>
  <c r="AA97"/>
  <c r="AA96"/>
  <c r="AA95"/>
  <c r="AA94"/>
  <c r="AA93"/>
  <c r="AA92"/>
  <c r="AA91"/>
  <c r="AA90"/>
  <c r="AA89"/>
  <c r="AA88"/>
  <c r="AA87"/>
  <c r="AA86"/>
  <c r="AA85"/>
  <c r="AA84"/>
  <c r="AA83"/>
  <c r="AA82"/>
  <c r="AA81"/>
  <c r="AA80"/>
  <c r="AA79"/>
  <c r="AA77"/>
  <c r="AA76"/>
  <c r="AA75"/>
  <c r="AA74"/>
  <c r="AA73"/>
  <c r="AA72"/>
  <c r="AA71"/>
  <c r="AA70"/>
  <c r="AA69"/>
  <c r="AA68"/>
  <c r="AA67"/>
  <c r="AA66"/>
  <c r="AA65"/>
  <c r="AA64"/>
  <c r="AA63"/>
  <c r="AA62"/>
  <c r="AA61"/>
  <c r="AA60"/>
  <c r="AA59"/>
  <c r="AA58"/>
  <c r="AA57"/>
  <c r="AA56"/>
  <c r="AA55"/>
  <c r="AA54"/>
  <c r="AA53"/>
  <c r="AA52"/>
  <c r="AA51"/>
  <c r="AA50"/>
  <c r="AA49"/>
  <c r="AA48"/>
  <c r="AA47"/>
  <c r="AA46"/>
  <c r="AA45"/>
  <c r="AA44"/>
  <c r="AA43"/>
  <c r="AA42"/>
  <c r="AA41"/>
  <c r="AA40"/>
  <c r="AA39"/>
  <c r="AA38"/>
  <c r="AA37"/>
  <c r="AA36"/>
  <c r="AA35"/>
  <c r="AA34"/>
  <c r="AA33"/>
  <c r="AA32"/>
  <c r="AA31"/>
  <c r="AA30"/>
  <c r="AA29"/>
  <c r="AA28"/>
  <c r="AA27"/>
  <c r="AA26"/>
  <c r="AA25"/>
  <c r="AA24"/>
  <c r="AA23"/>
  <c r="AA22"/>
  <c r="AA21"/>
  <c r="AA20"/>
  <c r="AA19"/>
  <c r="AA18"/>
  <c r="AA17"/>
  <c r="AA16"/>
  <c r="AA15"/>
  <c r="AA14"/>
  <c r="AA13"/>
  <c r="AA12"/>
  <c r="AA11"/>
  <c r="AA10"/>
  <c r="AA9"/>
  <c r="AA8"/>
  <c r="AA7"/>
  <c r="AA6"/>
  <c r="AA5"/>
  <c r="AA4"/>
  <c r="AA3"/>
  <c r="B44" i="14"/>
  <c r="B43"/>
  <c r="B40"/>
  <c r="B39"/>
  <c r="B38"/>
  <c r="B35"/>
  <c r="B32"/>
  <c r="B31"/>
  <c r="B29"/>
  <c r="X121" i="1"/>
  <c r="X120"/>
  <c r="X119"/>
  <c r="B20" i="14"/>
  <c r="B13" l="1"/>
  <c r="W121" i="1"/>
  <c r="W120"/>
  <c r="B30" i="14" s="1"/>
  <c r="W119" i="1"/>
  <c r="W118"/>
  <c r="W117"/>
  <c r="W116"/>
  <c r="W115"/>
  <c r="W114"/>
  <c r="W113"/>
  <c r="W112"/>
  <c r="W111"/>
  <c r="W110"/>
  <c r="W109"/>
  <c r="W108"/>
  <c r="W107"/>
  <c r="W106"/>
  <c r="W105"/>
  <c r="W104"/>
  <c r="W103"/>
  <c r="W102"/>
  <c r="W101"/>
  <c r="W100"/>
  <c r="W99"/>
  <c r="W98"/>
  <c r="W97"/>
  <c r="W96"/>
  <c r="W95"/>
  <c r="W94"/>
  <c r="W93"/>
  <c r="W92"/>
  <c r="W91"/>
  <c r="W90"/>
  <c r="W89"/>
  <c r="W88"/>
  <c r="W87"/>
  <c r="B36" i="14" s="1"/>
  <c r="W86" i="1"/>
  <c r="W85"/>
  <c r="W84"/>
  <c r="W83"/>
  <c r="W82"/>
  <c r="W81"/>
  <c r="W80"/>
  <c r="W79"/>
  <c r="B51" i="14" s="1"/>
  <c r="W78" i="1"/>
  <c r="W77"/>
  <c r="W76"/>
  <c r="W75"/>
  <c r="W74"/>
  <c r="W73"/>
  <c r="B45" i="14" s="1"/>
  <c r="W72" i="1"/>
  <c r="W71"/>
  <c r="W70"/>
  <c r="W69"/>
  <c r="W68"/>
  <c r="W67"/>
  <c r="W66"/>
  <c r="W65"/>
  <c r="W64"/>
  <c r="W63"/>
  <c r="W62"/>
  <c r="W61"/>
  <c r="W60"/>
  <c r="W59"/>
  <c r="W58"/>
  <c r="W57"/>
  <c r="W56"/>
  <c r="W55"/>
  <c r="W54"/>
  <c r="W53"/>
  <c r="W52"/>
  <c r="W51"/>
  <c r="W50"/>
  <c r="W49"/>
  <c r="W48"/>
  <c r="W47"/>
  <c r="W46"/>
  <c r="W45"/>
  <c r="W44"/>
  <c r="W43"/>
  <c r="W42"/>
  <c r="W41"/>
  <c r="W40"/>
  <c r="W39"/>
  <c r="W38"/>
  <c r="W37"/>
  <c r="W36"/>
  <c r="W35"/>
  <c r="W34"/>
  <c r="W33"/>
  <c r="W32"/>
  <c r="W31"/>
  <c r="W30"/>
  <c r="W29"/>
  <c r="W28"/>
  <c r="W27"/>
  <c r="W26"/>
  <c r="W25"/>
  <c r="W24"/>
  <c r="W23"/>
  <c r="W22"/>
  <c r="W21"/>
  <c r="W20"/>
  <c r="W19"/>
  <c r="W18"/>
  <c r="W17"/>
  <c r="W16"/>
  <c r="W15"/>
  <c r="W14"/>
  <c r="B50" i="14" s="1"/>
  <c r="W13" i="1"/>
  <c r="W12"/>
  <c r="W11"/>
  <c r="W10"/>
  <c r="W9"/>
  <c r="W8"/>
  <c r="W7"/>
  <c r="W6"/>
  <c r="W3"/>
  <c r="B46" i="14" l="1"/>
  <c r="B41"/>
  <c r="B26"/>
  <c r="B25"/>
  <c r="B33"/>
  <c r="B42"/>
  <c r="B48"/>
  <c r="B28"/>
  <c r="B47"/>
  <c r="B49"/>
  <c r="B37"/>
  <c r="B34"/>
  <c r="B6"/>
  <c r="B7"/>
  <c r="B11"/>
  <c r="B14"/>
  <c r="B8"/>
  <c r="B12"/>
  <c r="B9"/>
  <c r="X118" i="1"/>
  <c r="X117"/>
  <c r="X116"/>
  <c r="X115"/>
  <c r="X114"/>
  <c r="X113"/>
  <c r="X112"/>
  <c r="X111"/>
  <c r="X110"/>
  <c r="X109"/>
  <c r="X108"/>
  <c r="X107"/>
  <c r="X106"/>
  <c r="X105"/>
  <c r="X104"/>
  <c r="X103"/>
  <c r="X102"/>
  <c r="X101"/>
  <c r="X100"/>
  <c r="X99"/>
  <c r="X98"/>
  <c r="X97"/>
  <c r="X96"/>
  <c r="X95"/>
  <c r="X94"/>
  <c r="X93"/>
  <c r="X92"/>
  <c r="X91"/>
  <c r="X90"/>
  <c r="X89"/>
  <c r="X88"/>
  <c r="X87"/>
  <c r="X86"/>
  <c r="X85"/>
  <c r="X84"/>
  <c r="X83"/>
  <c r="X82"/>
  <c r="X81"/>
  <c r="X80"/>
  <c r="X79"/>
  <c r="X78"/>
  <c r="X77"/>
  <c r="X76"/>
  <c r="X75"/>
  <c r="X74"/>
  <c r="X73"/>
  <c r="X72"/>
  <c r="X71"/>
  <c r="X70"/>
  <c r="X69"/>
  <c r="X68"/>
  <c r="X67"/>
  <c r="X66"/>
  <c r="X65"/>
  <c r="X64"/>
  <c r="X63"/>
  <c r="X62"/>
  <c r="X61"/>
  <c r="X60"/>
  <c r="X59"/>
  <c r="X58"/>
  <c r="X57"/>
  <c r="X56"/>
  <c r="X55"/>
  <c r="X54"/>
  <c r="X53"/>
  <c r="X52"/>
  <c r="X51"/>
  <c r="X50"/>
  <c r="X49"/>
  <c r="X48"/>
  <c r="X47"/>
  <c r="X46"/>
  <c r="X45"/>
  <c r="X44"/>
  <c r="X43"/>
  <c r="X42"/>
  <c r="X41"/>
  <c r="X40"/>
  <c r="X39"/>
  <c r="X38"/>
  <c r="X37"/>
  <c r="X36"/>
  <c r="X35"/>
  <c r="X34"/>
  <c r="X33"/>
  <c r="X32"/>
  <c r="X31"/>
  <c r="X30"/>
  <c r="X29"/>
  <c r="X28"/>
  <c r="X27"/>
  <c r="X26"/>
  <c r="X25"/>
  <c r="X24"/>
  <c r="X23"/>
  <c r="X22"/>
  <c r="X21"/>
  <c r="X20"/>
  <c r="X19"/>
  <c r="X18"/>
  <c r="X17"/>
  <c r="X16"/>
  <c r="X15"/>
  <c r="X14"/>
  <c r="X13"/>
  <c r="X12"/>
  <c r="X11"/>
  <c r="X10"/>
  <c r="X9"/>
  <c r="X8"/>
  <c r="X7"/>
  <c r="X6"/>
  <c r="X3"/>
  <c r="C18" i="5" l="1"/>
  <c r="C5"/>
  <c r="C7"/>
  <c r="C9"/>
  <c r="C8"/>
  <c r="C6"/>
  <c r="C28"/>
  <c r="X5" i="1" l="1"/>
  <c r="X4"/>
  <c r="W4"/>
  <c r="C10" i="5" l="1"/>
  <c r="C1"/>
  <c r="W5" i="1"/>
  <c r="B27" i="14" s="1"/>
  <c r="B52" s="1"/>
  <c r="B10" l="1"/>
  <c r="B15" s="1"/>
  <c r="C17" i="5"/>
  <c r="C15"/>
  <c r="C19"/>
  <c r="C16"/>
  <c r="C27"/>
  <c r="C29"/>
  <c r="C26"/>
  <c r="C25"/>
  <c r="C34" l="1"/>
  <c r="C30"/>
  <c r="C20"/>
</calcChain>
</file>

<file path=xl/sharedStrings.xml><?xml version="1.0" encoding="utf-8"?>
<sst xmlns="http://schemas.openxmlformats.org/spreadsheetml/2006/main" count="2306" uniqueCount="1374">
  <si>
    <t>FECHA</t>
  </si>
  <si>
    <t>EXPTE</t>
  </si>
  <si>
    <t>HORA</t>
  </si>
  <si>
    <t>ORDEN</t>
  </si>
  <si>
    <t>Fiscalia Penal  3 Limache Dr. Campoccia Aux.</t>
  </si>
  <si>
    <t xml:space="preserve">Fiscalia Penal Viol. Fam. y Genero 1 </t>
  </si>
  <si>
    <t>Fiscal Penal VFG2 Dra Sodero Calvet</t>
  </si>
  <si>
    <t>Fiscalia Rosario de Lerma. Dr. Escalante</t>
  </si>
  <si>
    <t>Fiscalia San Lorenzo</t>
  </si>
  <si>
    <t>Fisc. Delitos. Econ. Dra. Salinas</t>
  </si>
  <si>
    <t>Dr.Teseyra (Particular)</t>
  </si>
  <si>
    <t>Fiscal Nº  1 Dr. Pablo Paz</t>
  </si>
  <si>
    <t xml:space="preserve">Fiscal de Cerrrilos Dra. Analia Adet </t>
  </si>
  <si>
    <t>GAP 1 - Leandro Flores</t>
  </si>
  <si>
    <t>Fiscal Penal VFyG Nº 1 - Dra. Geria</t>
  </si>
  <si>
    <t>Fiscal Torres Rubelt - UFINAR</t>
  </si>
  <si>
    <t>Fiscal penal Nº 3 - Dr. Cordoba</t>
  </si>
  <si>
    <t>Dra. Victoria Flores (particular)</t>
  </si>
  <si>
    <t>CANTIDAD</t>
  </si>
  <si>
    <t>Fiscal Penal El Carril - Dr. Portal</t>
  </si>
  <si>
    <t xml:space="preserve">Fiscal Penal Nº 2 - Ramos Ossorio </t>
  </si>
  <si>
    <t>Fiscal Penal VFyG Nº 4 - Elisa Perez</t>
  </si>
  <si>
    <t>TOTAL AUD. REALIZADAS</t>
  </si>
  <si>
    <t>Fiscal Penal de Cerrillos - Dr. Portal</t>
  </si>
  <si>
    <t>JUEZ</t>
  </si>
  <si>
    <t>TOTAL AUD. ASIGNADAS</t>
  </si>
  <si>
    <t>Fiscal Penal VFyG Nº 3 - Gabriela Davalos</t>
  </si>
  <si>
    <t>Fiscal Penal Deleg. San Lorenzo - Ramos Ossorio (i)</t>
  </si>
  <si>
    <t xml:space="preserve">Fiscal Penal Gral. Güemes - Dr. Vilar Rey </t>
  </si>
  <si>
    <t>Fiscalia Penal  4  Dr. Facundo Ruiz de los Llanos</t>
  </si>
  <si>
    <t>Fiscal Nº 5 Dr. Federico Jovanovics</t>
  </si>
  <si>
    <t>Fiscal Nº 6 Dr. Analía Adet Figueroa</t>
  </si>
  <si>
    <t>Fiscalia Penal de Int. Sexual Nº 3 Dra. Flores Toranzo</t>
  </si>
  <si>
    <t xml:space="preserve">Fiscalía UDIS Nº 3 - Flores Toranzo </t>
  </si>
  <si>
    <t>Fiscalía UDIS nº 2 - Dr. Gonzalez Miralpeix</t>
  </si>
  <si>
    <t>Fiscalía UDIS nº 3 - Dr. Lopez Soto</t>
  </si>
  <si>
    <t>UDIS. Dr. Pablo Rivero</t>
  </si>
  <si>
    <t>Fiscalía UDIS 3 Dr. Lopez Sotto (interino)</t>
  </si>
  <si>
    <t>Fiscalía UNICROH Dra. Guzman</t>
  </si>
  <si>
    <t>Fiscalía VFG Nº4 Dra. Elisa Perez</t>
  </si>
  <si>
    <t>Fiscalía Violencia de Genero Nº 5. Dra. Liliana Jorge</t>
  </si>
  <si>
    <t>TOTAL AUD. PENDIENTES</t>
  </si>
  <si>
    <t>AUDIENCIAS SIN ASIGNAR</t>
  </si>
  <si>
    <t>Rechazadas o Devueltas</t>
  </si>
  <si>
    <t xml:space="preserve">Dr. Orfeo Maggio - Particular </t>
  </si>
  <si>
    <t>Fiscal UFEM - Dra. Monica Poma</t>
  </si>
  <si>
    <t>Fiscal UDIS nº 1 - Federico Obeid</t>
  </si>
  <si>
    <t>ESTADISTICAS AL DIA:</t>
  </si>
  <si>
    <t>DOC5 Marta Lopez</t>
  </si>
  <si>
    <t>Fiscal Violencia Familiar y de Gènero Nº 2 - Dra. Sodero Calvet</t>
  </si>
  <si>
    <t>Fiscal Penal de Cachi</t>
  </si>
  <si>
    <t>DEFENSOR</t>
  </si>
  <si>
    <t>UFINAR - Dr. Lopez Soto</t>
  </si>
  <si>
    <t>UFINAR - Dr. Torres Rubelt, Gustavo</t>
  </si>
  <si>
    <t xml:space="preserve">Dr. Agüero Molina </t>
  </si>
  <si>
    <t>Dr. Mamani Nelson</t>
  </si>
  <si>
    <t>Def. Inc. Nº 6 Dra. Ibarguren</t>
  </si>
  <si>
    <t>HECHAS O NO</t>
  </si>
  <si>
    <t>Fiscal Penal VFyG Nº 2</t>
  </si>
  <si>
    <t>Dra. Edith Karina Ortiz (Particular)</t>
  </si>
  <si>
    <t>Dr. Daniel Arnedo (Particular)</t>
  </si>
  <si>
    <t>Dra. Rosa Susana Maidana (Particular)</t>
  </si>
  <si>
    <t>Dr. Ortin Fernandez (Particular)</t>
  </si>
  <si>
    <t>Dr. Esteban Nieva Haro (Particular)</t>
  </si>
  <si>
    <t>A.I. Nº 2 - Dr. Flores Larsen</t>
  </si>
  <si>
    <t>Dr. Romano (Particular)</t>
  </si>
  <si>
    <t>Dr. Diaz Escueto (Particular)</t>
  </si>
  <si>
    <t xml:space="preserve">D.O.P. 17 - Dr. Genovese </t>
  </si>
  <si>
    <t>D.O.P. 2 - Dra. Liliana Linares Moron</t>
  </si>
  <si>
    <t>D.O.P. 15 Dr. Bonetto</t>
  </si>
  <si>
    <t>D.O.P. 12 Dra. Sandra Ortiz</t>
  </si>
  <si>
    <t>D.O.P. 16 Dra. Carrizo Reyes</t>
  </si>
  <si>
    <t>D.O.P. 6 Lopez Figueroa, Benjamìn</t>
  </si>
  <si>
    <t>D.O.P. (interino) Dr. Jaime Lopez Figueroa</t>
  </si>
  <si>
    <t>Dr. Alonso Casimiro (Particular)</t>
  </si>
  <si>
    <t>Dr. Aramayo Vazquez (Particular)</t>
  </si>
  <si>
    <t>Dr. Jose Ricardo Belbruno (Particular)</t>
  </si>
  <si>
    <t>Dr. Luciano Romano (Particular)</t>
  </si>
  <si>
    <t>Dra. Ximena Fernanda Chavez (Particular)</t>
  </si>
  <si>
    <t>D.O.P. 3 - Dra. Karina Peralta</t>
  </si>
  <si>
    <t>D.O.P. 4 - Dr. Walter Clark</t>
  </si>
  <si>
    <t>D.O.P  16 - Dra Ortiz Sandra (interina)</t>
  </si>
  <si>
    <t xml:space="preserve"> </t>
  </si>
  <si>
    <t>VOCAL</t>
  </si>
  <si>
    <t>IMPUTADO</t>
  </si>
  <si>
    <t>DNI</t>
  </si>
  <si>
    <t>DOMICILIO</t>
  </si>
  <si>
    <t>DELITO</t>
  </si>
  <si>
    <t>VICTIMA</t>
  </si>
  <si>
    <t>N° DNI</t>
  </si>
  <si>
    <t>QUERELLANTE</t>
  </si>
  <si>
    <t>ASESORIA</t>
  </si>
  <si>
    <t>FISCAL DE ORIGEN</t>
  </si>
  <si>
    <t>RESOLUCION</t>
  </si>
  <si>
    <t>FECHA DE BAJA</t>
  </si>
  <si>
    <t>Asesor3</t>
  </si>
  <si>
    <t>Asesor4</t>
  </si>
  <si>
    <t>Asesor5</t>
  </si>
  <si>
    <t>Asesor10</t>
  </si>
  <si>
    <t>Asesor11</t>
  </si>
  <si>
    <t>Asesor12</t>
  </si>
  <si>
    <t>Asesor13</t>
  </si>
  <si>
    <t xml:space="preserve">Asesor14 </t>
  </si>
  <si>
    <t>Asesor15</t>
  </si>
  <si>
    <t>Dr. Arias Nallar</t>
  </si>
  <si>
    <t>Dr. Arancibia</t>
  </si>
  <si>
    <t>Dr. Akemeier</t>
  </si>
  <si>
    <t>Dra. Solorzano</t>
  </si>
  <si>
    <t>Dr. Barrionuevo</t>
  </si>
  <si>
    <t>AUDIENCIAS - CANTIDAD TOTAL SEGÚN VOCALES</t>
  </si>
  <si>
    <t>AUDIENCIAS - RESTAN POR RESOLVER POR VOCALES</t>
  </si>
  <si>
    <t>AUDIENCIAS RESUELTAS POR VOCALES</t>
  </si>
  <si>
    <t>G01 183080/23</t>
  </si>
  <si>
    <t>G02 183063/23</t>
  </si>
  <si>
    <t>G01 182904/23</t>
  </si>
  <si>
    <t>G01 182930/23</t>
  </si>
  <si>
    <t>G01 183273/23</t>
  </si>
  <si>
    <t>UDIS Nº 2 Dr. Miralpeix</t>
  </si>
  <si>
    <r>
      <rPr>
        <b/>
        <sz val="10"/>
        <color theme="1"/>
        <rFont val="Arial"/>
        <family val="2"/>
      </rPr>
      <t>Abrebanel, Marcos Adrián</t>
    </r>
    <r>
      <rPr>
        <sz val="10"/>
        <rFont val="Arial"/>
        <family val="2"/>
      </rPr>
      <t/>
    </r>
  </si>
  <si>
    <t>Avenida Reyes Católicos 1449 Bº Tres Cerritos</t>
  </si>
  <si>
    <t>Abuso sexual con acceso carnal y abuso sexual simple (continuado) en concurso real con acceso carnal</t>
  </si>
  <si>
    <t xml:space="preserve"> - Josué Díaz Cueto MP 5832 y Oscar Romani MP 2338</t>
  </si>
  <si>
    <t>Asesoría Nº Flores Larsen</t>
  </si>
  <si>
    <t>Farid Yael, Toledo Alarcón</t>
  </si>
  <si>
    <t>Juan Manuel Güemes Nº 11 Bº Don Emilio</t>
  </si>
  <si>
    <r>
      <rPr>
        <b/>
        <sz val="10"/>
        <rFont val="Arial"/>
        <family val="2"/>
      </rPr>
      <t>Alonso, Maximiliano Gastón</t>
    </r>
    <r>
      <rPr>
        <sz val="10"/>
        <rFont val="Arial"/>
        <family val="2"/>
      </rPr>
      <t/>
    </r>
  </si>
  <si>
    <t>Bº Mirasoles Mza. 486 B, casa 20</t>
  </si>
  <si>
    <t>Robo agravado por el uso de arma de fuego en poblado y en banda.</t>
  </si>
  <si>
    <t>Guaymás, Leandro Sebastián</t>
  </si>
  <si>
    <r>
      <t>Cerrillos, calle Ameghino 362 -</t>
    </r>
    <r>
      <rPr>
        <sz val="10"/>
        <color rgb="FFFF0000"/>
        <rFont val="Arial"/>
        <family val="2"/>
      </rPr>
      <t xml:space="preserve"> </t>
    </r>
  </si>
  <si>
    <t>Homicidio Simple en grado de Tentativa.</t>
  </si>
  <si>
    <t>FISCAL IMPUGNACION INTERV.</t>
  </si>
  <si>
    <t>Dra. Salinas Odorisio Nº 1</t>
  </si>
  <si>
    <t>Dra. Holmquist Nº 3</t>
  </si>
  <si>
    <t xml:space="preserve"> 12:00</t>
  </si>
  <si>
    <t xml:space="preserve"> 11:00</t>
  </si>
  <si>
    <t>Dr. Ramos Ossorio Nº 2</t>
  </si>
  <si>
    <t>BARRIO SANTA ELENA, MZA. P CASA 13 GRAL. GÜEMES</t>
  </si>
  <si>
    <t>DRA. LÓPEZ MARTÍNEZ SARA MP 6046</t>
  </si>
  <si>
    <t>UDIS 2 DR. MIRALPEIX</t>
  </si>
  <si>
    <t>DRA. SALINAS 1</t>
  </si>
  <si>
    <t>26 04 23</t>
  </si>
  <si>
    <t>Menor F.P.A.S y Luana Belén Ávalos</t>
  </si>
  <si>
    <t>LUCIANO ROMANO MP 5832 POR LOS PADRES DE LA MENOR</t>
  </si>
  <si>
    <t>ASESORÍA Nº 2 DRA. FLORES LARSEN</t>
  </si>
  <si>
    <t>20 04 23</t>
  </si>
  <si>
    <t>Condorí, Genaro</t>
  </si>
  <si>
    <t>Mza. 36 F, Casa Nº 3 Bº 1º Mayo Gral. Güemes</t>
  </si>
  <si>
    <t>Abuso sexual con acceso carnal y coacción</t>
  </si>
  <si>
    <t>Brisa Antonella, Salazar</t>
  </si>
  <si>
    <t xml:space="preserve">Robo calificado por el uso de arma de fuego y tentativa de robo calificado por el uso de arma blanca </t>
  </si>
  <si>
    <t>ESTRADA, ELÍAS ALBERTO</t>
  </si>
  <si>
    <t>37,602,097</t>
  </si>
  <si>
    <t>BARRIO UNION, MZA. 381 "B", LOTE 10</t>
  </si>
  <si>
    <t>UNICROH DRA. MARÍA EUGENIA GUZMÁN</t>
  </si>
  <si>
    <t>25 04 23</t>
  </si>
  <si>
    <t>MEDINA ALDANA Y CUENCA, JULIANA SOLEDAD</t>
  </si>
  <si>
    <r>
      <t xml:space="preserve">MEDINA </t>
    </r>
    <r>
      <rPr>
        <b/>
        <sz val="11"/>
        <rFont val="Calibri"/>
        <family val="2"/>
        <scheme val="minor"/>
      </rPr>
      <t>40.911.593</t>
    </r>
    <r>
      <rPr>
        <sz val="11"/>
        <rFont val="Calibri"/>
        <family val="2"/>
        <scheme val="minor"/>
      </rPr>
      <t xml:space="preserve"> CUENCA</t>
    </r>
    <r>
      <rPr>
        <b/>
        <sz val="11"/>
        <rFont val="Calibri"/>
        <family val="2"/>
        <scheme val="minor"/>
      </rPr>
      <t xml:space="preserve"> 42.756.569</t>
    </r>
  </si>
  <si>
    <r>
      <rPr>
        <b/>
        <sz val="11"/>
        <rFont val="Calibri"/>
        <family val="2"/>
        <scheme val="minor"/>
      </rPr>
      <t>MEDINA:</t>
    </r>
    <r>
      <rPr>
        <sz val="11"/>
        <rFont val="Calibri"/>
        <family val="2"/>
        <scheme val="minor"/>
      </rPr>
      <t xml:space="preserve"> Bº AUTÓDROMO, CALLE MENDITEGUI Nº 370 (387-5722580) </t>
    </r>
    <r>
      <rPr>
        <b/>
        <sz val="11"/>
        <rFont val="Calibri"/>
        <family val="2"/>
        <scheme val="minor"/>
      </rPr>
      <t>CUENCA:</t>
    </r>
    <r>
      <rPr>
        <sz val="11"/>
        <rFont val="Calibri"/>
        <family val="2"/>
        <scheme val="minor"/>
      </rPr>
      <t xml:space="preserve"> Bº SANATA ANA 1, PJE. 20, CASA 480 (387-5038777)</t>
    </r>
  </si>
  <si>
    <t>Dr. Martín D' Andrea (Particular)</t>
  </si>
  <si>
    <t>Dr. Gensei Higa (Particular)</t>
  </si>
  <si>
    <t xml:space="preserve">Souffrin, Leonardo Adrián </t>
  </si>
  <si>
    <t>Bº  Limache, Etapa 5, Mza. 2, Casa 12</t>
  </si>
  <si>
    <t>Valentín Aguirre</t>
  </si>
  <si>
    <t>Cerrillos, Siglo XXI 351 c Lote 23</t>
  </si>
  <si>
    <t xml:space="preserve">Hacer lugar parcialmente al recurso de apelación- Sustituye prisión preventiva por arresto domiciliario </t>
  </si>
  <si>
    <t>08 05 23</t>
  </si>
  <si>
    <t>G03 183139/23</t>
  </si>
  <si>
    <t>Anagua, Gonzalo Gustavo Alejandro</t>
  </si>
  <si>
    <t>Las Dalias Mza. 107, Casa 10 Bº San Nicolás</t>
  </si>
  <si>
    <t>Homicidio en grado de tentativa</t>
  </si>
  <si>
    <t>Janco, Katherina de Los Ángeles</t>
  </si>
  <si>
    <t>Los Jazmines S/N Casa  10 Bº El Jardín La caldera</t>
  </si>
  <si>
    <t>Dr. Gastón Federico Montali MP 5389(Particular)</t>
  </si>
  <si>
    <t>Dra. Débora Ramírez</t>
  </si>
  <si>
    <t>Dr. Gastón Federico Montali MP 5389 (Particular)</t>
  </si>
  <si>
    <t>G01 183031</t>
  </si>
  <si>
    <t>Vilte, Jorge José María</t>
  </si>
  <si>
    <t>37,602,166</t>
  </si>
  <si>
    <t>09 05 2023</t>
  </si>
  <si>
    <t>Torre 39 - Bº Norte Grande</t>
  </si>
  <si>
    <t>Encubrimiento agravado de un delito especialmente grave, con ánimo de lucro y habitualidad.</t>
  </si>
  <si>
    <t>Daniela Alejandra Cardozo (padres Daniel Cardozo y Lorena Fernanda Cruz)</t>
  </si>
  <si>
    <t>Mza. 4B , Lote 12, Asentamiento San Javier</t>
  </si>
  <si>
    <t>Dr. Luis María Agüero Molina MP 1042 (Particular)</t>
  </si>
  <si>
    <t>G02 182930/23</t>
  </si>
  <si>
    <t>Carrizo, Gabriel Eduardo</t>
  </si>
  <si>
    <t>Bº San Rafael Mza. G1 Lote 15</t>
  </si>
  <si>
    <t>Roo calificado por el uso de arma de fuego. Robo doblemente calificado por ser cometido con el uso de arma de fuego, en poblado y en banda</t>
  </si>
  <si>
    <t>Cuenca Juliana Soledad Medina Aldana</t>
  </si>
  <si>
    <t>Cuenca: 42.756.569 Medina: 40.911.593</t>
  </si>
  <si>
    <t>Cuenca: Bº Santa Ana I, Pje. 20, casa 480 Medina: Calle Carlos Mendiegui 370 Bº Autódromo</t>
  </si>
  <si>
    <t>Hacer lugar al recurso de apelación- Libertad</t>
  </si>
  <si>
    <t>30 05 23</t>
  </si>
  <si>
    <t>29 05 23</t>
  </si>
  <si>
    <t>G01 184316/23</t>
  </si>
  <si>
    <t>Romero, Raúl Esteban</t>
  </si>
  <si>
    <t>Villa Charta pasaje Anta Nº 1474</t>
  </si>
  <si>
    <t>Abuso sexual simple, cuatro hechos</t>
  </si>
  <si>
    <t>C.C.B.C.(Menor) madre Cari Alejandra Celeste Aylén Palavecino, Luciana Belén Portales, Gabriela Carina Navarro</t>
  </si>
  <si>
    <t>D.O.P Nº 12 Dra. Patricia González</t>
  </si>
  <si>
    <t xml:space="preserve">Asesor1  Dr. Fernandez Esteban </t>
  </si>
  <si>
    <t>14 06 23</t>
  </si>
  <si>
    <t>G01 184293/23</t>
  </si>
  <si>
    <t>Tabarcache, José Antonio</t>
  </si>
  <si>
    <t>Finca Lesser S/N</t>
  </si>
  <si>
    <t>Desobediencia Judicial 2 hechos</t>
  </si>
  <si>
    <t>Mónica Antonia Padilla</t>
  </si>
  <si>
    <t>D.O.P Nº 15 Dr. Bonetto</t>
  </si>
  <si>
    <t>Mantener la libertad del imputado con consigna policial</t>
  </si>
  <si>
    <t>G01 184305/23</t>
  </si>
  <si>
    <t>Jaillita, Matías Daniel</t>
  </si>
  <si>
    <t>Avenida Artigas Nº 95</t>
  </si>
  <si>
    <t>Abuso sexual gravemente ultrajante por las circuntancias de relación y duración en el tiempo, agravado por el vínculo y la guarda, todo en concurso real</t>
  </si>
  <si>
    <t>Madre menor; Sra. Sajama Marcela</t>
  </si>
  <si>
    <t>Dr. Walter Atilio Díaz MP 4494</t>
  </si>
  <si>
    <t>UDIS Nº4 Dr. Rivero</t>
  </si>
  <si>
    <t>D.O.P Nº 14 Dra. Robles</t>
  </si>
  <si>
    <t>22 06 23</t>
  </si>
  <si>
    <t>27 06 23</t>
  </si>
  <si>
    <t>G01 184510/23</t>
  </si>
  <si>
    <t>Coronel, Ariel Fernando</t>
  </si>
  <si>
    <t>situación de calle</t>
  </si>
  <si>
    <t>Coacción, lesiones leves agravadas por la relación de pareja preexistente y por mediar violencia de género, robo agravado en grado de tentativa</t>
  </si>
  <si>
    <t>Nadia Jackeline Saluk</t>
  </si>
  <si>
    <t>Bº Costa Azul Mza. 199 Lote 23</t>
  </si>
  <si>
    <t>Dr. Ramón Medina</t>
  </si>
  <si>
    <t>Dr. Armiñana</t>
  </si>
  <si>
    <t>Dr. Mariño</t>
  </si>
  <si>
    <t>Dr. Molinati</t>
  </si>
  <si>
    <t>Dr. Martini</t>
  </si>
  <si>
    <t>G01 184668/23</t>
  </si>
  <si>
    <t>López Cristian Eduardo</t>
  </si>
  <si>
    <t>Mza. H Lote 13 Bº 15 de Febrero</t>
  </si>
  <si>
    <t xml:space="preserve">abuso sexual con acceso carnal, agravado por la guarda y la convivencia </t>
  </si>
  <si>
    <t xml:space="preserve">Romano Lorena Fernanda en representación de su hija S.E.R </t>
  </si>
  <si>
    <t>bº Las Tunas Mza. 50 B Casa 05</t>
  </si>
  <si>
    <t xml:space="preserve">Asesoria 9 </t>
  </si>
  <si>
    <t>G20 177634/23</t>
  </si>
  <si>
    <t>Córdoba, Daniel Facundo</t>
  </si>
  <si>
    <t>Estafas reiteradas (12 hechos) y asociación ilícita en concurso real</t>
  </si>
  <si>
    <t>Luis Fernando Zabalaga MP 4432</t>
  </si>
  <si>
    <t>Dra. Edith Rodríguez</t>
  </si>
  <si>
    <t>G01 184545/23</t>
  </si>
  <si>
    <t>Aguirre Luis Daniel</t>
  </si>
  <si>
    <t>Tenencia de estupefacientes con fines de comercialización</t>
  </si>
  <si>
    <t>Vaca Lucas Martín MP 5725</t>
  </si>
  <si>
    <t>Molina, Alfredo Adolfo</t>
  </si>
  <si>
    <t>Bº Siglo XXI, Mza. 359 B, Lote Nº 5</t>
  </si>
  <si>
    <t>Amenazas y amenzas con arma</t>
  </si>
  <si>
    <t xml:space="preserve">Moya Ana Soledad </t>
  </si>
  <si>
    <t>Mza. 434 B Lote 23 Bº Solidaridad</t>
  </si>
  <si>
    <t>D.O.P Nº 11 Dr. Curotto</t>
  </si>
  <si>
    <t>DOP Nº14 Dra. Robles</t>
  </si>
  <si>
    <t>No hacer lugar al recurso de apelacion- confirma la prision preventiva</t>
  </si>
  <si>
    <t>Facundo Esteban Teodoro Borja</t>
  </si>
  <si>
    <t>Tolava, Gustavo Alberto</t>
  </si>
  <si>
    <t>San Martin 355</t>
  </si>
  <si>
    <t>Coaccion, privacion ilegítima de la libertad</t>
  </si>
  <si>
    <t>Bonneau Antonella Luciana</t>
  </si>
  <si>
    <t>Bº Cerámica, Mza. C Lote 14 cel (387- 3062046)</t>
  </si>
  <si>
    <t xml:space="preserve">Lesiones agravadas por la relación de pareja preexistente y por el género (dos hechos) en concurso real, abuso sexual con acceso carnal </t>
  </si>
  <si>
    <t xml:space="preserve">González Yanina </t>
  </si>
  <si>
    <t>Walter atilio díaz 4494</t>
  </si>
  <si>
    <t>Cejas, Juan Manuel</t>
  </si>
  <si>
    <t>Bº Santa Cecilia Mza. I Casa 22</t>
  </si>
  <si>
    <t>Lesiones leves y robo simple en grado de tentativa, en concurso real</t>
  </si>
  <si>
    <t>Mirta Azucena Chocobar</t>
  </si>
  <si>
    <t>Bº 2 de Abril Mza. 259 Casa 10</t>
  </si>
  <si>
    <t>Chilo Gabriel Fernando</t>
  </si>
  <si>
    <t xml:space="preserve">Bº M. M, de Güemes Mza. J Lote 17 - La merced </t>
  </si>
  <si>
    <t xml:space="preserve">Abuso sexual con acceso carnal agravado por la guarda y la convivencia </t>
  </si>
  <si>
    <t>Ortega Julieta Araceli</t>
  </si>
  <si>
    <t>Bº M.M De Güemes Mza. J Lote 17 (387 5706 312)</t>
  </si>
  <si>
    <t>Dr. Rodriguez Osvaldo MP 4129</t>
  </si>
  <si>
    <t xml:space="preserve">Diamante, Aldana Rocio </t>
  </si>
  <si>
    <t>G01184546 GAR1 SALA 4</t>
  </si>
  <si>
    <t>Díaz Salva Lucas</t>
  </si>
  <si>
    <t>Bº Justicia Mza. H Lote 19</t>
  </si>
  <si>
    <t>Robo calificado por el uso de arma en grado de tentativa (dos hechos)</t>
  </si>
  <si>
    <t>Hermosa Marianela Itatí</t>
  </si>
  <si>
    <t>G01 184546/23 GAR 1 SALA 4</t>
  </si>
  <si>
    <t>Greco, Alvaro Matias</t>
  </si>
  <si>
    <t>Domicilio en Provincia de Tucumán</t>
  </si>
  <si>
    <t>G01 183627/23 GAR 8 SALA 4</t>
  </si>
  <si>
    <t>Carrizo, Raúl Benjamín</t>
  </si>
  <si>
    <t>González Norma Noemí</t>
  </si>
  <si>
    <t>Los Gavilanes S/N, al margen del Río Arenales Bº Ampliación Solís Pizarro</t>
  </si>
  <si>
    <t>Bº Solíz Pizarro calle los halcones nº 1755 (casa de la abuela) sino situación de calle</t>
  </si>
  <si>
    <t>Hurto Violación de Domicilio, Desobediencia Judicial (tres hechos)</t>
  </si>
  <si>
    <t>DOP Nº 11 Curotto DOP Nº 14 Dra. Robles en feria</t>
  </si>
  <si>
    <t>G01 183995/23 GAR 7 SALA 2</t>
  </si>
  <si>
    <t>Carrasco Damián Faustino</t>
  </si>
  <si>
    <t>Bº Inmaculada Concepción Mza. F Casa 7, Chicoana</t>
  </si>
  <si>
    <t>Menor L.A.A. Denuncia Carrasco Nélida Ramona</t>
  </si>
  <si>
    <t>Bº Las Paltas Mza. D Casa 84 (3874152287)</t>
  </si>
  <si>
    <t>Abuso sexual gravemente ultrajante por su circunstancia de realización agravado por la guarda (dos hechos) en concurso real</t>
  </si>
  <si>
    <t>Dr. Gastón Herrera MP Nº 6141</t>
  </si>
  <si>
    <t>asesoría 9 en feria</t>
  </si>
  <si>
    <t>Lopez Carlos Nicasio</t>
  </si>
  <si>
    <t>Abuso sexual con acceso carnal agravado por la guarda y la convivencia preexistente</t>
  </si>
  <si>
    <t>Menores- denuncia López José Nicasio</t>
  </si>
  <si>
    <t xml:space="preserve">11 07 2023 </t>
  </si>
  <si>
    <t>G01 184534/23 SALA 3</t>
  </si>
  <si>
    <t>G01 184509/23 SALA 3</t>
  </si>
  <si>
    <t>Gonzalez, Oscar Roberto</t>
  </si>
  <si>
    <t>G01 184811/23 sala 3</t>
  </si>
  <si>
    <t>No hacer lugar al recurso de apelación</t>
  </si>
  <si>
    <t>G01 184519/23 GAR 1 sala 1</t>
  </si>
  <si>
    <t>G01 184065/23 sala 4 gar 7</t>
  </si>
  <si>
    <t>G01 184816/23 GAR 2 SALA 1</t>
  </si>
  <si>
    <t>Cruz, Mario Juan Manuel</t>
  </si>
  <si>
    <t>Homicidio doblemente calificado pr la relación de pareja previa y por mediar violencia de género en grado de tentativa</t>
  </si>
  <si>
    <t xml:space="preserve">(menor) Bustamante Julieta Natalí </t>
  </si>
  <si>
    <t>Dr. Oropeza mp 4686</t>
  </si>
  <si>
    <t>defensoria de violencia nº 2 Dra. Medrano</t>
  </si>
  <si>
    <t>Avda. Costanera 2992 Villa Los Sauces (Celular madre. Sra. Roero Daiana Paola 3875296340)</t>
  </si>
  <si>
    <t>G02 182099/23 GAR 2 SALA 4</t>
  </si>
  <si>
    <t>Vivero José Antonio</t>
  </si>
  <si>
    <t>Abuso sexual con acceso carnal continuado agravado por la convivencia</t>
  </si>
  <si>
    <t>Marín Celeste Emilia</t>
  </si>
  <si>
    <t>DOP 10 - dop 8 en feria</t>
  </si>
  <si>
    <t>asesor 9</t>
  </si>
  <si>
    <t>G02 184622/23 GAR 3 SALA 4</t>
  </si>
  <si>
    <t xml:space="preserve">Benegas Tomás Javier </t>
  </si>
  <si>
    <t>Mza. A Lote 634 Vº Costanera- Bº Solidaridad Mza. 451 Alote 18</t>
  </si>
  <si>
    <t>Robo AP 1885/23 Cria. 17</t>
  </si>
  <si>
    <t xml:space="preserve">Molina Nicolás Rodolfo </t>
  </si>
  <si>
    <t>Radio del Plata Nº 2417</t>
  </si>
  <si>
    <t xml:space="preserve"> DOP 15 originaria - DOP 14 en feria</t>
  </si>
  <si>
    <t>14 07 2023</t>
  </si>
  <si>
    <t>CEL: 3875175643</t>
  </si>
  <si>
    <t>J02 177668/23 GAR 6 SALA 3</t>
  </si>
  <si>
    <t>Bº MM de Güemes Mza. 130 A Lote 4</t>
  </si>
  <si>
    <t>Exhibiciones obscenas, exhibiciones obscenas agravadas (dos hechos) en concurso real, amenazas, rapto, abuso sexual simple, todos en concurso real</t>
  </si>
  <si>
    <t>denunciante en representacion de la menor Alvarez Guadalupe (11) Mac Farli Karen Merlene - (387 6038828) - Besso María Fernanda (387 4586379)- Flavia Mireya Domínguez en representacion de sus dos hijas menores - Adriana Benita Sayago en representación de su hijo menor- Silvia Noemí Romano en representación de su hija menor</t>
  </si>
  <si>
    <t>DOP 15 DOP 14 EN FERIA</t>
  </si>
  <si>
    <t>asesoría 5 - asesoria 9 en feria</t>
  </si>
  <si>
    <t>14 07 23</t>
  </si>
  <si>
    <t>G01 184619/23 GAR 2 SALA 2</t>
  </si>
  <si>
    <t>387 5548773</t>
  </si>
  <si>
    <t xml:space="preserve">asesoría 10 </t>
  </si>
  <si>
    <t>G01 184500/23 GAR 1 SALA 3</t>
  </si>
  <si>
    <t xml:space="preserve">Lobo Melisa Beatriz </t>
  </si>
  <si>
    <t>Huanca Mara Rocío</t>
  </si>
  <si>
    <t>Flores Daniela Roxana</t>
  </si>
  <si>
    <t>Vº Los Sauces, calle Zacarías Yanci Nº 1268</t>
  </si>
  <si>
    <t>Atocha III, Mza. 150B, Lote 15</t>
  </si>
  <si>
    <t>Pje. Rosario de Lerma Nº 735 Vº Cristina</t>
  </si>
  <si>
    <t>Hurto Calamitoso</t>
  </si>
  <si>
    <t>Raul Concepcion Tolaba</t>
  </si>
  <si>
    <t>387 5524522 (padre) 3876444387 (madre</t>
  </si>
  <si>
    <t>DOP 11 DOP 14 en feria</t>
  </si>
  <si>
    <t>DOP 10 DOP 8 en feria</t>
  </si>
  <si>
    <t>Dra. Salinas Odorisio 1</t>
  </si>
  <si>
    <t>G01 174405/21 GAR 6 SALA 3</t>
  </si>
  <si>
    <t xml:space="preserve">Pje. Socompa Nº 1621Bº Municipal </t>
  </si>
  <si>
    <t>Amenazas y daños en concurso real</t>
  </si>
  <si>
    <t>Salas Verónica Lorenza</t>
  </si>
  <si>
    <t>Chacon Daniel Eduardo (uc1)</t>
  </si>
  <si>
    <t>DOP 13 DOP 8 en feria</t>
  </si>
  <si>
    <t>17 07 2023</t>
  </si>
  <si>
    <t xml:space="preserve">2 10 en feria </t>
  </si>
  <si>
    <t>G01 181982/23 GAR 3 SALA 2</t>
  </si>
  <si>
    <t>Sarapura, Cristian Fabián</t>
  </si>
  <si>
    <t>Abuso sexual con acceso carnal (dos hechos) en concurso real con abuso sexual simple (dos hechos)</t>
  </si>
  <si>
    <t>Mza. 40 B Lote 24 Bº San Jorge Rosario de Lerma</t>
  </si>
  <si>
    <t>Dr. Salim MP 6533</t>
  </si>
  <si>
    <t>UDIS 1</t>
  </si>
  <si>
    <t>Dra Holmquist Nº 3</t>
  </si>
  <si>
    <t>J01 142966/22 juicio 5 sala 3</t>
  </si>
  <si>
    <t>Benito Valentín Diaz</t>
  </si>
  <si>
    <t xml:space="preserve">Pje. Zorrigueta Nº 105 </t>
  </si>
  <si>
    <t>Abuso sexual gravemente ultrajante por la duración y la circunstancias de realización agravado por el vínculo, la guarda y la convivencia</t>
  </si>
  <si>
    <t>Soria Jimena Ceciliaen representacion de su hija menor</t>
  </si>
  <si>
    <t>Pje. Aguado Nº 646 Vº San Antonio (3874733330 - 4710780)</t>
  </si>
  <si>
    <t>Dr. Maggio MP 2265</t>
  </si>
  <si>
    <t>asesor 7 - 9 en feria</t>
  </si>
  <si>
    <t>No hacer lugar al recurso de apelacion - confirma la preventiva</t>
  </si>
  <si>
    <t>18 07 23</t>
  </si>
  <si>
    <t>20 07 23</t>
  </si>
  <si>
    <t xml:space="preserve">G03 180041/22 GAR 6 </t>
  </si>
  <si>
    <t xml:space="preserve">Inostroza, Diego Ricardo </t>
  </si>
  <si>
    <t xml:space="preserve">Abuso sexual con acceso carnal, coacción, abuso sexual simple </t>
  </si>
  <si>
    <t>Padilla Pamela Lucila</t>
  </si>
  <si>
    <t>Aniceto Latorre 248 Depto A Piso C (387 - 4022969)</t>
  </si>
  <si>
    <t>Dr. Luciano Romano MP 5515</t>
  </si>
  <si>
    <t xml:space="preserve">Avendaño Nahuel Eduardo </t>
  </si>
  <si>
    <t>Sebastián Fernando Chaile</t>
  </si>
  <si>
    <t>Vº Lavalle, calle Río Toro s/n</t>
  </si>
  <si>
    <t>Vº Lavalle, calle Río Toro al 2300</t>
  </si>
  <si>
    <t>Romero Nestor Raúl y Meriles Julio César</t>
  </si>
  <si>
    <t>Romero 30.222.701 Meriles 29.295.381</t>
  </si>
  <si>
    <t>Romero: Bº Autódromo, calle A. Logulo Nº 61 (3875846412) Meriles: Bº 26 de Marzo, Mza. 188 D Lote 7</t>
  </si>
  <si>
    <t>Hacer lugar al recurso de apelación - Ordenar el arresto domiciliario</t>
  </si>
  <si>
    <t>21 07 23</t>
  </si>
  <si>
    <t>Def. violencia de género nº 1 Dra. Chirife</t>
  </si>
  <si>
    <t>Bº Municipal 1520, pje. Tolombón</t>
  </si>
  <si>
    <t>No hacer lugar al Recurso de Apelación - Confirma la prisión preventiva</t>
  </si>
  <si>
    <t xml:space="preserve">21 07 2023 </t>
  </si>
  <si>
    <t>José Rodrigo Ledesma</t>
  </si>
  <si>
    <t xml:space="preserve">G05 168911/20 GAR 3 </t>
  </si>
  <si>
    <t>Carlos Damián Saavedra</t>
  </si>
  <si>
    <t>Bº Tres Cerritos, Los Mandarinos 331</t>
  </si>
  <si>
    <t xml:space="preserve">Homicidio Calificado por Alevosía, ensañamientocriminis causa y por el concurso premeditado de dos o más personas y femicidio. </t>
  </si>
  <si>
    <t>Dr. Mareclo Arancibia MP 429</t>
  </si>
  <si>
    <t>Dr. Pedro Arancibia MP 3201</t>
  </si>
  <si>
    <t>Dra, Holmquist</t>
  </si>
  <si>
    <t>24 07 23</t>
  </si>
  <si>
    <t>Mza. E Casa 8 Bº 23 de agosto (3874826774)</t>
  </si>
  <si>
    <t>G01 185030/23 gar 3</t>
  </si>
  <si>
    <t>Frías Sergio Gustavo</t>
  </si>
  <si>
    <t xml:space="preserve">Vera, Matías Ezequiel </t>
  </si>
  <si>
    <t>Robo en poblado y en banda</t>
  </si>
  <si>
    <t xml:space="preserve">Claudia Ivana Alarcon </t>
  </si>
  <si>
    <t xml:space="preserve">Francia Nº 556 B º Morosini </t>
  </si>
  <si>
    <t>28 07 2023</t>
  </si>
  <si>
    <t>J01 181346/22 JUICIO 1</t>
  </si>
  <si>
    <t>Chilo, Victor Alfredo</t>
  </si>
  <si>
    <t>Av. San Martín 2888 Bº San Silvestre</t>
  </si>
  <si>
    <t>Abuso sexual con acceso carnal</t>
  </si>
  <si>
    <t>Stella Marus Pastrana</t>
  </si>
  <si>
    <t>G01 185173/23 GAR 4</t>
  </si>
  <si>
    <t>Domínguez Jorge Tomás</t>
  </si>
  <si>
    <t>Mza. 352 Casa 5 Bº Siglo XXI</t>
  </si>
  <si>
    <t>Lesiones y amenazas</t>
  </si>
  <si>
    <t>Domínguez Valeria Alejandra</t>
  </si>
  <si>
    <t>Bº Siglo XXI Casa 5 (387 2265313)</t>
  </si>
  <si>
    <t>DOP Nº 4 Dr. Clarck</t>
  </si>
  <si>
    <t>No hacer lugar al recurso de apelación - confirma la preventiva</t>
  </si>
  <si>
    <t>25 07 2023</t>
  </si>
  <si>
    <t>Mza. 50 lote 31 Bº San Jorge Rosari de Lerma</t>
  </si>
  <si>
    <t>Acosta Griselda Noemí (melgar liliana ramone denunciante)</t>
  </si>
  <si>
    <t>Dr. Pollioto</t>
  </si>
  <si>
    <t>J04 170530/23 jui 1- Sala 2 Vocal 3</t>
  </si>
  <si>
    <t>Peña Matías Federico</t>
  </si>
  <si>
    <t>Gral. Güemes 810 - 2do piso, Depto A</t>
  </si>
  <si>
    <t>(menor) Noelia Andrea Bennatti (denunciante)</t>
  </si>
  <si>
    <t>Dr, Luciano Romano MP 5515</t>
  </si>
  <si>
    <t>asesoría 7 Dra. Quinteros</t>
  </si>
  <si>
    <t>Robo calificado por perpetarse en poblado y en banda</t>
  </si>
  <si>
    <t>Dra. Salinas odorisio 1</t>
  </si>
  <si>
    <t>Juan Armesto Yanci</t>
  </si>
  <si>
    <t>Dr. Cisneros Facundo MP 6564</t>
  </si>
  <si>
    <t>Jimena Salas, Nicolás Cajal constituye querella</t>
  </si>
  <si>
    <t>G01 184821/23 gar 2</t>
  </si>
  <si>
    <t>J01 177932/23 juicio 1</t>
  </si>
  <si>
    <t>Hurto simple (tres hechos) lesiones leves por la relación de pareja preexistente y por constituír violencia de género, amenazas y desobediencia judicial (dos hechos) en concurso real</t>
  </si>
  <si>
    <t>Julia Estela Ontiveros</t>
  </si>
  <si>
    <t>Bº Solidaridad Mza. 416 B Lote 27 3ra etapa</t>
  </si>
  <si>
    <t>Mza. 416 Casa 10 Bº Solidaridad</t>
  </si>
  <si>
    <t>Caceres, Maldonado Kevin Eduardo (alcaidía)</t>
  </si>
  <si>
    <t>Def. de violencia nº 2</t>
  </si>
  <si>
    <t>G01 184720/23 GAR 2</t>
  </si>
  <si>
    <t>G01 185065/23 gar 3</t>
  </si>
  <si>
    <t>Formosa, no aporta domicilio</t>
  </si>
  <si>
    <t>Exhibiciones obscenas a menores</t>
  </si>
  <si>
    <t>Vega Ibarra Mario Alberto (denunciante)</t>
  </si>
  <si>
    <t>Bº Las Marías Mza. Casa 14 (3874028517)</t>
  </si>
  <si>
    <t>DOP Nº 3 Dra. Peralta</t>
  </si>
  <si>
    <t>Juarez Miranda Gustavo Ariel (alcaidía)</t>
  </si>
  <si>
    <t>DOP 3 Dra. Peralta</t>
  </si>
  <si>
    <t>Dr. Arnedo MP 5427</t>
  </si>
  <si>
    <t>Dr. Solá Garrido MP 3136</t>
  </si>
  <si>
    <t>G01 184799/23 GAR 2</t>
  </si>
  <si>
    <t>Nogales Santa Cruz, Alberto ascencio</t>
  </si>
  <si>
    <t>Comercialización de estupefacientes</t>
  </si>
  <si>
    <t>Dr. Ortin Fernandez 4457</t>
  </si>
  <si>
    <t>Homicidio agravado por el vínculo- relación de pareja preexistentey por mediar violencia de género en grado de tentativa</t>
  </si>
  <si>
    <t>Juana América Montenegro</t>
  </si>
  <si>
    <t>Pje. Bolivia Nº 351</t>
  </si>
  <si>
    <t>DOP Nº 7 Dr. Marcelo Di Bez</t>
  </si>
  <si>
    <t>Pje, bolivia Nº 351 Vº San Antonio (3876388857)</t>
  </si>
  <si>
    <t>J01 171219/22 JUICIO 1</t>
  </si>
  <si>
    <t>Buttaro Julio</t>
  </si>
  <si>
    <t>Amenazas y desobediencia Judicial en concurso real</t>
  </si>
  <si>
    <t>20 de Junio, Francisco Vélez 2334</t>
  </si>
  <si>
    <t>Peralta Dominga Santos</t>
  </si>
  <si>
    <t>G01 184429/23 GAR 1</t>
  </si>
  <si>
    <t>Grooming- Abuso sexual con acceso carnal, extorsión, producción y distribución de material de abuso sexual infantil</t>
  </si>
  <si>
    <t>Mza. 239 Casa M Bº Portezuelo chico</t>
  </si>
  <si>
    <t xml:space="preserve">Camila Chocobar (denunciante por menor) Ernesto Enrique Sánchez (denunciante) </t>
  </si>
  <si>
    <t>Chocobar : Barrio Santa Mónica mza. C casa 55 Sánchez:Mza 296 b lote 21 Bº Norte Grande83872240645)</t>
  </si>
  <si>
    <t>Dr. Atilio Díaz MP 4494</t>
  </si>
  <si>
    <t>Gustavo Benjamín Vásques (alcaidía)</t>
  </si>
  <si>
    <t>J02 171653/23 JUICIO 1</t>
  </si>
  <si>
    <t>Sanchez, Federico Ariel</t>
  </si>
  <si>
    <t>Los Avellanos Bº 320 Bº Tres Cerritos</t>
  </si>
  <si>
    <t>Palomo Gabriela, Montaldi Ana Valentina</t>
  </si>
  <si>
    <t>Palomo DNI 33.168.760</t>
  </si>
  <si>
    <t>Palomo: Bº Sanata Ana II Mza. 17 Casa 1 (3875821137)</t>
  </si>
  <si>
    <t>Esteban Nieva Haro MP 5276</t>
  </si>
  <si>
    <t>Dra. Domene MP 5308</t>
  </si>
  <si>
    <t>No hacer lugar al recurso de apelacion - confirma la prision preventiva</t>
  </si>
  <si>
    <t>31 07 23</t>
  </si>
  <si>
    <t>g01 185114/23 gar 3</t>
  </si>
  <si>
    <t>D'Abate Cornejo, Alfredo Benjamin</t>
  </si>
  <si>
    <t>Arturo Tamborini Nº 260 Bº El Periodista</t>
  </si>
  <si>
    <t>Cornejo D'Abate Liliana Noemí</t>
  </si>
  <si>
    <t>Arturo Gambolini Nº 2060 Bº El Periodista (3874186702)</t>
  </si>
  <si>
    <t>Dr. Ramos Ossorio Nº2</t>
  </si>
  <si>
    <t>13 00</t>
  </si>
  <si>
    <t>No hacer lugar al recurso de apelación - Confirma preventiva</t>
  </si>
  <si>
    <t>Dr Ramos Ossorio Nº 2</t>
  </si>
  <si>
    <t>No hacer lugar al Recurso de apelacion - confirmar la preventiva</t>
  </si>
  <si>
    <t>03 08 23</t>
  </si>
  <si>
    <t>02 08 23</t>
  </si>
  <si>
    <t xml:space="preserve">No hacer lugar al Recurso de Apelación - confirmar la preventiva </t>
  </si>
  <si>
    <t>Villa Palacios Avda. Costanera 1334 (155334579)</t>
  </si>
  <si>
    <t>GAR 185403/23 GAR 5</t>
  </si>
  <si>
    <t xml:space="preserve">Cano José Antonio </t>
  </si>
  <si>
    <t xml:space="preserve">Galván Esteban Antonio </t>
  </si>
  <si>
    <t>Calle 16 de septiembre Nº 691 Bº Ceferino</t>
  </si>
  <si>
    <t>Calle San Juan Nº 474 Bº Centro</t>
  </si>
  <si>
    <t>Robo simple</t>
  </si>
  <si>
    <t>robo simple</t>
  </si>
  <si>
    <t xml:space="preserve">López Carlos Martín </t>
  </si>
  <si>
    <t>Bº Castañares Grupo 648 Mza. 19 Lote 18 (3875140481)</t>
  </si>
  <si>
    <t>DOP Nº 6 Dr. López Figueroa</t>
  </si>
  <si>
    <t>G01  185061/23 gar 6</t>
  </si>
  <si>
    <t>Morales Luciano Agustín</t>
  </si>
  <si>
    <t>Bº Nueva Esperanza 2 Mza. 3 casa 8 Gral güemes</t>
  </si>
  <si>
    <t xml:space="preserve">Hurto simple </t>
  </si>
  <si>
    <t>Quipildor Adolfo Gustavo</t>
  </si>
  <si>
    <t>Fca. Las Lauras Limite con Jujuy 55 Km/ Bº Naranjito Concejal Sosa Nº 4 Gral Güemes/ Bº Nueva Esperanza 2 Calle San Francisco Espacio Verde Lote 8 (3875152951-3875853014-3875006439-3875629120)</t>
  </si>
  <si>
    <t>G01 185181/23 GAR 4</t>
  </si>
  <si>
    <t>Corbalan Juan Gabriel</t>
  </si>
  <si>
    <t>Mza. 315 A Lote 02 Bº San Benito</t>
  </si>
  <si>
    <t xml:space="preserve">Abuso sexual gravemente ultrajante por la circunstancia de su realización </t>
  </si>
  <si>
    <t>Vega Antonella Elizabeth</t>
  </si>
  <si>
    <t>Mza. 22 Lote 18 Bº Los Paraísos Cerrillos (387 5916609)</t>
  </si>
  <si>
    <t>Pablo Alberto González MP 4302</t>
  </si>
  <si>
    <t>DOP 17 Dr. Genovese</t>
  </si>
  <si>
    <t>G06 183139/23 GAR 4</t>
  </si>
  <si>
    <t>Yanci Juan Armesto</t>
  </si>
  <si>
    <r>
      <t xml:space="preserve">JUI 177932/22 </t>
    </r>
    <r>
      <rPr>
        <b/>
        <sz val="10"/>
        <rFont val="Arial"/>
        <family val="2"/>
      </rPr>
      <t>VISU</t>
    </r>
  </si>
  <si>
    <t>DOP 7 Di bez</t>
  </si>
  <si>
    <t>G01 185167/23 gar 4</t>
  </si>
  <si>
    <t>Gerez, Ernesto Sabino</t>
  </si>
  <si>
    <t>Mza. 407 C Casa 11 Bº Solidaridad</t>
  </si>
  <si>
    <t>Alfaro Mariana Soledad</t>
  </si>
  <si>
    <t>Bº San Calixto Mza 52 Lote 17 (3874540036)</t>
  </si>
  <si>
    <t>G01 182999/23 GAR 4</t>
  </si>
  <si>
    <t>Vaca Gabriel Ernesto</t>
  </si>
  <si>
    <t>Las Garzas 3200 Bº Parques Nacionales Estancia el rey? (situacion de calle)</t>
  </si>
  <si>
    <t xml:space="preserve">Amenazas </t>
  </si>
  <si>
    <t>Mariela Alejandra Figueroa</t>
  </si>
  <si>
    <t>Mza. 08 lote 14 Bº Nueva Esperanza</t>
  </si>
  <si>
    <t>G01  184598/23 GAR 1</t>
  </si>
  <si>
    <t xml:space="preserve">Sebastian Saravia Zenteno (LIBERTAD) </t>
  </si>
  <si>
    <t>Abuso sexual gravemente ultrajante por la duracion en el tiempo y las circunstancias de su realizaciónl agravado por la guarda</t>
  </si>
  <si>
    <t>Schmist Dodds Maria Mercedes</t>
  </si>
  <si>
    <t>Las Praderas de San Lorenzo Lote 31 Mza. 02</t>
  </si>
  <si>
    <t>Av Entre Ríos 720 3 B</t>
  </si>
  <si>
    <t>Dr. Plamier MP 1019 Y Juan José Valdez Aguilar MP 4377</t>
  </si>
  <si>
    <t>Julian Marcelo Aguilar MP 4606</t>
  </si>
  <si>
    <t>Dra. Holmquist nº 3</t>
  </si>
  <si>
    <t>J01 178574/23 JUICIO 5</t>
  </si>
  <si>
    <t>Flores Elias Marco</t>
  </si>
  <si>
    <t>Abuso sexual con acceso carnal (continuado) agravado por la guarda en concurso ideal con corrupción de menores agravada</t>
  </si>
  <si>
    <t>(menor) denunciante Rodriguez María Angélica</t>
  </si>
  <si>
    <t>08 08 23</t>
  </si>
  <si>
    <t xml:space="preserve"> 08 08 23</t>
  </si>
  <si>
    <t>LIBERTAD</t>
  </si>
  <si>
    <t>Fath Ricardo Gabriel (ALCAIDIA)</t>
  </si>
  <si>
    <t>Fath Andres Esteban (ALCAIDIA)</t>
  </si>
  <si>
    <t>Fraude a la administracion pública y falsedad de instrumento público</t>
  </si>
  <si>
    <t>Bº Casa del Sol Mza 501, casa 6 San Luis</t>
  </si>
  <si>
    <t>Bº Castañares Pje. Los Blnacos 128</t>
  </si>
  <si>
    <t>Dr. Luis Fernando Zabalaga MP 4432</t>
  </si>
  <si>
    <t>Asesoria 9 Dra. Bustos</t>
  </si>
  <si>
    <t>Dra. Holmquist 3</t>
  </si>
  <si>
    <t>Dra. Holquist 3</t>
  </si>
  <si>
    <t>Juana Manuela Gorriti 1767 Villa Floresta (3874811204)</t>
  </si>
  <si>
    <t>ASESORIA 10 DRA SALATIN</t>
  </si>
  <si>
    <t>G01 185248/23 GAR 4</t>
  </si>
  <si>
    <t>Choque Victor Hugo</t>
  </si>
  <si>
    <t>Jaime Carlos Sabino</t>
  </si>
  <si>
    <t>43.336.105 Prio. 522.037</t>
  </si>
  <si>
    <t>45547568 Prio. 56639</t>
  </si>
  <si>
    <t>Bº La Loma, Posta de Yatasto Nº 1167</t>
  </si>
  <si>
    <t>Bº La Loma Pje. 25 de Febrero Nº 1128</t>
  </si>
  <si>
    <t>Herrera Oscar Felipe / Bauch Carla Romina</t>
  </si>
  <si>
    <t>Robo doblemente agravado por ser cometido en poblado y en banda y por el uso de armas en grado de tentativa</t>
  </si>
  <si>
    <t>10 08 23</t>
  </si>
  <si>
    <t>G01 185240/23 GAR 4</t>
  </si>
  <si>
    <t>Ortuño Gastón (preso alcaidia)</t>
  </si>
  <si>
    <t>Santa Ana I Pje. 9 Casa 252</t>
  </si>
  <si>
    <t xml:space="preserve">Abuso sexual con acceso carnal </t>
  </si>
  <si>
    <t xml:space="preserve">(menor) denunciante Raquel Dalma Araceli </t>
  </si>
  <si>
    <t>DOP 4 dr. Clarck</t>
  </si>
  <si>
    <t>asesoria Nº 4</t>
  </si>
  <si>
    <t xml:space="preserve">No hacer lugar al recurso de apelacion </t>
  </si>
  <si>
    <t>11 08 23</t>
  </si>
  <si>
    <t>Dr. Gonzalo Ramos MP 6693</t>
  </si>
  <si>
    <t xml:space="preserve">Asesoria Nº 2 Dra. Larsen </t>
  </si>
  <si>
    <t>J01 179950/23 SALA 4</t>
  </si>
  <si>
    <t>Pérez Liliana Noemí</t>
  </si>
  <si>
    <t>Bº San Benito Mza 306 A, Lote 02</t>
  </si>
  <si>
    <t>Dra. Salinas Odorisio N 1</t>
  </si>
  <si>
    <t>Tenencia de estupefacientes con fines de comercialización, agravada por la participacion de tres o más personas en forma organizada</t>
  </si>
  <si>
    <t>Dr. Mariano Sánchez MP 5897</t>
  </si>
  <si>
    <t>asesoria Nº 5 Dra. Berni</t>
  </si>
  <si>
    <t>14 08 23</t>
  </si>
  <si>
    <t>JUI 182655/23 JUICIO 7</t>
  </si>
  <si>
    <t>Mza. 18 casa 07 Bº Castañares</t>
  </si>
  <si>
    <t xml:space="preserve">Abuso sexual gravemente ultrajante por las circunstancias de realización y duracion, agravado por la convivencia preexistente y la guarda </t>
  </si>
  <si>
    <t>(menor Luciana Velázquez 16) denunciante Aybar Elena de Las Mercedes</t>
  </si>
  <si>
    <t>(Bco Macro) Federico Rodriguez Spuch 2795 (prov de salta) Pablo Hernán Cuellar Medina 3340</t>
  </si>
  <si>
    <t>Bolívar Joel Alejandro (uc1)</t>
  </si>
  <si>
    <t>Atocha 1 Mza 05 Lote 05</t>
  </si>
  <si>
    <t>Dr. Gustavo Ruiz MP 5754 Dr. Hernan Paz MP 6324</t>
  </si>
  <si>
    <t>asesoria nº 3 Dra. Cardon</t>
  </si>
  <si>
    <t>G01 185384/23 GAR 4</t>
  </si>
  <si>
    <t>Vargas Angel Sebastian</t>
  </si>
  <si>
    <t xml:space="preserve">Pje Alberro 2261 </t>
  </si>
  <si>
    <t>amenazas (dos hechos) amenazas con arma</t>
  </si>
  <si>
    <t>Morales Pamela Marina del Carmen</t>
  </si>
  <si>
    <t>Bº San pablo Mza. 288 Lote 01 (3876372256)</t>
  </si>
  <si>
    <t>G02 170529/23 GAR 4</t>
  </si>
  <si>
    <t>Vilte Gustavo Exequiel</t>
  </si>
  <si>
    <t>Abuso sexual gravemente ultrajante agravado por el vinculo y la convivencia (continuado) en concurso real con abuso sexual con acceso carnal</t>
  </si>
  <si>
    <t xml:space="preserve">Bº 1 Junta Mza 513 B Casa 7 </t>
  </si>
  <si>
    <t>Guadalupe Milagro Vilte (menor)</t>
  </si>
  <si>
    <t>Dr. Emiliano Vasquez MP 6188</t>
  </si>
  <si>
    <t xml:space="preserve">Asesoria Nº 10 Dra. Salatin </t>
  </si>
  <si>
    <t>Dr. Ramos Ossorio 2</t>
  </si>
  <si>
    <t>JUI 176496/22 VISU</t>
  </si>
  <si>
    <t>Osorio Mauricio Exequiel</t>
  </si>
  <si>
    <t>Robo calificado por lesiones</t>
  </si>
  <si>
    <t>G01 185321/23 GAR 4</t>
  </si>
  <si>
    <t>Sergio Luis López</t>
  </si>
  <si>
    <t>Bº Intersindical calle Rio Negro 2840</t>
  </si>
  <si>
    <t>Administracion Fraudulenta</t>
  </si>
  <si>
    <t>Caja de Abogados</t>
  </si>
  <si>
    <t>Lopez Brizzio MP 6458</t>
  </si>
  <si>
    <t>Dr. Anachuri Lazo MP 6336</t>
  </si>
  <si>
    <t>G01 185393/23 gar 4</t>
  </si>
  <si>
    <t>Rivero Mariano Nahuel</t>
  </si>
  <si>
    <t>Bº Circulo 3 Mza. H Casa 18</t>
  </si>
  <si>
    <t>Robo Simple</t>
  </si>
  <si>
    <t>G01 185354/23 GAR 4</t>
  </si>
  <si>
    <t>Quispe Daniel Elias</t>
  </si>
  <si>
    <t>Mza. 21 Lote 24 Bº Virgen del Rosario</t>
  </si>
  <si>
    <t xml:space="preserve">Amenazas y privación ilegítima de la libertad </t>
  </si>
  <si>
    <t>Vilte Martinez Delfina Adaluz</t>
  </si>
  <si>
    <t>Pje. Los Eucaliptus S/N Bº San Silvestre</t>
  </si>
  <si>
    <t>DOP Nº 5 Dra. Carrizo Reyes interina</t>
  </si>
  <si>
    <t>16 08 23</t>
  </si>
  <si>
    <t>Bº Progreso Mza 166 B Casa 15</t>
  </si>
  <si>
    <t>JUI 177022/22 VISU</t>
  </si>
  <si>
    <t>Cayata Ángel Adrián</t>
  </si>
  <si>
    <t>Abuso sexual con acceso carnal, continuado y privación ilegítima de la libertad agravada en concurso real</t>
  </si>
  <si>
    <t>Luna Chauque Guadalupe</t>
  </si>
  <si>
    <t>G02 183557/23 GAR 5</t>
  </si>
  <si>
    <t>Lazarte Nelson Matías Ezequiel</t>
  </si>
  <si>
    <t>Avda. San Martín Nº 3280</t>
  </si>
  <si>
    <t xml:space="preserve">Robo calificado por el uso de arma de fuego  </t>
  </si>
  <si>
    <t xml:space="preserve">Salva Roberto Francisco </t>
  </si>
  <si>
    <t>Bº Santa Ana 3 Mza Q Casa 15</t>
  </si>
  <si>
    <t>G02 184666/23 GAR 2</t>
  </si>
  <si>
    <t>Camargo Beatriz Zulma</t>
  </si>
  <si>
    <t xml:space="preserve">Estafa (dos hechos) y estafa en grado de tentaiva (tres hechos) </t>
  </si>
  <si>
    <t>Fit Car Rental, Low Cost Rent a Car, Fox Rent a Car, Cactus y Rada</t>
  </si>
  <si>
    <t>Dra. Holmquist N 3</t>
  </si>
  <si>
    <t>Unificacion de pena</t>
  </si>
  <si>
    <t>18 08 23</t>
  </si>
  <si>
    <t>17 08 23</t>
  </si>
  <si>
    <t>G01 170301/21</t>
  </si>
  <si>
    <t>Dante Jesús Medina</t>
  </si>
  <si>
    <t>Bº 15 de Septiembre Mza W Lote 10 - Salta</t>
  </si>
  <si>
    <t>Lesiones Agr. Por el genero y por la Relación de Pareja, Amenazas, Desobediencia Judicial, Violación de Domicilio y Daños.</t>
  </si>
  <si>
    <t>Patricia Liliana Mamaní</t>
  </si>
  <si>
    <t xml:space="preserve">Bº 15 de Septiembre Mza I 2 Lote 2  </t>
  </si>
  <si>
    <t>Dr. Lucio Flores Giralt M.P. 3953</t>
  </si>
  <si>
    <t>Fiscalía Penal de Violencia Familiar y de Género Nº 1 - Dra, Claudia Geria</t>
  </si>
  <si>
    <t>Fiscalía de Impugnación Nº 3 Dra. Karina Holmquist</t>
  </si>
  <si>
    <t>G01 185081/23</t>
  </si>
  <si>
    <t>Rodrigo Constantino Solis</t>
  </si>
  <si>
    <t xml:space="preserve">Bº Los Paraisos - Mza 52 Lote 7 </t>
  </si>
  <si>
    <t>Homicilio calificado por la relación de pareja previa, alevosía, ensañamiento y por mediar violencia de género en grado de tentativa</t>
  </si>
  <si>
    <t>Leonor Mercedes Magdalena Vega</t>
  </si>
  <si>
    <t>Bº Convivencia Mza 333 "A", Casa 04</t>
  </si>
  <si>
    <t>Defensoría Oficial Nº 4 - Victor Clark</t>
  </si>
  <si>
    <t>Fiscalía Penal UFEM</t>
  </si>
  <si>
    <t>G02 185056/23</t>
  </si>
  <si>
    <t>Cristian Alejandro Cenardo y Brian Alberto Exequiel Cenardo</t>
  </si>
  <si>
    <t>Cristian Cenardo 39,004,023 y Brian Cenardo 40,155,878</t>
  </si>
  <si>
    <t>Robo calificado</t>
  </si>
  <si>
    <t>G01 184477/23</t>
  </si>
  <si>
    <t>Aroldo Gabriel Karcher Moreno</t>
  </si>
  <si>
    <t>Calle Tristón s/n San Luis - Salta</t>
  </si>
  <si>
    <t>Defensoría Oficial Nº 7 - Dr. Marcelo Di Bez</t>
  </si>
  <si>
    <t>Fiscalía Penal de Violencia Familiar y de Genero Nº 2</t>
  </si>
  <si>
    <t>Fiscalía de Impugnación Nº 2 - Dr. Ramos Ossorio</t>
  </si>
  <si>
    <t>Robo - Desobediencia Judicial - Daños en Concurso Real</t>
  </si>
  <si>
    <t>Erika Balocco</t>
  </si>
  <si>
    <t>Ruta Nacional 51 Km 1 (medio calle Saturno Nº 48)</t>
  </si>
  <si>
    <t xml:space="preserve">DOP Nº 4 Dr. Clark y Dr. Victor Mario Quinteros  </t>
  </si>
  <si>
    <t xml:space="preserve">Dr. Ramos Ossorio 2 </t>
  </si>
  <si>
    <t>24 08 23</t>
  </si>
  <si>
    <t>GAR 185413/23</t>
  </si>
  <si>
    <t>Ronal Mirco Bejarano Paniagua</t>
  </si>
  <si>
    <t>40,002,268</t>
  </si>
  <si>
    <t>Bº 15 de Septiembre Mza Ñ Lote 3 - Salta</t>
  </si>
  <si>
    <t>Amenazas c/Arma</t>
  </si>
  <si>
    <t>Bacilia Llanos Gutierrez</t>
  </si>
  <si>
    <t>93,045,956</t>
  </si>
  <si>
    <t>Defensoría Oficial Nº 6 - Dr. Jaime López Figueroa</t>
  </si>
  <si>
    <t>Fiscalía Penal de Violencia Familiar y de Genero Nº 1</t>
  </si>
  <si>
    <t>Fiscalía de Impugnación Nº 1</t>
  </si>
  <si>
    <t>G01 184721/23</t>
  </si>
  <si>
    <t>33,715,864</t>
  </si>
  <si>
    <t xml:space="preserve">Bladimir Montaño </t>
  </si>
  <si>
    <t>Hurto Calificado</t>
  </si>
  <si>
    <t>Bº El Circulo I Mza "D" Lote 04</t>
  </si>
  <si>
    <t>94,156,709</t>
  </si>
  <si>
    <t>Bº Lavalle Calle Intendente Julio José Paz Casa 145 - Salta Capital</t>
  </si>
  <si>
    <t>Fiscalía Penal Nº3</t>
  </si>
  <si>
    <t>Defensoría Oficial Penal Nº 7 - Dr, Marcelo Di Bez</t>
  </si>
  <si>
    <t>G01 180410/23</t>
  </si>
  <si>
    <t>23,251,368</t>
  </si>
  <si>
    <t>Bº Limache Etapa 5 Mza. 3 Casa 7 - Salta</t>
  </si>
  <si>
    <t>Estafa en grado de Tentativa</t>
  </si>
  <si>
    <t>Walter Guillermo Copa</t>
  </si>
  <si>
    <t>G01 185465/23</t>
  </si>
  <si>
    <t>Roberto Mauricio Quiroga</t>
  </si>
  <si>
    <t>1) Robo 2) Lesiones graves Y Amenazas 3) Amenazas con Armas y Daños en concurso real</t>
  </si>
  <si>
    <t>1) Vanina Macarena Villalba 2) Alfredo Daniel Cruz Barrios 3) Sonia Ayejes</t>
  </si>
  <si>
    <t>41,486,813</t>
  </si>
  <si>
    <t xml:space="preserve">Bº 20 de Junio Francisco Muñiz 330 </t>
  </si>
  <si>
    <t>3) 25,522,610</t>
  </si>
  <si>
    <t>3)</t>
  </si>
  <si>
    <t>29 08 23</t>
  </si>
  <si>
    <t xml:space="preserve">JUI 63951/21 VISU </t>
  </si>
  <si>
    <t>Cruz, Hernán Gonzalo</t>
  </si>
  <si>
    <t>Abuso sexual</t>
  </si>
  <si>
    <t>DOP Nº 2 Orán Dr. Giannoti</t>
  </si>
  <si>
    <t>JUI 169669/23 VISU</t>
  </si>
  <si>
    <t>Paul Hernán Burgos</t>
  </si>
  <si>
    <t>Dr. Facundo Ruiz MP 6324 Dr. Gustavo Ruiz Piazza MP 5754</t>
  </si>
  <si>
    <t>Asesoria Nº 7 Dra. Quinteros</t>
  </si>
  <si>
    <t>01 09 23</t>
  </si>
  <si>
    <t>no hacer lugar al recurso de apelacion - confirma la preventiva</t>
  </si>
  <si>
    <t>G03 155613/18 GAR 4</t>
  </si>
  <si>
    <t>Carlos Adrián Huergo</t>
  </si>
  <si>
    <t>Balcarce Nº 39</t>
  </si>
  <si>
    <t>Estafa</t>
  </si>
  <si>
    <t>Caliva, Cristina del Valle</t>
  </si>
  <si>
    <t>.</t>
  </si>
  <si>
    <t>RESOLUCION VISU</t>
  </si>
  <si>
    <t>30 08 23</t>
  </si>
  <si>
    <r>
      <t xml:space="preserve">Dra. Salinas Odorisio Nº 1 </t>
    </r>
    <r>
      <rPr>
        <b/>
        <u/>
        <sz val="10"/>
        <rFont val="Arial"/>
        <family val="2"/>
      </rPr>
      <t>(demorado en fiscalia desde el 23/08)</t>
    </r>
  </si>
  <si>
    <t>10 22</t>
  </si>
  <si>
    <t>J02 142966/23 SALA 5</t>
  </si>
  <si>
    <t>Benito Valentín Díaz</t>
  </si>
  <si>
    <t>Asesoria Nº 7</t>
  </si>
  <si>
    <t>G01 185441/23 GAR 5</t>
  </si>
  <si>
    <t>Gramajo Cintia Lorena, Vega Fátima, López Daiana Jessica</t>
  </si>
  <si>
    <t>Gramajo: 31.900.441 Vega: 30.035.033 López: 32.115.767</t>
  </si>
  <si>
    <t>Gramajo: Libertad Nº 1510 Bº Victoria, San Miguel de Tucumán Vega: Avda. Roca 2700, San miguel de Tucumán, López: Avda Roca 2800, San Miguel de Tucumán</t>
  </si>
  <si>
    <t>Hurto simple y hurto en grado de tentaiva y asociación ilícita</t>
  </si>
  <si>
    <t>Dr. Escobedo Ramiro MP 7660</t>
  </si>
  <si>
    <t>J01 164721/23 JUICIO 5</t>
  </si>
  <si>
    <t>Salazar Adolfo Isidro  (alcaidia)</t>
  </si>
  <si>
    <t xml:space="preserve">DOP N º 2 Dra. Liliana Linares Morón </t>
  </si>
  <si>
    <t>José Arnaldo Alderete (LIBERTAD)</t>
  </si>
  <si>
    <t>G05183745/23 GAR 6</t>
  </si>
  <si>
    <t>Castilla Daniel Sebastián</t>
  </si>
  <si>
    <t>bº Sanata Ana II mza. 19 casa 14</t>
  </si>
  <si>
    <t>Homicidio agravado por ser cometido en perjuicio de un funcionario de la fuerza policial, por su función cargo o condición, en grado de tentativa</t>
  </si>
  <si>
    <t>Fátima Virgilia Cardozo</t>
  </si>
  <si>
    <t>Dr. Matías Adet Figueroa MP 3410</t>
  </si>
  <si>
    <t>Dr. César Chávez MP 3130</t>
  </si>
  <si>
    <t>31 08 23</t>
  </si>
  <si>
    <t xml:space="preserve">DOP Nº 5 Dra. Carrizo Reyes - Dr. Jerez </t>
  </si>
  <si>
    <t>realizada</t>
  </si>
  <si>
    <t>SE CANCELA AUDIENCIA POR DESESTIMIENTO DE RECURSO DE APELACION PRESENTADO POR EL DR. ORFEO MAGGIO Y SU DEFENDIDA</t>
  </si>
  <si>
    <t xml:space="preserve">DOP Nº 4 Dr. Clark </t>
  </si>
  <si>
    <t>Dr. Ramos Ossorio N 2</t>
  </si>
  <si>
    <t>G01 184453/23 GAR 1</t>
  </si>
  <si>
    <t>Juan Carlos Sacarías</t>
  </si>
  <si>
    <t>Estafa reiteradas y asociacion ilícita en concurso real</t>
  </si>
  <si>
    <t>Missorichi José Ignacio y otros</t>
  </si>
  <si>
    <t>G01 185578/23 GAR 4</t>
  </si>
  <si>
    <t>Cohen Ariel</t>
  </si>
  <si>
    <t>25 de mayo Nº 520</t>
  </si>
  <si>
    <t xml:space="preserve">Lesiones leves por la relación de pareja y desobediencia judicial </t>
  </si>
  <si>
    <t>Hussein Marcela Cristina</t>
  </si>
  <si>
    <t>Dr. Tomás Aranda MP 874 Monzo Facundo 2483</t>
  </si>
  <si>
    <t>Dr. Federico Vanini 4480</t>
  </si>
  <si>
    <t>G01 181937/23 GAR 5</t>
  </si>
  <si>
    <t>Bº Chachapoyas Mza 11 "A" Casa Nº 3</t>
  </si>
  <si>
    <t xml:space="preserve">María Paula Signorelli </t>
  </si>
  <si>
    <t xml:space="preserve">Bº Villa Palacios Block 09 Depto 4 Planta Baja </t>
  </si>
  <si>
    <t>Dr. Rodrigo Barrozo MP 7391 Dra. Oriana Nevora MP 7532</t>
  </si>
  <si>
    <t>Cruz, Leandro Gastón (LIBERTAD)</t>
  </si>
  <si>
    <t>g01 185572/23 GAR 8</t>
  </si>
  <si>
    <t>Gonzalez Vacaflores, Rene</t>
  </si>
  <si>
    <t xml:space="preserve">Abuso sexual gravemente ultrajante por su duración y por las circunstancias de su realización agravado por la guarda y la convivencia </t>
  </si>
  <si>
    <t>Jimena Raquel Reyes en representacion de su hijo menor</t>
  </si>
  <si>
    <t xml:space="preserve">asesoria de incapaces Nº 2 </t>
  </si>
  <si>
    <t>387 4510192</t>
  </si>
  <si>
    <t>Asesoría de Incapaces Nº 5</t>
  </si>
  <si>
    <t>06 09 23</t>
  </si>
  <si>
    <t>G01 185397/23 GAR 4</t>
  </si>
  <si>
    <t>Soruco Armando Pedro</t>
  </si>
  <si>
    <t>Villa Lavalle Mza  38 B Lote 10 a la vuelta de la comisaría</t>
  </si>
  <si>
    <t>Lesiones leves y desobediencia judicial</t>
  </si>
  <si>
    <t xml:space="preserve">Gomez Cinthia Mailen </t>
  </si>
  <si>
    <t>Calle Coronel Moldes Nº 1348 Villa Chartas</t>
  </si>
  <si>
    <t>DOP Nº 5</t>
  </si>
  <si>
    <t>Dr. Juan Diego Herrera MP 3615</t>
  </si>
  <si>
    <t xml:space="preserve">07/09/2023 VUELVE Dr. Ramos Ossorio </t>
  </si>
  <si>
    <t>Lesiones leves agravadas por la relación de pareja y de género</t>
  </si>
  <si>
    <t xml:space="preserve">Almazan Norma Adela </t>
  </si>
  <si>
    <r>
      <t xml:space="preserve">SE SUSPENDE AUDIENCIA POR INCOMPARECENCIA DEL IMPUTADO EN LIBERTAD - </t>
    </r>
    <r>
      <rPr>
        <b/>
        <u/>
        <sz val="10"/>
        <rFont val="Arial"/>
        <family val="2"/>
      </rPr>
      <t xml:space="preserve">Esperando el informe policial </t>
    </r>
  </si>
  <si>
    <t>08 09 23</t>
  </si>
  <si>
    <t xml:space="preserve">08 09 23 </t>
  </si>
  <si>
    <t>G01 183924/23 GAR 7</t>
  </si>
  <si>
    <t xml:space="preserve">Abdala José Gustavo </t>
  </si>
  <si>
    <t>Hurto simple, abigeato y amenazas con arma de fuego</t>
  </si>
  <si>
    <t xml:space="preserve">Biberos Diego y Abdo Alberto Jesús </t>
  </si>
  <si>
    <t>G04 183063/23 GAR 4</t>
  </si>
  <si>
    <t>Abrebanel, Marcos Adrián</t>
  </si>
  <si>
    <t>Abuso sexual con acceso carnal, abuso sexual simple (vontinuado) en concurso real con abuso sexual con acceso carnal</t>
  </si>
  <si>
    <t>Luana Belén Ávalos</t>
  </si>
  <si>
    <t>Agustin Solá Garrido</t>
  </si>
  <si>
    <t xml:space="preserve">Dr. Oscar Alejandro Romani MP 2338 Dr. Guillermo Alberto 4363 </t>
  </si>
  <si>
    <t>G01 185504/23 GAR 5</t>
  </si>
  <si>
    <t xml:space="preserve">Flores Walter Jesús </t>
  </si>
  <si>
    <t xml:space="preserve">Mza. 250 E Lote 3 Bº San Francisco Solano </t>
  </si>
  <si>
    <t>Abuso sexual simple</t>
  </si>
  <si>
    <t xml:space="preserve">Rueda Agustina Florencia(menor ) Denunciante Rueda Gloria del Carmen </t>
  </si>
  <si>
    <t>SE REMITE A FISCALÍA 05/09/2023 Fiscalía de Impugnación Nº 3 Vía telefonica</t>
  </si>
  <si>
    <t>Bº San Francisco Solano Mza 250 E Casa 03</t>
  </si>
  <si>
    <t>20985325 (denunciante)</t>
  </si>
  <si>
    <t>Dr. Emiliano Vazquez MP 6188</t>
  </si>
  <si>
    <t>G01 185014/23 GAR 3</t>
  </si>
  <si>
    <t>Sulca Oscar Román</t>
  </si>
  <si>
    <t>Mza. 434 A Lote 8 Bº Solidaridad</t>
  </si>
  <si>
    <t>Lesiones Leves agravadas por el uso de arma de fuego y abuso de armas, todo en concurso ideal</t>
  </si>
  <si>
    <t>Marta del Valle Córdoba (denunciante)</t>
  </si>
  <si>
    <t>Siglo XXI Mza. 350 B Lote 14</t>
  </si>
  <si>
    <t>Dr. Daniel Alejandro Arnedo  MP 5427</t>
  </si>
  <si>
    <t>Gonzáles José Luis María (LIBERTAD)</t>
  </si>
  <si>
    <t>SE REMITE A FISCALÍA 05/09/2023 Dra. Salinas Odorisio Nº 1 08/09/2023/ SE REMITE A MESA PUPILAR 11/09</t>
  </si>
  <si>
    <t>Dr. Ramos Ossorio Nº 2 Vía telefónica</t>
  </si>
  <si>
    <t>Dra. Salinas Odorisio Nº 1 Vía Telefónica</t>
  </si>
  <si>
    <t>11 09 23</t>
  </si>
  <si>
    <t>Dra. Salinas Odorisio N 1 12/09/2023 se remite a mesa pupilar</t>
  </si>
  <si>
    <t>No hacer lugar al recurso de apelación presentado por la defensa.</t>
  </si>
  <si>
    <t>12 09 23</t>
  </si>
  <si>
    <t>G02 43395/23 GAR 1 METÁN</t>
  </si>
  <si>
    <t>Escobar José Alberto</t>
  </si>
  <si>
    <t>Bº Ramón Abdala Mza. 27 Lote 20, calle Tartagal de la ciudad de Rosario de la Fromtera</t>
  </si>
  <si>
    <t>Robo agravado, robo simple todo en concurso real</t>
  </si>
  <si>
    <t>Bonifacio Martínez y Yovana Beatriz Huerga</t>
  </si>
  <si>
    <t>Dr. Aníbal A. Paz MP 6652</t>
  </si>
  <si>
    <t>Asesoría de Incapaces 9</t>
  </si>
  <si>
    <t>G01 185683/23  GAR 6</t>
  </si>
  <si>
    <t>Martínez : 37.777.488 Farfán: 36.280.432</t>
  </si>
  <si>
    <t>Extorsión</t>
  </si>
  <si>
    <t>Ramón José Anuch</t>
  </si>
  <si>
    <t>Martínez : 12 de cotubre 2327 Farfán :12 de octubre 2327</t>
  </si>
  <si>
    <t>mesa distribuidora laboral</t>
  </si>
  <si>
    <t>DOP Nº 9</t>
  </si>
  <si>
    <r>
      <t xml:space="preserve">Martínez Romina Belén y Fernanda Melina Farfán </t>
    </r>
    <r>
      <rPr>
        <b/>
        <sz val="10"/>
        <rFont val="Arial"/>
        <family val="2"/>
      </rPr>
      <t>(alcaidía)</t>
    </r>
  </si>
  <si>
    <t>G01 44365/23 GAR 2 METÁN</t>
  </si>
  <si>
    <t>Romano José Luis</t>
  </si>
  <si>
    <t>Peatonal E Casa 52 Bº Marco Avellaneda</t>
  </si>
  <si>
    <t>Bernis Hugo Marcelo</t>
  </si>
  <si>
    <t>Jujuy Oeste Nº 485 (3876416153)</t>
  </si>
  <si>
    <t>DOP Nº 2 Metán Dr. Edgardo José Martínez</t>
  </si>
  <si>
    <r>
      <t xml:space="preserve">Dra. Holmquist 3 12/09/2023 </t>
    </r>
    <r>
      <rPr>
        <b/>
        <sz val="10"/>
        <rFont val="Arial"/>
        <family val="2"/>
      </rPr>
      <t xml:space="preserve">SE REMITE A MESA PUPILAR - 19/09 HABLE CON LA DRA MACÍAS DE ASESORÍA Nº 2 09:06 PARA AGILIZAR TRÁMITE </t>
    </r>
  </si>
  <si>
    <t>20 09 23</t>
  </si>
  <si>
    <t>J02 161887/23 JUICIO 7</t>
  </si>
  <si>
    <t>Morales Alejandro Alberto Exequiel</t>
  </si>
  <si>
    <t>Mendonza 3330 Barrio San Silvestre</t>
  </si>
  <si>
    <t>Abuso sexual gravemente ultrajante agravado por la situación de convivencia preexistente con menor de 18 años</t>
  </si>
  <si>
    <t>Denunciante Morales María José (victima Leila Esmeralda Vargas)</t>
  </si>
  <si>
    <t>Dr. Carlos Adrián Atea MP 3652</t>
  </si>
  <si>
    <t>Dr. Fidel Ahuerma MP 6358</t>
  </si>
  <si>
    <t xml:space="preserve">No hacer lugar al recurso de apelación </t>
  </si>
  <si>
    <t>21 09 23</t>
  </si>
  <si>
    <t>OFICINA JUDICIAL DE GESTION DE JUICIOS DE GARANTÍAS -   AÑO 2023</t>
  </si>
  <si>
    <t>Resultados según GÉNERO</t>
  </si>
  <si>
    <t>Cantidad</t>
  </si>
  <si>
    <t>Resultado</t>
  </si>
  <si>
    <t>TOTAL</t>
  </si>
  <si>
    <t>Resultados según ESPECIE</t>
  </si>
  <si>
    <t>OBSERVACIONES</t>
  </si>
  <si>
    <t xml:space="preserve">Se suspende audiencia del 06/09 por incomparecencia del imputado </t>
  </si>
  <si>
    <t xml:space="preserve">Hacer lugar al desestimiento del recurso fiscal </t>
  </si>
  <si>
    <t>G01 11957/23 GAR CAFAYATE</t>
  </si>
  <si>
    <t>Retamozo: 37.189.691 López: 42.554.083</t>
  </si>
  <si>
    <t>Francisco Antonio Retamozo y  Santiago Andrés López (detenidos en cria. 1 de la UR 6 cafayate)</t>
  </si>
  <si>
    <t>Robo</t>
  </si>
  <si>
    <t xml:space="preserve">Rodrigo S. Vazquez Defensor Oficial de Cafayate </t>
  </si>
  <si>
    <t xml:space="preserve">Ostengo Raúl Horacio </t>
  </si>
  <si>
    <t>No hacer lugar lugar al recurso de apelación - confirma prisión preventiva</t>
  </si>
  <si>
    <t>Rechaza Recurso de Apelación Fiscal - Confirma Libertad</t>
  </si>
  <si>
    <t>No hacer lugar al Recurso de Apelación  - Confirma Preventiva</t>
  </si>
  <si>
    <t>No hacer lugar al Recurso de Apelación - Confirma Preventiva</t>
  </si>
  <si>
    <t>No hacer lugar al recurso de apelación - confirma prisión preventiva</t>
  </si>
  <si>
    <t>No hacer lugar al Recurso de Apelación - confirma preventiva</t>
  </si>
  <si>
    <t>Hacer lugar lugar al recurso de apelación - libertad</t>
  </si>
  <si>
    <t>Hacer lugar al recurso de apelación -  libertad</t>
  </si>
  <si>
    <t>Hacer lugar al recurso de apelación - ordenar el arresto domiciliario</t>
  </si>
  <si>
    <t>Hacer lugar al Recurso de Apelación - libertad</t>
  </si>
  <si>
    <t>Hacer lugar al recurso de apelacion -  libertad</t>
  </si>
  <si>
    <t>No hacer lugar al recurso de apelación - confirmar preventiva</t>
  </si>
  <si>
    <t>No hacer lugar al recurso de apelación- confirmar preventiva</t>
  </si>
  <si>
    <t>No hacer lugar al recurso de apelación- confirma prisión preventiva</t>
  </si>
  <si>
    <t>No hacer lugar al recurso de apelación - confirma preventiva</t>
  </si>
  <si>
    <t>No hacer lugar al Recurso de Apelación -  Confirma Preventiva</t>
  </si>
  <si>
    <t xml:space="preserve"> Hacer lugar al recurso de apelacion - ordenar el arresto domiciliario </t>
  </si>
  <si>
    <t>Se suspende audiencia por haberse fijado audiencia de visu en el exp pricipal para el día 04 08 23</t>
  </si>
  <si>
    <t>Recurso abstracto</t>
  </si>
  <si>
    <t>Audiencia del 25/08 suspendida por presentar el imputado nuevo defesnor</t>
  </si>
  <si>
    <t>Desestimiento de recurso de la defensa</t>
  </si>
  <si>
    <t>Hacer lugar parcialmente al recurso de apelación - dispone el arresto domiciliario</t>
  </si>
  <si>
    <t>Hacer lugar al recurso de apelación fiscal - ordena la prisión preventiva</t>
  </si>
  <si>
    <t xml:space="preserve">Hacer lugar al recurso de apelación -  disponer arresto domiciliario </t>
  </si>
  <si>
    <t xml:space="preserve">Hacer lugar al recurso de apelación - disponer el arresto domiciliario </t>
  </si>
  <si>
    <t>No hacer lugar al Recurso de Apelación Fiscal - Mantener el arresto domiciliario</t>
  </si>
  <si>
    <t>Se suspende la audiencia por ser abstracto el recurso al haberse planteado un abreviado en primera instancia</t>
  </si>
  <si>
    <t>No hacer lugar al recurso de apelacion- confirma  preventiva</t>
  </si>
  <si>
    <t xml:space="preserve"> hacer lugar parcialmente al recurso de apelacion fiscal - confirma el arresto domiciliario </t>
  </si>
  <si>
    <t>No hacer lugar al recurso de apelación- confirma preventiva</t>
  </si>
  <si>
    <t xml:space="preserve">Audiencia 17/08 suspendida por presentación de nuevo defensor </t>
  </si>
  <si>
    <t>pendiente</t>
  </si>
  <si>
    <t xml:space="preserve">Hacer lugar parcialmente al recurso de apelacion , mantener la prision preventiva por 30 días </t>
  </si>
  <si>
    <t xml:space="preserve">Dr. Ramón Miranda </t>
  </si>
  <si>
    <t>Hacer lugar parcialmente al recurso de apelación - mantener prisión preventiva por 30 días</t>
  </si>
  <si>
    <t>Audiencia 27/07 suspendida por imposibilidad de comparecencia de la DOP reemplazante de la Dra. Carrizo - Audiencia reprogramada para el mismo día 12:30</t>
  </si>
  <si>
    <t xml:space="preserve"> Hacer lugar al recurso de apelación - libertad</t>
  </si>
  <si>
    <t>Se suspende audiencia 03 /08 con escrito del Dr. Maggio</t>
  </si>
  <si>
    <t>Hacer  lugar parcialmente al recurso de apelación- ordena el arresto domiciliario</t>
  </si>
  <si>
    <t>No hacer lugar al recurso de apelacion - confirma prisión preventiva</t>
  </si>
  <si>
    <t xml:space="preserve">No hacer lugar al recurso de apelacion - confirma prision preventiva </t>
  </si>
  <si>
    <t xml:space="preserve">Recurso inadmisible </t>
  </si>
  <si>
    <t xml:space="preserve">No hacer lugar al recurso de apelación - confirma preventiva </t>
  </si>
  <si>
    <t>No hacer lugar al recurso de apelación- confirma la prisión preventiva</t>
  </si>
  <si>
    <t>G03 185529/23 GAR 5</t>
  </si>
  <si>
    <t xml:space="preserve">Tenencia de estupefacientes con fines de comercialización </t>
  </si>
  <si>
    <t>Dr. Romás Burgos MP 6963 y Dr. Josue Díaz Cueto MP 5832</t>
  </si>
  <si>
    <t>Dr. Ramos ossorio Nº 2</t>
  </si>
  <si>
    <t>G01 184521/23 GAR 1</t>
  </si>
  <si>
    <t>Julio César Gutierrez</t>
  </si>
  <si>
    <t>Estafas reiteradas (8 hechos) y falsificación de instrumento público (2 hechos)</t>
  </si>
  <si>
    <t xml:space="preserve">Romina Gabriela Portela , Francisca Narz, Lucrecia Paola Mamaní, María Eugenia Dimarco, María Rosa del Pilar Polo, Juan Ignacio Mastrandea, Edgardo Martín Castillo, Sergio Hilario López, </t>
  </si>
  <si>
    <t>Dra. Luciana Andolfi MP 5714</t>
  </si>
  <si>
    <t>JUI 179055/23 JUICIO 1</t>
  </si>
  <si>
    <t>Córdoba, Marcelo Omar (arresto domiciliario)</t>
  </si>
  <si>
    <t>Anzoategui Nº 245 Depto. 3 F</t>
  </si>
  <si>
    <t xml:space="preserve">Abuso sexual con acceso carnal, amenzas y desobediencia judicial, en concurso real y abuso sexual simple </t>
  </si>
  <si>
    <t>Santillán Liliana Beatriz y Caludia Roxana</t>
  </si>
  <si>
    <t>Santillán: 24.072.726</t>
  </si>
  <si>
    <t>Dr. Pablo del Pino MP 4443</t>
  </si>
  <si>
    <t>Dra. Sandra Domene MP 5308</t>
  </si>
  <si>
    <t>Hacer lugar al recurso de apelación - libertad</t>
  </si>
  <si>
    <t>22 09 23</t>
  </si>
  <si>
    <t>G01 185318/23 GAR 4</t>
  </si>
  <si>
    <t>Carlos del Castillo Nº 610 Bº El Rosedal</t>
  </si>
  <si>
    <t xml:space="preserve">Lesiones agravadas </t>
  </si>
  <si>
    <t>Choqueticla Villca Norka</t>
  </si>
  <si>
    <t>Dr. Guillermo Ismael Ale MP 6690</t>
  </si>
  <si>
    <t>Calle Carlos del Castillo Nº 610 Bº El Rosedal (38755846009</t>
  </si>
  <si>
    <t>Edwin Lenis Calani (ALCAIDÍA)</t>
  </si>
  <si>
    <t>G03 183924/23 GAR 7</t>
  </si>
  <si>
    <t xml:space="preserve">Bº 15 de septiembre manzana U, casa Nº 02 </t>
  </si>
  <si>
    <t>Abigeato y amenazas con arma de fuego</t>
  </si>
  <si>
    <t>Dra. Patricia Roxana Guaimas MP 2498</t>
  </si>
  <si>
    <t>Coraite Javier (alcaidia)</t>
  </si>
  <si>
    <t xml:space="preserve">Dr. Belbruno </t>
  </si>
  <si>
    <t>ASESORÍA Nº 3 DRA. Cardon</t>
  </si>
  <si>
    <t>G01 185866/23 GAR 7</t>
  </si>
  <si>
    <t>Dario Facundo Sandoval (LIBERTAD)</t>
  </si>
  <si>
    <t xml:space="preserve">Lesiones leves agravadas por la relación de pareja preexistente y de géneto (dos hechos); amenazas con arma y amenazas </t>
  </si>
  <si>
    <t>Toledo Figueroa Irene Judith</t>
  </si>
  <si>
    <t>Bº Limache etapa 6 mza 4 casa 19</t>
  </si>
  <si>
    <t>Bº Limache Etapa 6 mza 4 Casa 19 (3874580191)</t>
  </si>
  <si>
    <t>Dr. Luis César Fernández MP 4087</t>
  </si>
  <si>
    <t xml:space="preserve"> _</t>
  </si>
  <si>
    <t>CAUSA CON PRESO (SI/NO)</t>
  </si>
  <si>
    <t>ESTADISTICA - ESPECIE</t>
  </si>
  <si>
    <t>ESTADISTICA GENERO</t>
  </si>
  <si>
    <t>genero 1</t>
  </si>
  <si>
    <t>especie 1</t>
  </si>
  <si>
    <t>Se resuelve por escrito</t>
  </si>
  <si>
    <t>Se suspende audiencia del día 21/09 por pedido de la asesora de incapaces/ Se suspende audiencia del 28/09 por imposibilidad de comparecer del abogado defensor</t>
  </si>
  <si>
    <t xml:space="preserve">Stengurt Federico Andrés </t>
  </si>
  <si>
    <t xml:space="preserve">Stengurt: 39.361.835 </t>
  </si>
  <si>
    <t>SI</t>
  </si>
  <si>
    <t>Defensoría de Violencia Nº 2</t>
  </si>
  <si>
    <t>G04 182052/23 GAR 5</t>
  </si>
  <si>
    <t xml:space="preserve">Declarar abstacto el recurso de apelación </t>
  </si>
  <si>
    <t xml:space="preserve">Robo calificado por ser cometido en poblado y en banda y tentativa de robo en poblado y en banda </t>
  </si>
  <si>
    <t>1 Jorge Alfredo Llaya Candioti 2  Ana Inés María Segón de Lahitte 3 Raquel Barrionuevo Merlani 4 Natalia Barón</t>
  </si>
  <si>
    <t xml:space="preserve"> 1 Llaya: Bº Tipal Calle Tacuin Nº 81 2Segón : Bº Tipal Calle Pioneros 358 3 Barrionuevo : Bº El Tipal Calle Los ceibalitos Nº 276 4 Barón: Bº El Tipal Calle La viña Nº 179</t>
  </si>
  <si>
    <t>Dr. Ignacio Ruben Felitti MP 5555</t>
  </si>
  <si>
    <t>NO</t>
  </si>
  <si>
    <t xml:space="preserve">bº Palmares La isla Segunda Etapa Mza. 7 Casa 51 Cerrillos </t>
  </si>
  <si>
    <t>G04 183924/23 GAR 7</t>
  </si>
  <si>
    <t>Billalba Juan Carlos (alcaidía)</t>
  </si>
  <si>
    <t>Dr. Orfeo Maggio MP 2265</t>
  </si>
  <si>
    <r>
      <t xml:space="preserve">Pide reporgramación de audiencia  22/09  la sra. Asesora de incapaces / Se suspende audiencia por incomparecencia del Abogado defensor / </t>
    </r>
    <r>
      <rPr>
        <b/>
        <sz val="10"/>
        <rFont val="Arial"/>
        <family val="2"/>
      </rPr>
      <t>Se resuelve por escrito</t>
    </r>
  </si>
  <si>
    <t>G01 185868/23 GAR 6</t>
  </si>
  <si>
    <t>Albornoz José María (ALCAIDÍA)</t>
  </si>
  <si>
    <t>Bº San Isidro Mza. C Casa 12 Cerrillos</t>
  </si>
  <si>
    <t>Rios Mirta Lidia (denunciante)</t>
  </si>
  <si>
    <t>Mza E Lote 07 Bº MM  de Güemes (3875923392)</t>
  </si>
  <si>
    <t>Asesoria 10 Dra. Salatín</t>
  </si>
  <si>
    <t>No hacer lugar al Rec. planteado por Fiscalía - Mantener Libertad</t>
  </si>
  <si>
    <t>Recursos Denegados</t>
  </si>
  <si>
    <t>Hacer lugar al Rec. planteado por Fiscalía - Preso</t>
  </si>
  <si>
    <t>Recursos donde se hizo lugar</t>
  </si>
  <si>
    <t>No hacer lugar al Rec. planteado por la Defensa - Mantener Preso</t>
  </si>
  <si>
    <t>Hacer lugar al Rec. planteado por la Defensa - Libertad</t>
  </si>
  <si>
    <t>No hacer lugar al Rec. planteado por la Asesoría - Mantener Libertad.</t>
  </si>
  <si>
    <t>Hacer lugar al Rec. planteado por la Asesoría  - Preso</t>
  </si>
  <si>
    <t>No hacer lugar al Rec. planteado por la Querella - Mantener la Libertad</t>
  </si>
  <si>
    <t>Hacer lugar al Rec. planteado por la Querella - Preso</t>
  </si>
  <si>
    <t>Hacer lugar parcialmente al Rec. planteado por Fiscalía</t>
  </si>
  <si>
    <t>Hacer lugar parcialmente al Rec. planteado por la Defensa</t>
  </si>
  <si>
    <t>Hacer lugar parcialmente al Rec. planteado por la Asesoría</t>
  </si>
  <si>
    <t>Hacer lugar parcialmente al Rec. planteado por la Querella</t>
  </si>
  <si>
    <t>Se rechaza Rec. planteado por Fiscalía - Mantener la Libertad</t>
  </si>
  <si>
    <t>Recursos rechazados</t>
  </si>
  <si>
    <t>Se rechaza Rec. planteado por la Defensa - Mantener Preso</t>
  </si>
  <si>
    <t>Se rechaza Rec. planteado por la Asesoría - Mantener la Libertad</t>
  </si>
  <si>
    <t>Se rechaza Rec. planteado por la Querella - Mantener la Libertad</t>
  </si>
  <si>
    <t>Desestimiento del Rec. planteado por la Fiscalía</t>
  </si>
  <si>
    <t>Desestimientos de Recursos</t>
  </si>
  <si>
    <t>Desestimiento del Rec. planteado por la Defensa</t>
  </si>
  <si>
    <t>Desestimiento del Rec. planteado por la Asesoría</t>
  </si>
  <si>
    <t>Desestimiento del Rec. planteado por la Querella</t>
  </si>
  <si>
    <t>Recurso Inadmisible</t>
  </si>
  <si>
    <t>Recursos Inadmisibles</t>
  </si>
  <si>
    <t>Audiencia de Visu</t>
  </si>
  <si>
    <t>Audiencias de Visu</t>
  </si>
  <si>
    <t>Recurso Abstracto</t>
  </si>
  <si>
    <t>Recursos Abstractos</t>
  </si>
  <si>
    <t>Otros  Especificar en Observaciones</t>
  </si>
  <si>
    <t xml:space="preserve">Otros </t>
  </si>
  <si>
    <t>Sustituír prisión prevetiva por arresto domiciliario</t>
  </si>
  <si>
    <t xml:space="preserve">Con medidas sustitutivas </t>
  </si>
  <si>
    <t xml:space="preserve">Audiencia fijada para el 19/07, reprogramada por incomparecencia de la defensa / Mantiene la prisión preventiva </t>
  </si>
  <si>
    <t>Con fecha tope de subsistencia de prisión preventiva por 50 días</t>
  </si>
  <si>
    <t xml:space="preserve">Declara abstacto el recurso planteado por la Fiscalía - Mantiene prisión preventiva </t>
  </si>
  <si>
    <t xml:space="preserve">Revoca prisión preventiva con medidas sustitutivas </t>
  </si>
  <si>
    <r>
      <t xml:space="preserve">  - </t>
    </r>
    <r>
      <rPr>
        <b/>
        <sz val="10"/>
        <rFont val="Arial"/>
        <family val="2"/>
      </rPr>
      <t>NO HACER LUGAR A LA APELACION FISCAL, CONFIRMA LA LIBERTAD</t>
    </r>
  </si>
  <si>
    <t>Fija plazo de 70 días para la duración de la medida de coerción recurrida</t>
  </si>
  <si>
    <t>Se inhibe Dr. Martini pasa a voto del Vocal Nº 3 / se suspende audiencia del 21/09 por pedido del asesor de incapacez / Se exorta alñ misnisterio publico fiscal para que adopte los recaudos necesarios para mayor agilidad y tramitación de la causa</t>
  </si>
  <si>
    <t>Sobreseimiento con medida de seguridad de carácter definitivo</t>
  </si>
  <si>
    <t>G01 184234/23 SALA 2</t>
  </si>
  <si>
    <t>Se dispone un plazo de 60 días para el mantenimiento de la prisión preventiva</t>
  </si>
  <si>
    <t>Con arresto domiciliario y medidas sustitutivas</t>
  </si>
  <si>
    <t>Audiencia 11/08 suspendida por lic extraordinaria por fallecimiento de familiar del Vocal / No se hace lugar a recursos de Fiscalía y Querella</t>
  </si>
  <si>
    <t>Confirma prisión preventiva</t>
  </si>
  <si>
    <t>Confirmar el plazo de prisión preventiva de 30 días corridos, recomendar mientras tanto que el Ministeri Público cumpla con los actos procesales pendientes</t>
  </si>
  <si>
    <t>Hacer lugar al Rec. planteado por la Defensa</t>
  </si>
  <si>
    <t>Confirmar el auto de fs. 46/47 y vta.</t>
  </si>
  <si>
    <t>Confirmar la prisión preventiva, recomendar al Juzgado de Garantías la revisión de la prisión preventiva en un plazo de 30 días.</t>
  </si>
  <si>
    <t>Confirmar la prisión preventiva</t>
  </si>
  <si>
    <t>Retifica la denegatoria de arresto domiciliario confirmando resolución</t>
  </si>
  <si>
    <t>Ordenar el monto de caucion real a lo que se añade el arresto domiciliario, dejar subsistente las medidas sustitutivas. No hacer lugar al recurso de la querella</t>
  </si>
  <si>
    <t>Recomienda a los operadores intervinientes avance la causa frente a su menor complejidad. Encomendar al Juz. de Gar. La revisación médica del imputado</t>
  </si>
  <si>
    <t>Revocar auto resolutivo de fecha 07/08/23 y disponer la prisión preventiva</t>
  </si>
  <si>
    <t>Hacer lugar al recurso de apelación planteado por la defensa</t>
  </si>
  <si>
    <t xml:space="preserve">Sustituír la prisión preventiva y disponer el arresto domiciliario. </t>
  </si>
  <si>
    <t>Exortar a los operadores judiciales que otorguen la mayor celeridad posible para el avance a instancias definitiva</t>
  </si>
  <si>
    <t>Confirmar la Resolución dictado por el Juz. de Gar. 3. Rechazar la restituciión de objetos secuestrados</t>
  </si>
  <si>
    <t>Confirmar la resolucón del Juzg. De Gar. 3.</t>
  </si>
  <si>
    <t>Declarar la nulidad de acta de fecha 19/05/23. Mantener la libertad del imputado Tabarcache bajo consigna policial. Mantener vigentes las condiciones impuestas</t>
  </si>
  <si>
    <t>No hacer lugar al Rec. Planteado por la Fiscalía - Mantener arresto dom</t>
  </si>
  <si>
    <t>Recursos denegados - Mantiene arresto domiciliario</t>
  </si>
  <si>
    <t>Preso con UADME. Confirmar la medida sustitutiva de arresto domiciliario</t>
  </si>
  <si>
    <t>Confirmar prisión preventiva</t>
  </si>
  <si>
    <t>Confirma la prisión preventiva. Fija un plazo de 5 meses desde la fecha de la medida cautelar</t>
  </si>
  <si>
    <t>Confirma Resolución dej Juz. de Gar. 56 y mantener la prisión preventiva</t>
  </si>
  <si>
    <t>Suspendida el 28/07 con ecsrito del Dr. Maggio / Suspendida el 01/08 con escrito del Dr. Maggio - Se suspende audiencia por imposibilidad de comparecer del Sr. Fiscal / Confirmar la prisión preventiva, recomendar al Juez interviniente requerir informe del Servicio Médico previo a resolver lo instado</t>
  </si>
  <si>
    <t>Con UADME . Modificar la medida de consigna policial dispuesta en el punto 3 de la resolución puesta en crisis.</t>
  </si>
  <si>
    <t>Disponer el término de 3 meses para que se revalúe la situación cautelar del imptado</t>
  </si>
  <si>
    <t>Mantener la prisión preventiva por 30 días. Recomendar al Juz. de Gar. Que durante ese tiempo se evalúa la posibilidad de implementación de UADME.</t>
  </si>
  <si>
    <t>Continúe alojado en servicio penitenciario Alcaidía General. Recomendar que sea trasladado en el menor tiempo posible a la UC1</t>
  </si>
  <si>
    <t>Confirmar la Resolución , líbrese oficio para extremar recaudos de proveer medicación y asistencia médica</t>
  </si>
  <si>
    <t xml:space="preserve">Arresto domiciliario con UADME </t>
  </si>
  <si>
    <t>Volvio a ingresar otro incidente luego de audiencia y se declaro abstarcto el nuevo recurso - Disponer que continue la prisión preventiva por 30 días a contar desde la audiencia para que el Ministerio Publico priorice las medidas pendientes</t>
  </si>
  <si>
    <t>Confirmar la resolución de fs. 61/84</t>
  </si>
  <si>
    <t>No ha lugar al arresto domiciliario.</t>
  </si>
  <si>
    <t>Imponer Medidas Sustitutivas.</t>
  </si>
  <si>
    <t xml:space="preserve">Dsiponer arresto domiciliario, prohibición de mantener contacto con la víctima. Ordena tratamiento psicologico. </t>
  </si>
  <si>
    <t>Audiencia Suspendida</t>
  </si>
  <si>
    <t>Audiencias Suspendidas</t>
  </si>
  <si>
    <t>Establece domicilio. Prohibición de acercarse bajo apercibimiento de revocar libertad dispuesta.</t>
  </si>
  <si>
    <t>La defensa podrá peticionar al juez de grado una vez corroboradas las cauciones ofrecidas.</t>
  </si>
  <si>
    <t>Se suspende audiencia 04/08 por pedido de la asesora de incapaces. Se concede arresto domicilario con debido control policial diario. Efectivizar la sustitución por Juzgado de origen.</t>
  </si>
  <si>
    <t>No hacer lugar al pedido de Medidas Sustitutivas y Domiciliario. Inadmisible.</t>
  </si>
  <si>
    <t>j06 170681/23 juicio 4</t>
  </si>
  <si>
    <t>Confirmar la resolución del Tribunal de Juicio Sala IV. Recomendar la realización de interconsulta en Hospital San Bernardo</t>
  </si>
  <si>
    <t xml:space="preserve">Confirmar la resolución del Tribunal de Juicio Sala IV. </t>
  </si>
  <si>
    <t xml:space="preserve">Rechaza el planteo de Inconstitucionalidad. </t>
  </si>
  <si>
    <t>No hacer lugar al recurso de apelación.</t>
  </si>
  <si>
    <t>OFICINA JUDICIAL DE IMPUGNACION    -   AÑO 2023</t>
  </si>
  <si>
    <t>Chiappero Jorge Daniel</t>
  </si>
  <si>
    <t>FECHA DE AUDIENCIA</t>
  </si>
  <si>
    <t>G01 186059/23 GAR 7</t>
  </si>
  <si>
    <t>Balmaceda Yanina Antonella Zulema</t>
  </si>
  <si>
    <t>Amenazas</t>
  </si>
  <si>
    <t>María de Los Ángeles Manuel</t>
  </si>
  <si>
    <t>Bº Centro Calle Alem Nº 570 (3874689870)</t>
  </si>
  <si>
    <t>Dr. Santiago Pedroza MP 2318</t>
  </si>
  <si>
    <t>Bº 22 Viviendas Mz. F Casa 8 Gral. Güemes (3886630039)</t>
  </si>
  <si>
    <t>No hacer lugar al recurso de apelación . Confrima preventiva</t>
  </si>
  <si>
    <t>G01 179515/23 GAR 4</t>
  </si>
  <si>
    <t>Ricardo René González (arresto domiciliario UADME)</t>
  </si>
  <si>
    <t>Juan Quesada Nº 112 de Bº Ciudad del Milagro</t>
  </si>
  <si>
    <t xml:space="preserve">Abuso sexual con acceso carnal agravado por el vínculo, guarda y convivencia </t>
  </si>
  <si>
    <t>Dr. Francisco Herrera MP 906</t>
  </si>
  <si>
    <t>J02 167380/23 JUICIO 4</t>
  </si>
  <si>
    <t>Víctor José Díaz (alcaidía)</t>
  </si>
  <si>
    <t>Bº 17 de Mayo, Mza. 914 c, Casa 2</t>
  </si>
  <si>
    <t>Abuso sexual gravemente ultrajante por las circunstancias de reaclización</t>
  </si>
  <si>
    <t>Mamaní Cristina Elizabeth</t>
  </si>
  <si>
    <t>Dr. Rodrigo Daniel Palazzo MP 3477</t>
  </si>
  <si>
    <t>G01 185872/23 GAR 7</t>
  </si>
  <si>
    <t>Emanuel Alejandro Mamaní y Rodrigo Fabián Flores</t>
  </si>
  <si>
    <t>Mamaní : 35.783.262 Flores: 35.783.262</t>
  </si>
  <si>
    <t xml:space="preserve">Robo calificado por el uso de arma </t>
  </si>
  <si>
    <t>Torres Leo Fernando Javier</t>
  </si>
  <si>
    <t>Bº Santa Victoria Calle San Luis Nº 2268 (3872244645)</t>
  </si>
  <si>
    <t>Dr. Roberto Reyes MP 641</t>
  </si>
  <si>
    <t>G02 178356/23 GAR 7</t>
  </si>
  <si>
    <t>Campero Olarte Omar (alcaidía)</t>
  </si>
  <si>
    <t>Pje. Ruiz de Los Llanos Nº 1219 1º Piso</t>
  </si>
  <si>
    <t>Abuso sexual simple y abuso sexual con acceso carnal</t>
  </si>
  <si>
    <t>Marmol Silvia Susana</t>
  </si>
  <si>
    <t>Necochea 2171</t>
  </si>
  <si>
    <t>Cinthia Vanesa Elias MP 3141</t>
  </si>
  <si>
    <t>Def. De violencia Nº 1 Dra. Chirife</t>
  </si>
  <si>
    <t>Declarar abstacto el recurso de apelación  Fiscal</t>
  </si>
  <si>
    <t>J02 161478/23 JUICIO 7</t>
  </si>
  <si>
    <t xml:space="preserve">Arresto domiciliario con uadme BORRADOR </t>
  </si>
  <si>
    <t xml:space="preserve">Recurso abstracto </t>
  </si>
  <si>
    <t>14,551,050</t>
  </si>
  <si>
    <t>Sárate Walter Hugo (alcaidia)</t>
  </si>
  <si>
    <t xml:space="preserve">Tito ambas : Av. Perón Mza. 01, lote 01 Bº Santa Ana I </t>
  </si>
  <si>
    <t>Milagros Antonella Burgos, Denise Ailén Burgos, Marta Estella Tito, Maricel Ester Tito</t>
  </si>
  <si>
    <t>DR. Ortín MP 4457</t>
  </si>
  <si>
    <t>Dra. Nadal MP 6425 Y Dr. Romero 5432</t>
  </si>
  <si>
    <t>JUI 11852/23 JUICIO 1</t>
  </si>
  <si>
    <t xml:space="preserve">Carlos Daniel Cutipa </t>
  </si>
  <si>
    <t>Calle Gral. Paz Casa Nº 19</t>
  </si>
  <si>
    <t>Rios Godoy Huilen Del Rosario</t>
  </si>
  <si>
    <t xml:space="preserve">Bº Los Módulos Nº 121 A </t>
  </si>
  <si>
    <t>G01 44474/23 GAR 1 METÁN</t>
  </si>
  <si>
    <t xml:space="preserve">Díaz Fernando Marcelo </t>
  </si>
  <si>
    <t xml:space="preserve">Alvarado Casa 102 - Bº Santa Ana de Rosario de la Frontera </t>
  </si>
  <si>
    <t>Amenazas, daños y perjuicios</t>
  </si>
  <si>
    <t>Guzamán Pablo Adolfo</t>
  </si>
  <si>
    <t>Bº Ex Prviipo Mza. 88 Casa 24 (3876444839)</t>
  </si>
  <si>
    <t>DOP Nº 1 Metán Dr. Colque</t>
  </si>
  <si>
    <t>J02 177011/22 JUICIO SALA 2</t>
  </si>
  <si>
    <t>Anibal Aygusto Zambrano</t>
  </si>
  <si>
    <t>Mza 910 lote 4 del Bº 17 de mayo</t>
  </si>
  <si>
    <t>Dr. Agustín Solá Garrido MP 3136</t>
  </si>
  <si>
    <t>G02 183884/23 GAR 6</t>
  </si>
  <si>
    <t xml:space="preserve">Se suspende audiencia del 06/10 por pedido del abogado defensor / Se mantiene el arresto domiciliario </t>
  </si>
  <si>
    <t>Castillo Santiago Rubén (alcaidía)</t>
  </si>
  <si>
    <t>Abuso sexual con acceso carnal y corrupción de menores</t>
  </si>
  <si>
    <t>Pizarro Bonilla María Alicia (denunciante) victima Mamaní María de los Ángeles (vítima menor)</t>
  </si>
  <si>
    <t>Pizarro: 31.545.770 Mamaní: 50.475.415</t>
  </si>
  <si>
    <t>Saavedra 1450 (3872115262)</t>
  </si>
  <si>
    <t>Dr. Marcelo Pío Castellani MP 1765)</t>
  </si>
  <si>
    <t xml:space="preserve">Asesoría Nº 10 Dra. Salatín </t>
  </si>
  <si>
    <t>Dr. Ramiro Ramos Ossorio Nº 2</t>
  </si>
  <si>
    <t>G05 183924/23 GAR 7</t>
  </si>
  <si>
    <t>Medina Luis Simón(alcaidía)</t>
  </si>
  <si>
    <t xml:space="preserve">Hacer lugar parcialmente al Recurso de Apelación - Ordenar el arresto domicliario </t>
  </si>
  <si>
    <t xml:space="preserve">El Juzgado de origen debe efectivizar el arresto domiciliario, supeditado con factibilidad UADME </t>
  </si>
  <si>
    <t>Dr. Victor Esteban Alarcón MP 3844</t>
  </si>
  <si>
    <t>G04 181232/23 GAR 2</t>
  </si>
  <si>
    <t xml:space="preserve">Noelia Maribel Milagros </t>
  </si>
  <si>
    <t>Estafas reiteradas en concurso real</t>
  </si>
  <si>
    <t>G02 184466/23 GAR 1</t>
  </si>
  <si>
    <t xml:space="preserve">Dávalos Rosa Angélica </t>
  </si>
  <si>
    <t>Juan Ambroseti Nº 1745</t>
  </si>
  <si>
    <t>Hernán Facundo Paz MP 6324 Gustavo Ruiz Piazza MP 5754</t>
  </si>
  <si>
    <t>Hacer lugar al recurso de apelación</t>
  </si>
  <si>
    <t>Disponer el arresto domiciliario bajo modalidad UADME</t>
  </si>
  <si>
    <t>No hacer lugar al recurso - Confirmar prisión Preventiva</t>
  </si>
  <si>
    <t>Mantener la prisión preventiva por 30 días, cumplido ese lapso sustituír por prisión domiiciliaria</t>
  </si>
  <si>
    <t>Hacer lugar parcialmente al recurso de apelación</t>
  </si>
  <si>
    <t>Tener por desistido el recurso de apelación interpuesto por la defensa</t>
  </si>
  <si>
    <t>Arresto domiciliario</t>
  </si>
  <si>
    <t>J04 165008/23 JUICIO 5</t>
  </si>
  <si>
    <t>Pje. Fernando Solá Nº 2982 Vº Primavera</t>
  </si>
  <si>
    <t>menor</t>
  </si>
  <si>
    <t>G01 186499/23 GAR 1</t>
  </si>
  <si>
    <t>Gerardo Nicolás Luna</t>
  </si>
  <si>
    <t>Intimidación Pública, atentado a la autoridad agravado, portación de armas y amenazas</t>
  </si>
  <si>
    <t>Bº La Paz Mza 423 B Lote 27</t>
  </si>
  <si>
    <t>28/07/2023 - 10:00 (primera) Sustituir Prisión Preventiva por arresto domiciliario con control policial y medidas sustitutivas. Recomendar al Juzgado de Garantías 4 viabilice el control de la medida dispuesta con UADME. Disponer el termino de 4 meses como duración del arresto domiciliario.</t>
  </si>
  <si>
    <t xml:space="preserve">28/04/2023 - 10:00 (primera) Revoca prisión preventiva </t>
  </si>
  <si>
    <t>G01 186083/23 GAR 7</t>
  </si>
  <si>
    <t>Sánchez Mario Fernandez y Bumalén Edgar Antonio</t>
  </si>
  <si>
    <t>Sánchez: 30.446.672 Bumalén: 33.264.510</t>
  </si>
  <si>
    <t>Robo y Hurto con Escalamiento</t>
  </si>
  <si>
    <t xml:space="preserve">Mendizabal Fermín Alberto </t>
  </si>
  <si>
    <t>Bº San Remo Calle Mar de Bering Nº 1150 (3874816792)</t>
  </si>
  <si>
    <t>DOP Nº 12 Dra. González</t>
  </si>
  <si>
    <t xml:space="preserve">Dr. Ramos Ossorio </t>
  </si>
  <si>
    <t xml:space="preserve">Sánchez: Bº San Silvestre, calle Reyes de España Mza. 102 Casa 04 Bumalén: Bº Limache Casa 3 Depto 09 </t>
  </si>
  <si>
    <t>G01 44555/23 GAR 1 METÁN</t>
  </si>
  <si>
    <t>Garnica Santiago Matías</t>
  </si>
  <si>
    <t>Calle Figuroa Alcorta S/N de la ciudad de Rosario de la Frontera</t>
  </si>
  <si>
    <t>Desobediencia Judicial, robo en grado de tentativa, robo amenazas con armas</t>
  </si>
  <si>
    <t>Azani Mauro Daniel</t>
  </si>
  <si>
    <t xml:space="preserve">(387-6470959) Bº Loteos de Brito </t>
  </si>
  <si>
    <t>DOP Nº 1 MetánDr. Colque</t>
  </si>
  <si>
    <t>G01 184581/23 GAR 1</t>
  </si>
  <si>
    <t xml:space="preserve">Ángel Oscar Gabriel </t>
  </si>
  <si>
    <t>Abuso sexual gravemente ultrajante agravado por el vínculo y abuso sexual con acceso carnal agravado por el vínculo</t>
  </si>
  <si>
    <t>Nidia del Valle Maizares (denunciante)</t>
  </si>
  <si>
    <t>Bº Nueva Esperanza Mza. 24 Lote Nº 5 (3876121174)</t>
  </si>
  <si>
    <t>Dr. Martín D' Andrea MP 5875</t>
  </si>
  <si>
    <t>G99 177048/23 GAR 3</t>
  </si>
  <si>
    <t xml:space="preserve">1 Correa Zulma Yanina Joana 2 Moya Cintia </t>
  </si>
  <si>
    <t xml:space="preserve">1 Correa: 37.189.928 2 Moya: 33.753.025 3 </t>
  </si>
  <si>
    <t>Estafas reiteradas, falsedad de instrumento privado, asociacion iliícita, peculado, abuso de autoridad, violación de secreto y encubrimiento por favorecimiento personal, todo en concurso real</t>
  </si>
  <si>
    <t>Dr. Ovejero MP 3917 (Correa) Dr. Díaz Zabalaga MP 4432 (Moya)</t>
  </si>
  <si>
    <t>G01 186449/23 GAR 1</t>
  </si>
  <si>
    <t>Oganeku Amdrés Alejandro</t>
  </si>
  <si>
    <t>Vargas Jhony</t>
  </si>
  <si>
    <t>Bº Scalabrini Ortiz Mza 274 Casa 14 (3872149499)</t>
  </si>
  <si>
    <t>DOP Nº 15 Dr. Bonetto</t>
  </si>
  <si>
    <t>Vº Lavalle Calle Carlos Outes Nº 269</t>
  </si>
  <si>
    <t>No hacer lugar al Recurso de Apelación</t>
  </si>
  <si>
    <t xml:space="preserve">Confirma la detención </t>
  </si>
  <si>
    <t>Miguel Nicolás Salva</t>
  </si>
  <si>
    <t>G01 186166/23 GAR 8</t>
  </si>
  <si>
    <t>Raúl Ramón Feliciano Méndez</t>
  </si>
  <si>
    <t>Finca La Granja, parake el Huaico Localidad San Agustín</t>
  </si>
  <si>
    <t>Lesiones leves agravadas por la relación de apreja preexistente y por mediar violencia y amenazas</t>
  </si>
  <si>
    <t>Mariana Castillos</t>
  </si>
  <si>
    <t>DOP. Nº 12 Dra. González</t>
  </si>
  <si>
    <t>Finca La granja - Paraje el Huaico Localidad de San Agustín  (3875765207)</t>
  </si>
  <si>
    <t xml:space="preserve">Dr. D' Andrea </t>
  </si>
  <si>
    <t>Disponer que continue la prisión preventiva por 30 días a partir de la audiencia, cumplizo ese plazo reemplazar por arresto domiciliario</t>
  </si>
  <si>
    <t>Recurso inadminisble</t>
  </si>
  <si>
    <t>No hacer lugar al recurso de apelación presentado por la defensa</t>
  </si>
  <si>
    <t>Hacer lugar al recurso de apelacion</t>
  </si>
  <si>
    <t>Se resulve por escrito</t>
  </si>
  <si>
    <t>Imputada en libertad desde el 04/10/2023</t>
  </si>
  <si>
    <t xml:space="preserve">No hacer lugar al recurso </t>
  </si>
  <si>
    <t>No hacer lugar al recurso presentado por la defensa</t>
  </si>
  <si>
    <t>No hacer lugar al recurso interpuesto por la defensa</t>
  </si>
  <si>
    <t>No hacer lugar a los recursos de apelación planteados por la fisclía y los abogados defensores</t>
  </si>
  <si>
    <t xml:space="preserve">hacer lugar al recurso de apelación </t>
  </si>
  <si>
    <t>JUI 171031/22 VISU</t>
  </si>
  <si>
    <t>JUI 64139/21 VISU</t>
  </si>
  <si>
    <t>JUI 65702/22 VISU</t>
  </si>
  <si>
    <t>JUI 63944/21 VISU</t>
  </si>
  <si>
    <t>JUI 124386/21 VISU</t>
  </si>
  <si>
    <t>Recomendar al Juzgado de origen que al realizar audiencias con el imputado, constantes con la efectiva notificacion y la defensa técnica / Desde 27/09 en despacho de secretaría Vocal 1</t>
  </si>
  <si>
    <t>No hacer lugar al recurso de apelacion</t>
  </si>
  <si>
    <t>No hacer lugar al recurso de apelacion fiscal</t>
  </si>
  <si>
    <t>JUI 183332/23 JUICIO 5</t>
  </si>
  <si>
    <t>Rodríguez Cristian Josué</t>
  </si>
  <si>
    <t>Bº La Tradición Mza 384 A Lote 8</t>
  </si>
  <si>
    <t>Abuso sexual con acceso carnal continuado (dos hechos) todo en concurso real</t>
  </si>
  <si>
    <t>Denunciantes : Gareca Melisa Micaela y Sánchez Natalia Elizabeth (víctimas menores)</t>
  </si>
  <si>
    <t>Gareca:  36.759.505 Sánchez: 38.646.150</t>
  </si>
  <si>
    <t>Gareca: Bº Leopoldo Lugones Nº 333 A Lote 8 Sánchez: Los Tiatines Nº 160 Bº Tres Cerritos</t>
  </si>
  <si>
    <t>Dra. Gabriela Córdoba Gavenda MP 4481</t>
  </si>
  <si>
    <t>G01 183889/23 GAR 7</t>
  </si>
  <si>
    <t>Fernández Cristian Fabián</t>
  </si>
  <si>
    <t xml:space="preserve">Calle Los Gladiolos S/N de esta ciudad </t>
  </si>
  <si>
    <t>Abuso sexual simple agravado por la situación de convivencia preexistente con menos de 18 años, en concurso real con acceso carnal agravado por la situación de convivencia con menor de 18 años (dos hechos) todo en concurso real</t>
  </si>
  <si>
    <t>Sofía Danina Fernández (menor) Constanzo Rita de Los Ángeles (denunciante)</t>
  </si>
  <si>
    <t>Bº 17 de octubre mza. 421 B lote 12 (3875723315)</t>
  </si>
  <si>
    <t xml:space="preserve">Def. de Violencia de Género Nº 1 Dra. Chirife </t>
  </si>
  <si>
    <t>JUI 169453/22 VISU</t>
  </si>
  <si>
    <t>Cardoso Daniel Alberto</t>
  </si>
  <si>
    <t>Lesiones leves agravadas por la relación de apreja preexistente y por mediar violencia y amenazas todo en concurso real</t>
  </si>
  <si>
    <t>Aville Rivera Alejandra Noelia</t>
  </si>
  <si>
    <t>JUI 182187/23 VISU</t>
  </si>
  <si>
    <t xml:space="preserve">Oliver Diego Wilson </t>
  </si>
  <si>
    <t>Desobediencia judicial (dos hechos) lesiones leves agravadas por la relación de pareja previa y por el género, agresión con rmas agravado, amenazas, robo simple, privación ilegítima de la libertad agravada, atentado y resistencia a la autoridad, evasión y quebramiento y amenazas</t>
  </si>
  <si>
    <t>Gonzáles Sandra Nazarena</t>
  </si>
  <si>
    <t>DOP Nº 10 Dra. Bohuid</t>
  </si>
  <si>
    <t>G06 182236/23 GAR 1</t>
  </si>
  <si>
    <t>Daniela del Carmen Di Primo</t>
  </si>
  <si>
    <t>Avda. Felipe Varela Nº 598 Bº Santa Cecilia</t>
  </si>
  <si>
    <t>Comercialización de estupefacientes agravada por la participación organizada y por cometerse en un lugar de detención</t>
  </si>
  <si>
    <t>Asesoría Nº 3 Dra. Cardón</t>
  </si>
  <si>
    <t>Dr. Holmquist N 3</t>
  </si>
  <si>
    <t>G01 186401/23 GAR 1</t>
  </si>
  <si>
    <t>Gaspar Jesús Eloy  (alcaidía)</t>
  </si>
  <si>
    <t>Bº La Fama calle Ciudad de Rosario Nº 1625</t>
  </si>
  <si>
    <t>Lesiones y privación ilegítima de la libertad en concurso real</t>
  </si>
  <si>
    <t>Pamela Susana Guardia</t>
  </si>
  <si>
    <t>Bº Escalabrini Ortiz Mar de Japón Mza. L Casa 11 83875219608)</t>
  </si>
  <si>
    <t>Dr. Tomás Burgos MP 6963</t>
  </si>
  <si>
    <t>Dra. Solórzano</t>
  </si>
  <si>
    <t>JUI163125/20 VISU</t>
  </si>
  <si>
    <t>Hoyos Jairo Matías Natanoel</t>
  </si>
  <si>
    <t>Homicidio simple en grado de Tentativa., lesiones leves y amenazas todo en concurso real</t>
  </si>
  <si>
    <t xml:space="preserve">Tarifa Mauro , Tarifa Diego, Guedilla </t>
  </si>
  <si>
    <t>Dr. Finelli MP741</t>
  </si>
  <si>
    <t>G02 43917/23 GAR 2 METÁN</t>
  </si>
  <si>
    <t>Godoy Braian y Cuellas Braian</t>
  </si>
  <si>
    <t>Cuellar: 40.155.449 Godoy: 45.111.860</t>
  </si>
  <si>
    <t>Cuellar: Bº Sanata Ana calle Figueroa Alcorta s/n de la ciudad de Rosario de la Frontera Godoy: Bº San Antonio Calle Avellaneda y Mitre de Ciudad de Rosario de la Frontera</t>
  </si>
  <si>
    <t>Robo calificado por el uso de armas, amenazas, abuso de armas, en concurso real, amenazas con armas</t>
  </si>
  <si>
    <t>1 Saravia Mónica Raquel 2 Córdoba Dominga Margarita 3 Álvarez Blanca Magdalena 4 Godoy Brian Ariel, 5 Machuca Milagros Ailen</t>
  </si>
  <si>
    <t xml:space="preserve">DOP Nº 2 Dr. Martínez </t>
  </si>
  <si>
    <t>Se remite a fiscalía 07/11/2023</t>
  </si>
  <si>
    <t xml:space="preserve">Audiencia primera parte el 06/11 </t>
  </si>
  <si>
    <t>Asesoria 6</t>
  </si>
  <si>
    <t>Se devuelve expediente de fiscalía 7/11/2023</t>
  </si>
  <si>
    <t xml:space="preserve">Hacer lugar al recurso de apelación - libertad </t>
  </si>
  <si>
    <t>Hacer lugar al recurso de apelación - arresto domiciliario</t>
  </si>
  <si>
    <t xml:space="preserve">Arresto domiciliario supeditado a factibilidad UADME </t>
  </si>
  <si>
    <t>G01 183119/23 GAR 8</t>
  </si>
  <si>
    <t>Dr. D' Andrea MP 5875</t>
  </si>
  <si>
    <t>Súarez Sergio Ricardo</t>
  </si>
  <si>
    <t>Avda. Chile. Nº 63 Localidad de Campo Quijano</t>
  </si>
  <si>
    <t xml:space="preserve">Caterina Cruz </t>
  </si>
  <si>
    <t>No hacer lugar al recurso presentado por la fiscalia</t>
  </si>
  <si>
    <t>Dr. Ramón Medina interino</t>
  </si>
  <si>
    <t>J09 182808/23 JUICIO 7</t>
  </si>
  <si>
    <t>Riccio Mario Alberto</t>
  </si>
  <si>
    <t xml:space="preserve">Bº Los Olmos lote 49 Localidad de cerrillos </t>
  </si>
  <si>
    <t>Estafas reiteradas (35 hechos) y coacción  (1 hecho) todo en conruso real</t>
  </si>
  <si>
    <t>1 Visgarra MP 6355 2 Vivero MP 6906 3 Crescini MP 5621 4 Sánchez MP 5846 5 Guatan MP 4183 actori civil Ulivarri MP 2114</t>
  </si>
  <si>
    <t xml:space="preserve">CON ARRESTO DOMICILIARIO UADME </t>
  </si>
  <si>
    <t xml:space="preserve">AUDIENCIA SUSPENDIDA POR LLEGADA TARDE DEL ABOGADO DEFENSOR </t>
  </si>
  <si>
    <t>JUI 62203/20 VISU</t>
  </si>
  <si>
    <t>Abán Cristian Alfredo</t>
  </si>
  <si>
    <t>Dr. Leiva MP 7176</t>
  </si>
  <si>
    <t>Dr. Ortin Fernandez MP 4457</t>
  </si>
  <si>
    <t>Devolución me sa pupilar 07/11/2023/ Se suspende audiencia del día 10/11 por designación de nuevo abogado defensor</t>
  </si>
  <si>
    <t>G01 186448/23 GAR 1</t>
  </si>
  <si>
    <t>Yasser Amir Yarad y Silva Pablo Alejandro</t>
  </si>
  <si>
    <t>Yasser: 39.784.043 Silva: 42.605.948</t>
  </si>
  <si>
    <t xml:space="preserve">Yasser: Mza 19 Lote 2 Vº Lola de la Silleta Silva: Pje 18 Casa 7836 Bº Santa Ana I </t>
  </si>
  <si>
    <t>Robo calificado en poblado y en banda</t>
  </si>
  <si>
    <t>Diez Juarez Luis Sebastián</t>
  </si>
  <si>
    <t>Silva: DOP Nº 16 Dra. Carrizo Reyes Yasser: DOP Nº 15 Dra. Marcela Robles (i)</t>
  </si>
  <si>
    <t>SE REMITE A FISCALÍA EL DÍA 10/11/2023</t>
  </si>
  <si>
    <t>G01 186747/23 GAR 2</t>
  </si>
  <si>
    <t>Diego Ramiro Camacho Famoso</t>
  </si>
  <si>
    <t>Famoso María del Valle</t>
  </si>
  <si>
    <t>56.042.25</t>
  </si>
  <si>
    <t>Pje. Astigueta 654 (3874563270)</t>
  </si>
  <si>
    <t>situacion de calle</t>
  </si>
  <si>
    <t>Desobediencia judicial (dos hechos) hurto agravado con escalamiento y violación de domicilio (dos hechos) en concurso real</t>
  </si>
  <si>
    <t>DOP Nº 17</t>
  </si>
  <si>
    <t>Apelacion Fiscal</t>
  </si>
  <si>
    <t>J02 171653/23 JUICIO 5</t>
  </si>
  <si>
    <t>Resuelve: Rechazar Recurso de Apelación interpuesto por la Defensa. Mantiene Prisión Preventiva.</t>
  </si>
  <si>
    <t>Sánchez Federico Ariel</t>
  </si>
  <si>
    <t>Bº Tres Cerritos calle Los Avellanos 320</t>
  </si>
  <si>
    <t>Abuso sexualcon acceso carnal</t>
  </si>
  <si>
    <t>1 Palomo Gabriela 2 Montaldi Ana Valentina 3 Lopez Yaique Rocio</t>
  </si>
  <si>
    <t>Dr- Nieva Haro 5276</t>
  </si>
  <si>
    <t>Hacer lugar al recurso de apelación interpuesto por la defensa</t>
  </si>
  <si>
    <t>G10 183745/323 GAR 6</t>
  </si>
  <si>
    <t xml:space="preserve">Cardozo Fátima </t>
  </si>
  <si>
    <t>Dr. Adet Figueroa MP 3410</t>
  </si>
  <si>
    <t>Dr. Chavez MP 3130</t>
  </si>
</sst>
</file>

<file path=xl/styles.xml><?xml version="1.0" encoding="utf-8"?>
<styleSheet xmlns="http://schemas.openxmlformats.org/spreadsheetml/2006/main">
  <numFmts count="1">
    <numFmt numFmtId="164" formatCode="dd/mm/yyyy;@"/>
  </numFmts>
  <fonts count="37">
    <font>
      <sz val="10"/>
      <name val="Arial"/>
    </font>
    <font>
      <sz val="8"/>
      <name val="Arial"/>
      <family val="2"/>
    </font>
    <font>
      <sz val="10"/>
      <name val="Arial"/>
      <family val="2"/>
    </font>
    <font>
      <sz val="11"/>
      <name val="Calibri"/>
      <family val="2"/>
    </font>
    <font>
      <b/>
      <sz val="10"/>
      <name val="Arial"/>
      <family val="2"/>
    </font>
    <font>
      <b/>
      <sz val="12"/>
      <name val="Arial"/>
      <family val="2"/>
    </font>
    <font>
      <b/>
      <sz val="16"/>
      <name val="Arial"/>
      <family val="2"/>
    </font>
    <font>
      <b/>
      <sz val="8"/>
      <name val="Arial"/>
      <family val="2"/>
    </font>
    <font>
      <sz val="10"/>
      <color rgb="FFFF0000"/>
      <name val="Arial"/>
      <family val="2"/>
    </font>
    <font>
      <b/>
      <sz val="10"/>
      <color theme="1"/>
      <name val="Arial"/>
      <family val="2"/>
    </font>
    <font>
      <sz val="11"/>
      <color rgb="FF006100"/>
      <name val="Calibri"/>
      <family val="2"/>
      <scheme val="minor"/>
    </font>
    <font>
      <sz val="11"/>
      <name val="Calibri"/>
      <family val="2"/>
      <scheme val="minor"/>
    </font>
    <font>
      <b/>
      <sz val="11"/>
      <name val="Calibri"/>
      <family val="2"/>
      <scheme val="minor"/>
    </font>
    <font>
      <b/>
      <u/>
      <sz val="10"/>
      <name val="Arial"/>
      <family val="2"/>
    </font>
    <font>
      <sz val="9"/>
      <name val="Arial"/>
      <family val="2"/>
    </font>
    <font>
      <b/>
      <sz val="10"/>
      <color rgb="FF800000"/>
      <name val="Arial"/>
      <family val="2"/>
    </font>
    <font>
      <b/>
      <sz val="10"/>
      <color rgb="FFFF00FF"/>
      <name val="Arial"/>
      <family val="2"/>
    </font>
    <font>
      <sz val="10"/>
      <color theme="0"/>
      <name val="Arial"/>
      <family val="2"/>
    </font>
    <font>
      <b/>
      <sz val="14"/>
      <name val="Arial"/>
      <family val="2"/>
    </font>
    <font>
      <b/>
      <sz val="20"/>
      <name val="Arial"/>
      <family val="2"/>
    </font>
    <font>
      <sz val="14"/>
      <name val="Arial"/>
      <family val="2"/>
    </font>
    <font>
      <u/>
      <sz val="10"/>
      <name val="Arial"/>
      <family val="2"/>
    </font>
    <font>
      <sz val="12"/>
      <name val="Arial"/>
      <family val="2"/>
    </font>
    <font>
      <b/>
      <sz val="10"/>
      <color rgb="FFFF8080"/>
      <name val="Arial"/>
      <family val="2"/>
    </font>
    <font>
      <b/>
      <sz val="10"/>
      <color rgb="FF3366FF"/>
      <name val="Arial"/>
      <family val="2"/>
    </font>
    <font>
      <b/>
      <sz val="20"/>
      <color theme="0"/>
      <name val="Arial Rounded MT Bold"/>
      <family val="2"/>
    </font>
    <font>
      <b/>
      <sz val="11"/>
      <name val="Arial"/>
      <family val="2"/>
    </font>
    <font>
      <b/>
      <sz val="7"/>
      <color rgb="FFFF0000"/>
      <name val="Arial"/>
      <family val="2"/>
    </font>
    <font>
      <b/>
      <sz val="7"/>
      <color rgb="FF339966"/>
      <name val="Arial"/>
      <family val="2"/>
    </font>
    <font>
      <b/>
      <sz val="7"/>
      <color rgb="FF993366"/>
      <name val="Arial"/>
      <family val="2"/>
    </font>
    <font>
      <b/>
      <sz val="7"/>
      <color rgb="FF0000FF"/>
      <name val="Arial"/>
      <family val="2"/>
    </font>
    <font>
      <b/>
      <sz val="8"/>
      <color rgb="FF000080"/>
      <name val="Arial"/>
      <family val="2"/>
    </font>
    <font>
      <b/>
      <sz val="7"/>
      <color rgb="FF008080"/>
      <name val="Arial"/>
      <family val="2"/>
    </font>
    <font>
      <b/>
      <sz val="7"/>
      <color rgb="FFFF00FF"/>
      <name val="Arial"/>
      <family val="2"/>
    </font>
    <font>
      <b/>
      <sz val="7"/>
      <color rgb="FFFF6600"/>
      <name val="Arial"/>
      <family val="2"/>
    </font>
    <font>
      <b/>
      <sz val="10"/>
      <color rgb="FF008000"/>
      <name val="Arial"/>
      <family val="2"/>
    </font>
    <font>
      <b/>
      <sz val="10"/>
      <color rgb="FF000000"/>
      <name val="Arial"/>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6EFCE"/>
      </patternFill>
    </fill>
    <fill>
      <patternFill patternType="solid">
        <fgColor rgb="FFFF0000"/>
        <bgColor indexed="64"/>
      </patternFill>
    </fill>
    <fill>
      <patternFill patternType="solid">
        <fgColor rgb="FF00B050"/>
        <bgColor indexed="64"/>
      </patternFill>
    </fill>
    <fill>
      <patternFill patternType="solid">
        <fgColor rgb="FFFFFF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auto="1"/>
      </right>
      <top/>
      <bottom/>
      <diagonal/>
    </border>
    <border>
      <left/>
      <right style="thin">
        <color auto="1"/>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0" fillId="6" borderId="0" applyNumberFormat="0" applyBorder="0" applyAlignment="0" applyProtection="0"/>
    <xf numFmtId="0" fontId="2" fillId="0" borderId="0"/>
  </cellStyleXfs>
  <cellXfs count="239">
    <xf numFmtId="0" fontId="0" fillId="0" borderId="0" xfId="0"/>
    <xf numFmtId="0" fontId="0" fillId="0" borderId="0" xfId="0" applyNumberFormat="1" applyAlignment="1">
      <alignment horizontal="center" vertical="center" wrapText="1"/>
    </xf>
    <xf numFmtId="164" fontId="0" fillId="0" borderId="0" xfId="0" applyNumberFormat="1" applyAlignment="1">
      <alignment horizontal="center" vertical="center" wrapText="1"/>
    </xf>
    <xf numFmtId="0" fontId="0" fillId="0" borderId="0" xfId="0" applyFill="1"/>
    <xf numFmtId="0" fontId="0" fillId="0" borderId="0" xfId="0" applyNumberFormat="1" applyFill="1" applyAlignment="1">
      <alignment horizontal="center" vertical="center" wrapText="1"/>
    </xf>
    <xf numFmtId="0" fontId="0" fillId="0" borderId="1" xfId="0" applyNumberFormat="1" applyFill="1" applyBorder="1" applyAlignment="1">
      <alignment horizontal="center" vertical="center" wrapText="1"/>
    </xf>
    <xf numFmtId="0" fontId="2" fillId="0" borderId="1" xfId="0" applyNumberFormat="1" applyFont="1" applyFill="1" applyBorder="1" applyAlignment="1">
      <alignment horizontal="center" vertical="center" wrapText="1"/>
    </xf>
    <xf numFmtId="0" fontId="0" fillId="0" borderId="0" xfId="0" applyNumberFormat="1" applyBorder="1" applyAlignment="1">
      <alignment horizontal="center" vertical="center" wrapText="1"/>
    </xf>
    <xf numFmtId="0" fontId="2" fillId="0" borderId="0" xfId="0" applyNumberFormat="1" applyFont="1" applyFill="1" applyBorder="1" applyAlignment="1">
      <alignment horizontal="center" vertical="center" wrapText="1"/>
    </xf>
    <xf numFmtId="0" fontId="2" fillId="0" borderId="0" xfId="0" applyNumberFormat="1" applyFont="1" applyBorder="1" applyAlignment="1">
      <alignment horizontal="center" vertical="center" wrapText="1"/>
    </xf>
    <xf numFmtId="0" fontId="2" fillId="0" borderId="0" xfId="0" applyNumberFormat="1"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0" borderId="1" xfId="0" applyFont="1" applyFill="1" applyBorder="1" applyAlignment="1">
      <alignment horizontal="center" vertical="center"/>
    </xf>
    <xf numFmtId="0" fontId="4" fillId="4" borderId="1" xfId="0" applyFont="1" applyFill="1" applyBorder="1" applyAlignment="1">
      <alignment horizontal="center" vertical="center"/>
    </xf>
    <xf numFmtId="0" fontId="0" fillId="0" borderId="0" xfId="0" applyNumberFormat="1" applyFill="1" applyBorder="1" applyAlignment="1">
      <alignment horizontal="left" vertical="center" wrapText="1"/>
    </xf>
    <xf numFmtId="0" fontId="2" fillId="0" borderId="0" xfId="0" applyNumberFormat="1" applyFont="1" applyFill="1" applyBorder="1" applyAlignment="1">
      <alignment horizontal="left" vertical="center" wrapText="1"/>
    </xf>
    <xf numFmtId="0" fontId="0" fillId="0" borderId="0" xfId="0" applyAlignment="1">
      <alignment horizontal="left"/>
    </xf>
    <xf numFmtId="0" fontId="2" fillId="0" borderId="0" xfId="0" applyFont="1" applyAlignment="1">
      <alignment horizontal="left"/>
    </xf>
    <xf numFmtId="0" fontId="6" fillId="0" borderId="0" xfId="0" applyFont="1"/>
    <xf numFmtId="164" fontId="6" fillId="0" borderId="0" xfId="0" applyNumberFormat="1" applyFont="1" applyAlignment="1">
      <alignment horizontal="center"/>
    </xf>
    <xf numFmtId="0" fontId="0" fillId="0" borderId="0" xfId="0" applyNumberFormat="1" applyFill="1" applyBorder="1" applyAlignment="1">
      <alignment horizontal="center" vertical="center" wrapText="1"/>
    </xf>
    <xf numFmtId="0" fontId="2" fillId="0" borderId="0" xfId="0" applyNumberFormat="1" applyFont="1" applyFill="1" applyAlignment="1">
      <alignment horizontal="center" vertical="center" wrapText="1"/>
    </xf>
    <xf numFmtId="0" fontId="2" fillId="2" borderId="0" xfId="0" applyNumberFormat="1" applyFont="1" applyFill="1" applyAlignment="1">
      <alignment horizontal="center" vertical="center" wrapText="1"/>
    </xf>
    <xf numFmtId="0" fontId="4" fillId="3" borderId="1" xfId="0" applyFont="1" applyFill="1" applyBorder="1" applyAlignment="1">
      <alignment horizontal="center" vertical="center"/>
    </xf>
    <xf numFmtId="0" fontId="5" fillId="3" borderId="1" xfId="0" applyFont="1" applyFill="1" applyBorder="1" applyAlignment="1">
      <alignment vertical="center"/>
    </xf>
    <xf numFmtId="0" fontId="0" fillId="2" borderId="0" xfId="0" applyFill="1"/>
    <xf numFmtId="0" fontId="4" fillId="3" borderId="1" xfId="0" applyFont="1" applyFill="1" applyBorder="1" applyAlignment="1">
      <alignment horizontal="center" vertical="center"/>
    </xf>
    <xf numFmtId="0" fontId="2" fillId="0" borderId="2" xfId="0" applyNumberFormat="1" applyFont="1" applyFill="1" applyBorder="1" applyAlignment="1">
      <alignment horizontal="center" vertical="center" wrapText="1"/>
    </xf>
    <xf numFmtId="0" fontId="0" fillId="0" borderId="0" xfId="0" applyFill="1" applyAlignment="1">
      <alignment horizontal="left"/>
    </xf>
    <xf numFmtId="0" fontId="0" fillId="0" borderId="0" xfId="0" applyNumberFormat="1" applyAlignment="1">
      <alignment horizontal="left" vertical="center" wrapText="1"/>
    </xf>
    <xf numFmtId="164" fontId="2" fillId="2" borderId="0" xfId="0" applyNumberFormat="1" applyFont="1" applyFill="1" applyAlignment="1">
      <alignment horizontal="center" vertical="center" wrapText="1"/>
    </xf>
    <xf numFmtId="0" fontId="2" fillId="2" borderId="0" xfId="0" applyNumberFormat="1" applyFont="1" applyFill="1" applyAlignment="1">
      <alignment horizontal="left" vertical="center" wrapText="1"/>
    </xf>
    <xf numFmtId="0" fontId="2" fillId="0" borderId="2" xfId="0" applyFont="1" applyFill="1" applyBorder="1"/>
    <xf numFmtId="49" fontId="2" fillId="2" borderId="0" xfId="0" applyNumberFormat="1" applyFont="1" applyFill="1" applyAlignment="1">
      <alignment horizontal="center" vertical="center" wrapText="1"/>
    </xf>
    <xf numFmtId="20" fontId="2" fillId="0" borderId="1" xfId="0" applyNumberFormat="1"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0" borderId="1" xfId="0" applyNumberFormat="1" applyFont="1" applyFill="1" applyBorder="1" applyAlignment="1">
      <alignment horizontal="left" vertical="center" wrapText="1"/>
    </xf>
    <xf numFmtId="0" fontId="4" fillId="0" borderId="1" xfId="0" applyNumberFormat="1" applyFont="1" applyFill="1" applyBorder="1" applyAlignment="1">
      <alignment horizontal="left" vertical="center" wrapText="1"/>
    </xf>
    <xf numFmtId="3" fontId="2" fillId="0" borderId="1" xfId="0" applyNumberFormat="1" applyFont="1" applyFill="1" applyBorder="1" applyAlignment="1">
      <alignment horizontal="left" vertical="center" wrapText="1"/>
    </xf>
    <xf numFmtId="0" fontId="0" fillId="0" borderId="1" xfId="0" applyNumberFormat="1" applyBorder="1" applyAlignment="1">
      <alignment horizontal="center" vertical="center" wrapText="1"/>
    </xf>
    <xf numFmtId="0" fontId="2" fillId="0" borderId="1" xfId="0" applyNumberFormat="1" applyFont="1" applyBorder="1" applyAlignment="1">
      <alignment horizontal="left" vertical="center" wrapText="1"/>
    </xf>
    <xf numFmtId="1" fontId="2" fillId="0" borderId="1" xfId="0" applyNumberFormat="1" applyFont="1" applyFill="1" applyBorder="1" applyAlignment="1">
      <alignment horizontal="center" vertical="center" wrapText="1"/>
    </xf>
    <xf numFmtId="1" fontId="0" fillId="0" borderId="1" xfId="0" applyNumberFormat="1" applyFill="1" applyBorder="1" applyAlignment="1">
      <alignment horizontal="center" vertical="center" wrapText="1"/>
    </xf>
    <xf numFmtId="1" fontId="0" fillId="0" borderId="0" xfId="0" applyNumberFormat="1" applyAlignment="1">
      <alignment horizontal="center" vertical="center" wrapText="1"/>
    </xf>
    <xf numFmtId="0" fontId="11" fillId="2" borderId="3" xfId="1" applyFont="1" applyFill="1" applyBorder="1" applyAlignment="1">
      <alignment vertical="center" wrapText="1"/>
    </xf>
    <xf numFmtId="0" fontId="11" fillId="2" borderId="0" xfId="1" applyFont="1" applyFill="1" applyAlignment="1">
      <alignment vertical="center" wrapText="1"/>
    </xf>
    <xf numFmtId="14" fontId="11" fillId="2" borderId="3" xfId="1" applyNumberFormat="1" applyFont="1" applyFill="1" applyBorder="1" applyAlignment="1">
      <alignment vertical="center" wrapText="1"/>
    </xf>
    <xf numFmtId="0" fontId="11" fillId="2" borderId="3" xfId="1" applyFont="1" applyFill="1" applyBorder="1" applyAlignment="1">
      <alignment horizontal="center" vertical="center" wrapText="1"/>
    </xf>
    <xf numFmtId="0" fontId="11" fillId="2" borderId="1" xfId="1" applyFont="1" applyFill="1" applyBorder="1" applyAlignment="1">
      <alignment vertical="center" wrapText="1"/>
    </xf>
    <xf numFmtId="0" fontId="11" fillId="2" borderId="0" xfId="0" applyFont="1" applyFill="1" applyAlignment="1">
      <alignment vertical="center" wrapText="1"/>
    </xf>
    <xf numFmtId="0" fontId="11" fillId="2" borderId="3" xfId="0" applyFont="1" applyFill="1" applyBorder="1" applyAlignment="1">
      <alignment vertical="center" wrapText="1"/>
    </xf>
    <xf numFmtId="0" fontId="11" fillId="2" borderId="1" xfId="0" applyFont="1" applyFill="1" applyBorder="1" applyAlignment="1">
      <alignment vertical="center" wrapText="1"/>
    </xf>
    <xf numFmtId="0" fontId="11" fillId="2" borderId="1" xfId="0" applyFont="1" applyFill="1" applyBorder="1" applyAlignment="1">
      <alignment vertical="center"/>
    </xf>
    <xf numFmtId="3" fontId="0" fillId="0" borderId="1" xfId="0" applyNumberFormat="1" applyBorder="1" applyAlignment="1">
      <alignment horizontal="left" vertical="center" wrapText="1"/>
    </xf>
    <xf numFmtId="164" fontId="2" fillId="0" borderId="1" xfId="0" applyNumberFormat="1" applyFont="1" applyBorder="1" applyAlignment="1">
      <alignment horizontal="center" vertical="center" wrapText="1"/>
    </xf>
    <xf numFmtId="14" fontId="2" fillId="0" borderId="1" xfId="0" applyNumberFormat="1" applyFont="1" applyFill="1" applyBorder="1" applyAlignment="1">
      <alignment horizontal="center" vertical="center" wrapText="1"/>
    </xf>
    <xf numFmtId="3" fontId="2" fillId="0" borderId="1" xfId="0" applyNumberFormat="1" applyFont="1" applyFill="1" applyBorder="1" applyAlignment="1">
      <alignment horizontal="center" vertical="center" wrapText="1"/>
    </xf>
    <xf numFmtId="0" fontId="2" fillId="0" borderId="1" xfId="0" applyNumberFormat="1" applyFont="1" applyBorder="1" applyAlignment="1">
      <alignment horizontal="center" vertical="center" wrapText="1"/>
    </xf>
    <xf numFmtId="0" fontId="4" fillId="0" borderId="1" xfId="0" applyNumberFormat="1" applyFont="1" applyFill="1" applyBorder="1" applyAlignment="1">
      <alignment horizontal="center" vertical="center" wrapText="1"/>
    </xf>
    <xf numFmtId="164" fontId="0" fillId="0" borderId="1" xfId="0" applyNumberFormat="1" applyBorder="1" applyAlignment="1">
      <alignment horizontal="center" vertical="center" wrapText="1"/>
    </xf>
    <xf numFmtId="0" fontId="3" fillId="0" borderId="1" xfId="0" applyFont="1" applyFill="1" applyBorder="1" applyAlignment="1">
      <alignment horizontal="left" vertical="center" wrapText="1"/>
    </xf>
    <xf numFmtId="0" fontId="2" fillId="0" borderId="5" xfId="0" applyNumberFormat="1" applyFont="1" applyFill="1" applyBorder="1" applyAlignment="1">
      <alignment horizontal="center" vertical="center" wrapText="1"/>
    </xf>
    <xf numFmtId="1" fontId="0" fillId="0" borderId="1" xfId="0" applyNumberFormat="1" applyBorder="1" applyAlignment="1">
      <alignment horizontal="center" vertical="center" wrapText="1"/>
    </xf>
    <xf numFmtId="20" fontId="0" fillId="0" borderId="1" xfId="0" applyNumberFormat="1" applyBorder="1" applyAlignment="1">
      <alignment horizontal="center" vertical="center" wrapText="1"/>
    </xf>
    <xf numFmtId="3" fontId="0" fillId="0" borderId="1" xfId="0" applyNumberFormat="1" applyBorder="1" applyAlignment="1">
      <alignment horizontal="center" vertical="center" wrapText="1"/>
    </xf>
    <xf numFmtId="3" fontId="2" fillId="0" borderId="1" xfId="0" applyNumberFormat="1" applyFont="1" applyBorder="1" applyAlignment="1">
      <alignment horizontal="left" vertical="center" wrapText="1"/>
    </xf>
    <xf numFmtId="0" fontId="0" fillId="0" borderId="1" xfId="0" applyNumberFormat="1" applyBorder="1" applyAlignment="1">
      <alignment horizontal="left" vertical="center" wrapText="1"/>
    </xf>
    <xf numFmtId="164" fontId="0" fillId="2" borderId="1" xfId="0" applyNumberForma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1" fontId="0" fillId="2" borderId="1" xfId="0" applyNumberFormat="1" applyFill="1" applyBorder="1" applyAlignment="1">
      <alignment horizontal="center" vertical="center" wrapText="1"/>
    </xf>
    <xf numFmtId="20" fontId="0" fillId="2" borderId="1" xfId="0" applyNumberFormat="1" applyFill="1" applyBorder="1" applyAlignment="1">
      <alignment horizontal="center" vertical="center" wrapText="1"/>
    </xf>
    <xf numFmtId="0" fontId="0" fillId="2" borderId="1" xfId="0" applyNumberFormat="1" applyFill="1" applyBorder="1" applyAlignment="1">
      <alignment horizontal="center" vertical="center" wrapText="1"/>
    </xf>
    <xf numFmtId="0" fontId="2" fillId="2" borderId="1" xfId="0" applyNumberFormat="1" applyFont="1" applyFill="1" applyBorder="1" applyAlignment="1">
      <alignment horizontal="center" vertical="center" wrapText="1"/>
    </xf>
    <xf numFmtId="3" fontId="0" fillId="2" borderId="1" xfId="0" applyNumberFormat="1" applyFill="1" applyBorder="1" applyAlignment="1">
      <alignment horizontal="center" vertical="center" wrapText="1"/>
    </xf>
    <xf numFmtId="0" fontId="2" fillId="2" borderId="1" xfId="0" applyNumberFormat="1" applyFont="1" applyFill="1" applyBorder="1" applyAlignment="1">
      <alignment horizontal="left" vertical="center" wrapText="1"/>
    </xf>
    <xf numFmtId="3" fontId="0" fillId="2" borderId="1" xfId="0" applyNumberFormat="1" applyFill="1" applyBorder="1" applyAlignment="1">
      <alignment horizontal="left" vertical="center" wrapText="1"/>
    </xf>
    <xf numFmtId="0" fontId="2" fillId="0" borderId="0" xfId="0" applyNumberFormat="1" applyFont="1" applyFill="1" applyAlignment="1">
      <alignment horizontal="center"/>
    </xf>
    <xf numFmtId="0" fontId="2" fillId="0" borderId="0" xfId="0" applyFont="1" applyFill="1" applyAlignment="1">
      <alignment horizontal="center"/>
    </xf>
    <xf numFmtId="0" fontId="0" fillId="2" borderId="1" xfId="0" applyNumberFormat="1" applyFill="1" applyBorder="1" applyAlignment="1">
      <alignment horizontal="left" vertical="center" wrapText="1"/>
    </xf>
    <xf numFmtId="3" fontId="2" fillId="2" borderId="1" xfId="0" applyNumberFormat="1" applyFont="1" applyFill="1" applyBorder="1" applyAlignment="1">
      <alignment horizontal="center" vertical="center" wrapText="1"/>
    </xf>
    <xf numFmtId="3" fontId="2" fillId="2" borderId="1" xfId="0" applyNumberFormat="1" applyFont="1" applyFill="1" applyBorder="1" applyAlignment="1">
      <alignment horizontal="left" vertical="center" wrapText="1"/>
    </xf>
    <xf numFmtId="164" fontId="0" fillId="0" borderId="1" xfId="0" applyNumberFormat="1" applyFill="1" applyBorder="1" applyAlignment="1">
      <alignment horizontal="center" vertical="center" wrapText="1"/>
    </xf>
    <xf numFmtId="20" fontId="0" fillId="0" borderId="1" xfId="0" applyNumberFormat="1" applyFill="1" applyBorder="1" applyAlignment="1">
      <alignment horizontal="center" vertical="center" wrapText="1"/>
    </xf>
    <xf numFmtId="0" fontId="0" fillId="0" borderId="1" xfId="0" applyNumberFormat="1" applyFill="1" applyBorder="1" applyAlignment="1">
      <alignment horizontal="left" vertical="center" wrapText="1"/>
    </xf>
    <xf numFmtId="3" fontId="0" fillId="0" borderId="1" xfId="0" applyNumberFormat="1" applyFill="1" applyBorder="1" applyAlignment="1">
      <alignment horizontal="center" vertical="center" wrapText="1"/>
    </xf>
    <xf numFmtId="3" fontId="0" fillId="0" borderId="1" xfId="0" applyNumberFormat="1" applyFill="1" applyBorder="1" applyAlignment="1">
      <alignment horizontal="left" vertical="center" wrapText="1"/>
    </xf>
    <xf numFmtId="1" fontId="0" fillId="7" borderId="1" xfId="0" applyNumberFormat="1" applyFill="1" applyBorder="1" applyAlignment="1">
      <alignment horizontal="center" vertical="center" wrapText="1"/>
    </xf>
    <xf numFmtId="164" fontId="0" fillId="7" borderId="1" xfId="0" applyNumberFormat="1" applyFill="1" applyBorder="1" applyAlignment="1">
      <alignment horizontal="center" vertical="center" wrapText="1"/>
    </xf>
    <xf numFmtId="20" fontId="0" fillId="7" borderId="1" xfId="0" applyNumberFormat="1" applyFill="1" applyBorder="1" applyAlignment="1">
      <alignment horizontal="center" vertical="center" wrapText="1"/>
    </xf>
    <xf numFmtId="0" fontId="0" fillId="7" borderId="1" xfId="0" applyNumberFormat="1" applyFill="1" applyBorder="1" applyAlignment="1">
      <alignment horizontal="center" vertical="center" wrapText="1"/>
    </xf>
    <xf numFmtId="0" fontId="2" fillId="7" borderId="1" xfId="0" applyNumberFormat="1" applyFont="1" applyFill="1" applyBorder="1" applyAlignment="1">
      <alignment horizontal="center" vertical="center" wrapText="1"/>
    </xf>
    <xf numFmtId="3" fontId="0" fillId="7" borderId="1" xfId="0" applyNumberFormat="1" applyFill="1" applyBorder="1" applyAlignment="1">
      <alignment horizontal="center" vertical="center" wrapText="1"/>
    </xf>
    <xf numFmtId="0" fontId="2" fillId="7" borderId="1" xfId="0" applyNumberFormat="1" applyFont="1" applyFill="1" applyBorder="1" applyAlignment="1">
      <alignment horizontal="left" vertical="center" wrapText="1"/>
    </xf>
    <xf numFmtId="0" fontId="0" fillId="7" borderId="1" xfId="0" applyNumberFormat="1" applyFill="1" applyBorder="1" applyAlignment="1">
      <alignment horizontal="left" vertical="center" wrapText="1"/>
    </xf>
    <xf numFmtId="164" fontId="2" fillId="7" borderId="1" xfId="0" applyNumberFormat="1" applyFont="1" applyFill="1" applyBorder="1" applyAlignment="1">
      <alignment horizontal="center" vertical="center" wrapText="1"/>
    </xf>
    <xf numFmtId="14" fontId="17" fillId="2" borderId="0" xfId="0" applyNumberFormat="1" applyFont="1" applyFill="1" applyAlignment="1">
      <alignment horizontal="center" vertical="center" wrapText="1"/>
    </xf>
    <xf numFmtId="0" fontId="2" fillId="0" borderId="0" xfId="2" applyFont="1"/>
    <xf numFmtId="0" fontId="2" fillId="0" borderId="0" xfId="2"/>
    <xf numFmtId="0" fontId="2" fillId="0" borderId="0" xfId="2" applyAlignment="1">
      <alignment horizontal="center"/>
    </xf>
    <xf numFmtId="49" fontId="2" fillId="0" borderId="0" xfId="2" applyNumberFormat="1" applyFont="1"/>
    <xf numFmtId="0" fontId="20" fillId="4" borderId="1" xfId="2" applyFont="1" applyFill="1" applyBorder="1" applyAlignment="1">
      <alignment horizontal="center" vertical="center"/>
    </xf>
    <xf numFmtId="0" fontId="20" fillId="0" borderId="1" xfId="2" applyFont="1" applyBorder="1" applyAlignment="1">
      <alignment horizontal="center" vertical="center"/>
    </xf>
    <xf numFmtId="0" fontId="5" fillId="0" borderId="0" xfId="2" applyFont="1" applyAlignment="1"/>
    <xf numFmtId="0" fontId="5" fillId="0" borderId="0" xfId="2" applyFont="1" applyAlignment="1">
      <alignment horizontal="center"/>
    </xf>
    <xf numFmtId="0" fontId="2" fillId="0" borderId="0" xfId="2" applyAlignment="1">
      <alignment horizontal="center" vertical="center"/>
    </xf>
    <xf numFmtId="0" fontId="21" fillId="0" borderId="0" xfId="2" applyFont="1"/>
    <xf numFmtId="0" fontId="2" fillId="0" borderId="0" xfId="2" applyFont="1" applyFill="1" applyBorder="1" applyAlignment="1">
      <alignment horizontal="center" vertical="center"/>
    </xf>
    <xf numFmtId="0" fontId="20" fillId="0" borderId="0" xfId="2" applyFont="1" applyBorder="1" applyAlignment="1">
      <alignment horizontal="center" vertical="center"/>
    </xf>
    <xf numFmtId="0" fontId="2" fillId="0" borderId="0" xfId="2" applyBorder="1"/>
    <xf numFmtId="0" fontId="22" fillId="0" borderId="1" xfId="2" applyFont="1" applyBorder="1" applyAlignment="1">
      <alignment horizontal="center" vertical="center"/>
    </xf>
    <xf numFmtId="0" fontId="2" fillId="0" borderId="0" xfId="2" applyAlignment="1">
      <alignment horizontal="left"/>
    </xf>
    <xf numFmtId="0" fontId="0" fillId="8" borderId="1" xfId="0" applyNumberFormat="1" applyFill="1" applyBorder="1" applyAlignment="1">
      <alignment horizontal="center" vertical="center" wrapText="1"/>
    </xf>
    <xf numFmtId="1" fontId="0" fillId="0" borderId="6" xfId="0" applyNumberFormat="1" applyBorder="1" applyAlignment="1">
      <alignment horizontal="center" vertical="center" wrapText="1"/>
    </xf>
    <xf numFmtId="164" fontId="0" fillId="0" borderId="6" xfId="0" applyNumberFormat="1" applyBorder="1" applyAlignment="1">
      <alignment horizontal="center" vertical="center" wrapText="1"/>
    </xf>
    <xf numFmtId="20" fontId="0" fillId="0" borderId="6" xfId="0" applyNumberFormat="1" applyBorder="1" applyAlignment="1">
      <alignment horizontal="center" vertical="center" wrapText="1"/>
    </xf>
    <xf numFmtId="0" fontId="0" fillId="0" borderId="6" xfId="0" applyNumberFormat="1" applyBorder="1" applyAlignment="1">
      <alignment horizontal="center" vertical="center" wrapText="1"/>
    </xf>
    <xf numFmtId="0" fontId="2" fillId="0" borderId="6" xfId="0" applyNumberFormat="1" applyFont="1" applyBorder="1" applyAlignment="1">
      <alignment horizontal="center" vertical="center" wrapText="1"/>
    </xf>
    <xf numFmtId="3" fontId="0" fillId="0" borderId="6" xfId="0" applyNumberFormat="1" applyBorder="1" applyAlignment="1">
      <alignment horizontal="center" vertical="center" wrapText="1"/>
    </xf>
    <xf numFmtId="0" fontId="0" fillId="0" borderId="6" xfId="0" applyNumberFormat="1" applyBorder="1" applyAlignment="1">
      <alignment horizontal="left" vertical="center" wrapText="1"/>
    </xf>
    <xf numFmtId="14" fontId="25" fillId="0" borderId="0" xfId="0" applyNumberFormat="1" applyFont="1" applyFill="1" applyAlignment="1">
      <alignment horizontal="center" vertical="center" wrapText="1"/>
    </xf>
    <xf numFmtId="0" fontId="2" fillId="0" borderId="2" xfId="0" applyFont="1" applyFill="1" applyBorder="1" applyAlignment="1">
      <alignment horizontal="center" vertical="center" wrapText="1"/>
    </xf>
    <xf numFmtId="0" fontId="2" fillId="0" borderId="0" xfId="0" applyFont="1" applyFill="1" applyAlignment="1">
      <alignment horizontal="center" vertical="center" wrapText="1"/>
    </xf>
    <xf numFmtId="0" fontId="2" fillId="0" borderId="0" xfId="0" applyFont="1" applyFill="1" applyBorder="1" applyAlignment="1">
      <alignment horizontal="center" vertical="center" wrapText="1"/>
    </xf>
    <xf numFmtId="164" fontId="2" fillId="0" borderId="0" xfId="0" applyNumberFormat="1" applyFont="1" applyFill="1" applyBorder="1" applyAlignment="1">
      <alignment horizontal="center" vertical="center" wrapText="1"/>
    </xf>
    <xf numFmtId="1" fontId="2" fillId="0" borderId="2" xfId="0" applyNumberFormat="1" applyFont="1" applyFill="1" applyBorder="1" applyAlignment="1">
      <alignment horizontal="center" vertical="center" wrapText="1"/>
    </xf>
    <xf numFmtId="14" fontId="0" fillId="2" borderId="2" xfId="0" applyNumberFormat="1" applyFill="1" applyBorder="1" applyAlignment="1">
      <alignment horizontal="center" vertical="center"/>
    </xf>
    <xf numFmtId="20" fontId="2" fillId="0" borderId="2" xfId="0" applyNumberFormat="1" applyFont="1" applyFill="1" applyBorder="1" applyAlignment="1">
      <alignment horizontal="center" vertical="center" wrapText="1"/>
    </xf>
    <xf numFmtId="0" fontId="12" fillId="2" borderId="2" xfId="1" applyFont="1" applyFill="1" applyBorder="1" applyAlignment="1">
      <alignment vertical="center"/>
    </xf>
    <xf numFmtId="3" fontId="11" fillId="2" borderId="2" xfId="1" applyNumberFormat="1" applyFont="1" applyFill="1" applyBorder="1" applyAlignment="1">
      <alignment horizontal="center" vertical="center"/>
    </xf>
    <xf numFmtId="0" fontId="11" fillId="2" borderId="2" xfId="1" applyFont="1" applyFill="1" applyBorder="1" applyAlignment="1">
      <alignment vertical="center" wrapText="1"/>
    </xf>
    <xf numFmtId="3" fontId="11" fillId="2" borderId="2" xfId="1" applyNumberFormat="1" applyFont="1" applyFill="1" applyBorder="1" applyAlignment="1">
      <alignment vertical="center"/>
    </xf>
    <xf numFmtId="0" fontId="11" fillId="2" borderId="2" xfId="1" applyFont="1" applyFill="1" applyBorder="1" applyAlignment="1">
      <alignment vertical="center"/>
    </xf>
    <xf numFmtId="0" fontId="2" fillId="0" borderId="2" xfId="0" applyNumberFormat="1" applyFont="1" applyBorder="1" applyAlignment="1">
      <alignment horizontal="center" vertical="center" wrapText="1"/>
    </xf>
    <xf numFmtId="0" fontId="7" fillId="3" borderId="7" xfId="0" applyNumberFormat="1" applyFont="1" applyFill="1" applyBorder="1" applyAlignment="1">
      <alignment horizontal="center" vertical="center" wrapText="1"/>
    </xf>
    <xf numFmtId="164" fontId="4" fillId="3" borderId="8" xfId="0" applyNumberFormat="1" applyFont="1" applyFill="1" applyBorder="1" applyAlignment="1">
      <alignment horizontal="center" vertical="center" wrapText="1"/>
    </xf>
    <xf numFmtId="0" fontId="4" fillId="3" borderId="8" xfId="0" applyNumberFormat="1" applyFont="1" applyFill="1" applyBorder="1" applyAlignment="1">
      <alignment horizontal="center" vertical="center" wrapText="1"/>
    </xf>
    <xf numFmtId="0" fontId="4" fillId="3" borderId="9" xfId="0" applyNumberFormat="1" applyFont="1" applyFill="1" applyBorder="1" applyAlignment="1">
      <alignment horizontal="center" vertical="center" wrapText="1"/>
    </xf>
    <xf numFmtId="0" fontId="4" fillId="3" borderId="7" xfId="0" applyNumberFormat="1" applyFont="1" applyFill="1" applyBorder="1" applyAlignment="1">
      <alignment horizontal="center" vertical="center" wrapText="1"/>
    </xf>
    <xf numFmtId="0" fontId="7" fillId="3" borderId="9" xfId="0" applyNumberFormat="1" applyFont="1" applyFill="1" applyBorder="1" applyAlignment="1">
      <alignment horizontal="center" vertical="center" wrapText="1"/>
    </xf>
    <xf numFmtId="0" fontId="2" fillId="3" borderId="11" xfId="0" applyNumberFormat="1" applyFont="1" applyFill="1" applyBorder="1" applyAlignment="1">
      <alignment horizontal="center" vertical="center" wrapText="1"/>
    </xf>
    <xf numFmtId="0" fontId="2" fillId="3" borderId="8" xfId="0" applyNumberFormat="1" applyFont="1" applyFill="1" applyBorder="1" applyAlignment="1">
      <alignment horizontal="center" vertical="center" wrapText="1"/>
    </xf>
    <xf numFmtId="0" fontId="2" fillId="3" borderId="8" xfId="0" applyFont="1" applyFill="1" applyBorder="1" applyAlignment="1">
      <alignment horizontal="center" vertical="center" wrapText="1"/>
    </xf>
    <xf numFmtId="0" fontId="2" fillId="3" borderId="9" xfId="0" applyFont="1" applyFill="1" applyBorder="1" applyAlignment="1">
      <alignment horizontal="center" vertical="center" wrapText="1"/>
    </xf>
    <xf numFmtId="0" fontId="2" fillId="2" borderId="2" xfId="0" applyFont="1" applyFill="1" applyBorder="1" applyAlignment="1">
      <alignment horizontal="center" vertical="center" wrapText="1"/>
    </xf>
    <xf numFmtId="1" fontId="0" fillId="0" borderId="6" xfId="0" applyNumberFormat="1" applyFill="1" applyBorder="1" applyAlignment="1">
      <alignment horizontal="center" vertical="center" wrapText="1"/>
    </xf>
    <xf numFmtId="164" fontId="0" fillId="0" borderId="6" xfId="0" applyNumberFormat="1" applyFill="1" applyBorder="1" applyAlignment="1">
      <alignment horizontal="center" vertical="center" wrapText="1"/>
    </xf>
    <xf numFmtId="0" fontId="0" fillId="0" borderId="6" xfId="0" applyNumberFormat="1" applyFill="1" applyBorder="1" applyAlignment="1">
      <alignment horizontal="center" vertical="center" wrapText="1"/>
    </xf>
    <xf numFmtId="0" fontId="2" fillId="0" borderId="6" xfId="0" applyNumberFormat="1" applyFont="1" applyFill="1" applyBorder="1" applyAlignment="1">
      <alignment horizontal="center" vertical="center" wrapText="1"/>
    </xf>
    <xf numFmtId="3" fontId="0" fillId="0" borderId="6" xfId="0" applyNumberFormat="1" applyFill="1" applyBorder="1" applyAlignment="1">
      <alignment horizontal="center" vertical="center" wrapText="1"/>
    </xf>
    <xf numFmtId="0" fontId="2" fillId="0" borderId="6" xfId="0" applyNumberFormat="1" applyFont="1" applyFill="1" applyBorder="1" applyAlignment="1">
      <alignment horizontal="left" vertical="center" wrapText="1"/>
    </xf>
    <xf numFmtId="0" fontId="0" fillId="0" borderId="6" xfId="0" applyNumberFormat="1" applyFill="1" applyBorder="1" applyAlignment="1">
      <alignment horizontal="left" vertical="center" wrapText="1"/>
    </xf>
    <xf numFmtId="0" fontId="2" fillId="8" borderId="1" xfId="0" applyNumberFormat="1" applyFont="1" applyFill="1" applyBorder="1" applyAlignment="1">
      <alignment horizontal="center" vertical="center" wrapText="1"/>
    </xf>
    <xf numFmtId="0" fontId="2" fillId="8" borderId="0" xfId="0" applyNumberFormat="1" applyFont="1" applyFill="1" applyAlignment="1">
      <alignment horizontal="center" vertical="center" wrapText="1"/>
    </xf>
    <xf numFmtId="0" fontId="2" fillId="8" borderId="2" xfId="0" applyFont="1" applyFill="1" applyBorder="1" applyAlignment="1">
      <alignment horizontal="center" vertical="center" wrapText="1"/>
    </xf>
    <xf numFmtId="0" fontId="0" fillId="0" borderId="1" xfId="0" applyBorder="1" applyAlignment="1">
      <alignment horizontal="left" vertical="top" wrapText="1"/>
    </xf>
    <xf numFmtId="0" fontId="0" fillId="0" borderId="1" xfId="0" applyBorder="1"/>
    <xf numFmtId="0" fontId="2" fillId="0" borderId="1" xfId="0" applyFont="1" applyBorder="1"/>
    <xf numFmtId="0" fontId="2" fillId="0" borderId="1" xfId="0" applyFont="1" applyBorder="1" applyAlignment="1">
      <alignment horizontal="left" vertical="top" wrapText="1"/>
    </xf>
    <xf numFmtId="0" fontId="0" fillId="0" borderId="0" xfId="0" applyBorder="1"/>
    <xf numFmtId="0" fontId="2" fillId="0" borderId="0" xfId="0" applyFont="1" applyBorder="1"/>
    <xf numFmtId="0" fontId="22" fillId="0" borderId="1" xfId="0" applyFont="1" applyBorder="1" applyAlignment="1">
      <alignment horizontal="left" vertical="center"/>
    </xf>
    <xf numFmtId="49" fontId="22" fillId="0" borderId="1" xfId="2" applyNumberFormat="1" applyFont="1" applyBorder="1" applyAlignment="1">
      <alignment horizontal="left" vertical="center"/>
    </xf>
    <xf numFmtId="0" fontId="20" fillId="4" borderId="2" xfId="2" applyFont="1" applyFill="1" applyBorder="1" applyAlignment="1">
      <alignment horizontal="center" vertical="center"/>
    </xf>
    <xf numFmtId="0" fontId="22" fillId="0" borderId="0" xfId="0" applyFont="1" applyBorder="1" applyAlignment="1">
      <alignment horizontal="left" vertical="center"/>
    </xf>
    <xf numFmtId="0" fontId="1" fillId="0" borderId="1" xfId="0" applyFont="1" applyBorder="1" applyAlignment="1">
      <alignment horizontal="left" vertical="center" wrapText="1"/>
    </xf>
    <xf numFmtId="49" fontId="1" fillId="0" borderId="1" xfId="2" applyNumberFormat="1" applyFont="1" applyBorder="1" applyAlignment="1">
      <alignment horizontal="left" vertical="center" wrapText="1"/>
    </xf>
    <xf numFmtId="164" fontId="17" fillId="2" borderId="0" xfId="0" applyNumberFormat="1" applyFont="1" applyFill="1" applyAlignment="1">
      <alignment horizontal="center" vertical="center" wrapText="1"/>
    </xf>
    <xf numFmtId="1" fontId="25" fillId="0" borderId="0" xfId="0" applyNumberFormat="1" applyFont="1" applyAlignment="1">
      <alignment horizontal="center" vertical="center" wrapText="1"/>
    </xf>
    <xf numFmtId="164" fontId="2" fillId="0" borderId="6" xfId="0" applyNumberFormat="1" applyFont="1" applyFill="1" applyBorder="1" applyAlignment="1">
      <alignment horizontal="center" vertical="center" wrapText="1"/>
    </xf>
    <xf numFmtId="3" fontId="0" fillId="0" borderId="6" xfId="0" applyNumberFormat="1" applyFill="1" applyBorder="1" applyAlignment="1">
      <alignment horizontal="left" vertical="center" wrapText="1"/>
    </xf>
    <xf numFmtId="164" fontId="2" fillId="0" borderId="6" xfId="0" applyNumberFormat="1" applyFont="1" applyBorder="1" applyAlignment="1">
      <alignment horizontal="center" vertical="center" wrapText="1"/>
    </xf>
    <xf numFmtId="0" fontId="2" fillId="0" borderId="5" xfId="0" applyNumberFormat="1" applyFont="1" applyBorder="1" applyAlignment="1">
      <alignment horizontal="center" vertical="center" wrapText="1"/>
    </xf>
    <xf numFmtId="0" fontId="2" fillId="0" borderId="5" xfId="0" applyFont="1" applyFill="1" applyBorder="1" applyAlignment="1">
      <alignment horizontal="center" vertical="center" wrapText="1"/>
    </xf>
    <xf numFmtId="0" fontId="2" fillId="0" borderId="1" xfId="0" applyFont="1" applyFill="1" applyBorder="1" applyAlignment="1">
      <alignment horizontal="center" vertical="center" wrapText="1"/>
    </xf>
    <xf numFmtId="0" fontId="2" fillId="2" borderId="6" xfId="0" applyNumberFormat="1" applyFont="1" applyFill="1" applyBorder="1" applyAlignment="1">
      <alignment horizontal="center" vertical="center" wrapText="1"/>
    </xf>
    <xf numFmtId="1" fontId="0" fillId="0" borderId="0" xfId="0" applyNumberFormat="1" applyFill="1" applyAlignment="1">
      <alignment horizontal="center" vertical="center" wrapText="1"/>
    </xf>
    <xf numFmtId="0" fontId="11" fillId="2" borderId="4" xfId="0" applyFont="1" applyFill="1" applyBorder="1" applyAlignment="1">
      <alignment vertical="center" wrapText="1"/>
    </xf>
    <xf numFmtId="20" fontId="2" fillId="0" borderId="1" xfId="0" applyNumberFormat="1" applyFont="1" applyFill="1" applyBorder="1" applyAlignment="1">
      <alignment horizontal="center" vertical="center" wrapText="1"/>
    </xf>
    <xf numFmtId="20" fontId="2" fillId="2" borderId="0" xfId="0" applyNumberFormat="1" applyFont="1" applyFill="1" applyAlignment="1">
      <alignment horizontal="center" vertical="center" wrapText="1"/>
    </xf>
    <xf numFmtId="20" fontId="4" fillId="3" borderId="8"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20" fontId="2" fillId="0" borderId="1" xfId="0" applyNumberFormat="1" applyFont="1" applyBorder="1" applyAlignment="1">
      <alignment horizontal="center" vertical="center" wrapText="1"/>
    </xf>
    <xf numFmtId="20" fontId="0" fillId="0" borderId="1" xfId="0" applyNumberFormat="1" applyBorder="1" applyAlignment="1">
      <alignment horizontal="center" vertical="center" wrapText="1"/>
    </xf>
    <xf numFmtId="20" fontId="2" fillId="2" borderId="1" xfId="0" applyNumberFormat="1" applyFont="1" applyFill="1" applyBorder="1" applyAlignment="1">
      <alignment horizontal="center" vertical="center" wrapText="1"/>
    </xf>
    <xf numFmtId="20" fontId="2" fillId="7" borderId="1" xfId="0" applyNumberFormat="1" applyFont="1" applyFill="1" applyBorder="1" applyAlignment="1">
      <alignment horizontal="center" vertical="center" wrapText="1"/>
    </xf>
    <xf numFmtId="20" fontId="0" fillId="2" borderId="1" xfId="0" applyNumberFormat="1" applyFill="1" applyBorder="1" applyAlignment="1">
      <alignment horizontal="center" vertical="center" wrapText="1"/>
    </xf>
    <xf numFmtId="20" fontId="2" fillId="0" borderId="6" xfId="0" applyNumberFormat="1" applyFont="1" applyFill="1" applyBorder="1" applyAlignment="1">
      <alignment horizontal="center" vertical="center" wrapText="1"/>
    </xf>
    <xf numFmtId="20" fontId="0" fillId="0" borderId="6" xfId="0" applyNumberFormat="1" applyFill="1" applyBorder="1" applyAlignment="1">
      <alignment horizontal="center" vertical="center" wrapText="1"/>
    </xf>
    <xf numFmtId="20" fontId="2" fillId="0" borderId="6" xfId="0" applyNumberFormat="1" applyFont="1" applyBorder="1" applyAlignment="1">
      <alignment horizontal="center" vertical="center" wrapText="1"/>
    </xf>
    <xf numFmtId="20" fontId="0" fillId="0" borderId="0" xfId="0" applyNumberFormat="1" applyAlignment="1">
      <alignment horizontal="center" vertical="center" wrapText="1"/>
    </xf>
    <xf numFmtId="20" fontId="2" fillId="2" borderId="1" xfId="0" applyNumberFormat="1" applyFont="1" applyFill="1" applyBorder="1" applyAlignment="1">
      <alignment horizontal="center" vertical="center" wrapText="1"/>
    </xf>
    <xf numFmtId="164" fontId="2" fillId="2" borderId="6" xfId="0" applyNumberFormat="1" applyFont="1" applyFill="1" applyBorder="1" applyAlignment="1">
      <alignment horizontal="center" vertical="center" wrapText="1"/>
    </xf>
    <xf numFmtId="1" fontId="0" fillId="2" borderId="6" xfId="0" applyNumberFormat="1" applyFill="1" applyBorder="1" applyAlignment="1">
      <alignment horizontal="center" vertical="center" wrapText="1"/>
    </xf>
    <xf numFmtId="164" fontId="0" fillId="2" borderId="6" xfId="0" applyNumberFormat="1" applyFill="1" applyBorder="1" applyAlignment="1">
      <alignment horizontal="center" vertical="center" wrapText="1"/>
    </xf>
    <xf numFmtId="20" fontId="0" fillId="2" borderId="6" xfId="0" applyNumberFormat="1" applyFill="1" applyBorder="1" applyAlignment="1">
      <alignment horizontal="center" vertical="center" wrapText="1"/>
    </xf>
    <xf numFmtId="0" fontId="0" fillId="2" borderId="6" xfId="0" applyNumberFormat="1" applyFill="1" applyBorder="1" applyAlignment="1">
      <alignment horizontal="center" vertical="center" wrapText="1"/>
    </xf>
    <xf numFmtId="3" fontId="0" fillId="2" borderId="6" xfId="0" applyNumberFormat="1" applyFill="1" applyBorder="1" applyAlignment="1">
      <alignment horizontal="center" vertical="center" wrapText="1"/>
    </xf>
    <xf numFmtId="0" fontId="2" fillId="2" borderId="6" xfId="0" applyNumberFormat="1" applyFont="1" applyFill="1" applyBorder="1" applyAlignment="1">
      <alignment horizontal="left" vertical="center" wrapText="1"/>
    </xf>
    <xf numFmtId="0" fontId="0" fillId="2" borderId="6" xfId="0" applyNumberFormat="1" applyFill="1" applyBorder="1" applyAlignment="1">
      <alignment horizontal="left" vertical="center" wrapText="1"/>
    </xf>
    <xf numFmtId="1" fontId="0" fillId="9" borderId="6" xfId="0" applyNumberFormat="1" applyFill="1" applyBorder="1" applyAlignment="1">
      <alignment horizontal="center" vertical="center" wrapText="1"/>
    </xf>
    <xf numFmtId="164" fontId="0" fillId="9" borderId="6" xfId="0" applyNumberFormat="1" applyFill="1" applyBorder="1" applyAlignment="1">
      <alignment horizontal="center" vertical="center" wrapText="1"/>
    </xf>
    <xf numFmtId="20" fontId="0" fillId="9" borderId="6" xfId="0" applyNumberFormat="1" applyFill="1" applyBorder="1" applyAlignment="1">
      <alignment horizontal="center" vertical="center" wrapText="1"/>
    </xf>
    <xf numFmtId="0" fontId="0" fillId="9" borderId="6" xfId="0" applyNumberFormat="1" applyFill="1" applyBorder="1" applyAlignment="1">
      <alignment horizontal="center" vertical="center" wrapText="1"/>
    </xf>
    <xf numFmtId="0" fontId="2" fillId="9" borderId="6" xfId="0" applyNumberFormat="1" applyFont="1" applyFill="1" applyBorder="1" applyAlignment="1">
      <alignment horizontal="center" vertical="center" wrapText="1"/>
    </xf>
    <xf numFmtId="0" fontId="2" fillId="9" borderId="6" xfId="0" applyNumberFormat="1" applyFont="1" applyFill="1" applyBorder="1" applyAlignment="1">
      <alignment horizontal="left" vertical="center" wrapText="1"/>
    </xf>
    <xf numFmtId="3" fontId="0" fillId="9" borderId="6" xfId="0" applyNumberFormat="1" applyFill="1" applyBorder="1" applyAlignment="1">
      <alignment horizontal="left" vertical="center" wrapText="1"/>
    </xf>
    <xf numFmtId="0" fontId="22" fillId="0" borderId="1" xfId="0" applyFont="1" applyBorder="1"/>
    <xf numFmtId="164" fontId="11" fillId="2" borderId="0" xfId="1" applyNumberFormat="1" applyFont="1" applyFill="1" applyAlignment="1">
      <alignment horizontal="center" vertical="center" wrapText="1"/>
    </xf>
    <xf numFmtId="164" fontId="2" fillId="2" borderId="0" xfId="0" applyNumberFormat="1" applyFont="1" applyFill="1" applyAlignment="1">
      <alignment horizontal="left" vertical="center" wrapText="1"/>
    </xf>
    <xf numFmtId="0" fontId="4" fillId="3" borderId="10" xfId="0" applyNumberFormat="1" applyFont="1" applyFill="1" applyBorder="1" applyAlignment="1">
      <alignment horizontal="left" vertical="center" wrapText="1"/>
    </xf>
    <xf numFmtId="0" fontId="11" fillId="2" borderId="3" xfId="1" applyFont="1" applyFill="1" applyBorder="1" applyAlignment="1">
      <alignment horizontal="left" vertical="center" wrapText="1"/>
    </xf>
    <xf numFmtId="164" fontId="2" fillId="0" borderId="1" xfId="0" applyNumberFormat="1" applyFont="1" applyFill="1" applyBorder="1" applyAlignment="1">
      <alignment horizontal="left" vertical="center" wrapText="1"/>
    </xf>
    <xf numFmtId="164" fontId="2" fillId="0" borderId="1" xfId="0" applyNumberFormat="1" applyFont="1" applyBorder="1" applyAlignment="1">
      <alignment horizontal="left" vertical="center" wrapText="1"/>
    </xf>
    <xf numFmtId="164" fontId="2" fillId="2" borderId="1" xfId="0" applyNumberFormat="1" applyFont="1" applyFill="1" applyBorder="1" applyAlignment="1">
      <alignment horizontal="left" vertical="center" wrapText="1"/>
    </xf>
    <xf numFmtId="164" fontId="4" fillId="2" borderId="1" xfId="0" applyNumberFormat="1" applyFont="1" applyFill="1" applyBorder="1" applyAlignment="1">
      <alignment horizontal="left" vertical="center" wrapText="1"/>
    </xf>
    <xf numFmtId="164" fontId="2" fillId="7" borderId="1" xfId="0" applyNumberFormat="1" applyFont="1" applyFill="1" applyBorder="1" applyAlignment="1">
      <alignment horizontal="left" vertical="center" wrapText="1"/>
    </xf>
    <xf numFmtId="164" fontId="2" fillId="8" borderId="1" xfId="0" applyNumberFormat="1" applyFont="1" applyFill="1" applyBorder="1" applyAlignment="1">
      <alignment horizontal="left" vertical="center" wrapText="1"/>
    </xf>
    <xf numFmtId="164" fontId="0" fillId="0" borderId="1" xfId="0" applyNumberFormat="1" applyFill="1" applyBorder="1" applyAlignment="1">
      <alignment horizontal="left" vertical="center" wrapText="1"/>
    </xf>
    <xf numFmtId="164" fontId="0" fillId="0" borderId="1" xfId="0" applyNumberFormat="1" applyBorder="1" applyAlignment="1">
      <alignment horizontal="left" vertical="center" wrapText="1"/>
    </xf>
    <xf numFmtId="164" fontId="0" fillId="2" borderId="1" xfId="0" applyNumberFormat="1" applyFill="1" applyBorder="1" applyAlignment="1">
      <alignment horizontal="left" vertical="center" wrapText="1"/>
    </xf>
    <xf numFmtId="164" fontId="2" fillId="2" borderId="6" xfId="0" applyNumberFormat="1" applyFont="1" applyFill="1" applyBorder="1" applyAlignment="1">
      <alignment horizontal="left" vertical="center" wrapText="1"/>
    </xf>
    <xf numFmtId="164" fontId="2" fillId="0" borderId="6" xfId="0" applyNumberFormat="1" applyFont="1" applyBorder="1" applyAlignment="1">
      <alignment horizontal="left" vertical="center" wrapText="1"/>
    </xf>
    <xf numFmtId="164" fontId="0" fillId="0" borderId="6" xfId="0" applyNumberFormat="1" applyFill="1" applyBorder="1" applyAlignment="1">
      <alignment horizontal="left" vertical="center" wrapText="1"/>
    </xf>
    <xf numFmtId="164" fontId="2" fillId="0" borderId="6" xfId="0" applyNumberFormat="1" applyFont="1" applyFill="1" applyBorder="1" applyAlignment="1">
      <alignment horizontal="left" vertical="center" wrapText="1"/>
    </xf>
    <xf numFmtId="0" fontId="2" fillId="0" borderId="6" xfId="0" applyFont="1" applyBorder="1" applyAlignment="1">
      <alignment horizontal="left" wrapText="1"/>
    </xf>
    <xf numFmtId="164" fontId="0" fillId="0" borderId="6" xfId="0" applyNumberFormat="1" applyBorder="1" applyAlignment="1">
      <alignment horizontal="left" vertical="center" wrapText="1"/>
    </xf>
    <xf numFmtId="164" fontId="2" fillId="9" borderId="6" xfId="0" applyNumberFormat="1" applyFont="1" applyFill="1" applyBorder="1" applyAlignment="1">
      <alignment horizontal="left" vertical="center" wrapText="1"/>
    </xf>
    <xf numFmtId="164" fontId="0" fillId="0" borderId="0" xfId="0" applyNumberFormat="1" applyAlignment="1">
      <alignment horizontal="left" vertical="center" wrapText="1"/>
    </xf>
    <xf numFmtId="0" fontId="2" fillId="0" borderId="6" xfId="0" applyFont="1" applyFill="1" applyBorder="1" applyAlignment="1">
      <alignment horizontal="center" vertical="center" wrapText="1"/>
    </xf>
    <xf numFmtId="49" fontId="26" fillId="0" borderId="1" xfId="2" applyNumberFormat="1" applyFont="1" applyBorder="1" applyAlignment="1">
      <alignment horizontal="left" vertical="center" wrapText="1"/>
    </xf>
    <xf numFmtId="164" fontId="2" fillId="9" borderId="6" xfId="0" applyNumberFormat="1" applyFont="1" applyFill="1" applyBorder="1" applyAlignment="1">
      <alignment horizontal="center" vertical="center" wrapText="1"/>
    </xf>
    <xf numFmtId="20" fontId="2" fillId="2" borderId="6" xfId="0" applyNumberFormat="1" applyFont="1" applyFill="1" applyBorder="1" applyAlignment="1">
      <alignment horizontal="center" vertical="center" wrapText="1"/>
    </xf>
    <xf numFmtId="0" fontId="14" fillId="0" borderId="1" xfId="0" applyFont="1" applyBorder="1" applyAlignment="1">
      <alignment vertical="center" wrapText="1"/>
    </xf>
    <xf numFmtId="1" fontId="2" fillId="0" borderId="6" xfId="0" applyNumberFormat="1" applyFont="1" applyFill="1" applyBorder="1" applyAlignment="1">
      <alignment horizontal="center" vertical="center" wrapText="1"/>
    </xf>
    <xf numFmtId="0" fontId="4" fillId="3" borderId="1" xfId="0" applyFont="1" applyFill="1" applyBorder="1" applyAlignment="1">
      <alignment horizontal="center" vertical="center"/>
    </xf>
    <xf numFmtId="0" fontId="4" fillId="5" borderId="1" xfId="0" applyFont="1" applyFill="1" applyBorder="1" applyAlignment="1">
      <alignment horizontal="center" vertical="center"/>
    </xf>
    <xf numFmtId="0" fontId="18" fillId="0" borderId="0" xfId="2" applyFont="1" applyAlignment="1">
      <alignment horizontal="left"/>
    </xf>
    <xf numFmtId="0" fontId="19" fillId="0" borderId="0" xfId="2" applyFont="1" applyBorder="1" applyAlignment="1">
      <alignment horizontal="left" vertical="center"/>
    </xf>
  </cellXfs>
  <cellStyles count="3">
    <cellStyle name="Buena" xfId="1" builtinId="26"/>
    <cellStyle name="Normal" xfId="0" builtinId="0"/>
    <cellStyle name="Normal 2" xfId="2"/>
  </cellStyles>
  <dxfs count="0"/>
  <tableStyles count="0" defaultTableStyle="TableStyleMedium9" defaultPivotStyle="PivotStyleLight16"/>
  <colors>
    <mruColors>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Restan Por REALIZAR</a:t>
            </a:r>
          </a:p>
        </c:rich>
      </c:tx>
    </c:title>
    <c:plotArea>
      <c:layout/>
      <c:pieChart>
        <c:varyColors val="1"/>
        <c:ser>
          <c:idx val="0"/>
          <c:order val="0"/>
          <c:tx>
            <c:strRef>
              <c:f>'Exp por Vocales'!$C$14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Vocales'!$B$15:$B$19</c:f>
              <c:strCache>
                <c:ptCount val="5"/>
                <c:pt idx="0">
                  <c:v>Dra. Solorzano</c:v>
                </c:pt>
                <c:pt idx="1">
                  <c:v>Dr. Arias Nallar</c:v>
                </c:pt>
                <c:pt idx="2">
                  <c:v>Dr. Arancibia</c:v>
                </c:pt>
                <c:pt idx="3">
                  <c:v>Dr. Akemeier</c:v>
                </c:pt>
                <c:pt idx="4">
                  <c:v>Dr. Barrionuevo</c:v>
                </c:pt>
              </c:strCache>
            </c:strRef>
          </c:cat>
          <c:val>
            <c:numRef>
              <c:f>'Exp por Vocales'!$C$15:$C$19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8C77-483D-B0A9-7689A84322B1}"/>
            </c:ext>
          </c:extLst>
        </c:ser>
        <c:firstSliceAng val="0"/>
      </c:pieChart>
    </c:plotArea>
    <c:legend>
      <c:legendPos val="r"/>
      <c:txPr>
        <a:bodyPr/>
        <a:lstStyle/>
        <a:p>
          <a:pPr>
            <a:defRPr lang="es-AR"/>
          </a:pPr>
          <a:endParaRPr lang="es-AR"/>
        </a:p>
      </c:txPr>
    </c:legend>
    <c:plotVisOnly val="1"/>
    <c:dispBlanksAs val="zero"/>
  </c:chart>
  <c:printSettings>
    <c:headerFooter/>
    <c:pageMargins b="0.74803149606312469" l="0.70866141732291565" r="0.70866141732291565" t="0.74803149606312469" header="0.31496062992131524" footer="0.31496062992131524"/>
    <c:pageSetup paperSize="5"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TOTAL</a:t>
            </a:r>
            <a:r>
              <a:rPr lang="es-ES" baseline="0"/>
              <a:t> ASIGNADAS</a:t>
            </a:r>
            <a:endParaRPr lang="es-ES"/>
          </a:p>
        </c:rich>
      </c:tx>
    </c:title>
    <c:plotArea>
      <c:layout/>
      <c:pieChart>
        <c:varyColors val="1"/>
        <c:ser>
          <c:idx val="0"/>
          <c:order val="0"/>
          <c:tx>
            <c:strRef>
              <c:f>'Exp por Vocales'!$C$4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Vocales'!$B$5:$B$10</c:f>
              <c:strCache>
                <c:ptCount val="6"/>
                <c:pt idx="0">
                  <c:v>Dra. Solorzano</c:v>
                </c:pt>
                <c:pt idx="1">
                  <c:v>Dr. Arias Nallar</c:v>
                </c:pt>
                <c:pt idx="2">
                  <c:v>Dr. Arancibia</c:v>
                </c:pt>
                <c:pt idx="3">
                  <c:v>Dr. Akemeier</c:v>
                </c:pt>
                <c:pt idx="4">
                  <c:v>Dr. Barrionuevo</c:v>
                </c:pt>
                <c:pt idx="5">
                  <c:v>TOTAL AUD. ASIGNADAS</c:v>
                </c:pt>
              </c:strCache>
            </c:strRef>
          </c:cat>
          <c:val>
            <c:numRef>
              <c:f>'Exp por Vocales'!$C$5:$C$10</c:f>
              <c:numCache>
                <c:formatCode>General</c:formatCode>
                <c:ptCount val="6"/>
                <c:pt idx="0">
                  <c:v>3</c:v>
                </c:pt>
                <c:pt idx="1">
                  <c:v>5</c:v>
                </c:pt>
                <c:pt idx="2">
                  <c:v>2</c:v>
                </c:pt>
                <c:pt idx="3">
                  <c:v>2</c:v>
                </c:pt>
                <c:pt idx="4">
                  <c:v>4</c:v>
                </c:pt>
                <c:pt idx="5">
                  <c:v>16</c:v>
                </c:pt>
              </c:numCache>
            </c:numRef>
          </c:val>
          <c:extLst xmlns:c16r2="http://schemas.microsoft.com/office/drawing/2015/06/chart">
            <c:ext xmlns:c16="http://schemas.microsoft.com/office/drawing/2014/chart" uri="{C3380CC4-5D6E-409C-BE32-E72D297353CC}">
              <c16:uniqueId val="{00000000-4B55-4B60-BAA0-4D5AABB15F69}"/>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paperSize="5"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RESUELTAS</a:t>
            </a:r>
          </a:p>
        </c:rich>
      </c:tx>
    </c:title>
    <c:plotArea>
      <c:layout/>
      <c:pieChart>
        <c:varyColors val="1"/>
        <c:ser>
          <c:idx val="0"/>
          <c:order val="0"/>
          <c:tx>
            <c:strRef>
              <c:f>'Exp por Vocales'!$C$24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Vocales'!$B$25:$B$29</c:f>
              <c:strCache>
                <c:ptCount val="5"/>
                <c:pt idx="0">
                  <c:v>Dra. Solorzano</c:v>
                </c:pt>
                <c:pt idx="1">
                  <c:v>Dr. Arias Nallar</c:v>
                </c:pt>
                <c:pt idx="2">
                  <c:v>Dr. Arancibia</c:v>
                </c:pt>
                <c:pt idx="3">
                  <c:v>Dr. Akemeier</c:v>
                </c:pt>
                <c:pt idx="4">
                  <c:v>Dr. Barrionuevo</c:v>
                </c:pt>
              </c:strCache>
            </c:strRef>
          </c:cat>
          <c:val>
            <c:numRef>
              <c:f>'Exp por Vocales'!$C$25:$C$29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22C3-44B5-925C-444E1A4AB89E}"/>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AR"/>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0436E-2"/>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1108-4BDF-9C12-B9DA18037CE4}"/>
                </c:ext>
              </c:extLst>
            </c:dLbl>
            <c:dLbl>
              <c:idx val="1"/>
              <c:layout>
                <c:manualLayout>
                  <c:x val="-7.2253061325114123E-3"/>
                  <c:y val="-1.8794912888800879E-3"/>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1108-4BDF-9C12-B9DA18037CE4}"/>
                </c:ext>
              </c:extLst>
            </c:dLbl>
            <c:dLbl>
              <c:idx val="2"/>
              <c:layout>
                <c:manualLayout>
                  <c:x val="-1.0615813118625151E-2"/>
                  <c:y val="4.1441838086598085E-3"/>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1108-4BDF-9C12-B9DA18037CE4}"/>
                </c:ext>
              </c:extLst>
            </c:dLbl>
            <c:dLbl>
              <c:idx val="3"/>
              <c:layout>
                <c:manualLayout>
                  <c:x val="1.3043934136476257E-2"/>
                  <c:y val="-0.13129499162490171"/>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1108-4BDF-9C12-B9DA18037CE4}"/>
                </c:ext>
              </c:extLst>
            </c:dLbl>
            <c:dLbl>
              <c:idx val="4"/>
              <c:layout>
                <c:manualLayout>
                  <c:x val="5.3867947476319109E-2"/>
                  <c:y val="-0.25744136906170312"/>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1108-4BDF-9C12-B9DA18037CE4}"/>
                </c:ext>
              </c:extLst>
            </c:dLbl>
            <c:dLbl>
              <c:idx val="5"/>
              <c:layout>
                <c:manualLayout>
                  <c:x val="-0.13150205388581279"/>
                  <c:y val="-0.11539417553127992"/>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1108-4BDF-9C12-B9DA18037CE4}"/>
                </c:ext>
              </c:extLst>
            </c:dLbl>
            <c:dLbl>
              <c:idx val="6"/>
              <c:layout>
                <c:manualLayout>
                  <c:x val="-4.2202684289189534E-3"/>
                  <c:y val="-0.13659881687501191"/>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1108-4BDF-9C12-B9DA18037CE4}"/>
                </c:ext>
              </c:extLst>
            </c:dLbl>
            <c:dLbl>
              <c:idx val="7"/>
              <c:layout>
                <c:manualLayout>
                  <c:x val="-3.1402367051327098E-3"/>
                  <c:y val="-2.6857328085982856E-2"/>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1108-4BDF-9C12-B9DA18037CE4}"/>
                </c:ext>
              </c:extLst>
            </c:dLbl>
            <c:dLbl>
              <c:idx val="8"/>
              <c:layout>
                <c:manualLayout>
                  <c:x val="-9.9078321959611068E-3"/>
                  <c:y val="0.16676031551938394"/>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1108-4BDF-9C12-B9DA18037CE4}"/>
                </c:ext>
              </c:extLst>
            </c:dLbl>
            <c:dLbl>
              <c:idx val="9"/>
              <c:layout>
                <c:manualLayout>
                  <c:x val="-0.21274939846977525"/>
                  <c:y val="0.35111261781950903"/>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1108-4BDF-9C12-B9DA18037CE4}"/>
                </c:ext>
              </c:extLst>
            </c:dLbl>
            <c:spPr>
              <a:noFill/>
              <a:ln>
                <a:noFill/>
              </a:ln>
              <a:effectLst/>
            </c:spPr>
            <c:txPr>
              <a:bodyPr/>
              <a:lstStyle/>
              <a:p>
                <a:pPr>
                  <a:defRPr lang="es-ES"/>
                </a:pPr>
                <a:endParaRPr lang="es-AR"/>
              </a:p>
            </c:txPr>
            <c:showVal val="1"/>
            <c:showCatName val="1"/>
            <c:showLeaderLines val="1"/>
            <c:extLst xmlns:c16r2="http://schemas.microsoft.com/office/drawing/2015/06/chart">
              <c:ext xmlns:c15="http://schemas.microsoft.com/office/drawing/2012/chart" uri="{CE6537A1-D6FC-4f65-9D91-7224C49458BB}"/>
            </c:extLst>
          </c:dLbls>
          <c:cat>
            <c:numRef>
              <c:f>'Graficos Estadisticos'!$AR$29:$AR$37</c:f>
              <c:numCache>
                <c:formatCode>General</c:formatCode>
                <c:ptCount val="9"/>
              </c:numCache>
            </c:numRef>
          </c:cat>
          <c:val>
            <c:numRef>
              <c:f>'Graficos Estadisticos'!$AQ$29:$AQ$37</c:f>
              <c:numCache>
                <c:formatCode>General</c:formatCode>
                <c:ptCount val="9"/>
              </c:numCache>
            </c:numRef>
          </c:val>
          <c:extLst xmlns:c16r2="http://schemas.microsoft.com/office/drawing/2015/06/chart">
            <c:ext xmlns:c16="http://schemas.microsoft.com/office/drawing/2014/chart" uri="{C3380CC4-5D6E-409C-BE32-E72D297353CC}">
              <c16:uniqueId val="{0000000A-1108-4BDF-9C12-B9DA18037CE4}"/>
            </c:ext>
          </c:extLst>
        </c:ser>
      </c:pie3DChart>
      <c:spPr>
        <a:noFill/>
      </c:spPr>
    </c:plotArea>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AR"/>
  <c:chart>
    <c:view3D>
      <c:rotX val="50"/>
      <c:rotY val="200"/>
      <c:perspective val="60"/>
    </c:view3D>
    <c:plotArea>
      <c:layout>
        <c:manualLayout>
          <c:layoutTarget val="inner"/>
          <c:xMode val="edge"/>
          <c:yMode val="edge"/>
          <c:x val="7.8814330682586524E-3"/>
          <c:y val="1.6666666666666701E-2"/>
          <c:w val="0.99211856693171985"/>
          <c:h val="0.98333333333333328"/>
        </c:manualLayout>
      </c:layout>
      <c:pie3DChart>
        <c:varyColors val="1"/>
        <c:ser>
          <c:idx val="0"/>
          <c:order val="0"/>
          <c:explosion val="25"/>
          <c:dLbls>
            <c:dLbl>
              <c:idx val="0"/>
              <c:layout>
                <c:manualLayout>
                  <c:x val="4.3113992584026824E-2"/>
                  <c:y val="1.5375176041336088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A714-4E58-8F3B-E322A28F50D8}"/>
                </c:ext>
              </c:extLst>
            </c:dLbl>
            <c:dLbl>
              <c:idx val="1"/>
              <c:layout>
                <c:manualLayout>
                  <c:x val="-4.8612512667768254E-2"/>
                  <c:y val="8.0112368766404568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A714-4E58-8F3B-E322A28F50D8}"/>
                </c:ext>
              </c:extLst>
            </c:dLbl>
            <c:dLbl>
              <c:idx val="2"/>
              <c:layout>
                <c:manualLayout>
                  <c:x val="-0.13871723984252599"/>
                  <c:y val="-1.22861267909986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A714-4E58-8F3B-E322A28F50D8}"/>
                </c:ext>
              </c:extLst>
            </c:dLbl>
            <c:dLbl>
              <c:idx val="3"/>
              <c:layout>
                <c:manualLayout>
                  <c:x val="-3.4965237241972945E-2"/>
                  <c:y val="-7.0452133267419018E-2"/>
                </c:manualLayout>
              </c:layout>
              <c:tx>
                <c:rich>
                  <a:bodyPr/>
                  <a:lstStyle/>
                  <a:p>
                    <a:r>
                      <a:rPr lang="en-US"/>
                      <a:t>Recursos </a:t>
                    </a:r>
                  </a:p>
                  <a:p>
                    <a:r>
                      <a:rPr lang="en-US"/>
                      <a:t>Abstractos
4  -    5%</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A714-4E58-8F3B-E322A28F50D8}"/>
                </c:ext>
              </c:extLst>
            </c:dLbl>
            <c:dLbl>
              <c:idx val="4"/>
              <c:layout>
                <c:manualLayout>
                  <c:x val="0.12926346540344941"/>
                  <c:y val="0.14288975024238654"/>
                </c:manualLayout>
              </c:layout>
              <c:spPr/>
              <c:txPr>
                <a:bodyPr/>
                <a:lstStyle/>
                <a:p>
                  <a:pPr>
                    <a:defRPr lang="es-ES" sz="1200" b="1">
                      <a:solidFill>
                        <a:schemeClr val="bg1"/>
                      </a:solidFill>
                    </a:defRPr>
                  </a:pPr>
                  <a:endParaRPr lang="es-AR"/>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A714-4E58-8F3B-E322A28F50D8}"/>
                </c:ext>
              </c:extLst>
            </c:dLbl>
            <c:dLbl>
              <c:idx val="5"/>
              <c:layout>
                <c:manualLayout>
                  <c:x val="-3.7270408772324626E-2"/>
                  <c:y val="-0.20579781860964916"/>
                </c:manualLayout>
              </c:layout>
              <c:tx>
                <c:rich>
                  <a:bodyPr/>
                  <a:lstStyle/>
                  <a:p>
                    <a:r>
                      <a:rPr lang="en-US"/>
                      <a:t>Recursos </a:t>
                    </a:r>
                  </a:p>
                  <a:p>
                    <a:r>
                      <a:rPr lang="en-US"/>
                      <a:t>denegados </a:t>
                    </a:r>
                  </a:p>
                  <a:p>
                    <a:r>
                      <a:rPr lang="en-US"/>
                      <a:t>Mantiene </a:t>
                    </a:r>
                  </a:p>
                  <a:p>
                    <a:r>
                      <a:rPr lang="en-US"/>
                      <a:t>arresto </a:t>
                    </a:r>
                  </a:p>
                  <a:p>
                    <a:r>
                      <a:rPr lang="en-US"/>
                      <a:t>domiciliario
1</a:t>
                    </a:r>
                    <a:r>
                      <a:rPr lang="en-US" baseline="0"/>
                      <a:t>    </a:t>
                    </a:r>
                    <a:r>
                      <a:rPr lang="en-US"/>
                      <a:t> -  1%</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A714-4E58-8F3B-E322A28F50D8}"/>
                </c:ext>
              </c:extLst>
            </c:dLbl>
            <c:dLbl>
              <c:idx val="6"/>
              <c:layout>
                <c:manualLayout>
                  <c:x val="-5.8310340795628534E-3"/>
                  <c:y val="7.4594329725281433E-2"/>
                </c:manualLayout>
              </c:layout>
              <c:tx>
                <c:rich>
                  <a:bodyPr/>
                  <a:lstStyle/>
                  <a:p>
                    <a:r>
                      <a:rPr lang="en-US"/>
                      <a:t>Recursos</a:t>
                    </a:r>
                  </a:p>
                  <a:p>
                    <a:r>
                      <a:rPr lang="en-US"/>
                      <a:t>donde </a:t>
                    </a:r>
                  </a:p>
                  <a:p>
                    <a:r>
                      <a:rPr lang="en-US"/>
                      <a:t>se hizo </a:t>
                    </a:r>
                  </a:p>
                  <a:p>
                    <a:r>
                      <a:rPr lang="en-US"/>
                      <a:t>lugar
6      -     7%</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A714-4E58-8F3B-E322A28F50D8}"/>
                </c:ext>
              </c:extLst>
            </c:dLbl>
            <c:dLbl>
              <c:idx val="7"/>
              <c:layout>
                <c:manualLayout>
                  <c:x val="0.2647104287049718"/>
                  <c:y val="-1.0256345824032918E-2"/>
                </c:manualLayout>
              </c:layout>
              <c:tx>
                <c:rich>
                  <a:bodyPr/>
                  <a:lstStyle/>
                  <a:p>
                    <a:r>
                      <a:rPr lang="en-US"/>
                      <a:t>Recursos donde se hizo lugar - Libertad
9   -   10%</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A714-4E58-8F3B-E322A28F50D8}"/>
                </c:ext>
              </c:extLst>
            </c:dLbl>
            <c:dLbl>
              <c:idx val="8"/>
              <c:layout>
                <c:manualLayout>
                  <c:x val="0.16546286166950616"/>
                  <c:y val="1.6965689275826801E-2"/>
                </c:manualLayout>
              </c:layout>
              <c:tx>
                <c:rich>
                  <a:bodyPr/>
                  <a:lstStyle/>
                  <a:p>
                    <a:r>
                      <a:rPr lang="en-US"/>
                      <a:t>Recursos donde se hizo lugar parcialmente  8- 9%</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A714-4E58-8F3B-E322A28F50D8}"/>
                </c:ext>
              </c:extLst>
            </c:dLbl>
            <c:spPr>
              <a:noFill/>
              <a:ln>
                <a:noFill/>
              </a:ln>
              <a:effectLst/>
            </c:spPr>
            <c:txPr>
              <a:bodyPr/>
              <a:lstStyle/>
              <a:p>
                <a:pPr>
                  <a:defRPr lang="es-ES"/>
                </a:pPr>
                <a:endParaRPr lang="es-AR"/>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 (2)'!$C$6:$C$14</c:f>
              <c:strCache>
                <c:ptCount val="9"/>
                <c:pt idx="0">
                  <c:v>Audiencias Suspendidas</c:v>
                </c:pt>
                <c:pt idx="1">
                  <c:v>Desestimientos de Recursos</c:v>
                </c:pt>
                <c:pt idx="2">
                  <c:v>Otros </c:v>
                </c:pt>
                <c:pt idx="3">
                  <c:v>Recursos Abstractos</c:v>
                </c:pt>
                <c:pt idx="4">
                  <c:v>Recursos Denegados</c:v>
                </c:pt>
                <c:pt idx="5">
                  <c:v>Recursos denegados - Mantiene arresto domiciliario</c:v>
                </c:pt>
                <c:pt idx="6">
                  <c:v>Recursos donde se hizo lugar</c:v>
                </c:pt>
                <c:pt idx="7">
                  <c:v>Recursos Inadmisibles</c:v>
                </c:pt>
                <c:pt idx="8">
                  <c:v>Audiencias de Visu</c:v>
                </c:pt>
              </c:strCache>
            </c:strRef>
          </c:cat>
          <c:val>
            <c:numRef>
              <c:f>'Graficos Estadisticos (2)'!$B$6:$B$14</c:f>
              <c:numCache>
                <c:formatCode>General</c:formatCode>
                <c:ptCount val="9"/>
                <c:pt idx="0">
                  <c:v>0</c:v>
                </c:pt>
                <c:pt idx="1">
                  <c:v>3</c:v>
                </c:pt>
                <c:pt idx="2">
                  <c:v>2</c:v>
                </c:pt>
                <c:pt idx="3">
                  <c:v>7</c:v>
                </c:pt>
                <c:pt idx="4">
                  <c:v>74</c:v>
                </c:pt>
                <c:pt idx="5">
                  <c:v>1</c:v>
                </c:pt>
                <c:pt idx="6">
                  <c:v>37</c:v>
                </c:pt>
                <c:pt idx="7">
                  <c:v>2</c:v>
                </c:pt>
                <c:pt idx="8">
                  <c:v>9</c:v>
                </c:pt>
              </c:numCache>
            </c:numRef>
          </c:val>
          <c:extLst xmlns:c16r2="http://schemas.microsoft.com/office/drawing/2015/06/chart">
            <c:ext xmlns:c16="http://schemas.microsoft.com/office/drawing/2014/chart" uri="{C3380CC4-5D6E-409C-BE32-E72D297353CC}">
              <c16:uniqueId val="{00000009-A714-4E58-8F3B-E322A28F50D8}"/>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Restan Por REALIZAR</a:t>
            </a:r>
          </a:p>
        </c:rich>
      </c:tx>
    </c:title>
    <c:plotArea>
      <c:layout/>
      <c:pieChart>
        <c:varyColors val="1"/>
        <c:ser>
          <c:idx val="0"/>
          <c:order val="0"/>
          <c:tx>
            <c:strRef>
              <c:f>'Exp por Vocales'!$C$14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Vocales'!$B$15:$B$19</c:f>
              <c:strCache>
                <c:ptCount val="5"/>
                <c:pt idx="0">
                  <c:v>Dra. Solorzano</c:v>
                </c:pt>
                <c:pt idx="1">
                  <c:v>Dr. Arias Nallar</c:v>
                </c:pt>
                <c:pt idx="2">
                  <c:v>Dr. Arancibia</c:v>
                </c:pt>
                <c:pt idx="3">
                  <c:v>Dr. Akemeier</c:v>
                </c:pt>
                <c:pt idx="4">
                  <c:v>Dr. Barrionuevo</c:v>
                </c:pt>
              </c:strCache>
            </c:strRef>
          </c:cat>
          <c:val>
            <c:numRef>
              <c:f>'Exp por Vocales'!$C$15:$C$19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F023-436B-A95A-00754306A731}"/>
            </c:ext>
          </c:extLst>
        </c:ser>
        <c:firstSliceAng val="0"/>
      </c:pieChart>
    </c:plotArea>
    <c:legend>
      <c:legendPos val="r"/>
      <c:txPr>
        <a:bodyPr/>
        <a:lstStyle/>
        <a:p>
          <a:pPr>
            <a:defRPr lang="es-AR"/>
          </a:pPr>
          <a:endParaRPr lang="es-AR"/>
        </a:p>
      </c:txPr>
    </c:legend>
    <c:plotVisOnly val="1"/>
    <c:dispBlanksAs val="zero"/>
  </c:chart>
  <c:printSettings>
    <c:headerFooter/>
    <c:pageMargins b="0.74803149606312513" l="0.70866141732291565" r="0.70866141732291565" t="0.74803149606312513" header="0.3149606299213154" footer="0.3149606299213154"/>
    <c:pageSetup paperSize="5"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TOTAL</a:t>
            </a:r>
            <a:r>
              <a:rPr lang="es-ES" baseline="0"/>
              <a:t> ASIGNADAS</a:t>
            </a:r>
            <a:endParaRPr lang="es-ES"/>
          </a:p>
        </c:rich>
      </c:tx>
    </c:title>
    <c:plotArea>
      <c:layout/>
      <c:pieChart>
        <c:varyColors val="1"/>
        <c:ser>
          <c:idx val="0"/>
          <c:order val="0"/>
          <c:tx>
            <c:strRef>
              <c:f>'Exp por Vocales'!$C$4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Vocales'!$B$5:$B$10</c:f>
              <c:strCache>
                <c:ptCount val="6"/>
                <c:pt idx="0">
                  <c:v>Dra. Solorzano</c:v>
                </c:pt>
                <c:pt idx="1">
                  <c:v>Dr. Arias Nallar</c:v>
                </c:pt>
                <c:pt idx="2">
                  <c:v>Dr. Arancibia</c:v>
                </c:pt>
                <c:pt idx="3">
                  <c:v>Dr. Akemeier</c:v>
                </c:pt>
                <c:pt idx="4">
                  <c:v>Dr. Barrionuevo</c:v>
                </c:pt>
                <c:pt idx="5">
                  <c:v>TOTAL AUD. ASIGNADAS</c:v>
                </c:pt>
              </c:strCache>
            </c:strRef>
          </c:cat>
          <c:val>
            <c:numRef>
              <c:f>'Exp por Vocales'!$C$5:$C$10</c:f>
              <c:numCache>
                <c:formatCode>General</c:formatCode>
                <c:ptCount val="6"/>
                <c:pt idx="0">
                  <c:v>3</c:v>
                </c:pt>
                <c:pt idx="1">
                  <c:v>5</c:v>
                </c:pt>
                <c:pt idx="2">
                  <c:v>2</c:v>
                </c:pt>
                <c:pt idx="3">
                  <c:v>2</c:v>
                </c:pt>
                <c:pt idx="4">
                  <c:v>4</c:v>
                </c:pt>
                <c:pt idx="5">
                  <c:v>16</c:v>
                </c:pt>
              </c:numCache>
            </c:numRef>
          </c:val>
          <c:extLst xmlns:c16r2="http://schemas.microsoft.com/office/drawing/2015/06/chart">
            <c:ext xmlns:c16="http://schemas.microsoft.com/office/drawing/2014/chart" uri="{C3380CC4-5D6E-409C-BE32-E72D297353CC}">
              <c16:uniqueId val="{00000000-9BB8-49E2-9B1B-80B904D2F491}"/>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paperSize="5"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RESUELTAS</a:t>
            </a:r>
          </a:p>
        </c:rich>
      </c:tx>
    </c:title>
    <c:plotArea>
      <c:layout/>
      <c:pieChart>
        <c:varyColors val="1"/>
        <c:ser>
          <c:idx val="0"/>
          <c:order val="0"/>
          <c:tx>
            <c:strRef>
              <c:f>'Exp por Vocales'!$C$24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Vocales'!$B$25:$B$29</c:f>
              <c:strCache>
                <c:ptCount val="5"/>
                <c:pt idx="0">
                  <c:v>Dra. Solorzano</c:v>
                </c:pt>
                <c:pt idx="1">
                  <c:v>Dr. Arias Nallar</c:v>
                </c:pt>
                <c:pt idx="2">
                  <c:v>Dr. Arancibia</c:v>
                </c:pt>
                <c:pt idx="3">
                  <c:v>Dr. Akemeier</c:v>
                </c:pt>
                <c:pt idx="4">
                  <c:v>Dr. Barrionuevo</c:v>
                </c:pt>
              </c:strCache>
            </c:strRef>
          </c:cat>
          <c:val>
            <c:numRef>
              <c:f>'Exp por Vocales'!$C$25:$C$29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12F7-4698-8D9C-D1BD8B7FA6F0}"/>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361950</xdr:colOff>
      <xdr:row>19</xdr:row>
      <xdr:rowOff>152400</xdr:rowOff>
    </xdr:from>
    <xdr:to>
      <xdr:col>7</xdr:col>
      <xdr:colOff>361950</xdr:colOff>
      <xdr:row>36</xdr:row>
      <xdr:rowOff>104775</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409575</xdr:colOff>
      <xdr:row>1</xdr:row>
      <xdr:rowOff>57150</xdr:rowOff>
    </xdr:from>
    <xdr:to>
      <xdr:col>7</xdr:col>
      <xdr:colOff>409575</xdr:colOff>
      <xdr:row>18</xdr:row>
      <xdr:rowOff>9525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390525</xdr:colOff>
      <xdr:row>37</xdr:row>
      <xdr:rowOff>142875</xdr:rowOff>
    </xdr:from>
    <xdr:to>
      <xdr:col>7</xdr:col>
      <xdr:colOff>390525</xdr:colOff>
      <xdr:row>54</xdr:row>
      <xdr:rowOff>133350</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30</xdr:col>
      <xdr:colOff>123265</xdr:colOff>
      <xdr:row>19</xdr:row>
      <xdr:rowOff>243328</xdr:rowOff>
    </xdr:from>
    <xdr:ext cx="1228670" cy="217560"/>
    <xdr:sp macro="" textlink="">
      <xdr:nvSpPr>
        <xdr:cNvPr id="16" name="15 CuadroTexto"/>
        <xdr:cNvSpPr txBox="1"/>
      </xdr:nvSpPr>
      <xdr:spPr>
        <a:xfrm>
          <a:off x="43271515" y="6872728"/>
          <a:ext cx="1228670" cy="217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s-ES" sz="800"/>
            <a:t>Fuente:</a:t>
          </a:r>
          <a:r>
            <a:rPr lang="es-ES" sz="800" baseline="0"/>
            <a:t> registros propios</a:t>
          </a:r>
          <a:endParaRPr lang="es-ES" sz="800"/>
        </a:p>
      </xdr:txBody>
    </xdr:sp>
    <xdr:clientData/>
  </xdr:oneCellAnchor>
  <xdr:twoCellAnchor>
    <xdr:from>
      <xdr:col>24</xdr:col>
      <xdr:colOff>86591</xdr:colOff>
      <xdr:row>42</xdr:row>
      <xdr:rowOff>225136</xdr:rowOff>
    </xdr:from>
    <xdr:to>
      <xdr:col>32</xdr:col>
      <xdr:colOff>522017</xdr:colOff>
      <xdr:row>61</xdr:row>
      <xdr:rowOff>207817</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78441</xdr:colOff>
      <xdr:row>2</xdr:row>
      <xdr:rowOff>89647</xdr:rowOff>
    </xdr:from>
    <xdr:to>
      <xdr:col>11</xdr:col>
      <xdr:colOff>582706</xdr:colOff>
      <xdr:row>19</xdr:row>
      <xdr:rowOff>11206</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361950</xdr:colOff>
      <xdr:row>19</xdr:row>
      <xdr:rowOff>152400</xdr:rowOff>
    </xdr:from>
    <xdr:to>
      <xdr:col>7</xdr:col>
      <xdr:colOff>361950</xdr:colOff>
      <xdr:row>36</xdr:row>
      <xdr:rowOff>104775</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409575</xdr:colOff>
      <xdr:row>1</xdr:row>
      <xdr:rowOff>57150</xdr:rowOff>
    </xdr:from>
    <xdr:to>
      <xdr:col>7</xdr:col>
      <xdr:colOff>409575</xdr:colOff>
      <xdr:row>18</xdr:row>
      <xdr:rowOff>9525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390525</xdr:colOff>
      <xdr:row>37</xdr:row>
      <xdr:rowOff>142875</xdr:rowOff>
    </xdr:from>
    <xdr:to>
      <xdr:col>7</xdr:col>
      <xdr:colOff>390525</xdr:colOff>
      <xdr:row>54</xdr:row>
      <xdr:rowOff>133350</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 val="PLCGar"/>
    </sheetNames>
    <definedNames>
      <definedName name="PintaRosa"/>
      <definedName name="PintaVerde"/>
      <definedName name="PintAzul"/>
    </definedNames>
    <sheetDataSet>
      <sheetData sheetId="0"/>
      <sheetData sheetId="1"/>
      <sheetData sheetId="2"/>
      <sheetData sheetId="3"/>
      <sheetData sheetId="4"/>
      <sheetData sheetId="5"/>
      <sheetData sheetId="6"/>
      <sheetData sheetId="7"/>
      <sheetData sheetId="8"/>
      <sheetData sheetId="9"/>
      <sheetData sheetId="10">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vmlDrawing" Target="../drawings/vmlDrawing1.v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Hoja1"/>
  <dimension ref="A1:AF1212"/>
  <sheetViews>
    <sheetView tabSelected="1" topLeftCell="O1" zoomScaleSheetLayoutView="55" workbookViewId="0">
      <pane ySplit="2" topLeftCell="A155" activePane="bottomLeft" state="frozen"/>
      <selection pane="bottomLeft" activeCell="T157" sqref="T157"/>
    </sheetView>
  </sheetViews>
  <sheetFormatPr baseColWidth="10" defaultColWidth="11.42578125" defaultRowHeight="12.75"/>
  <cols>
    <col min="1" max="1" width="6.85546875" style="44" customWidth="1"/>
    <col min="2" max="2" width="10.7109375" style="2" customWidth="1"/>
    <col min="3" max="3" width="6.7109375" style="1" customWidth="1"/>
    <col min="4" max="4" width="15.7109375" style="1" customWidth="1"/>
    <col min="5" max="5" width="12.140625" style="1" customWidth="1"/>
    <col min="6" max="6" width="20.7109375" style="1" customWidth="1"/>
    <col min="7" max="7" width="17.140625" style="1" bestFit="1" customWidth="1"/>
    <col min="8" max="8" width="20.7109375" style="1" customWidth="1"/>
    <col min="9" max="10" width="20.7109375" style="30" customWidth="1"/>
    <col min="11" max="11" width="14.85546875" style="30" customWidth="1"/>
    <col min="12" max="12" width="20.7109375" style="30" customWidth="1"/>
    <col min="13" max="17" width="20.7109375" style="1" customWidth="1"/>
    <col min="18" max="18" width="14.7109375" style="2" customWidth="1"/>
    <col min="19" max="19" width="17" style="190" customWidth="1"/>
    <col min="20" max="20" width="24.28515625" style="2" bestFit="1" customWidth="1"/>
    <col min="21" max="21" width="61.7109375" style="228" customWidth="1"/>
    <col min="22" max="22" width="16.42578125" style="1" customWidth="1"/>
    <col min="23" max="23" width="11.85546875" style="23" hidden="1" customWidth="1"/>
    <col min="24" max="24" width="10.140625" style="23" hidden="1" customWidth="1"/>
    <col min="25" max="25" width="15.7109375" style="10" customWidth="1"/>
    <col min="26" max="26" width="48" style="122" customWidth="1"/>
    <col min="27" max="27" width="42.5703125" style="122" customWidth="1"/>
    <col min="28" max="28" width="11.42578125" style="22"/>
    <col min="29" max="32" width="11.42578125" style="10"/>
    <col min="33" max="16384" width="11.42578125" style="1"/>
  </cols>
  <sheetData>
    <row r="1" spans="1:32" ht="130.5" customHeight="1" thickBot="1">
      <c r="A1" s="23">
        <v>160</v>
      </c>
      <c r="B1" s="31"/>
      <c r="C1" s="23"/>
      <c r="D1" s="23"/>
      <c r="E1" s="23"/>
      <c r="F1" s="23"/>
      <c r="G1" s="23"/>
      <c r="H1" s="23"/>
      <c r="I1" s="32"/>
      <c r="J1" s="32"/>
      <c r="K1" s="32"/>
      <c r="L1" s="32"/>
      <c r="M1" s="23"/>
      <c r="N1" s="23"/>
      <c r="O1" s="23"/>
      <c r="P1" s="96">
        <v>45120</v>
      </c>
      <c r="Q1" s="23"/>
      <c r="R1" s="31"/>
      <c r="S1" s="179"/>
      <c r="T1" s="31"/>
      <c r="U1" s="209"/>
      <c r="V1" s="23"/>
      <c r="W1" s="96">
        <v>45202</v>
      </c>
      <c r="X1" s="167">
        <v>45218</v>
      </c>
      <c r="Y1" s="168">
        <v>25</v>
      </c>
      <c r="Z1" s="120">
        <v>45098</v>
      </c>
      <c r="AA1" s="120">
        <v>45100</v>
      </c>
    </row>
    <row r="2" spans="1:32" ht="39.950000000000003" customHeight="1" thickBot="1">
      <c r="A2" s="134" t="s">
        <v>3</v>
      </c>
      <c r="B2" s="135" t="s">
        <v>0</v>
      </c>
      <c r="C2" s="136" t="s">
        <v>2</v>
      </c>
      <c r="D2" s="136" t="s">
        <v>83</v>
      </c>
      <c r="E2" s="137" t="s">
        <v>1</v>
      </c>
      <c r="F2" s="138" t="s">
        <v>84</v>
      </c>
      <c r="G2" s="136" t="s">
        <v>85</v>
      </c>
      <c r="H2" s="136" t="s">
        <v>86</v>
      </c>
      <c r="I2" s="137" t="s">
        <v>87</v>
      </c>
      <c r="J2" s="138" t="s">
        <v>88</v>
      </c>
      <c r="K2" s="136" t="s">
        <v>89</v>
      </c>
      <c r="L2" s="137" t="s">
        <v>86</v>
      </c>
      <c r="M2" s="138" t="s">
        <v>51</v>
      </c>
      <c r="N2" s="136" t="s">
        <v>90</v>
      </c>
      <c r="O2" s="136" t="s">
        <v>91</v>
      </c>
      <c r="P2" s="136" t="s">
        <v>92</v>
      </c>
      <c r="Q2" s="136" t="s">
        <v>131</v>
      </c>
      <c r="R2" s="135" t="s">
        <v>1107</v>
      </c>
      <c r="S2" s="180" t="s">
        <v>2</v>
      </c>
      <c r="T2" s="136" t="s">
        <v>93</v>
      </c>
      <c r="U2" s="210" t="s">
        <v>891</v>
      </c>
      <c r="V2" s="139" t="s">
        <v>94</v>
      </c>
      <c r="W2" s="140" t="s">
        <v>57</v>
      </c>
      <c r="X2" s="140"/>
      <c r="Y2" s="141" t="s">
        <v>985</v>
      </c>
      <c r="Z2" s="142" t="s">
        <v>986</v>
      </c>
      <c r="AA2" s="143" t="s">
        <v>987</v>
      </c>
    </row>
    <row r="3" spans="1:32" ht="75">
      <c r="A3" s="125">
        <v>1</v>
      </c>
      <c r="B3" s="126">
        <v>45027</v>
      </c>
      <c r="C3" s="127">
        <v>0.54166666666666663</v>
      </c>
      <c r="D3" s="28" t="s">
        <v>107</v>
      </c>
      <c r="E3" s="48" t="s">
        <v>112</v>
      </c>
      <c r="F3" s="128" t="s">
        <v>146</v>
      </c>
      <c r="G3" s="129">
        <v>21316787</v>
      </c>
      <c r="H3" s="130" t="s">
        <v>147</v>
      </c>
      <c r="I3" s="45" t="s">
        <v>148</v>
      </c>
      <c r="J3" s="130" t="s">
        <v>149</v>
      </c>
      <c r="K3" s="131">
        <v>42446454</v>
      </c>
      <c r="L3" s="45" t="s">
        <v>137</v>
      </c>
      <c r="M3" s="46" t="s">
        <v>138</v>
      </c>
      <c r="N3" s="28"/>
      <c r="O3" s="28"/>
      <c r="P3" s="132" t="s">
        <v>139</v>
      </c>
      <c r="Q3" s="45" t="s">
        <v>140</v>
      </c>
      <c r="R3" s="208">
        <v>45034</v>
      </c>
      <c r="S3" s="181">
        <v>0.45833333333333331</v>
      </c>
      <c r="T3" s="130" t="s">
        <v>165</v>
      </c>
      <c r="U3" s="211" t="s">
        <v>1046</v>
      </c>
      <c r="V3" s="47" t="s">
        <v>141</v>
      </c>
      <c r="W3" s="23" t="str">
        <f t="shared" ref="W3" ca="1" si="0">IF(R3&lt;=TODAY(),"SI","NO")</f>
        <v>SI</v>
      </c>
      <c r="X3" s="23" t="str">
        <f t="shared" ref="X3" si="1">IF($X$1=R3,"DIASOL", "DIANOSOL")</f>
        <v>DIANOSOL</v>
      </c>
      <c r="Y3" s="133" t="s">
        <v>994</v>
      </c>
      <c r="Z3" s="121" t="s">
        <v>1025</v>
      </c>
      <c r="AA3" s="121" t="str">
        <f>IF(Z3&lt;&gt;"",VLOOKUP($Z3,Resultados!$A$1:$B$49,2,FALSE),"")</f>
        <v>Recursos donde se hizo lugar</v>
      </c>
    </row>
    <row r="4" spans="1:32" ht="80.099999999999994" customHeight="1">
      <c r="A4" s="42">
        <v>2</v>
      </c>
      <c r="B4" s="36">
        <v>45028</v>
      </c>
      <c r="C4" s="35">
        <v>0.41666666666666669</v>
      </c>
      <c r="D4" s="6" t="s">
        <v>104</v>
      </c>
      <c r="E4" s="6" t="s">
        <v>113</v>
      </c>
      <c r="F4" s="38" t="s">
        <v>118</v>
      </c>
      <c r="G4" s="57">
        <v>30636137</v>
      </c>
      <c r="H4" s="37" t="s">
        <v>119</v>
      </c>
      <c r="I4" s="37" t="s">
        <v>120</v>
      </c>
      <c r="J4" s="37" t="s">
        <v>142</v>
      </c>
      <c r="K4" s="37"/>
      <c r="L4" s="37"/>
      <c r="M4" s="6" t="s">
        <v>121</v>
      </c>
      <c r="N4" s="49" t="s">
        <v>143</v>
      </c>
      <c r="O4" s="46" t="s">
        <v>144</v>
      </c>
      <c r="P4" s="6"/>
      <c r="Q4" s="49" t="s">
        <v>140</v>
      </c>
      <c r="R4" s="36">
        <v>45035</v>
      </c>
      <c r="S4" s="178" t="s">
        <v>134</v>
      </c>
      <c r="T4" s="6" t="s">
        <v>914</v>
      </c>
      <c r="U4" s="37" t="s">
        <v>1065</v>
      </c>
      <c r="V4" s="6" t="s">
        <v>145</v>
      </c>
      <c r="W4" s="23" t="str">
        <f t="shared" ref="W4:W35" ca="1" si="2">IF(R4&lt;=TODAY(),"SI","NO")</f>
        <v>SI</v>
      </c>
      <c r="X4" s="23" t="str">
        <f t="shared" ref="X4:X35" si="3">IF($X$1=R4,"DIASOL", "DIANOSOL")</f>
        <v>DIANOSOL</v>
      </c>
      <c r="Y4" s="58" t="s">
        <v>994</v>
      </c>
      <c r="Z4" s="121" t="s">
        <v>1018</v>
      </c>
      <c r="AA4" s="121" t="str">
        <f>IF(Z4&lt;&gt;"",VLOOKUP($Z4,Resultados!$A$1:$B$49,2,FALSE),"")</f>
        <v>Recursos Denegados</v>
      </c>
    </row>
    <row r="5" spans="1:32" ht="63.75">
      <c r="A5" s="42">
        <v>3</v>
      </c>
      <c r="B5" s="36">
        <v>45030</v>
      </c>
      <c r="C5" s="35">
        <v>0.54166666666666663</v>
      </c>
      <c r="D5" s="6" t="s">
        <v>105</v>
      </c>
      <c r="E5" s="6" t="s">
        <v>114</v>
      </c>
      <c r="F5" s="38" t="s">
        <v>123</v>
      </c>
      <c r="G5" s="57">
        <v>39219548</v>
      </c>
      <c r="H5" s="37" t="s">
        <v>124</v>
      </c>
      <c r="I5" s="37" t="s">
        <v>150</v>
      </c>
      <c r="J5" s="52" t="s">
        <v>151</v>
      </c>
      <c r="K5" s="53" t="s">
        <v>152</v>
      </c>
      <c r="L5" s="51" t="s">
        <v>153</v>
      </c>
      <c r="M5" s="6" t="s">
        <v>79</v>
      </c>
      <c r="N5" s="6"/>
      <c r="O5" s="6"/>
      <c r="P5" s="50" t="s">
        <v>154</v>
      </c>
      <c r="Q5" s="6" t="s">
        <v>132</v>
      </c>
      <c r="R5" s="36">
        <v>45037</v>
      </c>
      <c r="S5" s="178" t="s">
        <v>135</v>
      </c>
      <c r="T5" s="6" t="s">
        <v>900</v>
      </c>
      <c r="U5" s="37" t="s">
        <v>1060</v>
      </c>
      <c r="V5" s="6" t="s">
        <v>155</v>
      </c>
      <c r="W5" s="34" t="str">
        <f t="shared" ca="1" si="2"/>
        <v>SI</v>
      </c>
      <c r="X5" s="23" t="str">
        <f t="shared" si="3"/>
        <v>DIANOSOL</v>
      </c>
      <c r="Y5" s="58" t="s">
        <v>994</v>
      </c>
      <c r="Z5" s="121" t="s">
        <v>1018</v>
      </c>
      <c r="AA5" s="121" t="str">
        <f>IF(Z5&lt;&gt;"",VLOOKUP($Z5,Resultados!$A$1:$B$49,2,FALSE),"")</f>
        <v>Recursos Denegados</v>
      </c>
    </row>
    <row r="6" spans="1:32" ht="105">
      <c r="A6" s="42">
        <v>4</v>
      </c>
      <c r="B6" s="36">
        <v>45033</v>
      </c>
      <c r="C6" s="35">
        <v>0.54166666666666663</v>
      </c>
      <c r="D6" s="6" t="s">
        <v>104</v>
      </c>
      <c r="E6" s="6" t="s">
        <v>115</v>
      </c>
      <c r="F6" s="38" t="s">
        <v>161</v>
      </c>
      <c r="G6" s="57">
        <v>13272223</v>
      </c>
      <c r="H6" s="37" t="s">
        <v>162</v>
      </c>
      <c r="I6" s="37" t="s">
        <v>127</v>
      </c>
      <c r="J6" s="52" t="s">
        <v>156</v>
      </c>
      <c r="K6" s="52" t="s">
        <v>157</v>
      </c>
      <c r="L6" s="177" t="s">
        <v>158</v>
      </c>
      <c r="M6" s="6" t="s">
        <v>68</v>
      </c>
      <c r="N6" s="6"/>
      <c r="O6" s="6"/>
      <c r="P6" s="52" t="s">
        <v>38</v>
      </c>
      <c r="Q6" s="6" t="s">
        <v>132</v>
      </c>
      <c r="R6" s="36">
        <v>45051</v>
      </c>
      <c r="S6" s="178">
        <v>0.375</v>
      </c>
      <c r="T6" s="36" t="s">
        <v>901</v>
      </c>
      <c r="U6" s="212" t="s">
        <v>1205</v>
      </c>
      <c r="V6" s="56" t="s">
        <v>166</v>
      </c>
      <c r="W6" s="34" t="str">
        <f t="shared" ca="1" si="2"/>
        <v>SI</v>
      </c>
      <c r="X6" s="23" t="str">
        <f t="shared" si="3"/>
        <v>DIANOSOL</v>
      </c>
      <c r="Y6" s="58" t="s">
        <v>994</v>
      </c>
      <c r="Z6" s="121" t="s">
        <v>1028</v>
      </c>
      <c r="AA6" s="121" t="str">
        <f>IF(Z6&lt;&gt;"",VLOOKUP($Z6,Resultados!$A$1:$B$49,2,FALSE),"")</f>
        <v>Recursos rechazados</v>
      </c>
    </row>
    <row r="7" spans="1:32" ht="105">
      <c r="A7" s="42">
        <v>5</v>
      </c>
      <c r="B7" s="36">
        <v>45033</v>
      </c>
      <c r="C7" s="35">
        <v>0.54166666666666663</v>
      </c>
      <c r="D7" s="6" t="s">
        <v>104</v>
      </c>
      <c r="E7" s="6" t="s">
        <v>115</v>
      </c>
      <c r="F7" s="37" t="s">
        <v>125</v>
      </c>
      <c r="G7" s="57">
        <v>35044071</v>
      </c>
      <c r="H7" s="37" t="s">
        <v>126</v>
      </c>
      <c r="I7" s="37" t="s">
        <v>127</v>
      </c>
      <c r="J7" s="52" t="s">
        <v>156</v>
      </c>
      <c r="K7" s="52" t="s">
        <v>157</v>
      </c>
      <c r="L7" s="177" t="s">
        <v>158</v>
      </c>
      <c r="M7" s="6" t="s">
        <v>159</v>
      </c>
      <c r="N7" s="6"/>
      <c r="O7" s="6"/>
      <c r="P7" s="6" t="s">
        <v>38</v>
      </c>
      <c r="Q7" s="6" t="s">
        <v>132</v>
      </c>
      <c r="R7" s="36">
        <v>45051</v>
      </c>
      <c r="S7" s="178">
        <v>0.375</v>
      </c>
      <c r="T7" s="36" t="s">
        <v>901</v>
      </c>
      <c r="U7" s="37" t="s">
        <v>1097</v>
      </c>
      <c r="V7" s="6" t="s">
        <v>194</v>
      </c>
      <c r="W7" s="34" t="str">
        <f t="shared" ca="1" si="2"/>
        <v>SI</v>
      </c>
      <c r="X7" s="23" t="str">
        <f t="shared" si="3"/>
        <v>DIANOSOL</v>
      </c>
      <c r="Y7" s="58" t="s">
        <v>994</v>
      </c>
      <c r="Z7" s="121" t="s">
        <v>1028</v>
      </c>
      <c r="AA7" s="121" t="str">
        <f>IF(Z7&lt;&gt;"",VLOOKUP($Z7,Resultados!$A$1:$B$49,2,FALSE),"")</f>
        <v>Recursos rechazados</v>
      </c>
    </row>
    <row r="8" spans="1:32" ht="63.75">
      <c r="A8" s="43">
        <v>6</v>
      </c>
      <c r="B8" s="36">
        <v>45037</v>
      </c>
      <c r="C8" s="35">
        <v>0.54166666666666663</v>
      </c>
      <c r="D8" s="40" t="s">
        <v>106</v>
      </c>
      <c r="E8" s="6" t="s">
        <v>116</v>
      </c>
      <c r="F8" s="38" t="s">
        <v>128</v>
      </c>
      <c r="G8" s="57">
        <v>37745789</v>
      </c>
      <c r="H8" s="37" t="s">
        <v>129</v>
      </c>
      <c r="I8" s="37" t="s">
        <v>130</v>
      </c>
      <c r="J8" s="41" t="s">
        <v>163</v>
      </c>
      <c r="K8" s="54">
        <v>44328616</v>
      </c>
      <c r="L8" s="41" t="s">
        <v>164</v>
      </c>
      <c r="M8" s="40" t="s">
        <v>80</v>
      </c>
      <c r="N8" s="40"/>
      <c r="O8" s="40"/>
      <c r="P8" s="40" t="s">
        <v>13</v>
      </c>
      <c r="Q8" s="40" t="s">
        <v>132</v>
      </c>
      <c r="R8" s="36">
        <v>45050</v>
      </c>
      <c r="S8" s="178">
        <v>0.45833333333333331</v>
      </c>
      <c r="T8" s="55" t="s">
        <v>165</v>
      </c>
      <c r="U8" s="41" t="s">
        <v>1204</v>
      </c>
      <c r="V8" s="56" t="s">
        <v>193</v>
      </c>
      <c r="W8" s="34" t="str">
        <f t="shared" ca="1" si="2"/>
        <v>SI</v>
      </c>
      <c r="X8" s="23" t="str">
        <f t="shared" si="3"/>
        <v>DIANOSOL</v>
      </c>
      <c r="Y8" s="58" t="s">
        <v>994</v>
      </c>
      <c r="Z8" s="121" t="s">
        <v>1062</v>
      </c>
      <c r="AA8" s="121" t="str">
        <f>IF(Z8&lt;&gt;"",VLOOKUP($Z8,Resultados!$A$1:$B$49,2,FALSE),"")</f>
        <v>Recursos donde se hizo lugar</v>
      </c>
    </row>
    <row r="9" spans="1:32" ht="39.950000000000003" customHeight="1">
      <c r="A9" s="6">
        <v>7</v>
      </c>
      <c r="B9" s="56">
        <v>45056</v>
      </c>
      <c r="C9" s="35">
        <v>0.5</v>
      </c>
      <c r="D9" s="6" t="s">
        <v>106</v>
      </c>
      <c r="E9" s="6" t="s">
        <v>167</v>
      </c>
      <c r="F9" s="38" t="s">
        <v>168</v>
      </c>
      <c r="G9" s="57">
        <v>43950336</v>
      </c>
      <c r="H9" s="6" t="s">
        <v>169</v>
      </c>
      <c r="I9" s="37" t="s">
        <v>170</v>
      </c>
      <c r="J9" s="37" t="s">
        <v>171</v>
      </c>
      <c r="K9" s="39">
        <v>42503697</v>
      </c>
      <c r="L9" s="37" t="s">
        <v>172</v>
      </c>
      <c r="M9" s="6" t="s">
        <v>173</v>
      </c>
      <c r="N9" s="6" t="s">
        <v>174</v>
      </c>
      <c r="O9" s="6"/>
      <c r="P9" s="6" t="s">
        <v>14</v>
      </c>
      <c r="Q9" s="6" t="s">
        <v>136</v>
      </c>
      <c r="R9" s="36">
        <v>45068</v>
      </c>
      <c r="S9" s="178">
        <v>0.375</v>
      </c>
      <c r="T9" s="6" t="s">
        <v>902</v>
      </c>
      <c r="U9" s="212" t="s">
        <v>1061</v>
      </c>
      <c r="V9" s="6" t="s">
        <v>193</v>
      </c>
      <c r="W9" s="34" t="str">
        <f t="shared" ca="1" si="2"/>
        <v>SI</v>
      </c>
      <c r="X9" s="23" t="str">
        <f t="shared" si="3"/>
        <v>DIANOSOL</v>
      </c>
      <c r="Y9" s="58" t="s">
        <v>994</v>
      </c>
      <c r="Z9" s="121" t="s">
        <v>1018</v>
      </c>
      <c r="AA9" s="121" t="str">
        <f>IF(Z9&lt;&gt;"",VLOOKUP($Z9,Resultados!$A$1:$B$49,2,FALSE),"")</f>
        <v>Recursos Denegados</v>
      </c>
    </row>
    <row r="10" spans="1:32" ht="63.75">
      <c r="A10" s="42">
        <v>8</v>
      </c>
      <c r="B10" s="36">
        <v>45056</v>
      </c>
      <c r="C10" s="35">
        <v>0.54166666666666663</v>
      </c>
      <c r="D10" s="6" t="s">
        <v>107</v>
      </c>
      <c r="E10" s="6" t="s">
        <v>176</v>
      </c>
      <c r="F10" s="59" t="s">
        <v>177</v>
      </c>
      <c r="G10" s="6" t="s">
        <v>178</v>
      </c>
      <c r="H10" s="6" t="s">
        <v>180</v>
      </c>
      <c r="I10" s="37" t="s">
        <v>181</v>
      </c>
      <c r="J10" s="37" t="s">
        <v>182</v>
      </c>
      <c r="K10" s="39">
        <v>44500177</v>
      </c>
      <c r="L10" s="37" t="s">
        <v>183</v>
      </c>
      <c r="M10" s="6" t="s">
        <v>184</v>
      </c>
      <c r="N10" s="6"/>
      <c r="O10" s="6"/>
      <c r="P10" s="6" t="s">
        <v>45</v>
      </c>
      <c r="Q10" s="6" t="s">
        <v>136</v>
      </c>
      <c r="R10" s="36">
        <v>45065</v>
      </c>
      <c r="S10" s="178">
        <v>0.375</v>
      </c>
      <c r="T10" s="36" t="s">
        <v>192</v>
      </c>
      <c r="U10" s="212" t="s">
        <v>1074</v>
      </c>
      <c r="V10" s="6" t="s">
        <v>202</v>
      </c>
      <c r="W10" s="34" t="str">
        <f t="shared" ca="1" si="2"/>
        <v>SI</v>
      </c>
      <c r="X10" s="23" t="str">
        <f t="shared" si="3"/>
        <v>DIANOSOL</v>
      </c>
      <c r="Y10" s="58" t="s">
        <v>994</v>
      </c>
      <c r="Z10" s="121" t="s">
        <v>1019</v>
      </c>
      <c r="AA10" s="121" t="str">
        <f>IF(Z10&lt;&gt;"",VLOOKUP($Z10,Resultados!$A$1:$B$49,2,FALSE),"")</f>
        <v>Recursos donde se hizo lugar</v>
      </c>
    </row>
    <row r="11" spans="1:32" s="4" customFormat="1" ht="89.25">
      <c r="A11" s="42">
        <v>9</v>
      </c>
      <c r="B11" s="36">
        <v>45062</v>
      </c>
      <c r="C11" s="35">
        <v>0.54166666666666663</v>
      </c>
      <c r="D11" s="6" t="s">
        <v>104</v>
      </c>
      <c r="E11" s="6" t="s">
        <v>185</v>
      </c>
      <c r="F11" s="59" t="s">
        <v>186</v>
      </c>
      <c r="G11" s="57">
        <v>34254020</v>
      </c>
      <c r="H11" s="6" t="s">
        <v>187</v>
      </c>
      <c r="I11" s="6" t="s">
        <v>188</v>
      </c>
      <c r="J11" s="37" t="s">
        <v>189</v>
      </c>
      <c r="K11" s="37" t="s">
        <v>190</v>
      </c>
      <c r="L11" s="37" t="s">
        <v>191</v>
      </c>
      <c r="M11" s="6" t="s">
        <v>68</v>
      </c>
      <c r="N11" s="6"/>
      <c r="O11" s="6"/>
      <c r="P11" s="6" t="s">
        <v>38</v>
      </c>
      <c r="Q11" s="6" t="s">
        <v>132</v>
      </c>
      <c r="R11" s="36">
        <v>45070</v>
      </c>
      <c r="S11" s="178">
        <v>0.375</v>
      </c>
      <c r="T11" s="36" t="s">
        <v>903</v>
      </c>
      <c r="U11" s="212" t="s">
        <v>1075</v>
      </c>
      <c r="V11" s="6" t="s">
        <v>218</v>
      </c>
      <c r="W11" s="34" t="str">
        <f t="shared" ca="1" si="2"/>
        <v>SI</v>
      </c>
      <c r="X11" s="23" t="str">
        <f t="shared" si="3"/>
        <v>DIANOSOL</v>
      </c>
      <c r="Y11" s="6" t="s">
        <v>994</v>
      </c>
      <c r="Z11" s="121" t="s">
        <v>1018</v>
      </c>
      <c r="AA11" s="121" t="str">
        <f>IF(Z11&lt;&gt;"",VLOOKUP($Z11,Resultados!$A$1:$B$49,2,FALSE),"")</f>
        <v>Recursos Denegados</v>
      </c>
      <c r="AB11" s="22"/>
      <c r="AC11" s="22"/>
      <c r="AD11" s="22"/>
      <c r="AE11" s="22"/>
      <c r="AF11" s="22"/>
    </row>
    <row r="12" spans="1:32" ht="76.5">
      <c r="A12" s="42">
        <v>10</v>
      </c>
      <c r="B12" s="36">
        <v>45083</v>
      </c>
      <c r="C12" s="35">
        <v>0.54166666666666663</v>
      </c>
      <c r="D12" s="6" t="s">
        <v>105</v>
      </c>
      <c r="E12" s="6" t="s">
        <v>195</v>
      </c>
      <c r="F12" s="59" t="s">
        <v>196</v>
      </c>
      <c r="G12" s="57">
        <v>28738603</v>
      </c>
      <c r="H12" s="6" t="s">
        <v>197</v>
      </c>
      <c r="I12" s="37" t="s">
        <v>198</v>
      </c>
      <c r="J12" s="37" t="s">
        <v>199</v>
      </c>
      <c r="K12" s="37"/>
      <c r="L12" s="37"/>
      <c r="M12" s="6" t="s">
        <v>200</v>
      </c>
      <c r="N12" s="6"/>
      <c r="O12" s="6" t="s">
        <v>201</v>
      </c>
      <c r="P12" s="6" t="s">
        <v>34</v>
      </c>
      <c r="Q12" s="6" t="s">
        <v>133</v>
      </c>
      <c r="R12" s="36">
        <v>45089</v>
      </c>
      <c r="S12" s="178">
        <v>0.45833333333333331</v>
      </c>
      <c r="T12" s="36" t="s">
        <v>915</v>
      </c>
      <c r="U12" s="212" t="s">
        <v>1078</v>
      </c>
      <c r="V12" s="56" t="s">
        <v>219</v>
      </c>
      <c r="W12" s="34" t="str">
        <f t="shared" ca="1" si="2"/>
        <v>SI</v>
      </c>
      <c r="X12" s="23" t="str">
        <f t="shared" si="3"/>
        <v>DIANOSOL</v>
      </c>
      <c r="Y12" s="58" t="s">
        <v>994</v>
      </c>
      <c r="Z12" s="121" t="s">
        <v>1018</v>
      </c>
      <c r="AA12" s="121" t="str">
        <f>IF(Z12&lt;&gt;"",VLOOKUP($Z12,Resultados!$A$1:$B$49,2,FALSE),"")</f>
        <v>Recursos Denegados</v>
      </c>
    </row>
    <row r="13" spans="1:32" ht="38.25">
      <c r="A13" s="42">
        <v>11</v>
      </c>
      <c r="B13" s="36">
        <v>45090</v>
      </c>
      <c r="C13" s="35">
        <v>0.54166666666666663</v>
      </c>
      <c r="D13" s="6" t="s">
        <v>108</v>
      </c>
      <c r="E13" s="6" t="s">
        <v>203</v>
      </c>
      <c r="F13" s="59" t="s">
        <v>204</v>
      </c>
      <c r="G13" s="57">
        <v>22207116</v>
      </c>
      <c r="H13" s="6" t="s">
        <v>205</v>
      </c>
      <c r="I13" s="37" t="s">
        <v>206</v>
      </c>
      <c r="J13" s="37" t="s">
        <v>207</v>
      </c>
      <c r="K13" s="39">
        <v>28486383</v>
      </c>
      <c r="L13" s="37"/>
      <c r="M13" s="6" t="s">
        <v>208</v>
      </c>
      <c r="N13" s="6"/>
      <c r="O13" s="6"/>
      <c r="P13" s="6" t="s">
        <v>14</v>
      </c>
      <c r="Q13" s="6" t="s">
        <v>132</v>
      </c>
      <c r="R13" s="60">
        <v>45098</v>
      </c>
      <c r="S13" s="178">
        <v>0.33333333333333331</v>
      </c>
      <c r="T13" s="36" t="s">
        <v>209</v>
      </c>
      <c r="U13" s="212" t="s">
        <v>926</v>
      </c>
      <c r="V13" s="6"/>
      <c r="W13" s="34" t="str">
        <f t="shared" ca="1" si="2"/>
        <v>SI</v>
      </c>
      <c r="X13" s="23" t="str">
        <f t="shared" si="3"/>
        <v>DIANOSOL</v>
      </c>
      <c r="Y13" s="58" t="s">
        <v>1002</v>
      </c>
      <c r="Z13" s="121" t="s">
        <v>1044</v>
      </c>
      <c r="AA13" s="121" t="str">
        <f>IF(Z13&lt;&gt;"",VLOOKUP($Z13,Resultados!$A$1:$B$49,2,FALSE),"")</f>
        <v xml:space="preserve">Otros </v>
      </c>
    </row>
    <row r="14" spans="1:32" ht="102">
      <c r="A14" s="42">
        <v>12</v>
      </c>
      <c r="B14" s="36">
        <v>45092</v>
      </c>
      <c r="C14" s="35">
        <v>0.54166666666666663</v>
      </c>
      <c r="D14" s="6" t="s">
        <v>108</v>
      </c>
      <c r="E14" s="6" t="s">
        <v>210</v>
      </c>
      <c r="F14" s="59" t="s">
        <v>211</v>
      </c>
      <c r="G14" s="57">
        <v>33648761</v>
      </c>
      <c r="H14" s="6" t="s">
        <v>212</v>
      </c>
      <c r="I14" s="37" t="s">
        <v>213</v>
      </c>
      <c r="J14" s="37" t="s">
        <v>214</v>
      </c>
      <c r="K14" s="39">
        <v>37420366</v>
      </c>
      <c r="L14" s="37"/>
      <c r="M14" s="6" t="s">
        <v>215</v>
      </c>
      <c r="N14" s="6"/>
      <c r="O14" s="6" t="s">
        <v>96</v>
      </c>
      <c r="P14" s="6" t="s">
        <v>216</v>
      </c>
      <c r="Q14" s="6" t="s">
        <v>136</v>
      </c>
      <c r="R14" s="36">
        <v>45103</v>
      </c>
      <c r="S14" s="178">
        <v>0.39583333333333331</v>
      </c>
      <c r="T14" s="36" t="s">
        <v>925</v>
      </c>
      <c r="U14" s="212" t="s">
        <v>1047</v>
      </c>
      <c r="V14" s="6"/>
      <c r="W14" s="34" t="str">
        <f t="shared" ca="1" si="2"/>
        <v>SI</v>
      </c>
      <c r="X14" s="23" t="str">
        <f t="shared" si="3"/>
        <v>DIANOSOL</v>
      </c>
      <c r="Y14" s="58" t="s">
        <v>994</v>
      </c>
      <c r="Z14" s="121" t="s">
        <v>1076</v>
      </c>
      <c r="AA14" s="121" t="str">
        <f>IF(Z14&lt;&gt;"",VLOOKUP($Z14,Resultados!$A$1:$B$49,2,FALSE),"")</f>
        <v>Recursos denegados - Mantiene arresto domiciliario</v>
      </c>
    </row>
    <row r="15" spans="1:32" ht="89.25">
      <c r="A15" s="42">
        <v>13</v>
      </c>
      <c r="B15" s="36">
        <v>45100</v>
      </c>
      <c r="C15" s="35">
        <v>0.54166666666666663</v>
      </c>
      <c r="D15" s="6" t="s">
        <v>108</v>
      </c>
      <c r="E15" s="6" t="s">
        <v>220</v>
      </c>
      <c r="F15" s="59" t="s">
        <v>221</v>
      </c>
      <c r="G15" s="57">
        <v>32060704</v>
      </c>
      <c r="H15" s="6" t="s">
        <v>222</v>
      </c>
      <c r="I15" s="37" t="s">
        <v>223</v>
      </c>
      <c r="J15" s="37" t="s">
        <v>224</v>
      </c>
      <c r="K15" s="37"/>
      <c r="L15" s="37" t="s">
        <v>225</v>
      </c>
      <c r="M15" s="6" t="s">
        <v>217</v>
      </c>
      <c r="N15" s="6"/>
      <c r="O15" s="6"/>
      <c r="P15" s="6"/>
      <c r="Q15" s="6" t="s">
        <v>133</v>
      </c>
      <c r="R15" s="36">
        <v>45110</v>
      </c>
      <c r="S15" s="178">
        <v>0.4375</v>
      </c>
      <c r="T15" s="36" t="s">
        <v>918</v>
      </c>
      <c r="U15" s="212" t="s">
        <v>1080</v>
      </c>
      <c r="V15" s="6"/>
      <c r="W15" s="34" t="str">
        <f t="shared" ca="1" si="2"/>
        <v>SI</v>
      </c>
      <c r="X15" s="23" t="str">
        <f t="shared" si="3"/>
        <v>DIANOSOL</v>
      </c>
      <c r="Y15" s="58" t="s">
        <v>994</v>
      </c>
      <c r="Z15" s="121" t="s">
        <v>1042</v>
      </c>
      <c r="AA15" s="121" t="str">
        <f>IF(Z15&lt;&gt;"",VLOOKUP($Z15,Resultados!$A$1:$B$49,2,FALSE),"")</f>
        <v>Recursos Abstractos</v>
      </c>
    </row>
    <row r="16" spans="1:32" ht="51">
      <c r="A16" s="42">
        <v>14</v>
      </c>
      <c r="B16" s="36">
        <v>45105</v>
      </c>
      <c r="C16" s="35">
        <v>0.54166666666666663</v>
      </c>
      <c r="D16" s="178" t="s">
        <v>104</v>
      </c>
      <c r="E16" s="6" t="s">
        <v>231</v>
      </c>
      <c r="F16" s="59" t="s">
        <v>232</v>
      </c>
      <c r="G16" s="57">
        <v>25140448</v>
      </c>
      <c r="H16" s="6" t="s">
        <v>233</v>
      </c>
      <c r="I16" s="37" t="s">
        <v>234</v>
      </c>
      <c r="J16" s="37" t="s">
        <v>235</v>
      </c>
      <c r="K16" s="39">
        <v>26953389</v>
      </c>
      <c r="L16" s="37" t="s">
        <v>236</v>
      </c>
      <c r="M16" s="6" t="s">
        <v>208</v>
      </c>
      <c r="N16" s="6"/>
      <c r="O16" s="6"/>
      <c r="P16" s="6" t="s">
        <v>216</v>
      </c>
      <c r="Q16" s="6" t="s">
        <v>132</v>
      </c>
      <c r="R16" s="36">
        <v>45113</v>
      </c>
      <c r="S16" s="178">
        <v>0.33333333333333331</v>
      </c>
      <c r="T16" s="36" t="s">
        <v>254</v>
      </c>
      <c r="U16" s="212"/>
      <c r="V16" s="6"/>
      <c r="W16" s="34" t="str">
        <f t="shared" ca="1" si="2"/>
        <v>SI</v>
      </c>
      <c r="X16" s="23" t="str">
        <f t="shared" si="3"/>
        <v>DIANOSOL</v>
      </c>
      <c r="Y16" s="58" t="s">
        <v>994</v>
      </c>
      <c r="Z16" s="121" t="s">
        <v>1018</v>
      </c>
      <c r="AA16" s="121" t="str">
        <f>IF(Z16&lt;&gt;"",VLOOKUP($Z16,Resultados!$A$1:$B$49,2,FALSE),"")</f>
        <v>Recursos Denegados</v>
      </c>
    </row>
    <row r="17" spans="1:27" ht="38.25">
      <c r="A17" s="42">
        <v>15</v>
      </c>
      <c r="B17" s="36">
        <v>45105</v>
      </c>
      <c r="C17" s="35">
        <v>0.54166666666666663</v>
      </c>
      <c r="D17" s="6" t="s">
        <v>108</v>
      </c>
      <c r="E17" s="6" t="s">
        <v>238</v>
      </c>
      <c r="F17" s="59" t="s">
        <v>239</v>
      </c>
      <c r="G17" s="6"/>
      <c r="H17" s="6"/>
      <c r="I17" s="37" t="s">
        <v>240</v>
      </c>
      <c r="J17" s="37"/>
      <c r="K17" s="37"/>
      <c r="L17" s="37"/>
      <c r="M17" s="6" t="s">
        <v>241</v>
      </c>
      <c r="N17" s="6"/>
      <c r="O17" s="6"/>
      <c r="P17" s="6"/>
      <c r="Q17" s="6" t="s">
        <v>136</v>
      </c>
      <c r="R17" s="36">
        <v>45112</v>
      </c>
      <c r="S17" s="178">
        <v>0.52083333333333337</v>
      </c>
      <c r="T17" s="36" t="s">
        <v>927</v>
      </c>
      <c r="U17" s="212" t="s">
        <v>1057</v>
      </c>
      <c r="V17" s="6"/>
      <c r="W17" s="34" t="str">
        <f t="shared" ca="1" si="2"/>
        <v>SI</v>
      </c>
      <c r="X17" s="23" t="str">
        <f t="shared" si="3"/>
        <v>DIANOSOL</v>
      </c>
      <c r="Y17" s="58" t="s">
        <v>994</v>
      </c>
      <c r="Z17" s="121" t="s">
        <v>1018</v>
      </c>
      <c r="AA17" s="121" t="str">
        <f>IF(Z17&lt;&gt;"",VLOOKUP($Z17,Resultados!$A$1:$B$49,2,FALSE),"")</f>
        <v>Recursos Denegados</v>
      </c>
    </row>
    <row r="18" spans="1:27" ht="60">
      <c r="A18" s="42">
        <v>16</v>
      </c>
      <c r="B18" s="36">
        <v>45105</v>
      </c>
      <c r="C18" s="35">
        <v>0.54166666666666663</v>
      </c>
      <c r="D18" s="6" t="s">
        <v>242</v>
      </c>
      <c r="E18" s="6" t="s">
        <v>243</v>
      </c>
      <c r="F18" s="59" t="s">
        <v>244</v>
      </c>
      <c r="G18" s="57">
        <v>32242314</v>
      </c>
      <c r="H18" s="6"/>
      <c r="I18" s="61" t="s">
        <v>245</v>
      </c>
      <c r="J18" s="61"/>
      <c r="K18" s="61"/>
      <c r="L18" s="61"/>
      <c r="M18" s="6" t="s">
        <v>246</v>
      </c>
      <c r="N18" s="6"/>
      <c r="O18" s="6"/>
      <c r="P18" s="6" t="s">
        <v>53</v>
      </c>
      <c r="Q18" s="6" t="s">
        <v>133</v>
      </c>
      <c r="R18" s="36">
        <v>45112</v>
      </c>
      <c r="S18" s="178">
        <v>0.39583333333333331</v>
      </c>
      <c r="T18" s="36" t="s">
        <v>192</v>
      </c>
      <c r="U18" s="212" t="s">
        <v>1079</v>
      </c>
      <c r="V18" s="56" t="s">
        <v>302</v>
      </c>
      <c r="W18" s="34" t="str">
        <f t="shared" ca="1" si="2"/>
        <v>SI</v>
      </c>
      <c r="X18" s="23" t="str">
        <f t="shared" si="3"/>
        <v>DIANOSOL</v>
      </c>
      <c r="Y18" s="58" t="s">
        <v>994</v>
      </c>
      <c r="Z18" s="121" t="s">
        <v>1019</v>
      </c>
      <c r="AA18" s="121" t="str">
        <f>IF(Z18&lt;&gt;"",VLOOKUP($Z18,Resultados!$A$1:$B$49,2,FALSE),"")</f>
        <v>Recursos donde se hizo lugar</v>
      </c>
    </row>
    <row r="19" spans="1:27" ht="39.950000000000003" customHeight="1">
      <c r="A19" s="42">
        <v>17</v>
      </c>
      <c r="B19" s="36">
        <v>45112</v>
      </c>
      <c r="C19" s="35">
        <v>0.54166666666666663</v>
      </c>
      <c r="D19" s="6" t="s">
        <v>107</v>
      </c>
      <c r="E19" s="6" t="s">
        <v>1056</v>
      </c>
      <c r="F19" s="59" t="s">
        <v>247</v>
      </c>
      <c r="G19" s="57">
        <v>24888196</v>
      </c>
      <c r="H19" s="6" t="s">
        <v>248</v>
      </c>
      <c r="I19" s="37" t="s">
        <v>249</v>
      </c>
      <c r="J19" s="37" t="s">
        <v>250</v>
      </c>
      <c r="K19" s="39">
        <v>34184408</v>
      </c>
      <c r="L19" s="37" t="s">
        <v>251</v>
      </c>
      <c r="M19" s="6" t="s">
        <v>253</v>
      </c>
      <c r="N19" s="6"/>
      <c r="O19" s="6"/>
      <c r="P19" s="6" t="s">
        <v>31</v>
      </c>
      <c r="Q19" s="6" t="s">
        <v>136</v>
      </c>
      <c r="R19" s="36">
        <v>45117</v>
      </c>
      <c r="S19" s="178">
        <v>0.39583333333333331</v>
      </c>
      <c r="T19" s="36" t="s">
        <v>904</v>
      </c>
      <c r="U19" s="213"/>
      <c r="V19" s="40"/>
      <c r="W19" s="34" t="str">
        <f t="shared" ca="1" si="2"/>
        <v>SI</v>
      </c>
      <c r="X19" s="23" t="str">
        <f t="shared" si="3"/>
        <v>DIANOSOL</v>
      </c>
      <c r="Y19" s="58" t="s">
        <v>994</v>
      </c>
      <c r="Z19" s="121" t="s">
        <v>1018</v>
      </c>
      <c r="AA19" s="121" t="str">
        <f>IF(Z19&lt;&gt;"",VLOOKUP($Z19,Resultados!$A$1:$B$49,2,FALSE),"")</f>
        <v>Recursos Denegados</v>
      </c>
    </row>
    <row r="20" spans="1:27" ht="63.75">
      <c r="A20" s="42">
        <v>18</v>
      </c>
      <c r="B20" s="36">
        <v>45113</v>
      </c>
      <c r="C20" s="35">
        <v>0.54166666666666663</v>
      </c>
      <c r="D20" s="6" t="s">
        <v>226</v>
      </c>
      <c r="E20" s="6" t="s">
        <v>339</v>
      </c>
      <c r="F20" s="59" t="s">
        <v>299</v>
      </c>
      <c r="G20" s="57"/>
      <c r="I20" s="6" t="s">
        <v>300</v>
      </c>
      <c r="J20" s="37" t="s">
        <v>301</v>
      </c>
      <c r="K20" s="39"/>
      <c r="L20" s="37"/>
      <c r="M20" s="6" t="s">
        <v>217</v>
      </c>
      <c r="N20" s="6"/>
      <c r="O20" s="6" t="s">
        <v>98</v>
      </c>
      <c r="P20" s="6"/>
      <c r="Q20" s="6" t="s">
        <v>136</v>
      </c>
      <c r="R20" s="69">
        <v>45121</v>
      </c>
      <c r="S20" s="178">
        <v>0.45833333333333331</v>
      </c>
      <c r="T20" s="36" t="s">
        <v>254</v>
      </c>
      <c r="U20" s="213" t="s">
        <v>1091</v>
      </c>
      <c r="V20" s="58" t="s">
        <v>330</v>
      </c>
      <c r="W20" s="34" t="str">
        <f t="shared" ca="1" si="2"/>
        <v>SI</v>
      </c>
      <c r="X20" s="23" t="str">
        <f t="shared" si="3"/>
        <v>DIANOSOL</v>
      </c>
      <c r="Y20" s="58" t="s">
        <v>994</v>
      </c>
      <c r="Z20" s="121" t="s">
        <v>1018</v>
      </c>
      <c r="AA20" s="121" t="str">
        <f>IF(Z20&lt;&gt;"",VLOOKUP($Z20,Resultados!$A$1:$B$49,2,FALSE),"")</f>
        <v>Recursos Denegados</v>
      </c>
    </row>
    <row r="21" spans="1:27" ht="39.950000000000003" customHeight="1">
      <c r="A21" s="42">
        <v>19</v>
      </c>
      <c r="B21" s="36">
        <v>45113</v>
      </c>
      <c r="C21" s="178">
        <v>0.54166666666666663</v>
      </c>
      <c r="D21" s="6" t="s">
        <v>230</v>
      </c>
      <c r="E21" s="6" t="s">
        <v>304</v>
      </c>
      <c r="F21" s="6" t="s">
        <v>255</v>
      </c>
      <c r="G21" s="6"/>
      <c r="H21" s="6"/>
      <c r="I21" s="37">
        <v>659</v>
      </c>
      <c r="J21" s="37"/>
      <c r="K21" s="37"/>
      <c r="L21" s="37"/>
      <c r="M21" s="6" t="s">
        <v>253</v>
      </c>
      <c r="N21" s="6"/>
      <c r="O21" s="6"/>
      <c r="P21" s="6"/>
      <c r="Q21" s="6" t="s">
        <v>132</v>
      </c>
      <c r="R21" s="36">
        <v>45118</v>
      </c>
      <c r="S21" s="178">
        <v>0.39583333333333331</v>
      </c>
      <c r="T21" s="36" t="s">
        <v>192</v>
      </c>
      <c r="U21" s="213"/>
      <c r="V21" s="40"/>
      <c r="W21" s="34" t="str">
        <f t="shared" ca="1" si="2"/>
        <v>SI</v>
      </c>
      <c r="X21" s="23" t="str">
        <f t="shared" si="3"/>
        <v>DIANOSOL</v>
      </c>
      <c r="Y21" s="58" t="s">
        <v>994</v>
      </c>
      <c r="Z21" s="121" t="s">
        <v>1019</v>
      </c>
      <c r="AA21" s="121" t="str">
        <f>IF(Z21&lt;&gt;"",VLOOKUP($Z21,Resultados!$A$1:$B$49,2,FALSE),"")</f>
        <v>Recursos donde se hizo lugar</v>
      </c>
    </row>
    <row r="22" spans="1:27" ht="38.25">
      <c r="A22" s="63">
        <v>20</v>
      </c>
      <c r="B22" s="60">
        <v>45113</v>
      </c>
      <c r="C22" s="64">
        <v>0.54166666666666663</v>
      </c>
      <c r="D22" s="40" t="s">
        <v>226</v>
      </c>
      <c r="E22" s="58" t="s">
        <v>303</v>
      </c>
      <c r="F22" s="58" t="s">
        <v>256</v>
      </c>
      <c r="G22" s="65">
        <v>31338665</v>
      </c>
      <c r="H22" s="58" t="s">
        <v>257</v>
      </c>
      <c r="I22" s="41" t="s">
        <v>258</v>
      </c>
      <c r="J22" s="41" t="s">
        <v>259</v>
      </c>
      <c r="K22" s="66">
        <v>43373870</v>
      </c>
      <c r="L22" s="41" t="s">
        <v>260</v>
      </c>
      <c r="M22" s="58" t="s">
        <v>253</v>
      </c>
      <c r="N22" s="40"/>
      <c r="O22" s="40"/>
      <c r="P22" s="40"/>
      <c r="Q22" s="58" t="s">
        <v>132</v>
      </c>
      <c r="R22" s="60">
        <v>45119</v>
      </c>
      <c r="S22" s="182">
        <v>0.5</v>
      </c>
      <c r="T22" s="55" t="s">
        <v>905</v>
      </c>
      <c r="U22" s="213" t="s">
        <v>1047</v>
      </c>
      <c r="V22" s="40"/>
      <c r="W22" s="34" t="str">
        <f t="shared" ca="1" si="2"/>
        <v>SI</v>
      </c>
      <c r="X22" s="23" t="str">
        <f t="shared" si="3"/>
        <v>DIANOSOL</v>
      </c>
      <c r="Y22" s="58" t="s">
        <v>994</v>
      </c>
      <c r="Z22" s="121" t="s">
        <v>1018</v>
      </c>
      <c r="AA22" s="121" t="str">
        <f>IF(Z22&lt;&gt;"",VLOOKUP($Z22,Resultados!$A$1:$B$49,2,FALSE),"")</f>
        <v>Recursos Denegados</v>
      </c>
    </row>
    <row r="23" spans="1:27" ht="89.25">
      <c r="A23" s="63">
        <v>21</v>
      </c>
      <c r="B23" s="60">
        <v>45113</v>
      </c>
      <c r="C23" s="64">
        <v>0.54166666666666663</v>
      </c>
      <c r="D23" s="40" t="s">
        <v>230</v>
      </c>
      <c r="E23" s="58" t="s">
        <v>306</v>
      </c>
      <c r="F23" s="58" t="s">
        <v>305</v>
      </c>
      <c r="G23" s="40"/>
      <c r="H23" s="40"/>
      <c r="I23" s="41" t="s">
        <v>261</v>
      </c>
      <c r="J23" s="41" t="s">
        <v>262</v>
      </c>
      <c r="K23" s="66">
        <v>33475416</v>
      </c>
      <c r="L23" s="41" t="s">
        <v>331</v>
      </c>
      <c r="M23" s="58" t="s">
        <v>263</v>
      </c>
      <c r="N23" s="40"/>
      <c r="O23" s="40"/>
      <c r="P23" s="40"/>
      <c r="Q23" s="58" t="s">
        <v>133</v>
      </c>
      <c r="R23" s="60">
        <v>45119</v>
      </c>
      <c r="S23" s="182">
        <v>0.4375</v>
      </c>
      <c r="T23" s="55" t="s">
        <v>883</v>
      </c>
      <c r="U23" s="213" t="s">
        <v>1047</v>
      </c>
      <c r="V23" s="58" t="s">
        <v>338</v>
      </c>
      <c r="W23" s="34" t="str">
        <f t="shared" ca="1" si="2"/>
        <v>SI</v>
      </c>
      <c r="X23" s="23" t="str">
        <f t="shared" si="3"/>
        <v>DIANOSOL</v>
      </c>
      <c r="Y23" s="58" t="s">
        <v>994</v>
      </c>
      <c r="Z23" s="121" t="s">
        <v>1018</v>
      </c>
      <c r="AA23" s="121" t="str">
        <f>IF(Z23&lt;&gt;"",VLOOKUP($Z23,Resultados!$A$1:$B$49,2,FALSE),"")</f>
        <v>Recursos Denegados</v>
      </c>
    </row>
    <row r="24" spans="1:27" ht="51">
      <c r="A24" s="63">
        <v>22</v>
      </c>
      <c r="B24" s="60">
        <v>45114</v>
      </c>
      <c r="C24" s="64">
        <v>0.54166666666666663</v>
      </c>
      <c r="D24" s="40" t="s">
        <v>107</v>
      </c>
      <c r="E24" s="58" t="s">
        <v>308</v>
      </c>
      <c r="F24" s="58" t="s">
        <v>264</v>
      </c>
      <c r="G24" s="65">
        <v>39480631</v>
      </c>
      <c r="H24" s="58" t="s">
        <v>222</v>
      </c>
      <c r="I24" s="41" t="s">
        <v>266</v>
      </c>
      <c r="J24" s="41" t="s">
        <v>267</v>
      </c>
      <c r="K24" s="67"/>
      <c r="L24" s="41" t="s">
        <v>268</v>
      </c>
      <c r="M24" s="58" t="s">
        <v>253</v>
      </c>
      <c r="N24" s="40"/>
      <c r="O24" s="40"/>
      <c r="P24" s="40"/>
      <c r="Q24" s="58" t="s">
        <v>133</v>
      </c>
      <c r="R24" s="60">
        <v>45120</v>
      </c>
      <c r="S24" s="182">
        <v>0.41666666666666669</v>
      </c>
      <c r="T24" s="55" t="s">
        <v>906</v>
      </c>
      <c r="U24" s="213" t="s">
        <v>1092</v>
      </c>
      <c r="V24" s="58" t="s">
        <v>338</v>
      </c>
      <c r="W24" s="34" t="str">
        <f t="shared" ca="1" si="2"/>
        <v>SI</v>
      </c>
      <c r="X24" s="23" t="str">
        <f t="shared" si="3"/>
        <v>DIANOSOL</v>
      </c>
      <c r="Y24" s="58" t="s">
        <v>994</v>
      </c>
      <c r="Z24" s="121" t="s">
        <v>1019</v>
      </c>
      <c r="AA24" s="121" t="str">
        <f>IF(Z24&lt;&gt;"",VLOOKUP($Z24,Resultados!$A$1:$B$49,2,FALSE),"")</f>
        <v>Recursos donde se hizo lugar</v>
      </c>
    </row>
    <row r="25" spans="1:27" ht="51">
      <c r="A25" s="63">
        <v>23</v>
      </c>
      <c r="B25" s="60">
        <v>45114</v>
      </c>
      <c r="C25" s="64">
        <v>0.54166666666666663</v>
      </c>
      <c r="D25" s="40" t="s">
        <v>107</v>
      </c>
      <c r="E25" s="58" t="s">
        <v>308</v>
      </c>
      <c r="F25" s="58" t="s">
        <v>275</v>
      </c>
      <c r="G25" s="65">
        <v>37998705</v>
      </c>
      <c r="H25" s="58" t="s">
        <v>265</v>
      </c>
      <c r="I25" s="41" t="s">
        <v>266</v>
      </c>
      <c r="J25" s="41" t="s">
        <v>267</v>
      </c>
      <c r="K25" s="67"/>
      <c r="L25" s="41" t="s">
        <v>268</v>
      </c>
      <c r="M25" s="58" t="s">
        <v>253</v>
      </c>
      <c r="N25" s="40"/>
      <c r="O25" s="40"/>
      <c r="P25" s="40"/>
      <c r="Q25" s="58" t="s">
        <v>133</v>
      </c>
      <c r="R25" s="60">
        <v>45120</v>
      </c>
      <c r="S25" s="182">
        <v>0.41666666666666669</v>
      </c>
      <c r="T25" s="55" t="s">
        <v>907</v>
      </c>
      <c r="U25" s="213" t="s">
        <v>1092</v>
      </c>
      <c r="V25" s="6" t="s">
        <v>361</v>
      </c>
      <c r="W25" s="34" t="str">
        <f t="shared" ca="1" si="2"/>
        <v>SI</v>
      </c>
      <c r="X25" s="23" t="str">
        <f t="shared" si="3"/>
        <v>DIANOSOL</v>
      </c>
      <c r="Y25" s="58" t="s">
        <v>994</v>
      </c>
      <c r="Z25" s="121" t="s">
        <v>1019</v>
      </c>
      <c r="AA25" s="121" t="str">
        <f>IF(Z25&lt;&gt;"",VLOOKUP($Z25,Resultados!$A$1:$B$49,2,FALSE),"")</f>
        <v>Recursos donde se hizo lugar</v>
      </c>
    </row>
    <row r="26" spans="1:27" ht="51">
      <c r="A26" s="63">
        <v>24</v>
      </c>
      <c r="B26" s="60">
        <v>45114</v>
      </c>
      <c r="C26" s="64">
        <v>0.54166666666666663</v>
      </c>
      <c r="D26" s="40" t="s">
        <v>226</v>
      </c>
      <c r="E26" s="58" t="s">
        <v>309</v>
      </c>
      <c r="F26" s="58" t="s">
        <v>269</v>
      </c>
      <c r="G26" s="65">
        <v>25150658</v>
      </c>
      <c r="H26" s="58" t="s">
        <v>270</v>
      </c>
      <c r="I26" s="41" t="s">
        <v>271</v>
      </c>
      <c r="J26" s="41" t="s">
        <v>272</v>
      </c>
      <c r="K26" s="54">
        <v>43208003</v>
      </c>
      <c r="L26" s="41" t="s">
        <v>273</v>
      </c>
      <c r="M26" s="58" t="s">
        <v>274</v>
      </c>
      <c r="N26" s="40"/>
      <c r="O26" s="58" t="s">
        <v>341</v>
      </c>
      <c r="P26" s="40"/>
      <c r="Q26" s="58" t="s">
        <v>132</v>
      </c>
      <c r="R26" s="68">
        <v>45125</v>
      </c>
      <c r="S26" s="182">
        <v>0.39583333333333331</v>
      </c>
      <c r="T26" s="55" t="s">
        <v>378</v>
      </c>
      <c r="U26" s="214" t="s">
        <v>1047</v>
      </c>
      <c r="V26" s="58" t="s">
        <v>379</v>
      </c>
      <c r="W26" s="34" t="str">
        <f t="shared" ca="1" si="2"/>
        <v>SI</v>
      </c>
      <c r="X26" s="23" t="str">
        <f t="shared" si="3"/>
        <v>DIANOSOL</v>
      </c>
      <c r="Y26" s="58" t="s">
        <v>994</v>
      </c>
      <c r="Z26" s="121" t="s">
        <v>1018</v>
      </c>
      <c r="AA26" s="121" t="str">
        <f>IF(Z26&lt;&gt;"",VLOOKUP($Z26,Resultados!$A$1:$B$49,2,FALSE),"")</f>
        <v>Recursos Denegados</v>
      </c>
    </row>
    <row r="27" spans="1:27" ht="51">
      <c r="A27" s="63">
        <v>25</v>
      </c>
      <c r="B27" s="60">
        <v>45114</v>
      </c>
      <c r="C27" s="183">
        <v>0.54166666666666663</v>
      </c>
      <c r="D27" s="40" t="s">
        <v>230</v>
      </c>
      <c r="E27" s="58" t="s">
        <v>276</v>
      </c>
      <c r="F27" s="40" t="s">
        <v>277</v>
      </c>
      <c r="G27" s="65">
        <v>44564776</v>
      </c>
      <c r="H27" s="40" t="s">
        <v>278</v>
      </c>
      <c r="I27" s="67" t="s">
        <v>279</v>
      </c>
      <c r="J27" s="67" t="s">
        <v>280</v>
      </c>
      <c r="K27" s="67"/>
      <c r="L27" s="67"/>
      <c r="M27" s="40" t="s">
        <v>217</v>
      </c>
      <c r="N27" s="40"/>
      <c r="O27" s="40"/>
      <c r="P27" s="40"/>
      <c r="Q27" s="40" t="s">
        <v>136</v>
      </c>
      <c r="R27" s="60">
        <v>45120</v>
      </c>
      <c r="S27" s="183">
        <v>0.45833333333333331</v>
      </c>
      <c r="T27" s="55" t="s">
        <v>192</v>
      </c>
      <c r="U27" s="212"/>
      <c r="V27" s="58" t="s">
        <v>379</v>
      </c>
      <c r="W27" s="34" t="str">
        <f t="shared" ca="1" si="2"/>
        <v>SI</v>
      </c>
      <c r="X27" s="23" t="str">
        <f t="shared" si="3"/>
        <v>DIANOSOL</v>
      </c>
      <c r="Y27" s="58" t="s">
        <v>994</v>
      </c>
      <c r="Z27" s="121" t="s">
        <v>1019</v>
      </c>
      <c r="AA27" s="121" t="str">
        <f>IF(Z27&lt;&gt;"",VLOOKUP($Z27,Resultados!$A$1:$B$49,2,FALSE),"")</f>
        <v>Recursos donde se hizo lugar</v>
      </c>
    </row>
    <row r="28" spans="1:27" ht="51">
      <c r="A28" s="63">
        <v>26</v>
      </c>
      <c r="B28" s="60">
        <v>45114</v>
      </c>
      <c r="C28" s="64">
        <v>0.54166666666666663</v>
      </c>
      <c r="D28" s="40" t="s">
        <v>230</v>
      </c>
      <c r="E28" s="40" t="s">
        <v>281</v>
      </c>
      <c r="F28" s="40" t="s">
        <v>282</v>
      </c>
      <c r="G28" s="65">
        <v>44580920</v>
      </c>
      <c r="H28" s="40" t="s">
        <v>283</v>
      </c>
      <c r="I28" s="67" t="s">
        <v>279</v>
      </c>
      <c r="J28" s="67" t="s">
        <v>280</v>
      </c>
      <c r="K28" s="67"/>
      <c r="L28" s="41" t="s">
        <v>340</v>
      </c>
      <c r="M28" s="40" t="s">
        <v>253</v>
      </c>
      <c r="N28" s="40"/>
      <c r="O28" s="40"/>
      <c r="P28" s="40"/>
      <c r="Q28" s="40" t="s">
        <v>136</v>
      </c>
      <c r="R28" s="60">
        <v>45120</v>
      </c>
      <c r="S28" s="183">
        <v>0.45833333333333331</v>
      </c>
      <c r="T28" s="55" t="s">
        <v>192</v>
      </c>
      <c r="U28" s="213" t="s">
        <v>1093</v>
      </c>
      <c r="V28" s="73" t="s">
        <v>506</v>
      </c>
      <c r="W28" s="34" t="str">
        <f t="shared" ca="1" si="2"/>
        <v>SI</v>
      </c>
      <c r="X28" s="23" t="str">
        <f t="shared" si="3"/>
        <v>DIANOSOL</v>
      </c>
      <c r="Y28" s="58" t="s">
        <v>994</v>
      </c>
      <c r="Z28" s="121" t="s">
        <v>1062</v>
      </c>
      <c r="AA28" s="121" t="str">
        <f>IF(Z28&lt;&gt;"",VLOOKUP($Z28,Resultados!$A$1:$B$49,2,FALSE),"")</f>
        <v>Recursos donde se hizo lugar</v>
      </c>
    </row>
    <row r="29" spans="1:27" ht="51">
      <c r="A29" s="63">
        <v>27</v>
      </c>
      <c r="B29" s="60">
        <v>45118</v>
      </c>
      <c r="C29" s="64">
        <v>0.54166666666666663</v>
      </c>
      <c r="D29" s="40" t="s">
        <v>230</v>
      </c>
      <c r="E29" s="58" t="s">
        <v>284</v>
      </c>
      <c r="F29" s="58" t="s">
        <v>285</v>
      </c>
      <c r="G29" s="65">
        <v>37511281</v>
      </c>
      <c r="H29" s="58" t="s">
        <v>288</v>
      </c>
      <c r="I29" s="41" t="s">
        <v>289</v>
      </c>
      <c r="J29" s="41" t="s">
        <v>286</v>
      </c>
      <c r="K29" s="54">
        <v>31436584</v>
      </c>
      <c r="L29" s="41" t="s">
        <v>287</v>
      </c>
      <c r="M29" s="58" t="s">
        <v>290</v>
      </c>
      <c r="N29" s="40"/>
      <c r="O29" s="40"/>
      <c r="P29" s="40"/>
      <c r="Q29" s="58" t="s">
        <v>136</v>
      </c>
      <c r="R29" s="68">
        <v>45121</v>
      </c>
      <c r="S29" s="182">
        <v>0.47916666666666669</v>
      </c>
      <c r="T29" s="55" t="s">
        <v>908</v>
      </c>
      <c r="U29" s="214" t="s">
        <v>1081</v>
      </c>
      <c r="V29" s="72"/>
      <c r="W29" s="34" t="str">
        <f t="shared" ca="1" si="2"/>
        <v>SI</v>
      </c>
      <c r="X29" s="23" t="str">
        <f t="shared" si="3"/>
        <v>DIANOSOL</v>
      </c>
      <c r="Y29" s="58" t="s">
        <v>994</v>
      </c>
      <c r="Z29" s="121" t="s">
        <v>1062</v>
      </c>
      <c r="AA29" s="121" t="str">
        <f>IF(Z29&lt;&gt;"",VLOOKUP($Z29,Resultados!$A$1:$B$49,2,FALSE),"")</f>
        <v>Recursos donde se hizo lugar</v>
      </c>
    </row>
    <row r="30" spans="1:27" ht="89.25">
      <c r="A30" s="63">
        <v>28</v>
      </c>
      <c r="B30" s="60">
        <v>45118</v>
      </c>
      <c r="C30" s="64">
        <v>0.54166666666666663</v>
      </c>
      <c r="D30" s="40" t="s">
        <v>107</v>
      </c>
      <c r="E30" s="58" t="s">
        <v>291</v>
      </c>
      <c r="F30" s="58" t="s">
        <v>292</v>
      </c>
      <c r="G30" s="65">
        <v>30225211</v>
      </c>
      <c r="H30" s="58" t="s">
        <v>293</v>
      </c>
      <c r="I30" s="41" t="s">
        <v>296</v>
      </c>
      <c r="J30" s="41" t="s">
        <v>294</v>
      </c>
      <c r="K30" s="54">
        <v>27534430</v>
      </c>
      <c r="L30" s="41" t="s">
        <v>295</v>
      </c>
      <c r="M30" s="58" t="s">
        <v>297</v>
      </c>
      <c r="N30" s="40"/>
      <c r="O30" s="58" t="s">
        <v>298</v>
      </c>
      <c r="P30" s="40"/>
      <c r="Q30" s="58" t="s">
        <v>133</v>
      </c>
      <c r="R30" s="69">
        <v>45126</v>
      </c>
      <c r="S30" s="182">
        <v>0.39583333333333331</v>
      </c>
      <c r="T30" s="55" t="s">
        <v>394</v>
      </c>
      <c r="U30" s="214" t="s">
        <v>1063</v>
      </c>
      <c r="V30" s="73" t="s">
        <v>505</v>
      </c>
      <c r="W30" s="34" t="str">
        <f t="shared" ca="1" si="2"/>
        <v>SI</v>
      </c>
      <c r="X30" s="23" t="str">
        <f t="shared" si="3"/>
        <v>DIANOSOL</v>
      </c>
      <c r="Y30" s="58" t="s">
        <v>994</v>
      </c>
      <c r="Z30" s="121" t="s">
        <v>1019</v>
      </c>
      <c r="AA30" s="121" t="str">
        <f>IF(Z30&lt;&gt;"",VLOOKUP($Z30,Resultados!$A$1:$B$49,2,FALSE),"")</f>
        <v>Recursos donde se hizo lugar</v>
      </c>
    </row>
    <row r="31" spans="1:27" ht="76.5">
      <c r="A31" s="63">
        <v>29</v>
      </c>
      <c r="B31" s="60">
        <v>45120</v>
      </c>
      <c r="C31" s="183">
        <v>0.45833333333333331</v>
      </c>
      <c r="D31" s="40" t="s">
        <v>230</v>
      </c>
      <c r="E31" s="58" t="s">
        <v>310</v>
      </c>
      <c r="F31" s="58" t="s">
        <v>311</v>
      </c>
      <c r="G31" s="65">
        <v>45549582</v>
      </c>
      <c r="H31" s="40"/>
      <c r="I31" s="41" t="s">
        <v>312</v>
      </c>
      <c r="J31" s="41" t="s">
        <v>313</v>
      </c>
      <c r="K31" s="54">
        <v>46799871</v>
      </c>
      <c r="L31" s="41" t="s">
        <v>316</v>
      </c>
      <c r="M31" s="58" t="s">
        <v>314</v>
      </c>
      <c r="N31" s="58" t="s">
        <v>315</v>
      </c>
      <c r="O31" s="58" t="s">
        <v>362</v>
      </c>
      <c r="P31" s="40"/>
      <c r="Q31" s="58" t="s">
        <v>133</v>
      </c>
      <c r="R31" s="69">
        <v>45127</v>
      </c>
      <c r="S31" s="182">
        <v>0.39583333333333331</v>
      </c>
      <c r="T31" s="55" t="s">
        <v>307</v>
      </c>
      <c r="U31" s="214" t="s">
        <v>1049</v>
      </c>
      <c r="V31" s="73" t="s">
        <v>505</v>
      </c>
      <c r="W31" s="34" t="str">
        <f t="shared" ca="1" si="2"/>
        <v>SI</v>
      </c>
      <c r="X31" s="23" t="str">
        <f t="shared" si="3"/>
        <v>DIANOSOL</v>
      </c>
      <c r="Y31" s="58" t="s">
        <v>994</v>
      </c>
      <c r="Z31" s="121" t="s">
        <v>1018</v>
      </c>
      <c r="AA31" s="121" t="str">
        <f>IF(Z31&lt;&gt;"",VLOOKUP($Z31,Resultados!$A$1:$B$49,2,FALSE),"")</f>
        <v>Recursos Denegados</v>
      </c>
    </row>
    <row r="32" spans="1:27" ht="51">
      <c r="A32" s="63">
        <v>30</v>
      </c>
      <c r="B32" s="60">
        <v>45120</v>
      </c>
      <c r="C32" s="183">
        <v>0.54166666666666663</v>
      </c>
      <c r="D32" s="40" t="s">
        <v>230</v>
      </c>
      <c r="E32" s="58" t="s">
        <v>317</v>
      </c>
      <c r="F32" s="58" t="s">
        <v>318</v>
      </c>
      <c r="G32" s="40"/>
      <c r="H32" s="40"/>
      <c r="I32" s="41" t="s">
        <v>319</v>
      </c>
      <c r="J32" s="41" t="s">
        <v>320</v>
      </c>
      <c r="K32" s="67"/>
      <c r="L32" s="41" t="s">
        <v>409</v>
      </c>
      <c r="M32" s="58" t="s">
        <v>321</v>
      </c>
      <c r="N32" s="40"/>
      <c r="O32" s="58" t="s">
        <v>322</v>
      </c>
      <c r="P32" s="40"/>
      <c r="Q32" s="58" t="s">
        <v>133</v>
      </c>
      <c r="R32" s="69">
        <v>45128</v>
      </c>
      <c r="S32" s="182">
        <v>0.4375</v>
      </c>
      <c r="T32" s="55" t="s">
        <v>378</v>
      </c>
      <c r="U32" s="214" t="s">
        <v>1066</v>
      </c>
      <c r="V32" s="72"/>
      <c r="W32" s="34" t="str">
        <f t="shared" ca="1" si="2"/>
        <v>SI</v>
      </c>
      <c r="X32" s="23" t="str">
        <f t="shared" si="3"/>
        <v>DIANOSOL</v>
      </c>
      <c r="Y32" s="58" t="s">
        <v>994</v>
      </c>
      <c r="Z32" s="121" t="s">
        <v>1018</v>
      </c>
      <c r="AA32" s="121" t="str">
        <f>IF(Z32&lt;&gt;"",VLOOKUP($Z32,Resultados!$A$1:$B$49,2,FALSE),"")</f>
        <v>Recursos Denegados</v>
      </c>
    </row>
    <row r="33" spans="1:27" ht="51">
      <c r="A33" s="63">
        <v>31</v>
      </c>
      <c r="B33" s="60">
        <v>45120</v>
      </c>
      <c r="C33" s="183">
        <v>0.54166666666666663</v>
      </c>
      <c r="D33" s="40" t="s">
        <v>107</v>
      </c>
      <c r="E33" s="58" t="s">
        <v>323</v>
      </c>
      <c r="F33" s="58" t="s">
        <v>324</v>
      </c>
      <c r="G33" s="65">
        <v>43760642</v>
      </c>
      <c r="H33" s="58" t="s">
        <v>325</v>
      </c>
      <c r="I33" s="41" t="s">
        <v>326</v>
      </c>
      <c r="J33" s="41" t="s">
        <v>327</v>
      </c>
      <c r="K33" s="54">
        <v>30235964</v>
      </c>
      <c r="L33" s="41" t="s">
        <v>328</v>
      </c>
      <c r="M33" s="58" t="s">
        <v>329</v>
      </c>
      <c r="N33" s="40"/>
      <c r="O33" s="40"/>
      <c r="P33" s="40"/>
      <c r="Q33" s="58" t="s">
        <v>133</v>
      </c>
      <c r="R33" s="69">
        <v>45128</v>
      </c>
      <c r="S33" s="182">
        <v>0.39583333333333331</v>
      </c>
      <c r="T33" s="55" t="s">
        <v>909</v>
      </c>
      <c r="U33" s="214"/>
      <c r="V33" s="72"/>
      <c r="W33" s="34" t="str">
        <f t="shared" ca="1" si="2"/>
        <v>SI</v>
      </c>
      <c r="X33" s="23" t="str">
        <f t="shared" si="3"/>
        <v>DIANOSOL</v>
      </c>
      <c r="Y33" s="58" t="s">
        <v>994</v>
      </c>
      <c r="Z33" s="121" t="s">
        <v>1019</v>
      </c>
      <c r="AA33" s="121" t="str">
        <f>IF(Z33&lt;&gt;"",VLOOKUP($Z33,Resultados!$A$1:$B$49,2,FALSE),"")</f>
        <v>Recursos donde se hizo lugar</v>
      </c>
    </row>
    <row r="34" spans="1:27" ht="216.75">
      <c r="A34" s="70">
        <v>32</v>
      </c>
      <c r="B34" s="68">
        <v>45118</v>
      </c>
      <c r="C34" s="186">
        <v>0.54166666666666663</v>
      </c>
      <c r="D34" s="72" t="s">
        <v>108</v>
      </c>
      <c r="E34" s="72" t="s">
        <v>332</v>
      </c>
      <c r="F34" s="73" t="s">
        <v>400</v>
      </c>
      <c r="G34" s="74">
        <v>38342955</v>
      </c>
      <c r="H34" s="72" t="s">
        <v>333</v>
      </c>
      <c r="I34" s="79" t="s">
        <v>334</v>
      </c>
      <c r="J34" s="79" t="s">
        <v>335</v>
      </c>
      <c r="K34" s="79"/>
      <c r="L34" s="79"/>
      <c r="M34" s="72" t="s">
        <v>336</v>
      </c>
      <c r="N34" s="72"/>
      <c r="O34" s="72" t="s">
        <v>337</v>
      </c>
      <c r="P34" s="72"/>
      <c r="Q34" s="72" t="s">
        <v>133</v>
      </c>
      <c r="R34" s="69">
        <v>45138</v>
      </c>
      <c r="S34" s="191">
        <v>0.5</v>
      </c>
      <c r="T34" s="69" t="s">
        <v>502</v>
      </c>
      <c r="U34" s="214" t="s">
        <v>1098</v>
      </c>
      <c r="V34" s="73" t="s">
        <v>561</v>
      </c>
      <c r="W34" s="34" t="str">
        <f t="shared" ca="1" si="2"/>
        <v>SI</v>
      </c>
      <c r="X34" s="23" t="str">
        <f t="shared" si="3"/>
        <v>DIANOSOL</v>
      </c>
      <c r="Y34" s="58" t="s">
        <v>994</v>
      </c>
      <c r="Z34" s="121" t="s">
        <v>1018</v>
      </c>
      <c r="AA34" s="121" t="str">
        <f>IF(Z34&lt;&gt;"",VLOOKUP($Z34,Resultados!$A$1:$B$49,2,FALSE),"")</f>
        <v>Recursos Denegados</v>
      </c>
    </row>
    <row r="35" spans="1:27" ht="107.25" customHeight="1">
      <c r="A35" s="70">
        <v>33</v>
      </c>
      <c r="B35" s="68">
        <v>45118</v>
      </c>
      <c r="C35" s="186">
        <v>0.54166666666666663</v>
      </c>
      <c r="D35" s="72" t="s">
        <v>228</v>
      </c>
      <c r="E35" s="73" t="s">
        <v>342</v>
      </c>
      <c r="F35" s="73" t="s">
        <v>343</v>
      </c>
      <c r="G35" s="74">
        <v>38651300</v>
      </c>
      <c r="H35" s="73" t="s">
        <v>346</v>
      </c>
      <c r="I35" s="75" t="s">
        <v>349</v>
      </c>
      <c r="J35" s="75" t="s">
        <v>350</v>
      </c>
      <c r="K35" s="79"/>
      <c r="L35" s="75" t="s">
        <v>351</v>
      </c>
      <c r="M35" s="73" t="s">
        <v>352</v>
      </c>
      <c r="N35" s="72"/>
      <c r="O35" s="72"/>
      <c r="P35" s="72"/>
      <c r="Q35" s="73" t="s">
        <v>354</v>
      </c>
      <c r="R35" s="69">
        <v>45138</v>
      </c>
      <c r="S35" s="191">
        <v>0.33333333333333331</v>
      </c>
      <c r="T35" s="69" t="s">
        <v>914</v>
      </c>
      <c r="U35" s="214" t="s">
        <v>1064</v>
      </c>
      <c r="V35" s="73" t="s">
        <v>561</v>
      </c>
      <c r="W35" s="34" t="str">
        <f t="shared" ca="1" si="2"/>
        <v>SI</v>
      </c>
      <c r="X35" s="23" t="str">
        <f t="shared" si="3"/>
        <v>DIANOSOL</v>
      </c>
      <c r="Y35" s="58" t="s">
        <v>994</v>
      </c>
      <c r="Z35" s="121" t="s">
        <v>1018</v>
      </c>
      <c r="AA35" s="121" t="str">
        <f>IF(Z35&lt;&gt;"",VLOOKUP($Z35,Resultados!$A$1:$B$49,2,FALSE),"")</f>
        <v>Recursos Denegados</v>
      </c>
    </row>
    <row r="36" spans="1:27" ht="51">
      <c r="A36" s="70">
        <v>34</v>
      </c>
      <c r="B36" s="68">
        <v>45118</v>
      </c>
      <c r="C36" s="186">
        <v>0.54166666666666663</v>
      </c>
      <c r="D36" s="72" t="s">
        <v>228</v>
      </c>
      <c r="E36" s="73" t="s">
        <v>342</v>
      </c>
      <c r="F36" s="73" t="s">
        <v>344</v>
      </c>
      <c r="G36" s="74">
        <v>44754912</v>
      </c>
      <c r="H36" s="73" t="s">
        <v>347</v>
      </c>
      <c r="I36" s="75" t="s">
        <v>349</v>
      </c>
      <c r="J36" s="75" t="s">
        <v>350</v>
      </c>
      <c r="K36" s="79"/>
      <c r="L36" s="75" t="s">
        <v>351</v>
      </c>
      <c r="M36" s="73" t="s">
        <v>353</v>
      </c>
      <c r="N36" s="72"/>
      <c r="O36" s="72"/>
      <c r="P36" s="72"/>
      <c r="Q36" s="73" t="s">
        <v>354</v>
      </c>
      <c r="R36" s="69">
        <v>45138</v>
      </c>
      <c r="S36" s="191">
        <v>0.33333333333333331</v>
      </c>
      <c r="T36" s="69" t="s">
        <v>914</v>
      </c>
      <c r="U36" s="214" t="s">
        <v>937</v>
      </c>
      <c r="V36" s="72"/>
      <c r="W36" s="34" t="str">
        <f t="shared" ref="W36:W67" ca="1" si="4">IF(R36&lt;=TODAY(),"SI","NO")</f>
        <v>SI</v>
      </c>
      <c r="X36" s="23" t="str">
        <f t="shared" ref="X36:X67" si="5">IF($X$1=R36,"DIASOL", "DIANOSOL")</f>
        <v>DIANOSOL</v>
      </c>
      <c r="Y36" s="58" t="s">
        <v>994</v>
      </c>
      <c r="Z36" s="121" t="s">
        <v>1018</v>
      </c>
      <c r="AA36" s="121" t="str">
        <f>IF(Z36&lt;&gt;"",VLOOKUP($Z36,Resultados!$A$1:$B$49,2,FALSE),"")</f>
        <v>Recursos Denegados</v>
      </c>
    </row>
    <row r="37" spans="1:27" ht="63.75">
      <c r="A37" s="70">
        <v>35</v>
      </c>
      <c r="B37" s="68">
        <v>45118</v>
      </c>
      <c r="C37" s="186">
        <v>0.54166666666666663</v>
      </c>
      <c r="D37" s="72" t="s">
        <v>228</v>
      </c>
      <c r="E37" s="73" t="s">
        <v>342</v>
      </c>
      <c r="F37" s="73" t="s">
        <v>345</v>
      </c>
      <c r="G37" s="74">
        <v>45850066</v>
      </c>
      <c r="H37" s="73" t="s">
        <v>348</v>
      </c>
      <c r="I37" s="75" t="s">
        <v>349</v>
      </c>
      <c r="J37" s="75" t="s">
        <v>350</v>
      </c>
      <c r="K37" s="79"/>
      <c r="L37" s="75" t="s">
        <v>351</v>
      </c>
      <c r="M37" s="73" t="s">
        <v>353</v>
      </c>
      <c r="N37" s="72"/>
      <c r="O37" s="72"/>
      <c r="P37" s="72"/>
      <c r="Q37" s="73" t="s">
        <v>354</v>
      </c>
      <c r="R37" s="69">
        <v>45138</v>
      </c>
      <c r="S37" s="191">
        <v>0.33333333333333331</v>
      </c>
      <c r="T37" s="69" t="s">
        <v>914</v>
      </c>
      <c r="U37" s="75" t="s">
        <v>1082</v>
      </c>
      <c r="V37" s="73" t="s">
        <v>561</v>
      </c>
      <c r="W37" s="34" t="str">
        <f t="shared" ca="1" si="4"/>
        <v>SI</v>
      </c>
      <c r="X37" s="23" t="str">
        <f t="shared" si="5"/>
        <v>DIANOSOL</v>
      </c>
      <c r="Y37" s="58" t="s">
        <v>994</v>
      </c>
      <c r="Z37" s="121" t="s">
        <v>1018</v>
      </c>
      <c r="AA37" s="121" t="str">
        <f>IF(Z37&lt;&gt;"",VLOOKUP($Z37,Resultados!$A$1:$B$49,2,FALSE),"")</f>
        <v>Recursos Denegados</v>
      </c>
    </row>
    <row r="38" spans="1:27" ht="51">
      <c r="A38" s="63">
        <v>36</v>
      </c>
      <c r="B38" s="60">
        <v>45118</v>
      </c>
      <c r="C38" s="183">
        <v>0.54166666666666663</v>
      </c>
      <c r="D38" s="40" t="s">
        <v>226</v>
      </c>
      <c r="E38" s="58" t="s">
        <v>355</v>
      </c>
      <c r="F38" s="58" t="s">
        <v>359</v>
      </c>
      <c r="G38" s="65">
        <v>36280445</v>
      </c>
      <c r="H38" s="58" t="s">
        <v>356</v>
      </c>
      <c r="I38" s="41" t="s">
        <v>357</v>
      </c>
      <c r="J38" s="41" t="s">
        <v>358</v>
      </c>
      <c r="K38" s="67"/>
      <c r="L38" s="41" t="s">
        <v>397</v>
      </c>
      <c r="M38" s="58" t="s">
        <v>360</v>
      </c>
      <c r="N38" s="58" t="s">
        <v>396</v>
      </c>
      <c r="O38" s="40"/>
      <c r="P38" s="40"/>
      <c r="Q38" s="58" t="s">
        <v>354</v>
      </c>
      <c r="R38" s="69">
        <v>45127</v>
      </c>
      <c r="S38" s="182">
        <v>0.5</v>
      </c>
      <c r="T38" s="55" t="s">
        <v>398</v>
      </c>
      <c r="U38" s="214" t="s">
        <v>1102</v>
      </c>
      <c r="V38" s="73" t="s">
        <v>561</v>
      </c>
      <c r="W38" s="34" t="str">
        <f t="shared" ca="1" si="4"/>
        <v>SI</v>
      </c>
      <c r="X38" s="23" t="str">
        <f t="shared" si="5"/>
        <v>DIANOSOL</v>
      </c>
      <c r="Y38" s="58" t="s">
        <v>994</v>
      </c>
      <c r="Z38" s="121" t="s">
        <v>1018</v>
      </c>
      <c r="AA38" s="121" t="str">
        <f>IF(Z38&lt;&gt;"",VLOOKUP($Z38,Resultados!$A$1:$B$49,2,FALSE),"")</f>
        <v>Recursos Denegados</v>
      </c>
    </row>
    <row r="39" spans="1:27" ht="63.75">
      <c r="A39" s="70">
        <v>37</v>
      </c>
      <c r="B39" s="68">
        <v>45121</v>
      </c>
      <c r="C39" s="71">
        <v>0.54166666666666663</v>
      </c>
      <c r="D39" s="72" t="s">
        <v>242</v>
      </c>
      <c r="E39" s="73" t="s">
        <v>363</v>
      </c>
      <c r="F39" s="73" t="s">
        <v>364</v>
      </c>
      <c r="G39" s="74">
        <v>21516166</v>
      </c>
      <c r="H39" s="73" t="s">
        <v>366</v>
      </c>
      <c r="I39" s="75" t="s">
        <v>365</v>
      </c>
      <c r="J39" s="75" t="s">
        <v>432</v>
      </c>
      <c r="K39" s="76">
        <v>13778236</v>
      </c>
      <c r="L39" s="75" t="s">
        <v>431</v>
      </c>
      <c r="M39" s="73" t="s">
        <v>367</v>
      </c>
      <c r="N39" s="72"/>
      <c r="O39" s="72"/>
      <c r="P39" s="73" t="s">
        <v>368</v>
      </c>
      <c r="Q39" s="73" t="s">
        <v>369</v>
      </c>
      <c r="R39" s="69">
        <v>45132</v>
      </c>
      <c r="S39" s="184">
        <v>0.39583333333333331</v>
      </c>
      <c r="T39" s="55" t="s">
        <v>429</v>
      </c>
      <c r="U39" s="214" t="s">
        <v>1050</v>
      </c>
      <c r="V39" s="73" t="s">
        <v>562</v>
      </c>
      <c r="W39" s="34" t="str">
        <f t="shared" ca="1" si="4"/>
        <v>SI</v>
      </c>
      <c r="X39" s="23" t="str">
        <f t="shared" si="5"/>
        <v>DIANOSOL</v>
      </c>
      <c r="Y39" s="58" t="s">
        <v>994</v>
      </c>
      <c r="Z39" s="121" t="s">
        <v>1018</v>
      </c>
      <c r="AA39" s="121" t="str">
        <f>IF(Z39&lt;&gt;"",VLOOKUP($Z39,Resultados!$A$1:$B$49,2,FALSE),"")</f>
        <v>Recursos Denegados</v>
      </c>
    </row>
    <row r="40" spans="1:27" ht="89.25">
      <c r="A40" s="70">
        <v>38</v>
      </c>
      <c r="B40" s="68">
        <v>45121</v>
      </c>
      <c r="C40" s="186">
        <v>0.54166666666666663</v>
      </c>
      <c r="D40" s="72" t="s">
        <v>108</v>
      </c>
      <c r="E40" s="73" t="s">
        <v>370</v>
      </c>
      <c r="F40" s="73" t="s">
        <v>371</v>
      </c>
      <c r="G40" s="74">
        <v>11283803</v>
      </c>
      <c r="H40" s="73" t="s">
        <v>372</v>
      </c>
      <c r="I40" s="75" t="s">
        <v>373</v>
      </c>
      <c r="J40" s="75" t="s">
        <v>374</v>
      </c>
      <c r="K40" s="76">
        <v>30222229</v>
      </c>
      <c r="L40" s="75" t="s">
        <v>375</v>
      </c>
      <c r="M40" s="73" t="s">
        <v>376</v>
      </c>
      <c r="N40" s="72"/>
      <c r="O40" s="73" t="s">
        <v>377</v>
      </c>
      <c r="P40" s="72"/>
      <c r="Q40" s="73" t="s">
        <v>133</v>
      </c>
      <c r="R40" s="69">
        <v>45145</v>
      </c>
      <c r="S40" s="191">
        <v>0.39583333333333331</v>
      </c>
      <c r="T40" s="69" t="s">
        <v>914</v>
      </c>
      <c r="U40" s="214"/>
      <c r="V40" s="73" t="s">
        <v>561</v>
      </c>
      <c r="W40" s="34" t="str">
        <f t="shared" ca="1" si="4"/>
        <v>SI</v>
      </c>
      <c r="X40" s="23" t="str">
        <f t="shared" si="5"/>
        <v>DIANOSOL</v>
      </c>
      <c r="Y40" s="58" t="s">
        <v>994</v>
      </c>
      <c r="Z40" s="121" t="s">
        <v>1018</v>
      </c>
      <c r="AA40" s="121" t="str">
        <f>IF(Z40&lt;&gt;"",VLOOKUP($Z40,Resultados!$A$1:$B$49,2,FALSE),"")</f>
        <v>Recursos Denegados</v>
      </c>
    </row>
    <row r="41" spans="1:27" ht="51">
      <c r="A41" s="70">
        <v>39</v>
      </c>
      <c r="B41" s="68">
        <v>45126</v>
      </c>
      <c r="C41" s="186">
        <v>0.54166666666666663</v>
      </c>
      <c r="D41" s="72" t="s">
        <v>242</v>
      </c>
      <c r="E41" s="73" t="s">
        <v>381</v>
      </c>
      <c r="F41" s="73" t="s">
        <v>382</v>
      </c>
      <c r="G41" s="74">
        <v>28050428</v>
      </c>
      <c r="H41" s="72"/>
      <c r="I41" s="75" t="s">
        <v>383</v>
      </c>
      <c r="J41" s="75" t="s">
        <v>384</v>
      </c>
      <c r="K41" s="76">
        <v>32514401</v>
      </c>
      <c r="L41" s="75" t="s">
        <v>385</v>
      </c>
      <c r="M41" s="73" t="s">
        <v>386</v>
      </c>
      <c r="N41" s="73" t="s">
        <v>443</v>
      </c>
      <c r="O41" s="72"/>
      <c r="P41" s="72"/>
      <c r="Q41" s="73" t="s">
        <v>132</v>
      </c>
      <c r="R41" s="69">
        <v>45133</v>
      </c>
      <c r="S41" s="191">
        <v>0.39583333333333331</v>
      </c>
      <c r="T41" s="69" t="s">
        <v>916</v>
      </c>
      <c r="U41" s="214" t="s">
        <v>1051</v>
      </c>
      <c r="V41" s="73" t="s">
        <v>584</v>
      </c>
      <c r="W41" s="34" t="str">
        <f t="shared" ca="1" si="4"/>
        <v>SI</v>
      </c>
      <c r="X41" s="23" t="str">
        <f t="shared" si="5"/>
        <v>DIANOSOL</v>
      </c>
      <c r="Y41" s="58" t="s">
        <v>994</v>
      </c>
      <c r="Z41" s="121" t="s">
        <v>1019</v>
      </c>
      <c r="AA41" s="121" t="str">
        <f>IF(Z41&lt;&gt;"",VLOOKUP($Z41,Resultados!$A$1:$B$49,2,FALSE),"")</f>
        <v>Recursos donde se hizo lugar</v>
      </c>
    </row>
    <row r="42" spans="1:27" ht="76.5">
      <c r="A42" s="70">
        <v>40</v>
      </c>
      <c r="B42" s="68">
        <v>45125</v>
      </c>
      <c r="C42" s="71">
        <v>0.54166666666666663</v>
      </c>
      <c r="D42" s="72" t="s">
        <v>229</v>
      </c>
      <c r="E42" s="73" t="s">
        <v>453</v>
      </c>
      <c r="F42" s="73" t="s">
        <v>387</v>
      </c>
      <c r="G42" s="74">
        <v>40157666</v>
      </c>
      <c r="H42" s="73" t="s">
        <v>389</v>
      </c>
      <c r="I42" s="75" t="s">
        <v>440</v>
      </c>
      <c r="J42" s="75" t="s">
        <v>391</v>
      </c>
      <c r="K42" s="75" t="s">
        <v>392</v>
      </c>
      <c r="L42" s="75" t="s">
        <v>393</v>
      </c>
      <c r="M42" s="73" t="s">
        <v>462</v>
      </c>
      <c r="N42" s="72"/>
      <c r="O42" s="72"/>
      <c r="P42" s="72"/>
      <c r="Q42" s="73" t="s">
        <v>132</v>
      </c>
      <c r="R42" s="69">
        <v>45134</v>
      </c>
      <c r="S42" s="184">
        <v>0.39583333333333331</v>
      </c>
      <c r="T42" s="69" t="s">
        <v>936</v>
      </c>
      <c r="U42" s="214" t="s">
        <v>1099</v>
      </c>
      <c r="V42" s="73" t="s">
        <v>584</v>
      </c>
      <c r="W42" s="34" t="str">
        <f t="shared" ca="1" si="4"/>
        <v>SI</v>
      </c>
      <c r="X42" s="23" t="str">
        <f t="shared" si="5"/>
        <v>DIANOSOL</v>
      </c>
      <c r="Y42" s="58" t="s">
        <v>994</v>
      </c>
      <c r="Z42" s="121" t="s">
        <v>1019</v>
      </c>
      <c r="AA42" s="121" t="str">
        <f>IF(Z42&lt;&gt;"",VLOOKUP($Z42,Resultados!$A$1:$B$49,2,FALSE),"")</f>
        <v>Recursos donde se hizo lugar</v>
      </c>
    </row>
    <row r="43" spans="1:27" ht="76.5">
      <c r="A43" s="70">
        <v>41</v>
      </c>
      <c r="B43" s="68">
        <v>45125</v>
      </c>
      <c r="C43" s="71">
        <v>0.54166666666666663</v>
      </c>
      <c r="D43" s="72" t="s">
        <v>229</v>
      </c>
      <c r="E43" s="73" t="s">
        <v>453</v>
      </c>
      <c r="F43" s="73" t="s">
        <v>388</v>
      </c>
      <c r="G43" s="74">
        <v>39361481</v>
      </c>
      <c r="H43" s="73" t="s">
        <v>390</v>
      </c>
      <c r="I43" s="75" t="s">
        <v>440</v>
      </c>
      <c r="J43" s="75" t="s">
        <v>391</v>
      </c>
      <c r="K43" s="75" t="s">
        <v>392</v>
      </c>
      <c r="L43" s="75" t="s">
        <v>393</v>
      </c>
      <c r="M43" s="73" t="s">
        <v>463</v>
      </c>
      <c r="N43" s="72"/>
      <c r="O43" s="72"/>
      <c r="P43" s="72"/>
      <c r="Q43" s="73" t="s">
        <v>132</v>
      </c>
      <c r="R43" s="69">
        <v>45134</v>
      </c>
      <c r="S43" s="184">
        <v>0.39583333333333331</v>
      </c>
      <c r="T43" s="69" t="s">
        <v>936</v>
      </c>
      <c r="U43" s="214" t="s">
        <v>1059</v>
      </c>
      <c r="V43" s="73" t="s">
        <v>593</v>
      </c>
      <c r="W43" s="34" t="str">
        <f t="shared" ca="1" si="4"/>
        <v>SI</v>
      </c>
      <c r="X43" s="23" t="str">
        <f t="shared" si="5"/>
        <v>DIANOSOL</v>
      </c>
      <c r="Y43" s="58" t="s">
        <v>994</v>
      </c>
      <c r="Z43" s="121" t="s">
        <v>1019</v>
      </c>
      <c r="AA43" s="121" t="str">
        <f>IF(Z43&lt;&gt;"",VLOOKUP($Z43,Resultados!$A$1:$B$49,2,FALSE),"")</f>
        <v>Recursos donde se hizo lugar</v>
      </c>
    </row>
    <row r="44" spans="1:27" ht="89.25">
      <c r="A44" s="70">
        <v>42</v>
      </c>
      <c r="B44" s="68">
        <v>45131</v>
      </c>
      <c r="C44" s="71">
        <v>0.33333333333333331</v>
      </c>
      <c r="D44" s="72" t="s">
        <v>108</v>
      </c>
      <c r="E44" s="73" t="s">
        <v>401</v>
      </c>
      <c r="F44" s="73" t="s">
        <v>402</v>
      </c>
      <c r="G44" s="74">
        <v>31548327</v>
      </c>
      <c r="H44" s="73" t="s">
        <v>403</v>
      </c>
      <c r="I44" s="75" t="s">
        <v>404</v>
      </c>
      <c r="J44" s="75" t="s">
        <v>444</v>
      </c>
      <c r="K44" s="79"/>
      <c r="L44" s="79"/>
      <c r="M44" s="73" t="s">
        <v>405</v>
      </c>
      <c r="N44" s="73" t="s">
        <v>406</v>
      </c>
      <c r="O44" s="72"/>
      <c r="P44" s="72"/>
      <c r="Q44" s="73" t="s">
        <v>407</v>
      </c>
      <c r="R44" s="69">
        <v>45134</v>
      </c>
      <c r="S44" s="184">
        <v>0.5</v>
      </c>
      <c r="T44" s="69" t="s">
        <v>928</v>
      </c>
      <c r="U44" s="214"/>
      <c r="V44" s="73" t="s">
        <v>593</v>
      </c>
      <c r="W44" s="34" t="str">
        <f t="shared" ca="1" si="4"/>
        <v>SI</v>
      </c>
      <c r="X44" s="23" t="str">
        <f t="shared" si="5"/>
        <v>DIANOSOL</v>
      </c>
      <c r="Y44" s="58" t="s">
        <v>994</v>
      </c>
      <c r="Z44" s="121" t="s">
        <v>1025</v>
      </c>
      <c r="AA44" s="121" t="str">
        <f>IF(Z44&lt;&gt;"",VLOOKUP($Z44,Resultados!$A$1:$B$49,2,FALSE),"")</f>
        <v>Recursos donde se hizo lugar</v>
      </c>
    </row>
    <row r="45" spans="1:27" ht="38.25">
      <c r="A45" s="63">
        <v>43</v>
      </c>
      <c r="B45" s="60">
        <v>45131</v>
      </c>
      <c r="C45" s="183">
        <v>0.54166666666666663</v>
      </c>
      <c r="D45" s="40" t="s">
        <v>106</v>
      </c>
      <c r="E45" s="58" t="s">
        <v>410</v>
      </c>
      <c r="F45" s="58" t="s">
        <v>411</v>
      </c>
      <c r="G45" s="65">
        <v>41051772</v>
      </c>
      <c r="H45" s="40"/>
      <c r="I45" s="41" t="s">
        <v>413</v>
      </c>
      <c r="J45" s="41" t="s">
        <v>414</v>
      </c>
      <c r="K45" s="54">
        <v>26899456</v>
      </c>
      <c r="L45" s="41" t="s">
        <v>415</v>
      </c>
      <c r="M45" s="58" t="s">
        <v>461</v>
      </c>
      <c r="N45" s="40"/>
      <c r="O45" s="40"/>
      <c r="P45" s="40"/>
      <c r="Q45" s="58" t="s">
        <v>133</v>
      </c>
      <c r="R45" s="55">
        <v>45135</v>
      </c>
      <c r="S45" s="182">
        <v>0.39583333333333331</v>
      </c>
      <c r="T45" s="55" t="s">
        <v>493</v>
      </c>
      <c r="U45" s="214"/>
      <c r="V45" s="73" t="s">
        <v>603</v>
      </c>
      <c r="W45" s="34" t="str">
        <f t="shared" ca="1" si="4"/>
        <v>SI</v>
      </c>
      <c r="X45" s="23" t="str">
        <f t="shared" si="5"/>
        <v>DIANOSOL</v>
      </c>
      <c r="Y45" s="58" t="s">
        <v>994</v>
      </c>
      <c r="Z45" s="121" t="s">
        <v>1018</v>
      </c>
      <c r="AA45" s="121" t="str">
        <f>IF(Z45&lt;&gt;"",VLOOKUP($Z45,Resultados!$A$1:$B$49,2,FALSE),"")</f>
        <v>Recursos Denegados</v>
      </c>
    </row>
    <row r="46" spans="1:27" ht="38.25">
      <c r="A46" s="63">
        <v>44</v>
      </c>
      <c r="B46" s="60">
        <v>45131</v>
      </c>
      <c r="C46" s="183">
        <v>0.54166666666666663</v>
      </c>
      <c r="D46" s="40" t="s">
        <v>106</v>
      </c>
      <c r="E46" s="58" t="s">
        <v>410</v>
      </c>
      <c r="F46" s="58" t="s">
        <v>412</v>
      </c>
      <c r="G46" s="65">
        <v>31545817</v>
      </c>
      <c r="H46" s="40"/>
      <c r="I46" s="41" t="s">
        <v>413</v>
      </c>
      <c r="J46" s="41" t="s">
        <v>414</v>
      </c>
      <c r="K46" s="54">
        <v>26899456</v>
      </c>
      <c r="L46" s="41" t="s">
        <v>415</v>
      </c>
      <c r="M46" s="58" t="s">
        <v>461</v>
      </c>
      <c r="N46" s="40"/>
      <c r="O46" s="40"/>
      <c r="P46" s="40"/>
      <c r="Q46" s="58" t="s">
        <v>133</v>
      </c>
      <c r="R46" s="55">
        <v>45135</v>
      </c>
      <c r="S46" s="182">
        <v>0.39583333333333331</v>
      </c>
      <c r="T46" s="55" t="s">
        <v>378</v>
      </c>
      <c r="U46" s="214" t="s">
        <v>1084</v>
      </c>
      <c r="V46" s="73" t="s">
        <v>648</v>
      </c>
      <c r="W46" s="34" t="str">
        <f t="shared" ca="1" si="4"/>
        <v>SI</v>
      </c>
      <c r="X46" s="23" t="str">
        <f t="shared" si="5"/>
        <v>DIANOSOL</v>
      </c>
      <c r="Y46" s="58" t="s">
        <v>994</v>
      </c>
      <c r="Z46" s="121" t="s">
        <v>1018</v>
      </c>
      <c r="AA46" s="121" t="str">
        <f>IF(Z46&lt;&gt;"",VLOOKUP($Z46,Resultados!$A$1:$B$49,2,FALSE),"")</f>
        <v>Recursos Denegados</v>
      </c>
    </row>
    <row r="47" spans="1:27" ht="38.25">
      <c r="A47" s="70">
        <v>45</v>
      </c>
      <c r="B47" s="68">
        <v>45132</v>
      </c>
      <c r="C47" s="71">
        <v>0.45833333333333331</v>
      </c>
      <c r="D47" s="72" t="s">
        <v>229</v>
      </c>
      <c r="E47" s="73" t="s">
        <v>417</v>
      </c>
      <c r="F47" s="73" t="s">
        <v>418</v>
      </c>
      <c r="G47" s="74">
        <v>26645070</v>
      </c>
      <c r="H47" s="73" t="s">
        <v>419</v>
      </c>
      <c r="I47" s="75" t="s">
        <v>420</v>
      </c>
      <c r="J47" s="75" t="s">
        <v>421</v>
      </c>
      <c r="K47" s="79"/>
      <c r="L47" s="75" t="s">
        <v>573</v>
      </c>
      <c r="M47" s="73" t="s">
        <v>376</v>
      </c>
      <c r="N47" s="72"/>
      <c r="O47" s="72"/>
      <c r="P47" s="72"/>
      <c r="Q47" s="73" t="s">
        <v>132</v>
      </c>
      <c r="R47" s="68">
        <v>45145</v>
      </c>
      <c r="S47" s="184">
        <v>0.4375</v>
      </c>
      <c r="T47" s="69" t="s">
        <v>914</v>
      </c>
      <c r="U47" s="214" t="s">
        <v>1085</v>
      </c>
      <c r="V47" s="73" t="s">
        <v>648</v>
      </c>
      <c r="W47" s="34" t="str">
        <f t="shared" ca="1" si="4"/>
        <v>SI</v>
      </c>
      <c r="X47" s="23" t="str">
        <f t="shared" si="5"/>
        <v>DIANOSOL</v>
      </c>
      <c r="Y47" s="58" t="s">
        <v>994</v>
      </c>
      <c r="Z47" s="121" t="s">
        <v>1018</v>
      </c>
      <c r="AA47" s="121" t="str">
        <f>IF(Z47&lt;&gt;"",VLOOKUP($Z47,Resultados!$A$1:$B$49,2,FALSE),"")</f>
        <v>Recursos Denegados</v>
      </c>
    </row>
    <row r="48" spans="1:27" ht="38.25">
      <c r="A48" s="70">
        <v>46</v>
      </c>
      <c r="B48" s="68">
        <v>45132</v>
      </c>
      <c r="C48" s="71">
        <v>0.45833333333333331</v>
      </c>
      <c r="D48" s="72" t="s">
        <v>230</v>
      </c>
      <c r="E48" s="73" t="s">
        <v>422</v>
      </c>
      <c r="F48" s="73" t="s">
        <v>423</v>
      </c>
      <c r="G48" s="74">
        <v>44565375</v>
      </c>
      <c r="H48" s="73" t="s">
        <v>424</v>
      </c>
      <c r="I48" s="75" t="s">
        <v>425</v>
      </c>
      <c r="J48" s="75" t="s">
        <v>426</v>
      </c>
      <c r="K48" s="76">
        <v>42916726</v>
      </c>
      <c r="L48" s="75" t="s">
        <v>427</v>
      </c>
      <c r="M48" s="73" t="s">
        <v>428</v>
      </c>
      <c r="N48" s="72"/>
      <c r="O48" s="72"/>
      <c r="P48" s="72"/>
      <c r="Q48" s="73" t="s">
        <v>133</v>
      </c>
      <c r="R48" s="68">
        <v>45138</v>
      </c>
      <c r="S48" s="184" t="s">
        <v>501</v>
      </c>
      <c r="T48" s="69" t="s">
        <v>910</v>
      </c>
      <c r="U48" s="215" t="s">
        <v>917</v>
      </c>
      <c r="V48" s="73" t="s">
        <v>666</v>
      </c>
      <c r="W48" s="34" t="str">
        <f t="shared" ca="1" si="4"/>
        <v>SI</v>
      </c>
      <c r="X48" s="23" t="str">
        <f t="shared" si="5"/>
        <v>DIANOSOL</v>
      </c>
      <c r="Y48" s="58" t="s">
        <v>994</v>
      </c>
      <c r="Z48" s="121" t="s">
        <v>1019</v>
      </c>
      <c r="AA48" s="121" t="str">
        <f>IF(Z48&lt;&gt;"",VLOOKUP($Z48,Resultados!$A$1:$B$49,2,FALSE),"")</f>
        <v>Recursos donde se hizo lugar</v>
      </c>
    </row>
    <row r="49" spans="1:27" ht="51">
      <c r="A49" s="70">
        <v>47</v>
      </c>
      <c r="B49" s="68">
        <v>45133</v>
      </c>
      <c r="C49" s="71">
        <v>0.33333333333333331</v>
      </c>
      <c r="D49" s="72" t="s">
        <v>433</v>
      </c>
      <c r="E49" s="73" t="s">
        <v>434</v>
      </c>
      <c r="F49" s="73" t="s">
        <v>435</v>
      </c>
      <c r="G49" s="74">
        <v>41984586</v>
      </c>
      <c r="H49" s="73" t="s">
        <v>436</v>
      </c>
      <c r="I49" s="75" t="s">
        <v>420</v>
      </c>
      <c r="J49" s="75" t="s">
        <v>437</v>
      </c>
      <c r="K49" s="79"/>
      <c r="L49" s="75" t="s">
        <v>508</v>
      </c>
      <c r="M49" s="73" t="s">
        <v>438</v>
      </c>
      <c r="N49" s="72"/>
      <c r="O49" s="73" t="s">
        <v>439</v>
      </c>
      <c r="P49" s="72"/>
      <c r="Q49" s="73" t="s">
        <v>441</v>
      </c>
      <c r="R49" s="68">
        <v>45140</v>
      </c>
      <c r="S49" s="184">
        <v>0.35416666666666669</v>
      </c>
      <c r="T49" s="69" t="s">
        <v>507</v>
      </c>
      <c r="U49" s="214" t="s">
        <v>1067</v>
      </c>
      <c r="V49" s="73" t="s">
        <v>666</v>
      </c>
      <c r="W49" s="34" t="str">
        <f t="shared" ca="1" si="4"/>
        <v>SI</v>
      </c>
      <c r="X49" s="23" t="str">
        <f t="shared" si="5"/>
        <v>DIANOSOL</v>
      </c>
      <c r="Y49" s="58" t="s">
        <v>994</v>
      </c>
      <c r="Z49" s="121" t="s">
        <v>1018</v>
      </c>
      <c r="AA49" s="121" t="str">
        <f>IF(Z49&lt;&gt;"",VLOOKUP($Z49,Resultados!$A$1:$B$49,2,FALSE),"")</f>
        <v>Recursos Denegados</v>
      </c>
    </row>
    <row r="50" spans="1:27" ht="76.5">
      <c r="A50" s="70">
        <v>48</v>
      </c>
      <c r="B50" s="68">
        <v>45133</v>
      </c>
      <c r="C50" s="71">
        <v>0.54166666666666663</v>
      </c>
      <c r="D50" s="72" t="s">
        <v>105</v>
      </c>
      <c r="E50" s="73" t="s">
        <v>446</v>
      </c>
      <c r="F50" s="73" t="s">
        <v>442</v>
      </c>
      <c r="G50" s="74">
        <v>12959004</v>
      </c>
      <c r="H50" s="73" t="s">
        <v>470</v>
      </c>
      <c r="I50" s="75" t="s">
        <v>468</v>
      </c>
      <c r="J50" s="75" t="s">
        <v>469</v>
      </c>
      <c r="K50" s="76">
        <v>14488542</v>
      </c>
      <c r="L50" s="75" t="s">
        <v>472</v>
      </c>
      <c r="M50" s="73" t="s">
        <v>471</v>
      </c>
      <c r="N50" s="72"/>
      <c r="O50" s="72"/>
      <c r="P50" s="72"/>
      <c r="Q50" s="73" t="s">
        <v>136</v>
      </c>
      <c r="R50" s="68">
        <v>45140</v>
      </c>
      <c r="S50" s="184">
        <v>0.5</v>
      </c>
      <c r="T50" s="69" t="s">
        <v>918</v>
      </c>
      <c r="U50" s="212"/>
      <c r="V50" s="73" t="s">
        <v>648</v>
      </c>
      <c r="W50" s="34" t="str">
        <f t="shared" ca="1" si="4"/>
        <v>SI</v>
      </c>
      <c r="X50" s="23" t="str">
        <f t="shared" si="5"/>
        <v>DIANOSOL</v>
      </c>
      <c r="Y50" s="58" t="s">
        <v>994</v>
      </c>
      <c r="Z50" s="121" t="s">
        <v>1042</v>
      </c>
      <c r="AA50" s="121" t="str">
        <f>IF(Z50&lt;&gt;"",VLOOKUP($Z50,Resultados!$A$1:$B$49,2,FALSE),"")</f>
        <v>Recursos Abstractos</v>
      </c>
    </row>
    <row r="51" spans="1:27" ht="114.75">
      <c r="A51" s="70">
        <v>49</v>
      </c>
      <c r="B51" s="68">
        <v>45133</v>
      </c>
      <c r="C51" s="71">
        <v>0.54166666666666663</v>
      </c>
      <c r="D51" s="72" t="s">
        <v>228</v>
      </c>
      <c r="E51" s="73" t="s">
        <v>445</v>
      </c>
      <c r="F51" s="73" t="s">
        <v>451</v>
      </c>
      <c r="G51" s="74">
        <v>36939827</v>
      </c>
      <c r="H51" s="73" t="s">
        <v>450</v>
      </c>
      <c r="I51" s="75" t="s">
        <v>447</v>
      </c>
      <c r="J51" s="75" t="s">
        <v>448</v>
      </c>
      <c r="K51" s="76">
        <v>30637537</v>
      </c>
      <c r="L51" s="75" t="s">
        <v>449</v>
      </c>
      <c r="M51" s="73" t="s">
        <v>532</v>
      </c>
      <c r="N51" s="73" t="s">
        <v>452</v>
      </c>
      <c r="O51" s="72"/>
      <c r="P51" s="72"/>
      <c r="Q51" s="73" t="s">
        <v>132</v>
      </c>
      <c r="R51" s="69">
        <v>45142</v>
      </c>
      <c r="S51" s="184">
        <v>0.35416666666666669</v>
      </c>
      <c r="T51" s="69" t="s">
        <v>929</v>
      </c>
      <c r="U51" s="214"/>
      <c r="V51" s="73" t="s">
        <v>667</v>
      </c>
      <c r="W51" s="34" t="str">
        <f t="shared" ca="1" si="4"/>
        <v>SI</v>
      </c>
      <c r="X51" s="23" t="str">
        <f t="shared" si="5"/>
        <v>DIANOSOL</v>
      </c>
      <c r="Y51" s="58" t="s">
        <v>994</v>
      </c>
      <c r="Z51" s="121" t="s">
        <v>1018</v>
      </c>
      <c r="AA51" s="121" t="str">
        <f>IF(Z51&lt;&gt;"",VLOOKUP($Z51,Resultados!$A$1:$B$49,2,FALSE),"")</f>
        <v>Recursos Denegados</v>
      </c>
    </row>
    <row r="52" spans="1:27" ht="38.25">
      <c r="A52" s="70">
        <v>50</v>
      </c>
      <c r="B52" s="68">
        <v>45134</v>
      </c>
      <c r="C52" s="71">
        <v>0.41666666666666669</v>
      </c>
      <c r="D52" s="72" t="s">
        <v>230</v>
      </c>
      <c r="E52" s="73" t="s">
        <v>454</v>
      </c>
      <c r="F52" s="73" t="s">
        <v>460</v>
      </c>
      <c r="G52" s="74">
        <v>30235295</v>
      </c>
      <c r="H52" s="73" t="s">
        <v>455</v>
      </c>
      <c r="I52" s="75" t="s">
        <v>456</v>
      </c>
      <c r="J52" s="75" t="s">
        <v>457</v>
      </c>
      <c r="K52" s="76">
        <v>39781915</v>
      </c>
      <c r="L52" s="75" t="s">
        <v>458</v>
      </c>
      <c r="M52" s="73" t="s">
        <v>459</v>
      </c>
      <c r="N52" s="72"/>
      <c r="O52" s="72"/>
      <c r="P52" s="72"/>
      <c r="Q52" s="73" t="s">
        <v>133</v>
      </c>
      <c r="R52" s="68">
        <v>45141</v>
      </c>
      <c r="S52" s="184">
        <v>0.39583333333333331</v>
      </c>
      <c r="T52" s="69" t="s">
        <v>307</v>
      </c>
      <c r="U52" s="214"/>
      <c r="V52" s="73" t="s">
        <v>666</v>
      </c>
      <c r="W52" s="34" t="str">
        <f t="shared" ca="1" si="4"/>
        <v>SI</v>
      </c>
      <c r="X52" s="23" t="str">
        <f t="shared" si="5"/>
        <v>DIANOSOL</v>
      </c>
      <c r="Y52" s="58" t="s">
        <v>994</v>
      </c>
      <c r="Z52" s="121" t="s">
        <v>1018</v>
      </c>
      <c r="AA52" s="121" t="str">
        <f>IF(Z52&lt;&gt;"",VLOOKUP($Z52,Resultados!$A$1:$B$49,2,FALSE),"")</f>
        <v>Recursos Denegados</v>
      </c>
    </row>
    <row r="53" spans="1:27" ht="38.25">
      <c r="A53" s="70">
        <v>51</v>
      </c>
      <c r="B53" s="68">
        <v>45134</v>
      </c>
      <c r="C53" s="186">
        <v>0.45833333333333331</v>
      </c>
      <c r="D53" s="72" t="s">
        <v>105</v>
      </c>
      <c r="E53" s="73" t="s">
        <v>464</v>
      </c>
      <c r="F53" s="73" t="s">
        <v>465</v>
      </c>
      <c r="G53" s="74">
        <v>14276165</v>
      </c>
      <c r="H53" s="72"/>
      <c r="I53" s="75" t="s">
        <v>466</v>
      </c>
      <c r="J53" s="79"/>
      <c r="K53" s="79"/>
      <c r="L53" s="79"/>
      <c r="M53" s="73" t="s">
        <v>467</v>
      </c>
      <c r="N53" s="72"/>
      <c r="O53" s="72"/>
      <c r="P53" s="72"/>
      <c r="Q53" s="73" t="s">
        <v>132</v>
      </c>
      <c r="R53" s="68">
        <v>45142</v>
      </c>
      <c r="S53" s="184">
        <v>0.39583333333333331</v>
      </c>
      <c r="T53" s="69" t="s">
        <v>429</v>
      </c>
      <c r="U53" s="214" t="s">
        <v>1101</v>
      </c>
      <c r="V53" s="58" t="s">
        <v>749</v>
      </c>
      <c r="W53" s="34" t="str">
        <f t="shared" ca="1" si="4"/>
        <v>SI</v>
      </c>
      <c r="X53" s="23" t="str">
        <f t="shared" si="5"/>
        <v>DIANOSOL</v>
      </c>
      <c r="Y53" s="58" t="s">
        <v>994</v>
      </c>
      <c r="Z53" s="121" t="s">
        <v>1018</v>
      </c>
      <c r="AA53" s="121" t="str">
        <f>IF(Z53&lt;&gt;"",VLOOKUP($Z53,Resultados!$A$1:$B$49,2,FALSE),"")</f>
        <v>Recursos Denegados</v>
      </c>
    </row>
    <row r="54" spans="1:27" ht="38.25">
      <c r="A54" s="70">
        <v>52</v>
      </c>
      <c r="B54" s="68">
        <v>45134</v>
      </c>
      <c r="C54" s="71">
        <v>0.5</v>
      </c>
      <c r="D54" s="72" t="s">
        <v>107</v>
      </c>
      <c r="E54" s="73" t="s">
        <v>473</v>
      </c>
      <c r="F54" s="73" t="s">
        <v>474</v>
      </c>
      <c r="G54" s="74">
        <v>12726711</v>
      </c>
      <c r="H54" s="73" t="s">
        <v>476</v>
      </c>
      <c r="I54" s="75" t="s">
        <v>475</v>
      </c>
      <c r="J54" s="75" t="s">
        <v>477</v>
      </c>
      <c r="K54" s="79"/>
      <c r="L54" s="79"/>
      <c r="M54" s="73" t="s">
        <v>459</v>
      </c>
      <c r="N54" s="72"/>
      <c r="O54" s="72"/>
      <c r="P54" s="72"/>
      <c r="Q54" s="73" t="s">
        <v>133</v>
      </c>
      <c r="R54" s="68">
        <v>45140</v>
      </c>
      <c r="S54" s="184">
        <v>0.45833333333333331</v>
      </c>
      <c r="T54" s="69" t="s">
        <v>504</v>
      </c>
      <c r="U54" s="214"/>
      <c r="V54" s="73" t="s">
        <v>700</v>
      </c>
      <c r="W54" s="34" t="str">
        <f t="shared" ca="1" si="4"/>
        <v>SI</v>
      </c>
      <c r="X54" s="23" t="str">
        <f t="shared" si="5"/>
        <v>DIANOSOL</v>
      </c>
      <c r="Y54" s="58" t="s">
        <v>994</v>
      </c>
      <c r="Z54" s="121" t="s">
        <v>1018</v>
      </c>
      <c r="AA54" s="121" t="str">
        <f>IF(Z54&lt;&gt;"",VLOOKUP($Z54,Resultados!$A$1:$B$49,2,FALSE),"")</f>
        <v>Recursos Denegados</v>
      </c>
    </row>
    <row r="55" spans="1:27" ht="76.5">
      <c r="A55" s="70">
        <v>53</v>
      </c>
      <c r="B55" s="68">
        <v>45134</v>
      </c>
      <c r="C55" s="71">
        <v>0.5</v>
      </c>
      <c r="D55" s="72" t="s">
        <v>106</v>
      </c>
      <c r="E55" s="73" t="s">
        <v>478</v>
      </c>
      <c r="F55" s="73" t="s">
        <v>484</v>
      </c>
      <c r="G55" s="74">
        <v>36337610</v>
      </c>
      <c r="H55" s="73" t="s">
        <v>480</v>
      </c>
      <c r="I55" s="75" t="s">
        <v>479</v>
      </c>
      <c r="J55" s="75" t="s">
        <v>481</v>
      </c>
      <c r="K55" s="79"/>
      <c r="L55" s="75" t="s">
        <v>482</v>
      </c>
      <c r="M55" s="73" t="s">
        <v>483</v>
      </c>
      <c r="N55" s="72"/>
      <c r="O55" s="73" t="s">
        <v>574</v>
      </c>
      <c r="P55" s="72"/>
      <c r="Q55" s="73" t="s">
        <v>503</v>
      </c>
      <c r="R55" s="68">
        <v>45147</v>
      </c>
      <c r="S55" s="184">
        <v>0.39583333333333331</v>
      </c>
      <c r="T55" s="69" t="s">
        <v>938</v>
      </c>
      <c r="U55" s="213"/>
      <c r="V55" s="6" t="s">
        <v>700</v>
      </c>
      <c r="W55" s="34" t="str">
        <f t="shared" ca="1" si="4"/>
        <v>SI</v>
      </c>
      <c r="X55" s="23" t="str">
        <f t="shared" si="5"/>
        <v>DIANOSOL</v>
      </c>
      <c r="Y55" s="58" t="s">
        <v>994</v>
      </c>
      <c r="Z55" s="121" t="s">
        <v>1025</v>
      </c>
      <c r="AA55" s="121" t="str">
        <f>IF(Z55&lt;&gt;"",VLOOKUP($Z55,Resultados!$A$1:$B$49,2,FALSE),"")</f>
        <v>Recursos donde se hizo lugar</v>
      </c>
    </row>
    <row r="56" spans="1:27" ht="38.25">
      <c r="A56" s="70">
        <v>54</v>
      </c>
      <c r="B56" s="68">
        <v>45134</v>
      </c>
      <c r="C56" s="71">
        <v>0.54166666666666663</v>
      </c>
      <c r="D56" s="72" t="s">
        <v>229</v>
      </c>
      <c r="E56" s="73" t="s">
        <v>485</v>
      </c>
      <c r="F56" s="73" t="s">
        <v>486</v>
      </c>
      <c r="G56" s="74">
        <v>23749907</v>
      </c>
      <c r="H56" s="73" t="s">
        <v>487</v>
      </c>
      <c r="I56" s="75" t="s">
        <v>420</v>
      </c>
      <c r="J56" s="75" t="s">
        <v>488</v>
      </c>
      <c r="K56" s="75" t="s">
        <v>489</v>
      </c>
      <c r="L56" s="75" t="s">
        <v>490</v>
      </c>
      <c r="M56" s="73" t="s">
        <v>491</v>
      </c>
      <c r="N56" s="73" t="s">
        <v>492</v>
      </c>
      <c r="O56" s="72"/>
      <c r="P56" s="72"/>
      <c r="Q56" s="73" t="s">
        <v>132</v>
      </c>
      <c r="R56" s="68">
        <v>45147</v>
      </c>
      <c r="S56" s="184">
        <v>0.4375</v>
      </c>
      <c r="T56" s="69" t="s">
        <v>883</v>
      </c>
      <c r="U56" s="214" t="s">
        <v>919</v>
      </c>
      <c r="V56" s="5">
        <v>24082023</v>
      </c>
      <c r="W56" s="34" t="str">
        <f t="shared" ca="1" si="4"/>
        <v>SI</v>
      </c>
      <c r="X56" s="23" t="str">
        <f t="shared" si="5"/>
        <v>DIANOSOL</v>
      </c>
      <c r="Y56" s="58" t="s">
        <v>994</v>
      </c>
      <c r="Z56" s="121" t="s">
        <v>1018</v>
      </c>
      <c r="AA56" s="121" t="str">
        <f>IF(Z56&lt;&gt;"",VLOOKUP($Z56,Resultados!$A$1:$B$49,2,FALSE),"")</f>
        <v>Recursos Denegados</v>
      </c>
    </row>
    <row r="57" spans="1:27" ht="38.25">
      <c r="A57" s="70">
        <v>55</v>
      </c>
      <c r="B57" s="68">
        <v>45138</v>
      </c>
      <c r="C57" s="71">
        <v>0.41666666666666669</v>
      </c>
      <c r="D57" s="72" t="s">
        <v>229</v>
      </c>
      <c r="E57" s="73" t="s">
        <v>495</v>
      </c>
      <c r="F57" s="73" t="s">
        <v>496</v>
      </c>
      <c r="G57" s="74">
        <v>31948220</v>
      </c>
      <c r="H57" s="73" t="s">
        <v>497</v>
      </c>
      <c r="I57" s="75" t="s">
        <v>475</v>
      </c>
      <c r="J57" s="75" t="s">
        <v>498</v>
      </c>
      <c r="K57" s="76">
        <v>10493616</v>
      </c>
      <c r="L57" s="75" t="s">
        <v>499</v>
      </c>
      <c r="M57" s="73" t="s">
        <v>459</v>
      </c>
      <c r="N57" s="72"/>
      <c r="O57" s="72"/>
      <c r="P57" s="72"/>
      <c r="Q57" s="73" t="s">
        <v>500</v>
      </c>
      <c r="R57" s="68">
        <v>45148</v>
      </c>
      <c r="S57" s="184">
        <v>0.41666666666666669</v>
      </c>
      <c r="T57" s="69" t="s">
        <v>939</v>
      </c>
      <c r="U57" s="212" t="s">
        <v>1079</v>
      </c>
      <c r="V57" s="6" t="s">
        <v>700</v>
      </c>
      <c r="W57" s="34" t="str">
        <f t="shared" ca="1" si="4"/>
        <v>SI</v>
      </c>
      <c r="X57" s="23" t="str">
        <f t="shared" si="5"/>
        <v>DIANOSOL</v>
      </c>
      <c r="Y57" s="58" t="s">
        <v>994</v>
      </c>
      <c r="Z57" s="121" t="s">
        <v>1018</v>
      </c>
      <c r="AA57" s="121" t="str">
        <f>IF(Z57&lt;&gt;"",VLOOKUP($Z57,Resultados!$A$1:$B$49,2,FALSE),"")</f>
        <v>Recursos Denegados</v>
      </c>
    </row>
    <row r="58" spans="1:27" ht="63.75">
      <c r="A58" s="70">
        <v>56</v>
      </c>
      <c r="B58" s="68">
        <v>45139</v>
      </c>
      <c r="C58" s="71">
        <v>0.5</v>
      </c>
      <c r="D58" s="72" t="s">
        <v>227</v>
      </c>
      <c r="E58" s="73" t="s">
        <v>1100</v>
      </c>
      <c r="F58" s="73" t="s">
        <v>564</v>
      </c>
      <c r="G58" s="74">
        <v>32165072</v>
      </c>
      <c r="H58" s="73" t="s">
        <v>567</v>
      </c>
      <c r="I58" s="75" t="s">
        <v>566</v>
      </c>
      <c r="J58" s="79"/>
      <c r="K58" s="79"/>
      <c r="L58" s="79"/>
      <c r="M58" s="73" t="s">
        <v>569</v>
      </c>
      <c r="N58" s="73" t="s">
        <v>608</v>
      </c>
      <c r="O58" s="73" t="s">
        <v>570</v>
      </c>
      <c r="P58" s="72"/>
      <c r="Q58" s="73" t="s">
        <v>572</v>
      </c>
      <c r="R58" s="68">
        <v>45153</v>
      </c>
      <c r="S58" s="184">
        <v>0.39583333333333331</v>
      </c>
      <c r="T58" s="69" t="s">
        <v>939</v>
      </c>
      <c r="U58" s="214"/>
      <c r="V58" s="73" t="s">
        <v>733</v>
      </c>
      <c r="W58" s="34" t="str">
        <f t="shared" ca="1" si="4"/>
        <v>SI</v>
      </c>
      <c r="X58" s="23" t="str">
        <f t="shared" si="5"/>
        <v>DIANOSOL</v>
      </c>
      <c r="Y58" s="58" t="s">
        <v>994</v>
      </c>
      <c r="Z58" s="121" t="s">
        <v>1018</v>
      </c>
      <c r="AA58" s="121" t="str">
        <f>IF(Z58&lt;&gt;"",VLOOKUP($Z58,Resultados!$A$1:$B$49,2,FALSE),"")</f>
        <v>Recursos Denegados</v>
      </c>
    </row>
    <row r="59" spans="1:27" ht="63.75">
      <c r="A59" s="70">
        <v>57</v>
      </c>
      <c r="B59" s="68">
        <v>45139</v>
      </c>
      <c r="C59" s="71">
        <v>0.5</v>
      </c>
      <c r="D59" s="72" t="s">
        <v>227</v>
      </c>
      <c r="E59" s="73" t="s">
        <v>1100</v>
      </c>
      <c r="F59" s="73" t="s">
        <v>565</v>
      </c>
      <c r="G59" s="74">
        <v>35281473</v>
      </c>
      <c r="H59" s="73" t="s">
        <v>568</v>
      </c>
      <c r="I59" s="75" t="s">
        <v>566</v>
      </c>
      <c r="J59" s="79"/>
      <c r="K59" s="79"/>
      <c r="L59" s="79"/>
      <c r="M59" s="73" t="s">
        <v>569</v>
      </c>
      <c r="N59" s="73" t="s">
        <v>608</v>
      </c>
      <c r="O59" s="73" t="s">
        <v>570</v>
      </c>
      <c r="P59" s="72"/>
      <c r="Q59" s="73" t="s">
        <v>571</v>
      </c>
      <c r="R59" s="68">
        <v>45153</v>
      </c>
      <c r="S59" s="184">
        <v>0.39583333333333331</v>
      </c>
      <c r="T59" s="69" t="s">
        <v>940</v>
      </c>
      <c r="U59" s="213"/>
      <c r="V59" s="72"/>
      <c r="W59" s="34" t="str">
        <f t="shared" ca="1" si="4"/>
        <v>SI</v>
      </c>
      <c r="X59" s="23" t="str">
        <f t="shared" si="5"/>
        <v>DIANOSOL</v>
      </c>
      <c r="Y59" s="58" t="s">
        <v>994</v>
      </c>
      <c r="Z59" s="121" t="s">
        <v>1018</v>
      </c>
      <c r="AA59" s="121" t="str">
        <f>IF(Z59&lt;&gt;"",VLOOKUP($Z59,Resultados!$A$1:$B$49,2,FALSE),"")</f>
        <v>Recursos Denegados</v>
      </c>
    </row>
    <row r="60" spans="1:27" ht="38.25">
      <c r="A60" s="70">
        <v>58</v>
      </c>
      <c r="B60" s="68">
        <v>45141</v>
      </c>
      <c r="C60" s="71">
        <v>0.33333333333333331</v>
      </c>
      <c r="D60" s="72" t="s">
        <v>226</v>
      </c>
      <c r="E60" s="73" t="s">
        <v>509</v>
      </c>
      <c r="F60" s="73" t="s">
        <v>510</v>
      </c>
      <c r="G60" s="74">
        <v>31436737</v>
      </c>
      <c r="H60" s="73" t="s">
        <v>512</v>
      </c>
      <c r="I60" s="75" t="s">
        <v>514</v>
      </c>
      <c r="J60" s="75" t="s">
        <v>516</v>
      </c>
      <c r="K60" s="76">
        <v>8174871</v>
      </c>
      <c r="L60" s="75" t="s">
        <v>517</v>
      </c>
      <c r="M60" s="73" t="s">
        <v>518</v>
      </c>
      <c r="N60" s="72"/>
      <c r="O60" s="72"/>
      <c r="P60" s="72"/>
      <c r="Q60" s="73" t="s">
        <v>136</v>
      </c>
      <c r="R60" s="69">
        <v>45145</v>
      </c>
      <c r="S60" s="184">
        <v>0.4375</v>
      </c>
      <c r="T60" s="69" t="s">
        <v>911</v>
      </c>
      <c r="U60" s="214" t="s">
        <v>930</v>
      </c>
      <c r="V60" s="5">
        <v>23082023</v>
      </c>
      <c r="W60" s="34" t="str">
        <f t="shared" ca="1" si="4"/>
        <v>SI</v>
      </c>
      <c r="X60" s="23" t="str">
        <f t="shared" si="5"/>
        <v>DIANOSOL</v>
      </c>
      <c r="Y60" s="58" t="s">
        <v>994</v>
      </c>
      <c r="Z60" s="121" t="s">
        <v>1018</v>
      </c>
      <c r="AA60" s="121" t="str">
        <f>IF(Z60&lt;&gt;"",VLOOKUP($Z60,Resultados!$A$1:$B$49,2,FALSE),"")</f>
        <v>Recursos Denegados</v>
      </c>
    </row>
    <row r="61" spans="1:27" ht="38.25">
      <c r="A61" s="70">
        <v>59</v>
      </c>
      <c r="B61" s="68">
        <v>45141</v>
      </c>
      <c r="C61" s="71">
        <v>0.33333333333333331</v>
      </c>
      <c r="D61" s="72" t="s">
        <v>226</v>
      </c>
      <c r="E61" s="73" t="s">
        <v>509</v>
      </c>
      <c r="F61" s="73" t="s">
        <v>511</v>
      </c>
      <c r="G61" s="74">
        <v>28260958</v>
      </c>
      <c r="H61" s="73" t="s">
        <v>513</v>
      </c>
      <c r="I61" s="75" t="s">
        <v>515</v>
      </c>
      <c r="J61" s="75" t="s">
        <v>516</v>
      </c>
      <c r="K61" s="76">
        <v>8174871</v>
      </c>
      <c r="L61" s="75" t="s">
        <v>517</v>
      </c>
      <c r="M61" s="73" t="s">
        <v>518</v>
      </c>
      <c r="N61" s="72"/>
      <c r="O61" s="72"/>
      <c r="P61" s="72"/>
      <c r="Q61" s="73" t="s">
        <v>136</v>
      </c>
      <c r="R61" s="69">
        <v>45145</v>
      </c>
      <c r="S61" s="184">
        <v>0.4375</v>
      </c>
      <c r="T61" s="69" t="s">
        <v>912</v>
      </c>
      <c r="U61" s="214" t="s">
        <v>930</v>
      </c>
      <c r="V61" s="72"/>
      <c r="W61" s="34" t="str">
        <f t="shared" ca="1" si="4"/>
        <v>SI</v>
      </c>
      <c r="X61" s="23" t="str">
        <f t="shared" si="5"/>
        <v>DIANOSOL</v>
      </c>
      <c r="Y61" s="58" t="s">
        <v>994</v>
      </c>
      <c r="Z61" s="121" t="s">
        <v>1018</v>
      </c>
      <c r="AA61" s="121" t="str">
        <f>IF(Z61&lt;&gt;"",VLOOKUP($Z61,Resultados!$A$1:$B$49,2,FALSE),"")</f>
        <v>Recursos Denegados</v>
      </c>
    </row>
    <row r="62" spans="1:27" ht="153">
      <c r="A62" s="70">
        <v>60</v>
      </c>
      <c r="B62" s="68">
        <v>45141</v>
      </c>
      <c r="C62" s="71">
        <v>0.33333333333333331</v>
      </c>
      <c r="D62" s="72" t="s">
        <v>230</v>
      </c>
      <c r="E62" s="73" t="s">
        <v>519</v>
      </c>
      <c r="F62" s="73" t="s">
        <v>520</v>
      </c>
      <c r="G62" s="74">
        <v>42520231</v>
      </c>
      <c r="H62" s="73" t="s">
        <v>521</v>
      </c>
      <c r="I62" s="75" t="s">
        <v>522</v>
      </c>
      <c r="J62" s="75" t="s">
        <v>523</v>
      </c>
      <c r="K62" s="76">
        <v>28473192</v>
      </c>
      <c r="L62" s="75" t="s">
        <v>524</v>
      </c>
      <c r="M62" s="73" t="s">
        <v>459</v>
      </c>
      <c r="N62" s="72"/>
      <c r="O62" s="72"/>
      <c r="P62" s="72"/>
      <c r="Q62" s="73" t="s">
        <v>136</v>
      </c>
      <c r="R62" s="68">
        <v>45148</v>
      </c>
      <c r="S62" s="184">
        <v>0.45833333333333331</v>
      </c>
      <c r="T62" s="69" t="s">
        <v>592</v>
      </c>
      <c r="U62" s="212"/>
      <c r="V62" s="58" t="s">
        <v>733</v>
      </c>
      <c r="W62" s="34" t="str">
        <f t="shared" ca="1" si="4"/>
        <v>SI</v>
      </c>
      <c r="X62" s="23" t="str">
        <f t="shared" si="5"/>
        <v>DIANOSOL</v>
      </c>
      <c r="Y62" s="58" t="s">
        <v>994</v>
      </c>
      <c r="Z62" s="121" t="s">
        <v>1018</v>
      </c>
      <c r="AA62" s="121" t="str">
        <f>IF(Z62&lt;&gt;"",VLOOKUP($Z62,Resultados!$A$1:$B$49,2,FALSE),"")</f>
        <v>Recursos Denegados</v>
      </c>
    </row>
    <row r="63" spans="1:27" ht="51">
      <c r="A63" s="70">
        <v>61</v>
      </c>
      <c r="B63" s="68">
        <v>45141</v>
      </c>
      <c r="C63" s="71">
        <v>0.41666666666666669</v>
      </c>
      <c r="D63" s="72" t="s">
        <v>108</v>
      </c>
      <c r="E63" s="73" t="s">
        <v>525</v>
      </c>
      <c r="F63" s="73" t="s">
        <v>526</v>
      </c>
      <c r="G63" s="74">
        <v>34913942</v>
      </c>
      <c r="H63" s="73" t="s">
        <v>527</v>
      </c>
      <c r="I63" s="75" t="s">
        <v>528</v>
      </c>
      <c r="J63" s="75" t="s">
        <v>529</v>
      </c>
      <c r="K63" s="79"/>
      <c r="L63" s="75" t="s">
        <v>530</v>
      </c>
      <c r="M63" s="73" t="s">
        <v>531</v>
      </c>
      <c r="N63" s="72"/>
      <c r="O63" s="72"/>
      <c r="P63" s="72"/>
      <c r="Q63" s="73" t="s">
        <v>599</v>
      </c>
      <c r="R63" s="68">
        <v>45152</v>
      </c>
      <c r="S63" s="184">
        <v>0.47916666666666669</v>
      </c>
      <c r="T63" s="69" t="s">
        <v>378</v>
      </c>
      <c r="U63" s="214"/>
      <c r="V63" s="73" t="s">
        <v>774</v>
      </c>
      <c r="W63" s="34" t="str">
        <f t="shared" ca="1" si="4"/>
        <v>SI</v>
      </c>
      <c r="X63" s="23" t="str">
        <f t="shared" si="5"/>
        <v>DIANOSOL</v>
      </c>
      <c r="Y63" s="58" t="s">
        <v>994</v>
      </c>
      <c r="Z63" s="121" t="s">
        <v>1018</v>
      </c>
      <c r="AA63" s="121" t="str">
        <f>IF(Z63&lt;&gt;"",VLOOKUP($Z63,Resultados!$A$1:$B$49,2,FALSE),"")</f>
        <v>Recursos Denegados</v>
      </c>
    </row>
    <row r="64" spans="1:27" ht="51">
      <c r="A64" s="70">
        <v>62</v>
      </c>
      <c r="B64" s="68">
        <v>45142</v>
      </c>
      <c r="C64" s="71">
        <v>0.41666666666666669</v>
      </c>
      <c r="D64" s="72" t="s">
        <v>106</v>
      </c>
      <c r="E64" s="73" t="s">
        <v>533</v>
      </c>
      <c r="F64" s="73" t="s">
        <v>168</v>
      </c>
      <c r="G64" s="74">
        <v>43950336</v>
      </c>
      <c r="H64" s="73" t="s">
        <v>169</v>
      </c>
      <c r="I64" s="75" t="s">
        <v>170</v>
      </c>
      <c r="J64" s="75" t="s">
        <v>171</v>
      </c>
      <c r="K64" s="81">
        <v>42503697</v>
      </c>
      <c r="L64" s="75" t="s">
        <v>172</v>
      </c>
      <c r="M64" s="73" t="s">
        <v>594</v>
      </c>
      <c r="N64" s="73" t="s">
        <v>174</v>
      </c>
      <c r="O64" s="73"/>
      <c r="P64" s="73" t="s">
        <v>14</v>
      </c>
      <c r="Q64" s="73" t="s">
        <v>132</v>
      </c>
      <c r="R64" s="69">
        <v>45153</v>
      </c>
      <c r="S64" s="184">
        <v>0.4375</v>
      </c>
      <c r="T64" s="69" t="s">
        <v>165</v>
      </c>
      <c r="U64" s="214" t="s">
        <v>1089</v>
      </c>
      <c r="V64" s="73" t="s">
        <v>774</v>
      </c>
      <c r="W64" s="34" t="str">
        <f t="shared" ca="1" si="4"/>
        <v>SI</v>
      </c>
      <c r="X64" s="23" t="str">
        <f t="shared" si="5"/>
        <v>DIANOSOL</v>
      </c>
      <c r="Y64" s="58" t="s">
        <v>994</v>
      </c>
      <c r="Z64" s="121" t="s">
        <v>1025</v>
      </c>
      <c r="AA64" s="121" t="str">
        <f>IF(Z64&lt;&gt;"",VLOOKUP($Z64,Resultados!$A$1:$B$49,2,FALSE),"")</f>
        <v>Recursos donde se hizo lugar</v>
      </c>
    </row>
    <row r="65" spans="1:27" ht="38.25">
      <c r="A65" s="70">
        <v>63</v>
      </c>
      <c r="B65" s="68">
        <v>45142</v>
      </c>
      <c r="C65" s="72"/>
      <c r="D65" s="72" t="s">
        <v>229</v>
      </c>
      <c r="E65" s="73" t="s">
        <v>535</v>
      </c>
      <c r="F65" s="73" t="s">
        <v>534</v>
      </c>
      <c r="G65" s="74">
        <v>12959004</v>
      </c>
      <c r="H65" s="72"/>
      <c r="I65" s="79"/>
      <c r="J65" s="79"/>
      <c r="K65" s="79"/>
      <c r="L65" s="79"/>
      <c r="M65" s="73" t="s">
        <v>536</v>
      </c>
      <c r="N65" s="72"/>
      <c r="O65" s="72"/>
      <c r="P65" s="72"/>
      <c r="Q65" s="73" t="s">
        <v>136</v>
      </c>
      <c r="R65" s="68">
        <v>45142</v>
      </c>
      <c r="S65" s="184">
        <v>0.4375</v>
      </c>
      <c r="T65" s="69" t="s">
        <v>563</v>
      </c>
      <c r="U65" s="214" t="s">
        <v>1065</v>
      </c>
      <c r="V65" s="73" t="s">
        <v>774</v>
      </c>
      <c r="W65" s="34" t="str">
        <f t="shared" ca="1" si="4"/>
        <v>SI</v>
      </c>
      <c r="X65" s="23" t="str">
        <f t="shared" si="5"/>
        <v>DIANOSOL</v>
      </c>
      <c r="Y65" s="58"/>
      <c r="Z65" s="121" t="s">
        <v>1019</v>
      </c>
      <c r="AA65" s="121" t="str">
        <f>IF(Z65&lt;&gt;"",VLOOKUP($Z65,Resultados!$A$1:$B$49,2,FALSE),"")</f>
        <v>Recursos donde se hizo lugar</v>
      </c>
    </row>
    <row r="66" spans="1:27" ht="38.25">
      <c r="A66" s="70">
        <v>64</v>
      </c>
      <c r="B66" s="68">
        <v>45142</v>
      </c>
      <c r="C66" s="71">
        <v>0.41666666666666669</v>
      </c>
      <c r="D66" s="72" t="s">
        <v>107</v>
      </c>
      <c r="E66" s="73" t="s">
        <v>537</v>
      </c>
      <c r="F66" s="73" t="s">
        <v>538</v>
      </c>
      <c r="G66" s="74">
        <v>27571017</v>
      </c>
      <c r="H66" s="73" t="s">
        <v>539</v>
      </c>
      <c r="I66" s="75" t="s">
        <v>514</v>
      </c>
      <c r="J66" s="75" t="s">
        <v>540</v>
      </c>
      <c r="K66" s="76">
        <v>33753033</v>
      </c>
      <c r="L66" s="75" t="s">
        <v>541</v>
      </c>
      <c r="M66" s="73" t="s">
        <v>428</v>
      </c>
      <c r="N66" s="72"/>
      <c r="O66" s="72"/>
      <c r="P66" s="72"/>
      <c r="Q66" s="73" t="s">
        <v>132</v>
      </c>
      <c r="R66" s="68">
        <v>45149</v>
      </c>
      <c r="S66" s="184">
        <v>0.4375</v>
      </c>
      <c r="T66" s="69" t="s">
        <v>1260</v>
      </c>
      <c r="U66" s="216" t="s">
        <v>816</v>
      </c>
      <c r="V66" s="73" t="s">
        <v>774</v>
      </c>
      <c r="W66" s="34" t="str">
        <f t="shared" ca="1" si="4"/>
        <v>SI</v>
      </c>
      <c r="X66" s="23" t="str">
        <f t="shared" si="5"/>
        <v>DIANOSOL</v>
      </c>
      <c r="Y66" s="58" t="s">
        <v>994</v>
      </c>
      <c r="Z66" s="121" t="s">
        <v>1062</v>
      </c>
      <c r="AA66" s="121" t="str">
        <f>IF(Z66&lt;&gt;"",VLOOKUP($Z66,Resultados!$A$1:$B$49,2,FALSE),"")</f>
        <v>Recursos donde se hizo lugar</v>
      </c>
    </row>
    <row r="67" spans="1:27" ht="51">
      <c r="A67" s="70">
        <v>65</v>
      </c>
      <c r="B67" s="68">
        <v>45142</v>
      </c>
      <c r="C67" s="71">
        <v>0.5</v>
      </c>
      <c r="D67" s="72" t="s">
        <v>105</v>
      </c>
      <c r="E67" s="73" t="s">
        <v>542</v>
      </c>
      <c r="F67" s="73" t="s">
        <v>543</v>
      </c>
      <c r="G67" s="74">
        <v>31093314</v>
      </c>
      <c r="H67" s="73" t="s">
        <v>544</v>
      </c>
      <c r="I67" s="75" t="s">
        <v>545</v>
      </c>
      <c r="J67" s="75" t="s">
        <v>546</v>
      </c>
      <c r="K67" s="76">
        <v>32232470</v>
      </c>
      <c r="L67" s="75" t="s">
        <v>547</v>
      </c>
      <c r="M67" s="73" t="s">
        <v>459</v>
      </c>
      <c r="N67" s="72"/>
      <c r="O67" s="72"/>
      <c r="P67" s="72"/>
      <c r="Q67" s="73" t="s">
        <v>132</v>
      </c>
      <c r="R67" s="68">
        <v>45153</v>
      </c>
      <c r="S67" s="184">
        <v>0.39583333333333331</v>
      </c>
      <c r="T67" s="69" t="s">
        <v>504</v>
      </c>
      <c r="U67" s="214" t="s">
        <v>1068</v>
      </c>
      <c r="V67" s="73" t="s">
        <v>804</v>
      </c>
      <c r="W67" s="34" t="str">
        <f t="shared" ca="1" si="4"/>
        <v>SI</v>
      </c>
      <c r="X67" s="23" t="str">
        <f t="shared" si="5"/>
        <v>DIANOSOL</v>
      </c>
      <c r="Y67" s="58" t="s">
        <v>994</v>
      </c>
      <c r="Z67" s="121" t="s">
        <v>1018</v>
      </c>
      <c r="AA67" s="121" t="str">
        <f>IF(Z67&lt;&gt;"",VLOOKUP($Z67,Resultados!$A$1:$B$49,2,FALSE),"")</f>
        <v>Recursos Denegados</v>
      </c>
    </row>
    <row r="68" spans="1:27" ht="89.25">
      <c r="A68" s="70">
        <v>66</v>
      </c>
      <c r="B68" s="68">
        <v>1140869</v>
      </c>
      <c r="C68" s="71">
        <v>0.5</v>
      </c>
      <c r="D68" s="72" t="s">
        <v>433</v>
      </c>
      <c r="E68" s="73" t="s">
        <v>548</v>
      </c>
      <c r="F68" s="73" t="s">
        <v>549</v>
      </c>
      <c r="G68" s="74">
        <v>22146036</v>
      </c>
      <c r="H68" s="73" t="s">
        <v>552</v>
      </c>
      <c r="I68" s="75" t="s">
        <v>550</v>
      </c>
      <c r="J68" s="75" t="s">
        <v>551</v>
      </c>
      <c r="K68" s="76">
        <v>39399277</v>
      </c>
      <c r="L68" s="75" t="s">
        <v>553</v>
      </c>
      <c r="M68" s="73" t="s">
        <v>554</v>
      </c>
      <c r="N68" s="73" t="s">
        <v>555</v>
      </c>
      <c r="O68" s="72"/>
      <c r="P68" s="72"/>
      <c r="Q68" s="73" t="s">
        <v>556</v>
      </c>
      <c r="R68" s="68">
        <v>45160</v>
      </c>
      <c r="S68" s="184">
        <v>0.39583333333333331</v>
      </c>
      <c r="T68" s="69" t="s">
        <v>1052</v>
      </c>
      <c r="U68" s="214" t="s">
        <v>1087</v>
      </c>
      <c r="V68" s="72"/>
      <c r="W68" s="34" t="str">
        <f t="shared" ref="W68:W99" ca="1" si="6">IF(R68&lt;=TODAY(),"SI","NO")</f>
        <v>SI</v>
      </c>
      <c r="X68" s="23" t="str">
        <f t="shared" ref="X68:X99" si="7">IF($X$1=R68,"DIASOL", "DIANOSOL")</f>
        <v>DIANOSOL</v>
      </c>
      <c r="Y68" s="58" t="s">
        <v>1002</v>
      </c>
      <c r="Z68" s="121" t="s">
        <v>1014</v>
      </c>
      <c r="AA68" s="121" t="str">
        <f>IF(Z68&lt;&gt;"",VLOOKUP($Z68,Resultados!$A$1:$B$49,2,FALSE),"")</f>
        <v>Recursos Denegados</v>
      </c>
    </row>
    <row r="69" spans="1:27" ht="89.25">
      <c r="A69" s="70">
        <v>67</v>
      </c>
      <c r="B69" s="68">
        <v>45143</v>
      </c>
      <c r="C69" s="186">
        <v>0.5</v>
      </c>
      <c r="D69" s="72" t="s">
        <v>242</v>
      </c>
      <c r="E69" s="73" t="s">
        <v>557</v>
      </c>
      <c r="F69" s="73" t="s">
        <v>558</v>
      </c>
      <c r="G69" s="74">
        <v>34867746</v>
      </c>
      <c r="H69" s="72"/>
      <c r="I69" s="75" t="s">
        <v>559</v>
      </c>
      <c r="J69" s="75" t="s">
        <v>560</v>
      </c>
      <c r="K69" s="76">
        <v>34190419</v>
      </c>
      <c r="L69" s="75" t="s">
        <v>649</v>
      </c>
      <c r="M69" s="73" t="s">
        <v>463</v>
      </c>
      <c r="N69" s="72"/>
      <c r="O69" s="73" t="s">
        <v>595</v>
      </c>
      <c r="P69" s="72"/>
      <c r="Q69" s="73" t="s">
        <v>556</v>
      </c>
      <c r="R69" s="68">
        <v>45152</v>
      </c>
      <c r="S69" s="184">
        <v>0.4375</v>
      </c>
      <c r="T69" s="69" t="s">
        <v>592</v>
      </c>
      <c r="U69" s="214" t="s">
        <v>1053</v>
      </c>
      <c r="V69" s="73" t="s">
        <v>742</v>
      </c>
      <c r="W69" s="34" t="str">
        <f t="shared" ca="1" si="6"/>
        <v>SI</v>
      </c>
      <c r="X69" s="23" t="str">
        <f t="shared" si="7"/>
        <v>DIANOSOL</v>
      </c>
      <c r="Y69" s="58" t="s">
        <v>994</v>
      </c>
      <c r="Z69" s="121" t="s">
        <v>1018</v>
      </c>
      <c r="AA69" s="121" t="str">
        <f>IF(Z69&lt;&gt;"",VLOOKUP($Z69,Resultados!$A$1:$B$49,2,FALSE),"")</f>
        <v>Recursos Denegados</v>
      </c>
    </row>
    <row r="70" spans="1:27" ht="76.5">
      <c r="A70" s="70">
        <v>68</v>
      </c>
      <c r="B70" s="68">
        <v>45147</v>
      </c>
      <c r="C70" s="186">
        <v>0.5</v>
      </c>
      <c r="D70" s="72" t="s">
        <v>228</v>
      </c>
      <c r="E70" s="73" t="s">
        <v>575</v>
      </c>
      <c r="F70" s="73" t="s">
        <v>576</v>
      </c>
      <c r="G70" s="80" t="s">
        <v>578</v>
      </c>
      <c r="H70" s="73" t="s">
        <v>580</v>
      </c>
      <c r="I70" s="75" t="s">
        <v>583</v>
      </c>
      <c r="J70" s="75" t="s">
        <v>582</v>
      </c>
      <c r="K70" s="79"/>
      <c r="L70" s="79"/>
      <c r="M70" s="73" t="s">
        <v>428</v>
      </c>
      <c r="N70" s="72"/>
      <c r="O70" s="72"/>
      <c r="P70" s="72"/>
      <c r="Q70" s="73" t="s">
        <v>626</v>
      </c>
      <c r="R70" s="68">
        <v>45162</v>
      </c>
      <c r="S70" s="191">
        <v>0.39583333333333331</v>
      </c>
      <c r="T70" s="69" t="s">
        <v>307</v>
      </c>
      <c r="U70" s="213" t="s">
        <v>1144</v>
      </c>
      <c r="V70" s="73" t="s">
        <v>804</v>
      </c>
      <c r="W70" s="34" t="str">
        <f t="shared" ca="1" si="6"/>
        <v>SI</v>
      </c>
      <c r="X70" s="23" t="str">
        <f t="shared" si="7"/>
        <v>DIANOSOL</v>
      </c>
      <c r="Y70" s="58" t="s">
        <v>994</v>
      </c>
      <c r="Z70" s="121" t="s">
        <v>1018</v>
      </c>
      <c r="AA70" s="121" t="str">
        <f>IF(Z70&lt;&gt;"",VLOOKUP($Z70,Resultados!$A$1:$B$49,2,FALSE),"")</f>
        <v>Recursos Denegados</v>
      </c>
    </row>
    <row r="71" spans="1:27" ht="76.5">
      <c r="A71" s="43">
        <v>69</v>
      </c>
      <c r="B71" s="82">
        <v>45147</v>
      </c>
      <c r="C71" s="83">
        <v>0.5</v>
      </c>
      <c r="D71" s="5" t="s">
        <v>228</v>
      </c>
      <c r="E71" s="6" t="s">
        <v>575</v>
      </c>
      <c r="F71" s="6" t="s">
        <v>577</v>
      </c>
      <c r="G71" s="57" t="s">
        <v>579</v>
      </c>
      <c r="H71" s="6" t="s">
        <v>581</v>
      </c>
      <c r="I71" s="37" t="s">
        <v>583</v>
      </c>
      <c r="J71" s="37" t="s">
        <v>582</v>
      </c>
      <c r="K71" s="84"/>
      <c r="L71" s="84"/>
      <c r="M71" s="6" t="s">
        <v>698</v>
      </c>
      <c r="N71" s="5"/>
      <c r="O71" s="5"/>
      <c r="P71" s="5"/>
      <c r="Q71" s="6" t="s">
        <v>699</v>
      </c>
      <c r="R71" s="82">
        <v>45162</v>
      </c>
      <c r="S71" s="178">
        <v>0.39583333333333331</v>
      </c>
      <c r="T71" s="36" t="s">
        <v>883</v>
      </c>
      <c r="U71" s="214" t="s">
        <v>1086</v>
      </c>
      <c r="V71" s="73" t="s">
        <v>804</v>
      </c>
      <c r="W71" s="34" t="str">
        <f t="shared" ca="1" si="6"/>
        <v>SI</v>
      </c>
      <c r="X71" s="23" t="str">
        <f t="shared" si="7"/>
        <v>DIANOSOL</v>
      </c>
      <c r="Y71" s="58" t="s">
        <v>994</v>
      </c>
      <c r="Z71" s="121" t="s">
        <v>1014</v>
      </c>
      <c r="AA71" s="121" t="str">
        <f>IF(Z71&lt;&gt;"",VLOOKUP($Z71,Resultados!$A$1:$B$49,2,FALSE),"")</f>
        <v>Recursos Denegados</v>
      </c>
    </row>
    <row r="72" spans="1:27" ht="38.25">
      <c r="A72" s="43">
        <v>70</v>
      </c>
      <c r="B72" s="82">
        <v>45148</v>
      </c>
      <c r="C72" s="83">
        <v>0.5</v>
      </c>
      <c r="D72" s="5" t="s">
        <v>227</v>
      </c>
      <c r="E72" s="6" t="s">
        <v>585</v>
      </c>
      <c r="F72" s="6" t="s">
        <v>586</v>
      </c>
      <c r="G72" s="85">
        <v>39365037</v>
      </c>
      <c r="H72" s="6" t="s">
        <v>587</v>
      </c>
      <c r="I72" s="37" t="s">
        <v>588</v>
      </c>
      <c r="J72" s="37" t="s">
        <v>589</v>
      </c>
      <c r="K72" s="86">
        <v>37088009</v>
      </c>
      <c r="L72" s="84"/>
      <c r="M72" s="6" t="s">
        <v>590</v>
      </c>
      <c r="N72" s="5"/>
      <c r="O72" s="6" t="s">
        <v>591</v>
      </c>
      <c r="P72" s="5"/>
      <c r="Q72" s="6" t="s">
        <v>136</v>
      </c>
      <c r="R72" s="82">
        <v>45160</v>
      </c>
      <c r="S72" s="178">
        <v>0.47916666666666669</v>
      </c>
      <c r="T72" s="36" t="s">
        <v>883</v>
      </c>
      <c r="U72" s="214" t="s">
        <v>1071</v>
      </c>
      <c r="V72" s="73" t="s">
        <v>817</v>
      </c>
      <c r="W72" s="34" t="str">
        <f t="shared" ca="1" si="6"/>
        <v>SI</v>
      </c>
      <c r="X72" s="23" t="str">
        <f t="shared" si="7"/>
        <v>DIANOSOL</v>
      </c>
      <c r="Y72" s="58" t="s">
        <v>994</v>
      </c>
      <c r="Z72" s="121" t="s">
        <v>1018</v>
      </c>
      <c r="AA72" s="121" t="str">
        <f>IF(Z72&lt;&gt;"",VLOOKUP($Z72,Resultados!$A$1:$B$49,2,FALSE),"")</f>
        <v>Recursos Denegados</v>
      </c>
    </row>
    <row r="73" spans="1:27" ht="102">
      <c r="A73" s="63">
        <v>71</v>
      </c>
      <c r="B73" s="60">
        <v>45152</v>
      </c>
      <c r="C73" s="183">
        <v>0.45833333333333331</v>
      </c>
      <c r="D73" s="40" t="s">
        <v>229</v>
      </c>
      <c r="E73" s="58" t="s">
        <v>596</v>
      </c>
      <c r="F73" s="58" t="s">
        <v>597</v>
      </c>
      <c r="G73" s="65">
        <v>18901810</v>
      </c>
      <c r="H73" s="58" t="s">
        <v>598</v>
      </c>
      <c r="I73" s="41" t="s">
        <v>600</v>
      </c>
      <c r="J73" s="67"/>
      <c r="K73" s="67"/>
      <c r="L73" s="67"/>
      <c r="M73" s="58" t="s">
        <v>601</v>
      </c>
      <c r="N73" s="40"/>
      <c r="O73" s="58" t="s">
        <v>602</v>
      </c>
      <c r="P73" s="40"/>
      <c r="Q73" s="58" t="s">
        <v>132</v>
      </c>
      <c r="R73" s="55"/>
      <c r="S73" s="183"/>
      <c r="T73" s="55" t="s">
        <v>941</v>
      </c>
      <c r="U73" s="214" t="s">
        <v>1090</v>
      </c>
      <c r="V73" s="73" t="s">
        <v>818</v>
      </c>
      <c r="W73" s="34" t="str">
        <f t="shared" ca="1" si="6"/>
        <v>SI</v>
      </c>
      <c r="X73" s="23" t="str">
        <f t="shared" si="7"/>
        <v>DIANOSOL</v>
      </c>
      <c r="Y73" s="58" t="s">
        <v>994</v>
      </c>
      <c r="Z73" s="121" t="s">
        <v>1038</v>
      </c>
      <c r="AA73" s="121" t="str">
        <f>IF(Z73&lt;&gt;"",VLOOKUP($Z73,Resultados!$A$1:$B$49,2,FALSE),"")</f>
        <v>Recursos Inadmisibles</v>
      </c>
    </row>
    <row r="74" spans="1:27" ht="102">
      <c r="A74" s="43">
        <v>72</v>
      </c>
      <c r="B74" s="82">
        <v>45153</v>
      </c>
      <c r="C74" s="83">
        <v>0.375</v>
      </c>
      <c r="D74" s="5" t="s">
        <v>229</v>
      </c>
      <c r="E74" s="6" t="s">
        <v>604</v>
      </c>
      <c r="F74" s="6" t="s">
        <v>609</v>
      </c>
      <c r="G74" s="85">
        <v>33979335</v>
      </c>
      <c r="H74" s="6" t="s">
        <v>605</v>
      </c>
      <c r="I74" s="37" t="s">
        <v>606</v>
      </c>
      <c r="J74" s="37" t="s">
        <v>607</v>
      </c>
      <c r="K74" s="86">
        <v>33705261</v>
      </c>
      <c r="L74" s="84" t="s">
        <v>610</v>
      </c>
      <c r="M74" s="5" t="s">
        <v>611</v>
      </c>
      <c r="N74" s="5"/>
      <c r="O74" s="5" t="s">
        <v>612</v>
      </c>
      <c r="P74" s="5"/>
      <c r="Q74" s="5" t="s">
        <v>136</v>
      </c>
      <c r="R74" s="82">
        <v>45162</v>
      </c>
      <c r="S74" s="178">
        <v>0.4375</v>
      </c>
      <c r="T74" s="36" t="s">
        <v>914</v>
      </c>
      <c r="U74" s="212" t="s">
        <v>1181</v>
      </c>
      <c r="V74" s="72" t="s">
        <v>817</v>
      </c>
      <c r="W74" s="34" t="str">
        <f t="shared" ca="1" si="6"/>
        <v>SI</v>
      </c>
      <c r="X74" s="23" t="str">
        <f t="shared" si="7"/>
        <v>DIANOSOL</v>
      </c>
      <c r="Y74" s="58" t="s">
        <v>994</v>
      </c>
      <c r="Z74" s="121" t="s">
        <v>1018</v>
      </c>
      <c r="AA74" s="121" t="str">
        <f>IF(Z74&lt;&gt;"",VLOOKUP($Z74,Resultados!$A$1:$B$49,2,FALSE),"")</f>
        <v>Recursos Denegados</v>
      </c>
    </row>
    <row r="75" spans="1:27" ht="38.25">
      <c r="A75" s="70">
        <v>73</v>
      </c>
      <c r="B75" s="68">
        <v>45153</v>
      </c>
      <c r="C75" s="186">
        <v>0.41666666666666669</v>
      </c>
      <c r="D75" s="72" t="s">
        <v>105</v>
      </c>
      <c r="E75" s="72" t="s">
        <v>613</v>
      </c>
      <c r="F75" s="72" t="s">
        <v>614</v>
      </c>
      <c r="G75" s="74">
        <v>39003460</v>
      </c>
      <c r="H75" s="72" t="s">
        <v>615</v>
      </c>
      <c r="I75" s="79" t="s">
        <v>616</v>
      </c>
      <c r="J75" s="79" t="s">
        <v>617</v>
      </c>
      <c r="K75" s="76">
        <v>34846931</v>
      </c>
      <c r="L75" s="79" t="s">
        <v>618</v>
      </c>
      <c r="M75" s="73" t="s">
        <v>775</v>
      </c>
      <c r="N75" s="72"/>
      <c r="O75" s="72"/>
      <c r="P75" s="72"/>
      <c r="Q75" s="72" t="s">
        <v>136</v>
      </c>
      <c r="R75" s="69">
        <v>45169</v>
      </c>
      <c r="S75" s="191">
        <v>0.39583333333333331</v>
      </c>
      <c r="T75" s="69" t="s">
        <v>920</v>
      </c>
      <c r="U75" s="214"/>
      <c r="V75" s="72" t="s">
        <v>817</v>
      </c>
      <c r="W75" s="34" t="str">
        <f t="shared" ca="1" si="6"/>
        <v>SI</v>
      </c>
      <c r="X75" s="23" t="str">
        <f t="shared" si="7"/>
        <v>DIANOSOL</v>
      </c>
      <c r="Y75" s="58" t="s">
        <v>994</v>
      </c>
      <c r="Z75" s="121" t="s">
        <v>1035</v>
      </c>
      <c r="AA75" s="121" t="str">
        <f>IF(Z75&lt;&gt;"",VLOOKUP($Z75,Resultados!$A$1:$B$49,2,FALSE),"")</f>
        <v>Desestimientos de Recursos</v>
      </c>
    </row>
    <row r="76" spans="1:27" ht="102">
      <c r="A76" s="43">
        <v>74</v>
      </c>
      <c r="B76" s="82">
        <v>45153</v>
      </c>
      <c r="C76" s="83">
        <v>0.45833333333333331</v>
      </c>
      <c r="D76" s="5" t="s">
        <v>230</v>
      </c>
      <c r="E76" s="6" t="s">
        <v>619</v>
      </c>
      <c r="F76" s="6" t="s">
        <v>620</v>
      </c>
      <c r="G76" s="85">
        <v>38032530</v>
      </c>
      <c r="H76" s="6" t="s">
        <v>622</v>
      </c>
      <c r="I76" s="37" t="s">
        <v>621</v>
      </c>
      <c r="J76" s="37" t="s">
        <v>623</v>
      </c>
      <c r="K76" s="86">
        <v>46801905</v>
      </c>
      <c r="L76" s="84"/>
      <c r="M76" s="6" t="s">
        <v>624</v>
      </c>
      <c r="N76" s="5"/>
      <c r="O76" s="6" t="s">
        <v>625</v>
      </c>
      <c r="P76" s="5"/>
      <c r="Q76" s="5"/>
      <c r="R76" s="82">
        <v>45160</v>
      </c>
      <c r="S76" s="178">
        <v>0.39583333333333331</v>
      </c>
      <c r="T76" s="36" t="s">
        <v>883</v>
      </c>
      <c r="U76" s="217" t="s">
        <v>1007</v>
      </c>
      <c r="V76" s="72"/>
      <c r="W76" s="34" t="str">
        <f t="shared" ca="1" si="6"/>
        <v>SI</v>
      </c>
      <c r="X76" s="23" t="str">
        <f t="shared" si="7"/>
        <v>DIANOSOL</v>
      </c>
      <c r="Y76" s="58" t="s">
        <v>994</v>
      </c>
      <c r="Z76" s="121" t="s">
        <v>1018</v>
      </c>
      <c r="AA76" s="121" t="str">
        <f>IF(Z76&lt;&gt;"",VLOOKUP($Z76,Resultados!$A$1:$B$49,2,FALSE),"")</f>
        <v>Recursos Denegados</v>
      </c>
    </row>
    <row r="77" spans="1:27" ht="38.25">
      <c r="A77" s="70">
        <v>75</v>
      </c>
      <c r="B77" s="68">
        <v>45153</v>
      </c>
      <c r="C77" s="191">
        <v>0.45833333333333331</v>
      </c>
      <c r="D77" s="72" t="s">
        <v>226</v>
      </c>
      <c r="E77" s="73" t="s">
        <v>627</v>
      </c>
      <c r="F77" s="73" t="s">
        <v>628</v>
      </c>
      <c r="G77" s="72"/>
      <c r="H77" s="72"/>
      <c r="I77" s="75" t="s">
        <v>629</v>
      </c>
      <c r="J77" s="79"/>
      <c r="K77" s="79"/>
      <c r="L77" s="79"/>
      <c r="M77" s="73" t="s">
        <v>462</v>
      </c>
      <c r="N77" s="72"/>
      <c r="O77" s="72"/>
      <c r="P77" s="72"/>
      <c r="Q77" s="73" t="s">
        <v>626</v>
      </c>
      <c r="R77" s="68">
        <v>45154</v>
      </c>
      <c r="S77" s="184">
        <v>0.4375</v>
      </c>
      <c r="T77" s="69" t="s">
        <v>665</v>
      </c>
      <c r="U77" s="214" t="s">
        <v>991</v>
      </c>
      <c r="V77" s="72"/>
      <c r="W77" s="34" t="str">
        <f t="shared" ca="1" si="6"/>
        <v>SI</v>
      </c>
      <c r="X77" s="23" t="str">
        <f t="shared" si="7"/>
        <v>DIANOSOL</v>
      </c>
      <c r="Y77" s="58"/>
      <c r="Z77" s="121" t="s">
        <v>1040</v>
      </c>
      <c r="AA77" s="121" t="str">
        <f>IF(Z77&lt;&gt;"",VLOOKUP($Z77,Resultados!$A$1:$B$49,2,FALSE),"")</f>
        <v>Audiencias de Visu</v>
      </c>
    </row>
    <row r="78" spans="1:27" ht="51">
      <c r="A78" s="70">
        <v>76</v>
      </c>
      <c r="B78" s="68">
        <v>45153</v>
      </c>
      <c r="C78" s="186">
        <v>0.5</v>
      </c>
      <c r="D78" s="72" t="s">
        <v>105</v>
      </c>
      <c r="E78" s="73" t="s">
        <v>630</v>
      </c>
      <c r="F78" s="73" t="s">
        <v>631</v>
      </c>
      <c r="G78" s="74">
        <v>14994961</v>
      </c>
      <c r="H78" s="73" t="s">
        <v>632</v>
      </c>
      <c r="I78" s="75" t="s">
        <v>633</v>
      </c>
      <c r="J78" s="75" t="s">
        <v>634</v>
      </c>
      <c r="K78" s="79"/>
      <c r="L78" s="79"/>
      <c r="M78" s="73" t="s">
        <v>635</v>
      </c>
      <c r="N78" s="73" t="s">
        <v>636</v>
      </c>
      <c r="O78" s="72"/>
      <c r="P78" s="72"/>
      <c r="Q78" s="73" t="s">
        <v>599</v>
      </c>
      <c r="R78" s="68">
        <v>45162</v>
      </c>
      <c r="S78" s="191">
        <v>0.47916666666666669</v>
      </c>
      <c r="T78" s="69" t="s">
        <v>921</v>
      </c>
      <c r="U78" s="212"/>
      <c r="V78" s="58" t="s">
        <v>380</v>
      </c>
      <c r="W78" s="34" t="str">
        <f t="shared" ca="1" si="6"/>
        <v>SI</v>
      </c>
      <c r="X78" s="23" t="str">
        <f t="shared" si="7"/>
        <v>DIANOSOL</v>
      </c>
      <c r="Y78" s="58" t="s">
        <v>994</v>
      </c>
      <c r="Z78" s="121" t="s">
        <v>1025</v>
      </c>
      <c r="AA78" s="121" t="str">
        <f>IF(Z78&lt;&gt;"",VLOOKUP($Z78,Resultados!$A$1:$B$49,2,FALSE),"")</f>
        <v>Recursos donde se hizo lugar</v>
      </c>
    </row>
    <row r="79" spans="1:27" ht="38.25">
      <c r="A79" s="87">
        <v>77</v>
      </c>
      <c r="B79" s="88">
        <v>45153</v>
      </c>
      <c r="C79" s="89">
        <v>0.5</v>
      </c>
      <c r="D79" s="90" t="s">
        <v>104</v>
      </c>
      <c r="E79" s="91" t="s">
        <v>637</v>
      </c>
      <c r="F79" s="91" t="s">
        <v>638</v>
      </c>
      <c r="G79" s="92">
        <v>39535870</v>
      </c>
      <c r="H79" s="91" t="s">
        <v>639</v>
      </c>
      <c r="I79" s="93" t="s">
        <v>640</v>
      </c>
      <c r="J79" s="94"/>
      <c r="K79" s="94"/>
      <c r="L79" s="94"/>
      <c r="M79" s="91" t="s">
        <v>459</v>
      </c>
      <c r="N79" s="90"/>
      <c r="O79" s="90"/>
      <c r="P79" s="90"/>
      <c r="Q79" s="91" t="s">
        <v>599</v>
      </c>
      <c r="R79" s="95">
        <v>45163</v>
      </c>
      <c r="S79" s="185">
        <v>0.375</v>
      </c>
      <c r="T79" s="95" t="s">
        <v>931</v>
      </c>
      <c r="U79" s="213" t="s">
        <v>1266</v>
      </c>
      <c r="V79" s="91" t="s">
        <v>395</v>
      </c>
      <c r="W79" s="34" t="str">
        <f t="shared" ca="1" si="6"/>
        <v>SI</v>
      </c>
      <c r="X79" s="23" t="str">
        <f t="shared" si="7"/>
        <v>DIANOSOL</v>
      </c>
      <c r="Y79" s="58" t="s">
        <v>994</v>
      </c>
      <c r="Z79" s="121" t="s">
        <v>1044</v>
      </c>
      <c r="AA79" s="121" t="str">
        <f>IF(Z79&lt;&gt;"",VLOOKUP($Z79,Resultados!$A$1:$B$49,2,FALSE),"")</f>
        <v xml:space="preserve">Otros </v>
      </c>
    </row>
    <row r="80" spans="1:27" ht="51">
      <c r="A80" s="70">
        <v>78</v>
      </c>
      <c r="B80" s="68">
        <v>45153</v>
      </c>
      <c r="C80" s="186">
        <v>0.5</v>
      </c>
      <c r="D80" s="72" t="s">
        <v>108</v>
      </c>
      <c r="E80" s="73" t="s">
        <v>641</v>
      </c>
      <c r="F80" s="73" t="s">
        <v>642</v>
      </c>
      <c r="G80" s="74">
        <v>41422147</v>
      </c>
      <c r="H80" s="73" t="s">
        <v>643</v>
      </c>
      <c r="I80" s="75" t="s">
        <v>644</v>
      </c>
      <c r="J80" s="75" t="s">
        <v>645</v>
      </c>
      <c r="K80" s="76">
        <v>44696273</v>
      </c>
      <c r="L80" s="75" t="s">
        <v>646</v>
      </c>
      <c r="M80" s="73" t="s">
        <v>647</v>
      </c>
      <c r="N80" s="72"/>
      <c r="O80" s="72"/>
      <c r="P80" s="72"/>
      <c r="Q80" s="73" t="s">
        <v>571</v>
      </c>
      <c r="R80" s="68">
        <v>45167</v>
      </c>
      <c r="S80" s="191">
        <v>0.52083333333333337</v>
      </c>
      <c r="T80" s="69" t="s">
        <v>932</v>
      </c>
      <c r="U80" s="218"/>
      <c r="V80" s="58" t="s">
        <v>399</v>
      </c>
      <c r="W80" s="34" t="str">
        <f t="shared" ca="1" si="6"/>
        <v>SI</v>
      </c>
      <c r="X80" s="23" t="str">
        <f t="shared" si="7"/>
        <v>DIANOSOL</v>
      </c>
      <c r="Y80" s="58" t="s">
        <v>994</v>
      </c>
      <c r="Z80" s="121" t="s">
        <v>1025</v>
      </c>
      <c r="AA80" s="121" t="str">
        <f>IF(Z80&lt;&gt;"",VLOOKUP($Z80,Resultados!$A$1:$B$49,2,FALSE),"")</f>
        <v>Recursos donde se hizo lugar</v>
      </c>
    </row>
    <row r="81" spans="1:27" ht="76.5">
      <c r="A81" s="63">
        <v>79</v>
      </c>
      <c r="B81" s="60">
        <v>45153</v>
      </c>
      <c r="C81" s="183">
        <v>0.45833333333333331</v>
      </c>
      <c r="D81" s="40" t="s">
        <v>228</v>
      </c>
      <c r="E81" s="58" t="s">
        <v>650</v>
      </c>
      <c r="F81" s="58" t="s">
        <v>651</v>
      </c>
      <c r="G81" s="40"/>
      <c r="H81" s="40"/>
      <c r="I81" s="41" t="s">
        <v>652</v>
      </c>
      <c r="J81" s="41" t="s">
        <v>653</v>
      </c>
      <c r="K81" s="67"/>
      <c r="L81" s="67"/>
      <c r="M81" s="58" t="s">
        <v>635</v>
      </c>
      <c r="N81" s="40"/>
      <c r="O81" s="40"/>
      <c r="P81" s="58" t="s">
        <v>599</v>
      </c>
      <c r="Q81" s="58" t="s">
        <v>599</v>
      </c>
      <c r="R81" s="60">
        <v>45155</v>
      </c>
      <c r="S81" s="182">
        <v>0.47916666666666669</v>
      </c>
      <c r="T81" s="55" t="s">
        <v>750</v>
      </c>
      <c r="U81" s="213" t="s">
        <v>1169</v>
      </c>
      <c r="V81" s="58" t="s">
        <v>408</v>
      </c>
      <c r="W81" s="34" t="str">
        <f t="shared" ca="1" si="6"/>
        <v>SI</v>
      </c>
      <c r="X81" s="23" t="str">
        <f t="shared" si="7"/>
        <v>DIANOSOL</v>
      </c>
      <c r="Y81" s="58"/>
      <c r="Z81" s="121" t="s">
        <v>1040</v>
      </c>
      <c r="AA81" s="121" t="str">
        <f>IF(Z81&lt;&gt;"",VLOOKUP($Z81,Resultados!$A$1:$B$49,2,FALSE),"")</f>
        <v>Audiencias de Visu</v>
      </c>
    </row>
    <row r="82" spans="1:27" ht="38.25">
      <c r="A82" s="63">
        <v>80</v>
      </c>
      <c r="B82" s="60">
        <v>45153</v>
      </c>
      <c r="C82" s="183">
        <v>0.54166666666666663</v>
      </c>
      <c r="D82" s="40" t="s">
        <v>226</v>
      </c>
      <c r="E82" s="58" t="s">
        <v>654</v>
      </c>
      <c r="F82" s="58" t="s">
        <v>655</v>
      </c>
      <c r="G82" s="65">
        <v>36805855</v>
      </c>
      <c r="H82" s="58" t="s">
        <v>656</v>
      </c>
      <c r="I82" s="41" t="s">
        <v>657</v>
      </c>
      <c r="J82" s="41" t="s">
        <v>658</v>
      </c>
      <c r="K82" s="54">
        <v>25200848</v>
      </c>
      <c r="L82" s="41" t="s">
        <v>659</v>
      </c>
      <c r="M82" s="58" t="s">
        <v>471</v>
      </c>
      <c r="N82" s="40"/>
      <c r="O82" s="40"/>
      <c r="P82" s="40"/>
      <c r="Q82" s="58" t="s">
        <v>599</v>
      </c>
      <c r="R82" s="60">
        <v>45163</v>
      </c>
      <c r="S82" s="182">
        <v>0.39583333333333331</v>
      </c>
      <c r="T82" s="55" t="s">
        <v>743</v>
      </c>
      <c r="U82" s="219"/>
      <c r="V82" s="58" t="s">
        <v>408</v>
      </c>
      <c r="W82" s="34" t="str">
        <f t="shared" ca="1" si="6"/>
        <v>SI</v>
      </c>
      <c r="X82" s="23" t="str">
        <f t="shared" si="7"/>
        <v>DIANOSOL</v>
      </c>
      <c r="Y82" s="58" t="s">
        <v>994</v>
      </c>
      <c r="Z82" s="121" t="s">
        <v>1018</v>
      </c>
      <c r="AA82" s="121" t="str">
        <f>IF(Z82&lt;&gt;"",VLOOKUP($Z82,Resultados!$A$1:$B$49,2,FALSE),"")</f>
        <v>Recursos Denegados</v>
      </c>
    </row>
    <row r="83" spans="1:27" ht="51">
      <c r="A83" s="70">
        <v>81</v>
      </c>
      <c r="B83" s="68">
        <v>45156</v>
      </c>
      <c r="C83" s="71">
        <v>0.54166666666666663</v>
      </c>
      <c r="D83" s="72" t="s">
        <v>227</v>
      </c>
      <c r="E83" s="73" t="s">
        <v>660</v>
      </c>
      <c r="F83" s="73" t="s">
        <v>661</v>
      </c>
      <c r="G83" s="74">
        <v>27514536</v>
      </c>
      <c r="H83" s="72"/>
      <c r="I83" s="75" t="s">
        <v>662</v>
      </c>
      <c r="J83" s="75" t="s">
        <v>663</v>
      </c>
      <c r="K83" s="79"/>
      <c r="L83" s="79"/>
      <c r="M83" s="73" t="s">
        <v>376</v>
      </c>
      <c r="N83" s="72"/>
      <c r="O83" s="72"/>
      <c r="P83" s="72"/>
      <c r="Q83" s="73" t="s">
        <v>664</v>
      </c>
      <c r="R83" s="69">
        <v>45170</v>
      </c>
      <c r="S83" s="184">
        <v>0.52083333333333337</v>
      </c>
      <c r="T83" s="69" t="s">
        <v>920</v>
      </c>
      <c r="U83" s="214"/>
      <c r="V83" s="58" t="s">
        <v>430</v>
      </c>
      <c r="W83" s="34" t="str">
        <f t="shared" ca="1" si="6"/>
        <v>SI</v>
      </c>
      <c r="X83" s="23" t="str">
        <f t="shared" si="7"/>
        <v>DIANOSOL</v>
      </c>
      <c r="Y83" s="58" t="s">
        <v>994</v>
      </c>
      <c r="Z83" s="121" t="s">
        <v>1035</v>
      </c>
      <c r="AA83" s="121" t="str">
        <f>IF(Z83&lt;&gt;"",VLOOKUP($Z83,Resultados!$A$1:$B$49,2,FALSE),"")</f>
        <v>Desestimientos de Recursos</v>
      </c>
    </row>
    <row r="84" spans="1:27" ht="89.25">
      <c r="A84" s="63">
        <v>82</v>
      </c>
      <c r="B84" s="60">
        <v>45155</v>
      </c>
      <c r="C84" s="183">
        <v>0.55208333333333337</v>
      </c>
      <c r="D84" s="40" t="s">
        <v>228</v>
      </c>
      <c r="E84" s="40" t="s">
        <v>668</v>
      </c>
      <c r="F84" s="40" t="s">
        <v>669</v>
      </c>
      <c r="G84" s="65">
        <v>30419111</v>
      </c>
      <c r="H84" s="40" t="s">
        <v>670</v>
      </c>
      <c r="I84" s="67" t="s">
        <v>671</v>
      </c>
      <c r="J84" s="67" t="s">
        <v>672</v>
      </c>
      <c r="K84" s="54">
        <v>29733626</v>
      </c>
      <c r="L84" s="67" t="s">
        <v>673</v>
      </c>
      <c r="M84" s="40" t="s">
        <v>674</v>
      </c>
      <c r="N84" s="40"/>
      <c r="O84" s="40"/>
      <c r="P84" s="40" t="s">
        <v>675</v>
      </c>
      <c r="Q84" s="58" t="s">
        <v>676</v>
      </c>
      <c r="R84" s="55"/>
      <c r="S84" s="182"/>
      <c r="T84" s="233" t="s">
        <v>918</v>
      </c>
      <c r="U84" s="209" t="s">
        <v>935</v>
      </c>
      <c r="V84" s="73" t="s">
        <v>416</v>
      </c>
      <c r="W84" s="34" t="str">
        <f t="shared" ca="1" si="6"/>
        <v>SI</v>
      </c>
      <c r="X84" s="23" t="str">
        <f t="shared" si="7"/>
        <v>DIANOSOL</v>
      </c>
      <c r="Y84" s="58" t="s">
        <v>1002</v>
      </c>
      <c r="Z84" s="121" t="s">
        <v>1042</v>
      </c>
      <c r="AA84" s="121" t="str">
        <f>IF(Z84&lt;&gt;"",VLOOKUP($Z84,Resultados!$A$1:$B$49,2,FALSE),"")</f>
        <v>Recursos Abstractos</v>
      </c>
    </row>
    <row r="85" spans="1:27" ht="89.25">
      <c r="A85" s="70">
        <v>83</v>
      </c>
      <c r="B85" s="68">
        <v>45155</v>
      </c>
      <c r="C85" s="72"/>
      <c r="D85" s="72" t="s">
        <v>226</v>
      </c>
      <c r="E85" s="73" t="s">
        <v>677</v>
      </c>
      <c r="F85" s="73" t="s">
        <v>678</v>
      </c>
      <c r="G85" s="80">
        <v>45327862</v>
      </c>
      <c r="H85" s="73" t="s">
        <v>679</v>
      </c>
      <c r="I85" s="75" t="s">
        <v>680</v>
      </c>
      <c r="J85" s="79" t="s">
        <v>681</v>
      </c>
      <c r="K85" s="76">
        <v>44445327</v>
      </c>
      <c r="L85" s="75" t="s">
        <v>682</v>
      </c>
      <c r="M85" s="73" t="s">
        <v>683</v>
      </c>
      <c r="N85" s="72"/>
      <c r="O85" s="72"/>
      <c r="P85" s="73" t="s">
        <v>684</v>
      </c>
      <c r="Q85" s="73" t="s">
        <v>752</v>
      </c>
      <c r="R85" s="68">
        <v>45173</v>
      </c>
      <c r="S85" s="184">
        <v>0.47916666666666669</v>
      </c>
      <c r="T85" s="69" t="s">
        <v>913</v>
      </c>
      <c r="U85" s="214"/>
      <c r="V85" s="72"/>
      <c r="W85" s="34" t="str">
        <f t="shared" ca="1" si="6"/>
        <v>SI</v>
      </c>
      <c r="X85" s="23" t="str">
        <f t="shared" si="7"/>
        <v>DIANOSOL</v>
      </c>
      <c r="Y85" s="58" t="s">
        <v>994</v>
      </c>
      <c r="Z85" s="121" t="s">
        <v>1018</v>
      </c>
      <c r="AA85" s="121" t="str">
        <f>IF(Z85&lt;&gt;"",VLOOKUP($Z85,Resultados!$A$1:$B$49,2,FALSE),"")</f>
        <v>Recursos Denegados</v>
      </c>
    </row>
    <row r="86" spans="1:27" ht="51">
      <c r="A86" s="70">
        <v>84</v>
      </c>
      <c r="B86" s="68">
        <v>45155</v>
      </c>
      <c r="C86" s="72"/>
      <c r="D86" s="72" t="s">
        <v>227</v>
      </c>
      <c r="E86" s="73" t="s">
        <v>685</v>
      </c>
      <c r="F86" s="73" t="s">
        <v>686</v>
      </c>
      <c r="G86" s="73" t="s">
        <v>687</v>
      </c>
      <c r="H86" s="72"/>
      <c r="I86" s="75" t="s">
        <v>688</v>
      </c>
      <c r="J86" s="79"/>
      <c r="K86" s="79"/>
      <c r="L86" s="79"/>
      <c r="M86" s="73" t="s">
        <v>827</v>
      </c>
      <c r="N86" s="72"/>
      <c r="O86" s="72"/>
      <c r="P86" s="72"/>
      <c r="Q86" s="73" t="s">
        <v>503</v>
      </c>
      <c r="R86" s="68">
        <v>45177</v>
      </c>
      <c r="S86" s="191">
        <v>0.38541666666666669</v>
      </c>
      <c r="T86" s="69" t="s">
        <v>914</v>
      </c>
      <c r="U86" s="214" t="s">
        <v>777</v>
      </c>
      <c r="V86" s="72"/>
      <c r="W86" s="34" t="str">
        <f t="shared" ca="1" si="6"/>
        <v>SI</v>
      </c>
      <c r="X86" s="23" t="str">
        <f t="shared" si="7"/>
        <v>DIANOSOL</v>
      </c>
      <c r="Y86" s="58" t="s">
        <v>994</v>
      </c>
      <c r="Z86" s="121" t="s">
        <v>1018</v>
      </c>
      <c r="AA86" s="121" t="str">
        <f>IF(Z86&lt;&gt;"",VLOOKUP($Z86,Resultados!$A$1:$B$49,2,FALSE),"")</f>
        <v>Recursos Denegados</v>
      </c>
    </row>
    <row r="87" spans="1:27" ht="38.25">
      <c r="A87" s="70">
        <v>85</v>
      </c>
      <c r="B87" s="68">
        <v>45153</v>
      </c>
      <c r="C87" s="186">
        <v>0.5541666666666667</v>
      </c>
      <c r="D87" s="72" t="s">
        <v>108</v>
      </c>
      <c r="E87" s="73" t="s">
        <v>689</v>
      </c>
      <c r="F87" s="73" t="s">
        <v>690</v>
      </c>
      <c r="G87" s="74">
        <v>25218008</v>
      </c>
      <c r="H87" s="73" t="s">
        <v>691</v>
      </c>
      <c r="I87" s="75" t="s">
        <v>695</v>
      </c>
      <c r="J87" s="75" t="s">
        <v>696</v>
      </c>
      <c r="K87" s="81">
        <v>23316838</v>
      </c>
      <c r="L87" s="75" t="s">
        <v>697</v>
      </c>
      <c r="M87" s="73" t="s">
        <v>692</v>
      </c>
      <c r="N87" s="73" t="s">
        <v>933</v>
      </c>
      <c r="O87" s="72"/>
      <c r="P87" s="73" t="s">
        <v>693</v>
      </c>
      <c r="Q87" s="73" t="s">
        <v>694</v>
      </c>
      <c r="R87" s="68">
        <v>45194</v>
      </c>
      <c r="S87" s="184">
        <v>0.4375</v>
      </c>
      <c r="T87" s="69" t="s">
        <v>961</v>
      </c>
      <c r="U87" s="213" t="s">
        <v>1088</v>
      </c>
      <c r="V87" s="72"/>
      <c r="W87" s="34" t="str">
        <f t="shared" ca="1" si="6"/>
        <v>SI</v>
      </c>
      <c r="X87" s="23" t="str">
        <f t="shared" si="7"/>
        <v>DIANOSOL</v>
      </c>
      <c r="Y87" s="58" t="s">
        <v>1002</v>
      </c>
      <c r="Z87" s="121" t="s">
        <v>1016</v>
      </c>
      <c r="AA87" s="121" t="str">
        <f>IF(Z87&lt;&gt;"",VLOOKUP($Z87,Resultados!$A$1:$B$49,2,FALSE),"")</f>
        <v>Recursos donde se hizo lugar</v>
      </c>
    </row>
    <row r="88" spans="1:27" ht="38.25">
      <c r="A88" s="70">
        <v>86</v>
      </c>
      <c r="B88" s="68">
        <v>45154</v>
      </c>
      <c r="C88" s="71">
        <v>0.55555555555555558</v>
      </c>
      <c r="D88" s="72" t="s">
        <v>242</v>
      </c>
      <c r="E88" s="73" t="s">
        <v>701</v>
      </c>
      <c r="F88" s="73" t="s">
        <v>702</v>
      </c>
      <c r="G88" s="80" t="s">
        <v>703</v>
      </c>
      <c r="H88" s="73" t="s">
        <v>704</v>
      </c>
      <c r="I88" s="75" t="s">
        <v>705</v>
      </c>
      <c r="J88" s="75" t="s">
        <v>706</v>
      </c>
      <c r="K88" s="81" t="s">
        <v>707</v>
      </c>
      <c r="L88" s="75" t="s">
        <v>704</v>
      </c>
      <c r="M88" s="73" t="s">
        <v>708</v>
      </c>
      <c r="N88" s="72"/>
      <c r="O88" s="72"/>
      <c r="P88" s="73" t="s">
        <v>709</v>
      </c>
      <c r="Q88" s="73" t="s">
        <v>710</v>
      </c>
      <c r="R88" s="68">
        <v>45169</v>
      </c>
      <c r="S88" s="184">
        <v>0.39583333333333331</v>
      </c>
      <c r="T88" s="69" t="s">
        <v>914</v>
      </c>
      <c r="U88" s="214" t="s">
        <v>1083</v>
      </c>
      <c r="V88" s="58" t="s">
        <v>494</v>
      </c>
      <c r="W88" s="34" t="str">
        <f t="shared" ca="1" si="6"/>
        <v>SI</v>
      </c>
      <c r="X88" s="23" t="str">
        <f t="shared" si="7"/>
        <v>DIANOSOL</v>
      </c>
      <c r="Y88" s="58" t="s">
        <v>994</v>
      </c>
      <c r="Z88" s="121" t="s">
        <v>1018</v>
      </c>
      <c r="AA88" s="121" t="str">
        <f>IF(Z88&lt;&gt;"",VLOOKUP($Z88,Resultados!$A$1:$B$49,2,FALSE),"")</f>
        <v>Recursos Denegados</v>
      </c>
    </row>
    <row r="89" spans="1:27" ht="51">
      <c r="A89" s="70">
        <v>87</v>
      </c>
      <c r="B89" s="68">
        <v>45155</v>
      </c>
      <c r="C89" s="71">
        <v>0.55555555555555558</v>
      </c>
      <c r="D89" s="72" t="s">
        <v>105</v>
      </c>
      <c r="E89" s="73" t="s">
        <v>711</v>
      </c>
      <c r="F89" s="73" t="s">
        <v>766</v>
      </c>
      <c r="G89" s="73" t="s">
        <v>712</v>
      </c>
      <c r="H89" s="73" t="s">
        <v>717</v>
      </c>
      <c r="I89" s="75" t="s">
        <v>714</v>
      </c>
      <c r="J89" s="75" t="s">
        <v>713</v>
      </c>
      <c r="K89" s="75" t="s">
        <v>716</v>
      </c>
      <c r="L89" s="75" t="s">
        <v>715</v>
      </c>
      <c r="M89" s="73" t="s">
        <v>719</v>
      </c>
      <c r="N89" s="72"/>
      <c r="O89" s="72"/>
      <c r="P89" s="73" t="s">
        <v>718</v>
      </c>
      <c r="Q89" s="73" t="s">
        <v>132</v>
      </c>
      <c r="R89" s="68">
        <v>45174</v>
      </c>
      <c r="S89" s="184">
        <v>0.39583333333333331</v>
      </c>
      <c r="T89" s="69" t="s">
        <v>922</v>
      </c>
      <c r="U89" s="214" t="s">
        <v>892</v>
      </c>
      <c r="V89" s="58" t="s">
        <v>494</v>
      </c>
      <c r="W89" s="34" t="str">
        <f t="shared" ca="1" si="6"/>
        <v>SI</v>
      </c>
      <c r="X89" s="23" t="str">
        <f t="shared" si="7"/>
        <v>DIANOSOL</v>
      </c>
      <c r="Y89" s="58" t="s">
        <v>994</v>
      </c>
      <c r="Z89" s="121" t="s">
        <v>1062</v>
      </c>
      <c r="AA89" s="121" t="str">
        <f>IF(Z89&lt;&gt;"",VLOOKUP($Z89,Resultados!$A$1:$B$49,2,FALSE),"")</f>
        <v>Recursos donde se hizo lugar</v>
      </c>
    </row>
    <row r="90" spans="1:27" ht="38.25">
      <c r="A90" s="70">
        <v>88</v>
      </c>
      <c r="B90" s="68">
        <v>45160</v>
      </c>
      <c r="C90" s="71">
        <v>0.55555555555555558</v>
      </c>
      <c r="D90" s="72" t="s">
        <v>104</v>
      </c>
      <c r="E90" s="73" t="s">
        <v>720</v>
      </c>
      <c r="F90" s="73" t="s">
        <v>845</v>
      </c>
      <c r="G90" s="73" t="s">
        <v>721</v>
      </c>
      <c r="H90" s="73" t="s">
        <v>722</v>
      </c>
      <c r="I90" s="75" t="s">
        <v>723</v>
      </c>
      <c r="J90" s="75" t="s">
        <v>724</v>
      </c>
      <c r="K90" s="79"/>
      <c r="L90" s="79"/>
      <c r="M90" s="73" t="s">
        <v>765</v>
      </c>
      <c r="N90" s="72"/>
      <c r="O90" s="72"/>
      <c r="P90" s="72"/>
      <c r="Q90" s="73" t="s">
        <v>136</v>
      </c>
      <c r="R90" s="68">
        <v>45180</v>
      </c>
      <c r="S90" s="184">
        <v>0.39583333333333331</v>
      </c>
      <c r="T90" s="69" t="s">
        <v>893</v>
      </c>
      <c r="U90" s="218"/>
      <c r="V90" s="73" t="s">
        <v>179</v>
      </c>
      <c r="W90" s="34" t="str">
        <f t="shared" ca="1" si="6"/>
        <v>SI</v>
      </c>
      <c r="X90" s="23" t="str">
        <f t="shared" si="7"/>
        <v>DIANOSOL</v>
      </c>
      <c r="Y90" s="58" t="s">
        <v>1002</v>
      </c>
      <c r="Z90" s="58" t="s">
        <v>1062</v>
      </c>
      <c r="AA90" s="121" t="str">
        <f>IF(Z90&lt;&gt;"",VLOOKUP($Z90,Resultados!$A$1:$B$49,2,FALSE),"")</f>
        <v>Recursos donde se hizo lugar</v>
      </c>
    </row>
    <row r="91" spans="1:27" ht="63.75">
      <c r="A91" s="70">
        <v>89</v>
      </c>
      <c r="B91" s="68">
        <v>45162</v>
      </c>
      <c r="C91" s="186">
        <v>0.55555555555555558</v>
      </c>
      <c r="D91" s="72" t="s">
        <v>242</v>
      </c>
      <c r="E91" s="73" t="s">
        <v>725</v>
      </c>
      <c r="F91" s="73" t="s">
        <v>726</v>
      </c>
      <c r="G91" s="73" t="s">
        <v>729</v>
      </c>
      <c r="H91" s="73" t="s">
        <v>730</v>
      </c>
      <c r="I91" s="75" t="s">
        <v>727</v>
      </c>
      <c r="J91" s="75" t="s">
        <v>728</v>
      </c>
      <c r="K91" s="75" t="s">
        <v>731</v>
      </c>
      <c r="L91" s="75" t="s">
        <v>732</v>
      </c>
      <c r="M91" s="73" t="s">
        <v>778</v>
      </c>
      <c r="N91" s="72"/>
      <c r="O91" s="72"/>
      <c r="P91" s="72"/>
      <c r="Q91" s="73" t="s">
        <v>132</v>
      </c>
      <c r="R91" s="68">
        <v>45176</v>
      </c>
      <c r="S91" s="184">
        <v>0.47916666666666669</v>
      </c>
      <c r="T91" s="69" t="s">
        <v>923</v>
      </c>
      <c r="U91" s="214" t="s">
        <v>1060</v>
      </c>
      <c r="V91" s="6" t="s">
        <v>179</v>
      </c>
      <c r="W91" s="34" t="str">
        <f t="shared" ca="1" si="6"/>
        <v>SI</v>
      </c>
      <c r="X91" s="23" t="str">
        <f t="shared" si="7"/>
        <v>DIANOSOL</v>
      </c>
      <c r="Y91" s="58" t="s">
        <v>994</v>
      </c>
      <c r="Z91" s="121" t="s">
        <v>1062</v>
      </c>
      <c r="AA91" s="121" t="str">
        <f>IF(Z91&lt;&gt;"",VLOOKUP($Z91,Resultados!$A$1:$B$49,2,FALSE),"")</f>
        <v>Recursos donde se hizo lugar</v>
      </c>
    </row>
    <row r="92" spans="1:27" ht="25.5">
      <c r="A92" s="70">
        <v>90</v>
      </c>
      <c r="B92" s="68">
        <v>45167</v>
      </c>
      <c r="C92" s="186">
        <v>0.41666666666666669</v>
      </c>
      <c r="D92" s="72" t="s">
        <v>108</v>
      </c>
      <c r="E92" s="73" t="s">
        <v>734</v>
      </c>
      <c r="F92" s="73" t="s">
        <v>735</v>
      </c>
      <c r="G92" s="72"/>
      <c r="H92" s="73"/>
      <c r="I92" s="75" t="s">
        <v>736</v>
      </c>
      <c r="J92" s="79"/>
      <c r="K92" s="79"/>
      <c r="L92" s="79"/>
      <c r="M92" s="73" t="s">
        <v>737</v>
      </c>
      <c r="N92" s="72"/>
      <c r="O92" s="72"/>
      <c r="P92" s="72"/>
      <c r="Q92" s="73" t="s">
        <v>133</v>
      </c>
      <c r="R92" s="69">
        <v>45167</v>
      </c>
      <c r="S92" s="191">
        <v>0.47916666666666669</v>
      </c>
      <c r="T92" s="69" t="s">
        <v>776</v>
      </c>
      <c r="U92" s="218"/>
      <c r="V92" s="72"/>
      <c r="W92" s="34" t="str">
        <f t="shared" ca="1" si="6"/>
        <v>SI</v>
      </c>
      <c r="X92" s="23" t="str">
        <f t="shared" si="7"/>
        <v>DIANOSOL</v>
      </c>
      <c r="Y92" s="58"/>
      <c r="Z92" s="121" t="s">
        <v>1040</v>
      </c>
      <c r="AA92" s="121" t="str">
        <f>IF(Z92&lt;&gt;"",VLOOKUP($Z92,Resultados!$A$1:$B$49,2,FALSE),"")</f>
        <v>Audiencias de Visu</v>
      </c>
    </row>
    <row r="93" spans="1:27" ht="38.25">
      <c r="A93" s="70">
        <v>91</v>
      </c>
      <c r="B93" s="68">
        <v>45167</v>
      </c>
      <c r="C93" s="186">
        <v>0.41666666666666669</v>
      </c>
      <c r="D93" s="72" t="s">
        <v>107</v>
      </c>
      <c r="E93" s="72" t="s">
        <v>738</v>
      </c>
      <c r="F93" s="72" t="s">
        <v>739</v>
      </c>
      <c r="G93" s="72"/>
      <c r="H93" s="72"/>
      <c r="I93" s="79"/>
      <c r="J93" s="79"/>
      <c r="K93" s="79"/>
      <c r="L93" s="79"/>
      <c r="M93" s="72" t="s">
        <v>740</v>
      </c>
      <c r="N93" s="72"/>
      <c r="O93" s="72" t="s">
        <v>741</v>
      </c>
      <c r="P93" s="72"/>
      <c r="Q93" s="72" t="s">
        <v>133</v>
      </c>
      <c r="R93" s="69">
        <v>45167</v>
      </c>
      <c r="S93" s="186">
        <v>0.45833333333333331</v>
      </c>
      <c r="T93" s="69" t="s">
        <v>776</v>
      </c>
      <c r="U93" s="213" t="s">
        <v>1072</v>
      </c>
      <c r="V93" s="72"/>
      <c r="W93" s="34" t="str">
        <f t="shared" ca="1" si="6"/>
        <v>SI</v>
      </c>
      <c r="X93" s="23" t="str">
        <f t="shared" si="7"/>
        <v>DIANOSOL</v>
      </c>
      <c r="Y93" s="58"/>
      <c r="Z93" s="121" t="s">
        <v>1040</v>
      </c>
      <c r="AA93" s="121" t="str">
        <f>IF(Z93&lt;&gt;"",VLOOKUP($Z93,Resultados!$A$1:$B$49,2,FALSE),"")</f>
        <v>Audiencias de Visu</v>
      </c>
    </row>
    <row r="94" spans="1:27" ht="38.25">
      <c r="A94" s="70">
        <v>92</v>
      </c>
      <c r="B94" s="69" t="s">
        <v>733</v>
      </c>
      <c r="C94" s="186">
        <v>0.53125</v>
      </c>
      <c r="D94" s="72" t="s">
        <v>227</v>
      </c>
      <c r="E94" s="73" t="s">
        <v>744</v>
      </c>
      <c r="F94" s="73" t="s">
        <v>745</v>
      </c>
      <c r="G94" s="74">
        <v>28634204</v>
      </c>
      <c r="H94" s="73" t="s">
        <v>746</v>
      </c>
      <c r="I94" s="75" t="s">
        <v>747</v>
      </c>
      <c r="J94" s="75" t="s">
        <v>748</v>
      </c>
      <c r="K94" s="79"/>
      <c r="L94" s="79"/>
      <c r="M94" s="73" t="s">
        <v>376</v>
      </c>
      <c r="N94" s="72"/>
      <c r="O94" s="72"/>
      <c r="P94" s="72"/>
      <c r="Q94" s="73" t="s">
        <v>133</v>
      </c>
      <c r="R94" s="69">
        <v>45180</v>
      </c>
      <c r="S94" s="191">
        <v>0.39583333333333331</v>
      </c>
      <c r="T94" s="69" t="s">
        <v>942</v>
      </c>
      <c r="U94" s="220"/>
      <c r="V94" s="73" t="s">
        <v>849</v>
      </c>
      <c r="W94" s="34" t="str">
        <f t="shared" ca="1" si="6"/>
        <v>SI</v>
      </c>
      <c r="X94" s="23" t="str">
        <f t="shared" si="7"/>
        <v>DIANOSOL</v>
      </c>
      <c r="Y94" s="58" t="s">
        <v>994</v>
      </c>
      <c r="Z94" s="121" t="s">
        <v>1018</v>
      </c>
      <c r="AA94" s="121" t="str">
        <f>IF(Z94&lt;&gt;"",VLOOKUP($Z94,Resultados!$A$1:$B$49,2,FALSE),"")</f>
        <v>Recursos Denegados</v>
      </c>
    </row>
    <row r="95" spans="1:27" ht="89.25">
      <c r="A95" s="70">
        <v>93</v>
      </c>
      <c r="B95" s="69" t="s">
        <v>751</v>
      </c>
      <c r="C95" s="73" t="s">
        <v>753</v>
      </c>
      <c r="D95" s="72" t="s">
        <v>108</v>
      </c>
      <c r="E95" s="73" t="s">
        <v>754</v>
      </c>
      <c r="F95" s="73" t="s">
        <v>755</v>
      </c>
      <c r="G95" s="74">
        <v>11283803</v>
      </c>
      <c r="H95" s="73" t="s">
        <v>372</v>
      </c>
      <c r="I95" s="75" t="s">
        <v>373</v>
      </c>
      <c r="J95" s="75" t="s">
        <v>374</v>
      </c>
      <c r="K95" s="79"/>
      <c r="L95" s="75" t="s">
        <v>375</v>
      </c>
      <c r="M95" s="73" t="s">
        <v>376</v>
      </c>
      <c r="N95" s="72"/>
      <c r="O95" s="73" t="s">
        <v>756</v>
      </c>
      <c r="P95" s="72"/>
      <c r="Q95" s="73" t="s">
        <v>136</v>
      </c>
      <c r="R95" s="68">
        <v>45181</v>
      </c>
      <c r="S95" s="191">
        <v>0.39583333333333331</v>
      </c>
      <c r="T95" s="69" t="s">
        <v>851</v>
      </c>
      <c r="U95" s="214" t="s">
        <v>1060</v>
      </c>
      <c r="V95" s="73" t="s">
        <v>852</v>
      </c>
      <c r="W95" s="34" t="str">
        <f t="shared" ca="1" si="6"/>
        <v>SI</v>
      </c>
      <c r="X95" s="23" t="str">
        <f t="shared" si="7"/>
        <v>DIANOSOL</v>
      </c>
      <c r="Y95" s="58" t="s">
        <v>994</v>
      </c>
      <c r="Z95" s="121" t="s">
        <v>1018</v>
      </c>
      <c r="AA95" s="121" t="str">
        <f>IF(Z95&lt;&gt;"",VLOOKUP($Z95,Resultados!$A$1:$B$49,2,FALSE),"")</f>
        <v>Recursos Denegados</v>
      </c>
    </row>
    <row r="96" spans="1:27" ht="102">
      <c r="A96" s="70">
        <v>94</v>
      </c>
      <c r="B96" s="69" t="s">
        <v>751</v>
      </c>
      <c r="C96" s="186">
        <v>0.52152777777777781</v>
      </c>
      <c r="D96" s="72" t="s">
        <v>107</v>
      </c>
      <c r="E96" s="73" t="s">
        <v>757</v>
      </c>
      <c r="F96" s="73" t="s">
        <v>758</v>
      </c>
      <c r="G96" s="73" t="s">
        <v>759</v>
      </c>
      <c r="H96" s="73" t="s">
        <v>760</v>
      </c>
      <c r="I96" s="75" t="s">
        <v>761</v>
      </c>
      <c r="J96" s="79"/>
      <c r="K96" s="79"/>
      <c r="L96" s="79"/>
      <c r="M96" s="73" t="s">
        <v>762</v>
      </c>
      <c r="N96" s="72"/>
      <c r="O96" s="72"/>
      <c r="P96" s="72"/>
      <c r="Q96" s="73" t="s">
        <v>779</v>
      </c>
      <c r="R96" s="68">
        <v>45188</v>
      </c>
      <c r="S96" s="191">
        <v>0.39583333333333331</v>
      </c>
      <c r="T96" s="69" t="s">
        <v>914</v>
      </c>
      <c r="U96" s="213" t="s">
        <v>1255</v>
      </c>
      <c r="V96" s="73" t="s">
        <v>962</v>
      </c>
      <c r="W96" s="34" t="str">
        <f t="shared" ca="1" si="6"/>
        <v>SI</v>
      </c>
      <c r="X96" s="23" t="str">
        <f t="shared" si="7"/>
        <v>DIANOSOL</v>
      </c>
      <c r="Y96" s="58" t="s">
        <v>994</v>
      </c>
      <c r="Z96" s="121" t="s">
        <v>1018</v>
      </c>
      <c r="AA96" s="121" t="str">
        <f>IF(Z96&lt;&gt;"",VLOOKUP($Z96,Resultados!$A$1:$B$49,2,FALSE),"")</f>
        <v>Recursos Denegados</v>
      </c>
    </row>
    <row r="97" spans="1:27" ht="51">
      <c r="A97" s="70">
        <v>95</v>
      </c>
      <c r="B97" s="68">
        <v>45168</v>
      </c>
      <c r="C97" s="186">
        <v>0.53611111111111109</v>
      </c>
      <c r="D97" s="72" t="s">
        <v>105</v>
      </c>
      <c r="E97" s="73" t="s">
        <v>763</v>
      </c>
      <c r="F97" s="73" t="s">
        <v>764</v>
      </c>
      <c r="G97" s="74">
        <v>16662992</v>
      </c>
      <c r="H97" s="72"/>
      <c r="I97" s="75" t="s">
        <v>814</v>
      </c>
      <c r="J97" s="75" t="s">
        <v>815</v>
      </c>
      <c r="K97" s="79"/>
      <c r="L97" s="79"/>
      <c r="M97" s="73" t="s">
        <v>386</v>
      </c>
      <c r="N97" s="72"/>
      <c r="O97" s="72"/>
      <c r="P97" s="72"/>
      <c r="Q97" s="73" t="s">
        <v>133</v>
      </c>
      <c r="R97" s="69">
        <v>45177</v>
      </c>
      <c r="S97" s="191">
        <v>0.33333333333333331</v>
      </c>
      <c r="T97" s="69" t="s">
        <v>924</v>
      </c>
      <c r="U97" s="214"/>
      <c r="V97" s="72"/>
      <c r="W97" s="34" t="str">
        <f t="shared" ca="1" si="6"/>
        <v>SI</v>
      </c>
      <c r="X97" s="23" t="str">
        <f t="shared" si="7"/>
        <v>DIANOSOL</v>
      </c>
      <c r="Y97" s="58" t="s">
        <v>994</v>
      </c>
      <c r="Z97" s="121" t="s">
        <v>1062</v>
      </c>
      <c r="AA97" s="121" t="str">
        <f>IF(Z97&lt;&gt;"",VLOOKUP($Z97,Resultados!$A$1:$B$49,2,FALSE),"")</f>
        <v>Recursos donde se hizo lugar</v>
      </c>
    </row>
    <row r="98" spans="1:27" ht="89.25">
      <c r="A98" s="70">
        <v>96</v>
      </c>
      <c r="B98" s="68">
        <v>45169</v>
      </c>
      <c r="C98" s="186">
        <v>0.47222222222222227</v>
      </c>
      <c r="D98" s="72" t="s">
        <v>229</v>
      </c>
      <c r="E98" s="73" t="s">
        <v>767</v>
      </c>
      <c r="F98" s="73" t="s">
        <v>768</v>
      </c>
      <c r="G98" s="74">
        <v>32543978</v>
      </c>
      <c r="H98" s="73" t="s">
        <v>769</v>
      </c>
      <c r="I98" s="75" t="s">
        <v>770</v>
      </c>
      <c r="J98" s="75" t="s">
        <v>771</v>
      </c>
      <c r="K98" s="79"/>
      <c r="L98" s="79"/>
      <c r="M98" s="73" t="s">
        <v>772</v>
      </c>
      <c r="N98" s="73" t="s">
        <v>773</v>
      </c>
      <c r="O98" s="72"/>
      <c r="P98" s="72"/>
      <c r="Q98" s="73" t="s">
        <v>132</v>
      </c>
      <c r="R98" s="68">
        <v>45176</v>
      </c>
      <c r="S98" s="191">
        <v>0.39583333333333331</v>
      </c>
      <c r="T98" s="69" t="s">
        <v>943</v>
      </c>
      <c r="U98" s="218"/>
      <c r="V98" s="40"/>
      <c r="W98" s="34" t="str">
        <f t="shared" ca="1" si="6"/>
        <v>SI</v>
      </c>
      <c r="X98" s="23" t="str">
        <f t="shared" si="7"/>
        <v>DIANOSOL</v>
      </c>
      <c r="Y98" s="58" t="s">
        <v>994</v>
      </c>
      <c r="Z98" s="121" t="s">
        <v>1018</v>
      </c>
      <c r="AA98" s="121" t="str">
        <f>IF(Z98&lt;&gt;"",VLOOKUP($Z98,Resultados!$A$1:$B$49,2,FALSE),"")</f>
        <v>Recursos Denegados</v>
      </c>
    </row>
    <row r="99" spans="1:27" ht="38.25">
      <c r="A99" s="70">
        <v>97</v>
      </c>
      <c r="B99" s="68">
        <v>45173</v>
      </c>
      <c r="C99" s="186">
        <v>0.51180555555555551</v>
      </c>
      <c r="D99" s="72" t="s">
        <v>104</v>
      </c>
      <c r="E99" s="73" t="s">
        <v>780</v>
      </c>
      <c r="F99" s="73" t="s">
        <v>781</v>
      </c>
      <c r="G99" s="74">
        <v>32630135</v>
      </c>
      <c r="H99" s="72"/>
      <c r="I99" s="75" t="s">
        <v>782</v>
      </c>
      <c r="J99" s="75" t="s">
        <v>783</v>
      </c>
      <c r="K99" s="76">
        <v>26400276</v>
      </c>
      <c r="L99" s="79"/>
      <c r="M99" s="73" t="s">
        <v>386</v>
      </c>
      <c r="N99" s="72"/>
      <c r="O99" s="72"/>
      <c r="P99" s="72"/>
      <c r="Q99" s="73" t="s">
        <v>813</v>
      </c>
      <c r="R99" s="68">
        <v>45181</v>
      </c>
      <c r="S99" s="186">
        <v>0.4375</v>
      </c>
      <c r="T99" s="69" t="s">
        <v>914</v>
      </c>
      <c r="U99" s="214" t="s">
        <v>990</v>
      </c>
      <c r="V99" s="73" t="s">
        <v>852</v>
      </c>
      <c r="W99" s="34" t="str">
        <f t="shared" ca="1" si="6"/>
        <v>SI</v>
      </c>
      <c r="X99" s="23" t="str">
        <f t="shared" si="7"/>
        <v>DIANOSOL</v>
      </c>
      <c r="Y99" s="58" t="s">
        <v>994</v>
      </c>
      <c r="Z99" s="121" t="s">
        <v>1018</v>
      </c>
      <c r="AA99" s="121" t="str">
        <f>IF(Z99&lt;&gt;"",VLOOKUP($Z99,Resultados!$A$1:$B$49,2,FALSE),"")</f>
        <v>Recursos Denegados</v>
      </c>
    </row>
    <row r="100" spans="1:27" ht="63.75">
      <c r="A100" s="63">
        <v>98</v>
      </c>
      <c r="B100" s="60">
        <v>45174</v>
      </c>
      <c r="C100" s="183">
        <v>0.36180555555555555</v>
      </c>
      <c r="D100" s="40" t="s">
        <v>108</v>
      </c>
      <c r="E100" s="58" t="s">
        <v>784</v>
      </c>
      <c r="F100" s="58" t="s">
        <v>785</v>
      </c>
      <c r="G100" s="65">
        <v>21319295</v>
      </c>
      <c r="H100" s="58" t="s">
        <v>786</v>
      </c>
      <c r="I100" s="41" t="s">
        <v>787</v>
      </c>
      <c r="J100" s="41" t="s">
        <v>788</v>
      </c>
      <c r="K100" s="54">
        <v>22455033</v>
      </c>
      <c r="L100" s="41" t="s">
        <v>786</v>
      </c>
      <c r="M100" s="58" t="s">
        <v>789</v>
      </c>
      <c r="N100" s="58" t="s">
        <v>790</v>
      </c>
      <c r="O100" s="40"/>
      <c r="P100" s="40"/>
      <c r="Q100" s="58" t="s">
        <v>834</v>
      </c>
      <c r="R100" s="60">
        <v>45190</v>
      </c>
      <c r="S100" s="182">
        <v>0.45833333333333331</v>
      </c>
      <c r="T100" s="55" t="s">
        <v>918</v>
      </c>
      <c r="U100" s="213"/>
      <c r="V100" s="40"/>
      <c r="W100" s="34" t="str">
        <f t="shared" ref="W100:W121" ca="1" si="8">IF(R100&lt;=TODAY(),"SI","NO")</f>
        <v>SI</v>
      </c>
      <c r="X100" s="23" t="str">
        <f t="shared" ref="X100:X121" si="9">IF($X$1=R100,"DIASOL", "DIANOSOL")</f>
        <v>DIANOSOL</v>
      </c>
      <c r="Y100" s="58" t="s">
        <v>994</v>
      </c>
      <c r="Z100" s="121" t="s">
        <v>1042</v>
      </c>
      <c r="AA100" s="121" t="str">
        <f>IF(Z100&lt;&gt;"",VLOOKUP($Z100,Resultados!$A$1:$B$49,2,FALSE),"")</f>
        <v>Recursos Abstractos</v>
      </c>
    </row>
    <row r="101" spans="1:27" ht="76.5">
      <c r="A101" s="63">
        <v>99</v>
      </c>
      <c r="B101" s="60">
        <v>45173</v>
      </c>
      <c r="C101" s="183">
        <v>0.37222222222222223</v>
      </c>
      <c r="D101" s="40" t="s">
        <v>242</v>
      </c>
      <c r="E101" s="58" t="s">
        <v>791</v>
      </c>
      <c r="F101" s="58" t="s">
        <v>796</v>
      </c>
      <c r="G101" s="65">
        <v>36129699</v>
      </c>
      <c r="H101" s="58" t="s">
        <v>792</v>
      </c>
      <c r="I101" s="41" t="s">
        <v>365</v>
      </c>
      <c r="J101" s="41" t="s">
        <v>793</v>
      </c>
      <c r="K101" s="54">
        <v>47450455</v>
      </c>
      <c r="L101" s="41" t="s">
        <v>794</v>
      </c>
      <c r="M101" s="58" t="s">
        <v>795</v>
      </c>
      <c r="N101" s="40"/>
      <c r="O101" s="58" t="s">
        <v>803</v>
      </c>
      <c r="P101" s="40"/>
      <c r="Q101" s="58" t="s">
        <v>846</v>
      </c>
      <c r="R101" s="60"/>
      <c r="S101" s="182"/>
      <c r="T101" s="55" t="s">
        <v>1252</v>
      </c>
      <c r="U101" s="212" t="s">
        <v>1193</v>
      </c>
      <c r="V101" s="40"/>
      <c r="W101" s="34" t="str">
        <f t="shared" ca="1" si="8"/>
        <v>SI</v>
      </c>
      <c r="X101" s="23" t="str">
        <f t="shared" si="9"/>
        <v>DIANOSOL</v>
      </c>
      <c r="Y101" s="58"/>
      <c r="Z101" s="121" t="s">
        <v>1018</v>
      </c>
      <c r="AA101" s="121" t="str">
        <f>IF(Z101&lt;&gt;"",VLOOKUP($Z101,Resultados!$A$1:$B$49,2,FALSE),"")</f>
        <v>Recursos Denegados</v>
      </c>
    </row>
    <row r="102" spans="1:27" ht="102">
      <c r="A102" s="70">
        <v>100</v>
      </c>
      <c r="B102" s="68">
        <v>45174</v>
      </c>
      <c r="C102" s="186">
        <v>0.5</v>
      </c>
      <c r="D102" s="72" t="s">
        <v>227</v>
      </c>
      <c r="E102" s="73" t="s">
        <v>797</v>
      </c>
      <c r="F102" s="73" t="s">
        <v>798</v>
      </c>
      <c r="G102" s="74">
        <v>96164712</v>
      </c>
      <c r="H102" s="72"/>
      <c r="I102" s="75" t="s">
        <v>799</v>
      </c>
      <c r="J102" s="75" t="s">
        <v>800</v>
      </c>
      <c r="K102" s="79"/>
      <c r="L102" s="75" t="s">
        <v>802</v>
      </c>
      <c r="M102" s="73" t="s">
        <v>975</v>
      </c>
      <c r="N102" s="73" t="s">
        <v>995</v>
      </c>
      <c r="O102" s="73" t="s">
        <v>801</v>
      </c>
      <c r="P102" s="72"/>
      <c r="Q102" s="73" t="s">
        <v>874</v>
      </c>
      <c r="R102" s="68">
        <v>45198</v>
      </c>
      <c r="S102" s="191">
        <v>0.39583333333333331</v>
      </c>
      <c r="T102" s="69" t="s">
        <v>1258</v>
      </c>
      <c r="U102" s="213" t="s">
        <v>1058</v>
      </c>
      <c r="V102" s="112"/>
      <c r="W102" s="34" t="str">
        <f t="shared" ca="1" si="8"/>
        <v>SI</v>
      </c>
      <c r="X102" s="153" t="str">
        <f t="shared" si="9"/>
        <v>DIANOSOL</v>
      </c>
      <c r="Y102" s="152" t="s">
        <v>994</v>
      </c>
      <c r="Z102" s="154" t="s">
        <v>1018</v>
      </c>
      <c r="AA102" s="121" t="str">
        <f>IF(Z102&lt;&gt;"",VLOOKUP($Z102,Resultados!$A$1:$B$49,2,FALSE),"")</f>
        <v>Recursos Denegados</v>
      </c>
    </row>
    <row r="103" spans="1:27" ht="51">
      <c r="A103" s="70">
        <v>101</v>
      </c>
      <c r="B103" s="68">
        <v>45176</v>
      </c>
      <c r="C103" s="186">
        <v>0.3840277777777778</v>
      </c>
      <c r="D103" s="72" t="s">
        <v>433</v>
      </c>
      <c r="E103" s="73" t="s">
        <v>805</v>
      </c>
      <c r="F103" s="73" t="s">
        <v>806</v>
      </c>
      <c r="G103" s="74">
        <v>40741379</v>
      </c>
      <c r="H103" s="73" t="s">
        <v>807</v>
      </c>
      <c r="I103" s="75" t="s">
        <v>808</v>
      </c>
      <c r="J103" s="75" t="s">
        <v>809</v>
      </c>
      <c r="K103" s="76">
        <v>43548569</v>
      </c>
      <c r="L103" s="75" t="s">
        <v>810</v>
      </c>
      <c r="M103" s="73" t="s">
        <v>811</v>
      </c>
      <c r="N103" s="73" t="s">
        <v>812</v>
      </c>
      <c r="O103" s="72"/>
      <c r="P103" s="72"/>
      <c r="Q103" s="73" t="s">
        <v>136</v>
      </c>
      <c r="R103" s="68">
        <v>45189</v>
      </c>
      <c r="S103" s="191">
        <v>0.4375</v>
      </c>
      <c r="T103" s="69"/>
      <c r="U103" s="214" t="s">
        <v>1054</v>
      </c>
      <c r="V103" s="73" t="s">
        <v>875</v>
      </c>
      <c r="W103" s="34" t="str">
        <f t="shared" ca="1" si="8"/>
        <v>SI</v>
      </c>
      <c r="X103" s="23" t="str">
        <f t="shared" si="9"/>
        <v>DIANOSOL</v>
      </c>
      <c r="Y103" s="58" t="s">
        <v>994</v>
      </c>
      <c r="Z103" s="121" t="s">
        <v>1019</v>
      </c>
      <c r="AA103" s="121" t="str">
        <f>IF(Z103&lt;&gt;"",VLOOKUP($Z103,Resultados!$A$1:$B$49,2,FALSE),"")</f>
        <v>Recursos donde se hizo lugar</v>
      </c>
    </row>
    <row r="104" spans="1:27" ht="89.25">
      <c r="A104" s="70">
        <v>103</v>
      </c>
      <c r="B104" s="68">
        <v>45176</v>
      </c>
      <c r="C104" s="186">
        <v>0.5</v>
      </c>
      <c r="D104" s="72" t="s">
        <v>104</v>
      </c>
      <c r="E104" s="73" t="s">
        <v>823</v>
      </c>
      <c r="F104" s="73" t="s">
        <v>824</v>
      </c>
      <c r="G104" s="74">
        <v>30636137</v>
      </c>
      <c r="H104" s="72"/>
      <c r="I104" s="75" t="s">
        <v>825</v>
      </c>
      <c r="J104" s="75" t="s">
        <v>826</v>
      </c>
      <c r="K104" s="79"/>
      <c r="L104" s="79"/>
      <c r="M104" s="73" t="s">
        <v>828</v>
      </c>
      <c r="N104" s="73" t="s">
        <v>386</v>
      </c>
      <c r="O104" s="73" t="s">
        <v>801</v>
      </c>
      <c r="P104" s="72"/>
      <c r="Q104" s="73" t="s">
        <v>850</v>
      </c>
      <c r="R104" s="68">
        <v>45189</v>
      </c>
      <c r="S104" s="191">
        <v>0.39583333333333331</v>
      </c>
      <c r="T104" s="69" t="s">
        <v>914</v>
      </c>
      <c r="U104" s="216" t="s">
        <v>990</v>
      </c>
      <c r="V104" s="73" t="s">
        <v>884</v>
      </c>
      <c r="W104" s="34" t="str">
        <f t="shared" ca="1" si="8"/>
        <v>SI</v>
      </c>
      <c r="X104" s="23" t="str">
        <f t="shared" si="9"/>
        <v>DIANOSOL</v>
      </c>
      <c r="Y104" s="58" t="s">
        <v>994</v>
      </c>
      <c r="Z104" s="121" t="s">
        <v>1018</v>
      </c>
      <c r="AA104" s="121" t="str">
        <f>IF(Z104&lt;&gt;"",VLOOKUP($Z104,Resultados!$A$1:$B$49,2,FALSE),"")</f>
        <v>Recursos Denegados</v>
      </c>
    </row>
    <row r="105" spans="1:27" ht="51">
      <c r="A105" s="70">
        <v>104</v>
      </c>
      <c r="B105" s="68">
        <v>45176</v>
      </c>
      <c r="C105" s="71">
        <v>0.5</v>
      </c>
      <c r="D105" s="72" t="s">
        <v>242</v>
      </c>
      <c r="E105" s="73" t="s">
        <v>829</v>
      </c>
      <c r="F105" s="73" t="s">
        <v>830</v>
      </c>
      <c r="G105" s="74">
        <v>21576610</v>
      </c>
      <c r="H105" s="73" t="s">
        <v>831</v>
      </c>
      <c r="I105" s="75" t="s">
        <v>832</v>
      </c>
      <c r="J105" s="75" t="s">
        <v>833</v>
      </c>
      <c r="K105" s="81" t="s">
        <v>836</v>
      </c>
      <c r="L105" s="75" t="s">
        <v>835</v>
      </c>
      <c r="M105" s="73" t="s">
        <v>837</v>
      </c>
      <c r="N105" s="72"/>
      <c r="O105" s="73" t="s">
        <v>976</v>
      </c>
      <c r="P105" s="72"/>
      <c r="Q105" s="73" t="s">
        <v>847</v>
      </c>
      <c r="R105" s="68">
        <v>45201</v>
      </c>
      <c r="S105" s="191">
        <v>0.39583333333333331</v>
      </c>
      <c r="T105" s="69" t="s">
        <v>1115</v>
      </c>
      <c r="U105" s="214" t="s">
        <v>935</v>
      </c>
      <c r="V105" s="73" t="s">
        <v>884</v>
      </c>
      <c r="W105" s="34" t="str">
        <f t="shared" ca="1" si="8"/>
        <v>SI</v>
      </c>
      <c r="X105" s="23" t="str">
        <f t="shared" si="9"/>
        <v>DIANOSOL</v>
      </c>
      <c r="Y105" s="58" t="s">
        <v>994</v>
      </c>
      <c r="Z105" s="121" t="s">
        <v>1018</v>
      </c>
      <c r="AA105" s="121" t="str">
        <f>IF(Z105&lt;&gt;"",VLOOKUP($Z105,Resultados!$A$1:$B$49,2,FALSE),"")</f>
        <v>Recursos Denegados</v>
      </c>
    </row>
    <row r="106" spans="1:27" ht="63.75">
      <c r="A106" s="70">
        <v>105</v>
      </c>
      <c r="B106" s="68">
        <v>45176</v>
      </c>
      <c r="C106" s="186">
        <v>0.5</v>
      </c>
      <c r="D106" s="72" t="s">
        <v>226</v>
      </c>
      <c r="E106" s="73" t="s">
        <v>838</v>
      </c>
      <c r="F106" s="73" t="s">
        <v>839</v>
      </c>
      <c r="G106" s="74">
        <v>42815518</v>
      </c>
      <c r="H106" s="73" t="s">
        <v>840</v>
      </c>
      <c r="I106" s="75" t="s">
        <v>841</v>
      </c>
      <c r="J106" s="75" t="s">
        <v>842</v>
      </c>
      <c r="K106" s="75"/>
      <c r="L106" s="79" t="s">
        <v>843</v>
      </c>
      <c r="M106" s="73" t="s">
        <v>844</v>
      </c>
      <c r="N106" s="72"/>
      <c r="O106" s="73" t="s">
        <v>859</v>
      </c>
      <c r="P106" s="72"/>
      <c r="Q106" s="73" t="s">
        <v>848</v>
      </c>
      <c r="R106" s="68">
        <v>45191</v>
      </c>
      <c r="S106" s="186"/>
      <c r="T106" s="69" t="s">
        <v>914</v>
      </c>
      <c r="U106" s="212"/>
      <c r="V106" s="72"/>
      <c r="W106" s="34" t="str">
        <f t="shared" ca="1" si="8"/>
        <v>SI</v>
      </c>
      <c r="X106" s="23" t="str">
        <f t="shared" si="9"/>
        <v>DIANOSOL</v>
      </c>
      <c r="Y106" s="73" t="s">
        <v>994</v>
      </c>
      <c r="Z106" s="144" t="s">
        <v>1018</v>
      </c>
      <c r="AA106" s="121" t="str">
        <f>IF(Z106&lt;&gt;"",VLOOKUP($Z106,Resultados!$A$1:$B$49,2,FALSE),"")</f>
        <v>Recursos Denegados</v>
      </c>
    </row>
    <row r="107" spans="1:27" ht="63.75">
      <c r="A107" s="63">
        <v>106</v>
      </c>
      <c r="B107" s="60">
        <v>45181</v>
      </c>
      <c r="C107" s="183">
        <v>0.53888888888888886</v>
      </c>
      <c r="D107" s="40" t="s">
        <v>242</v>
      </c>
      <c r="E107" s="58" t="s">
        <v>853</v>
      </c>
      <c r="F107" s="58" t="s">
        <v>854</v>
      </c>
      <c r="G107" s="65">
        <v>36552308</v>
      </c>
      <c r="H107" s="58" t="s">
        <v>855</v>
      </c>
      <c r="I107" s="41" t="s">
        <v>856</v>
      </c>
      <c r="J107" s="41" t="s">
        <v>857</v>
      </c>
      <c r="K107" s="67"/>
      <c r="L107" s="67"/>
      <c r="M107" s="58" t="s">
        <v>858</v>
      </c>
      <c r="N107" s="40"/>
      <c r="O107" s="40"/>
      <c r="P107" s="40"/>
      <c r="Q107" s="58" t="s">
        <v>136</v>
      </c>
      <c r="R107" s="88"/>
      <c r="S107" s="183"/>
      <c r="T107" s="55" t="s">
        <v>1253</v>
      </c>
      <c r="U107" s="213" t="s">
        <v>1048</v>
      </c>
      <c r="V107" s="72"/>
      <c r="W107" s="34" t="str">
        <f t="shared" ca="1" si="8"/>
        <v>SI</v>
      </c>
      <c r="X107" s="23" t="str">
        <f t="shared" si="9"/>
        <v>DIANOSOL</v>
      </c>
      <c r="Y107" s="58" t="s">
        <v>994</v>
      </c>
      <c r="Z107" s="121" t="s">
        <v>1062</v>
      </c>
      <c r="AA107" s="121" t="str">
        <f>IF(Z107&lt;&gt;"",VLOOKUP($Z107,Resultados!$A$1:$B$49,2,FALSE),"")</f>
        <v>Recursos donde se hizo lugar</v>
      </c>
    </row>
    <row r="108" spans="1:27" ht="38.25">
      <c r="A108" s="70">
        <v>107</v>
      </c>
      <c r="B108" s="68">
        <v>45187</v>
      </c>
      <c r="C108" s="186">
        <v>0.86111111111111116</v>
      </c>
      <c r="D108" s="72" t="s">
        <v>105</v>
      </c>
      <c r="E108" s="73" t="s">
        <v>860</v>
      </c>
      <c r="F108" s="73" t="s">
        <v>867</v>
      </c>
      <c r="G108" s="73" t="s">
        <v>861</v>
      </c>
      <c r="H108" s="73" t="s">
        <v>864</v>
      </c>
      <c r="I108" s="75" t="s">
        <v>862</v>
      </c>
      <c r="J108" s="75" t="s">
        <v>863</v>
      </c>
      <c r="K108" s="76">
        <v>18077790</v>
      </c>
      <c r="L108" s="75" t="s">
        <v>865</v>
      </c>
      <c r="M108" s="73" t="s">
        <v>866</v>
      </c>
      <c r="N108" s="72"/>
      <c r="O108" s="72"/>
      <c r="P108" s="72"/>
      <c r="Q108" s="73" t="s">
        <v>132</v>
      </c>
      <c r="R108" s="68">
        <v>45196</v>
      </c>
      <c r="S108" s="191">
        <v>0.39583333333333331</v>
      </c>
      <c r="T108" s="69" t="s">
        <v>922</v>
      </c>
      <c r="U108" s="75"/>
      <c r="V108" s="40"/>
      <c r="W108" s="34" t="str">
        <f t="shared" ca="1" si="8"/>
        <v>SI</v>
      </c>
      <c r="X108" s="23" t="str">
        <f t="shared" si="9"/>
        <v>DIANOSOL</v>
      </c>
      <c r="Y108" s="58"/>
      <c r="Z108" s="121" t="s">
        <v>1062</v>
      </c>
      <c r="AA108" s="121" t="str">
        <f>IF(Z108&lt;&gt;"",VLOOKUP($Z108,Resultados!$A$1:$B$49,2,FALSE),"")</f>
        <v>Recursos donde se hizo lugar</v>
      </c>
    </row>
    <row r="109" spans="1:27" ht="51">
      <c r="A109" s="63">
        <v>108</v>
      </c>
      <c r="B109" s="60">
        <v>45187</v>
      </c>
      <c r="C109" s="183">
        <v>0.51041666666666663</v>
      </c>
      <c r="D109" s="40" t="s">
        <v>230</v>
      </c>
      <c r="E109" s="58" t="s">
        <v>868</v>
      </c>
      <c r="F109" s="58" t="s">
        <v>869</v>
      </c>
      <c r="G109" s="65">
        <v>39782867</v>
      </c>
      <c r="H109" s="58" t="s">
        <v>870</v>
      </c>
      <c r="I109" s="41" t="s">
        <v>714</v>
      </c>
      <c r="J109" s="41" t="s">
        <v>871</v>
      </c>
      <c r="K109" s="54">
        <v>17134484</v>
      </c>
      <c r="L109" s="41" t="s">
        <v>872</v>
      </c>
      <c r="M109" s="58" t="s">
        <v>873</v>
      </c>
      <c r="N109" s="40"/>
      <c r="O109" s="40"/>
      <c r="P109" s="40"/>
      <c r="Q109" s="58" t="s">
        <v>572</v>
      </c>
      <c r="R109" s="60">
        <v>45191</v>
      </c>
      <c r="S109" s="182">
        <v>0.39583333333333331</v>
      </c>
      <c r="T109" s="55" t="s">
        <v>1055</v>
      </c>
      <c r="U109" s="214" t="s">
        <v>1103</v>
      </c>
      <c r="V109" s="112"/>
      <c r="W109" s="34" t="str">
        <f t="shared" ca="1" si="8"/>
        <v>SI</v>
      </c>
      <c r="X109" s="23" t="str">
        <f t="shared" si="9"/>
        <v>DIANOSOL</v>
      </c>
      <c r="Y109" s="58" t="s">
        <v>1002</v>
      </c>
      <c r="Z109" s="121" t="s">
        <v>1018</v>
      </c>
      <c r="AA109" s="121" t="str">
        <f>IF(Z109&lt;&gt;"",VLOOKUP($Z109,Resultados!$A$1:$B$49,2,FALSE),"")</f>
        <v>Recursos Denegados</v>
      </c>
    </row>
    <row r="110" spans="1:27" ht="89.25">
      <c r="A110" s="70">
        <v>109</v>
      </c>
      <c r="B110" s="68">
        <v>45189</v>
      </c>
      <c r="C110" s="186">
        <v>0.35416666666666669</v>
      </c>
      <c r="D110" s="72" t="s">
        <v>229</v>
      </c>
      <c r="E110" s="73" t="s">
        <v>876</v>
      </c>
      <c r="F110" s="73" t="s">
        <v>877</v>
      </c>
      <c r="G110" s="74">
        <v>40934600</v>
      </c>
      <c r="H110" s="73" t="s">
        <v>878</v>
      </c>
      <c r="I110" s="75" t="s">
        <v>879</v>
      </c>
      <c r="J110" s="75" t="s">
        <v>880</v>
      </c>
      <c r="K110" s="79"/>
      <c r="L110" s="79"/>
      <c r="M110" s="73" t="s">
        <v>881</v>
      </c>
      <c r="N110" s="73" t="s">
        <v>882</v>
      </c>
      <c r="O110" s="72"/>
      <c r="P110" s="72"/>
      <c r="Q110" s="73" t="s">
        <v>599</v>
      </c>
      <c r="R110" s="68">
        <v>45196</v>
      </c>
      <c r="S110" s="191">
        <v>0.39583333333333331</v>
      </c>
      <c r="T110" s="69" t="s">
        <v>883</v>
      </c>
      <c r="U110" s="212" t="s">
        <v>1073</v>
      </c>
      <c r="V110" s="40"/>
      <c r="W110" s="34" t="str">
        <f t="shared" ca="1" si="8"/>
        <v>SI</v>
      </c>
      <c r="X110" s="23" t="str">
        <f t="shared" si="9"/>
        <v>DIANOSOL</v>
      </c>
      <c r="Y110" s="58" t="s">
        <v>994</v>
      </c>
      <c r="Z110" s="121" t="s">
        <v>1018</v>
      </c>
      <c r="AA110" s="121" t="str">
        <f>IF(Z110&lt;&gt;"",VLOOKUP($Z110,Resultados!$A$1:$B$49,2,FALSE),"")</f>
        <v>Recursos Denegados</v>
      </c>
    </row>
    <row r="111" spans="1:27" ht="63.75">
      <c r="A111" s="63">
        <v>110</v>
      </c>
      <c r="B111" s="60">
        <v>45191</v>
      </c>
      <c r="C111" s="183">
        <v>0.38472222222222219</v>
      </c>
      <c r="D111" s="40" t="s">
        <v>230</v>
      </c>
      <c r="E111" s="58" t="s">
        <v>894</v>
      </c>
      <c r="F111" s="58" t="s">
        <v>896</v>
      </c>
      <c r="G111" s="58" t="s">
        <v>895</v>
      </c>
      <c r="H111" s="40"/>
      <c r="I111" s="41" t="s">
        <v>897</v>
      </c>
      <c r="J111" s="41" t="s">
        <v>899</v>
      </c>
      <c r="K111" s="67"/>
      <c r="L111" s="67"/>
      <c r="M111" s="58" t="s">
        <v>898</v>
      </c>
      <c r="N111" s="40"/>
      <c r="O111" s="40"/>
      <c r="P111" s="40"/>
      <c r="Q111" s="58" t="s">
        <v>132</v>
      </c>
      <c r="R111" s="88"/>
      <c r="S111" s="183"/>
      <c r="T111" s="55" t="s">
        <v>307</v>
      </c>
      <c r="U111" s="213" t="s">
        <v>1191</v>
      </c>
      <c r="V111" s="112"/>
      <c r="W111" s="34" t="str">
        <f t="shared" ca="1" si="8"/>
        <v>SI</v>
      </c>
      <c r="X111" s="23" t="str">
        <f t="shared" si="9"/>
        <v>DIANOSOL</v>
      </c>
      <c r="Y111" s="58" t="s">
        <v>994</v>
      </c>
      <c r="Z111" s="121" t="s">
        <v>1018</v>
      </c>
      <c r="AA111" s="121" t="str">
        <f>IF(Z111&lt;&gt;"",VLOOKUP($Z111,Resultados!$A$1:$B$49,2,FALSE),"")</f>
        <v>Recursos Denegados</v>
      </c>
    </row>
    <row r="112" spans="1:27" ht="51">
      <c r="A112" s="70">
        <v>111</v>
      </c>
      <c r="B112" s="68">
        <v>45194</v>
      </c>
      <c r="C112" s="186">
        <v>0.35347222222222219</v>
      </c>
      <c r="D112" s="72" t="s">
        <v>105</v>
      </c>
      <c r="E112" s="73" t="s">
        <v>944</v>
      </c>
      <c r="F112" s="73" t="s">
        <v>992</v>
      </c>
      <c r="G112" s="73" t="s">
        <v>993</v>
      </c>
      <c r="H112" s="72"/>
      <c r="I112" s="75" t="s">
        <v>945</v>
      </c>
      <c r="J112" s="79"/>
      <c r="K112" s="79"/>
      <c r="L112" s="79"/>
      <c r="M112" s="73" t="s">
        <v>946</v>
      </c>
      <c r="N112" s="72"/>
      <c r="O112" s="72"/>
      <c r="P112" s="72"/>
      <c r="Q112" s="73" t="s">
        <v>947</v>
      </c>
      <c r="R112" s="68">
        <v>45198</v>
      </c>
      <c r="S112" s="191">
        <v>0.39583333333333331</v>
      </c>
      <c r="T112" s="69" t="s">
        <v>1070</v>
      </c>
      <c r="U112" s="75"/>
      <c r="V112" s="40"/>
      <c r="W112" s="34" t="str">
        <f t="shared" ca="1" si="8"/>
        <v>SI</v>
      </c>
      <c r="X112" s="23" t="str">
        <f t="shared" si="9"/>
        <v>DIANOSOL</v>
      </c>
      <c r="Y112" s="58" t="s">
        <v>994</v>
      </c>
      <c r="Z112" s="121" t="s">
        <v>1062</v>
      </c>
      <c r="AA112" s="121" t="str">
        <f>IF(Z112&lt;&gt;"",VLOOKUP($Z112,Resultados!$A$1:$B$49,2,FALSE),"")</f>
        <v>Recursos donde se hizo lugar</v>
      </c>
    </row>
    <row r="113" spans="1:28" ht="127.5">
      <c r="A113" s="70">
        <v>112</v>
      </c>
      <c r="B113" s="68">
        <v>45194</v>
      </c>
      <c r="C113" s="186">
        <v>0.42430555555555555</v>
      </c>
      <c r="D113" s="72" t="s">
        <v>229</v>
      </c>
      <c r="E113" s="73" t="s">
        <v>948</v>
      </c>
      <c r="F113" s="73" t="s">
        <v>949</v>
      </c>
      <c r="G113" s="74">
        <v>29276766</v>
      </c>
      <c r="H113" s="72"/>
      <c r="I113" s="75" t="s">
        <v>950</v>
      </c>
      <c r="J113" s="75" t="s">
        <v>951</v>
      </c>
      <c r="K113" s="79"/>
      <c r="L113" s="79"/>
      <c r="M113" s="73" t="s">
        <v>952</v>
      </c>
      <c r="N113" s="72"/>
      <c r="O113" s="72"/>
      <c r="P113" s="72"/>
      <c r="Q113" s="73" t="s">
        <v>136</v>
      </c>
      <c r="R113" s="68">
        <v>45198</v>
      </c>
      <c r="S113" s="191">
        <v>0.4375</v>
      </c>
      <c r="T113" s="69" t="s">
        <v>1104</v>
      </c>
      <c r="U113" s="212" t="s">
        <v>1240</v>
      </c>
      <c r="V113" s="72"/>
      <c r="W113" s="34" t="str">
        <f t="shared" ca="1" si="8"/>
        <v>SI</v>
      </c>
      <c r="X113" s="23" t="str">
        <f t="shared" si="9"/>
        <v>DIANOSOL</v>
      </c>
      <c r="Y113" s="73" t="s">
        <v>994</v>
      </c>
      <c r="Z113" s="144" t="s">
        <v>1018</v>
      </c>
      <c r="AA113" s="121" t="str">
        <f>IF(Z113&lt;&gt;"",VLOOKUP($Z113,Resultados!$A$1:$B$49,2,FALSE),"")</f>
        <v>Recursos Denegados</v>
      </c>
    </row>
    <row r="114" spans="1:28" ht="76.5">
      <c r="A114" s="63">
        <v>113</v>
      </c>
      <c r="B114" s="60">
        <v>45194</v>
      </c>
      <c r="C114" s="183">
        <v>0.42430555555555555</v>
      </c>
      <c r="D114" s="40" t="s">
        <v>230</v>
      </c>
      <c r="E114" s="40" t="s">
        <v>953</v>
      </c>
      <c r="F114" s="40" t="s">
        <v>954</v>
      </c>
      <c r="G114" s="65">
        <v>10579695</v>
      </c>
      <c r="H114" s="40" t="s">
        <v>955</v>
      </c>
      <c r="I114" s="67" t="s">
        <v>956</v>
      </c>
      <c r="J114" s="67" t="s">
        <v>957</v>
      </c>
      <c r="K114" s="67" t="s">
        <v>958</v>
      </c>
      <c r="L114" s="67"/>
      <c r="M114" s="40" t="s">
        <v>959</v>
      </c>
      <c r="N114" s="40" t="s">
        <v>960</v>
      </c>
      <c r="O114" s="40"/>
      <c r="P114" s="40"/>
      <c r="Q114" s="40" t="s">
        <v>136</v>
      </c>
      <c r="R114" s="60">
        <v>45208</v>
      </c>
      <c r="S114" s="182">
        <v>0.39583333333333331</v>
      </c>
      <c r="T114" s="55" t="s">
        <v>307</v>
      </c>
      <c r="U114" s="214"/>
      <c r="V114" s="72"/>
      <c r="W114" s="34" t="str">
        <f t="shared" ca="1" si="8"/>
        <v>SI</v>
      </c>
      <c r="X114" s="23" t="str">
        <f t="shared" si="9"/>
        <v>DIANOSOL</v>
      </c>
      <c r="Y114" s="73" t="s">
        <v>994</v>
      </c>
      <c r="Z114" s="144" t="s">
        <v>1018</v>
      </c>
      <c r="AA114" s="121" t="str">
        <f>IF(Z114&lt;&gt;"",VLOOKUP($Z114,Resultados!$A$1:$B$49,2,FALSE),"")</f>
        <v>Recursos Denegados</v>
      </c>
    </row>
    <row r="115" spans="1:28" ht="38.25">
      <c r="A115" s="70">
        <v>114</v>
      </c>
      <c r="B115" s="68">
        <v>45194</v>
      </c>
      <c r="C115" s="186">
        <v>0.52083333333333337</v>
      </c>
      <c r="D115" s="72" t="s">
        <v>226</v>
      </c>
      <c r="E115" s="73" t="s">
        <v>963</v>
      </c>
      <c r="F115" s="73" t="s">
        <v>969</v>
      </c>
      <c r="G115" s="74">
        <v>95780581</v>
      </c>
      <c r="H115" s="73" t="s">
        <v>964</v>
      </c>
      <c r="I115" s="75" t="s">
        <v>965</v>
      </c>
      <c r="J115" s="75" t="s">
        <v>966</v>
      </c>
      <c r="K115" s="76">
        <v>95591436</v>
      </c>
      <c r="L115" s="75" t="s">
        <v>968</v>
      </c>
      <c r="M115" s="73" t="s">
        <v>967</v>
      </c>
      <c r="N115" s="72"/>
      <c r="O115" s="72"/>
      <c r="P115" s="72"/>
      <c r="Q115" s="73" t="s">
        <v>556</v>
      </c>
      <c r="R115" s="68">
        <v>45197</v>
      </c>
      <c r="S115" s="191">
        <v>0.39583333333333331</v>
      </c>
      <c r="T115" s="69" t="s">
        <v>997</v>
      </c>
      <c r="U115" s="218"/>
      <c r="V115" s="40"/>
      <c r="W115" s="34" t="str">
        <f t="shared" ca="1" si="8"/>
        <v>SI</v>
      </c>
      <c r="X115" s="23" t="str">
        <f t="shared" si="9"/>
        <v>DIANOSOL</v>
      </c>
      <c r="Y115" s="58" t="s">
        <v>994</v>
      </c>
      <c r="Z115" s="121" t="s">
        <v>1042</v>
      </c>
      <c r="AA115" s="121" t="str">
        <f>IF(Z115&lt;&gt;"",VLOOKUP($Z115,Resultados!$A$1:$B$49,2,FALSE),"")</f>
        <v>Recursos Abstractos</v>
      </c>
    </row>
    <row r="116" spans="1:28" ht="38.25">
      <c r="A116" s="63">
        <v>115</v>
      </c>
      <c r="B116" s="60">
        <v>45194</v>
      </c>
      <c r="C116" s="183">
        <v>0.52083333333333337</v>
      </c>
      <c r="D116" s="40" t="s">
        <v>108</v>
      </c>
      <c r="E116" s="58" t="s">
        <v>970</v>
      </c>
      <c r="F116" s="58" t="s">
        <v>974</v>
      </c>
      <c r="G116" s="65">
        <v>30905288</v>
      </c>
      <c r="H116" s="58" t="s">
        <v>971</v>
      </c>
      <c r="I116" s="41" t="s">
        <v>972</v>
      </c>
      <c r="J116" s="41" t="s">
        <v>822</v>
      </c>
      <c r="K116" s="67"/>
      <c r="L116" s="67"/>
      <c r="M116" s="58" t="s">
        <v>973</v>
      </c>
      <c r="N116" s="40"/>
      <c r="O116" s="40"/>
      <c r="P116" s="40"/>
      <c r="Q116" s="58" t="s">
        <v>132</v>
      </c>
      <c r="R116" s="60">
        <v>45211</v>
      </c>
      <c r="S116" s="182">
        <v>0.4375</v>
      </c>
      <c r="T116" s="55" t="s">
        <v>1192</v>
      </c>
      <c r="U116" s="212" t="s">
        <v>1073</v>
      </c>
      <c r="V116" s="72"/>
      <c r="W116" s="34" t="str">
        <f t="shared" ca="1" si="8"/>
        <v>SI</v>
      </c>
      <c r="X116" s="23" t="str">
        <f t="shared" si="9"/>
        <v>DIANOSOL</v>
      </c>
      <c r="Y116" s="73" t="s">
        <v>994</v>
      </c>
      <c r="Z116" s="144" t="s">
        <v>1018</v>
      </c>
      <c r="AA116" s="121" t="str">
        <f>IF(Z116&lt;&gt;"",VLOOKUP($Z116,Resultados!$A$1:$B$49,2,FALSE),"")</f>
        <v>Recursos Denegados</v>
      </c>
    </row>
    <row r="117" spans="1:28" ht="89.25">
      <c r="A117" s="63">
        <v>116</v>
      </c>
      <c r="B117" s="60">
        <v>45196</v>
      </c>
      <c r="C117" s="183">
        <v>0.52083333333333337</v>
      </c>
      <c r="D117" s="40" t="s">
        <v>433</v>
      </c>
      <c r="E117" s="58" t="s">
        <v>977</v>
      </c>
      <c r="F117" s="58" t="s">
        <v>978</v>
      </c>
      <c r="G117" s="65">
        <v>36805093</v>
      </c>
      <c r="H117" s="58" t="s">
        <v>981</v>
      </c>
      <c r="I117" s="41" t="s">
        <v>979</v>
      </c>
      <c r="J117" s="41" t="s">
        <v>980</v>
      </c>
      <c r="K117" s="67"/>
      <c r="L117" s="41" t="s">
        <v>982</v>
      </c>
      <c r="M117" s="58" t="s">
        <v>983</v>
      </c>
      <c r="N117" s="40"/>
      <c r="O117" s="40"/>
      <c r="P117" s="40"/>
      <c r="Q117" s="58" t="s">
        <v>500</v>
      </c>
      <c r="R117" s="60">
        <v>45204</v>
      </c>
      <c r="S117" s="182">
        <v>0.39583333333333331</v>
      </c>
      <c r="T117" s="55" t="s">
        <v>1142</v>
      </c>
      <c r="U117" s="213" t="s">
        <v>1060</v>
      </c>
      <c r="V117" s="40"/>
      <c r="W117" s="34" t="str">
        <f t="shared" ca="1" si="8"/>
        <v>SI</v>
      </c>
      <c r="X117" s="23" t="str">
        <f t="shared" si="9"/>
        <v>DIANOSOL</v>
      </c>
      <c r="Y117" s="58" t="s">
        <v>994</v>
      </c>
      <c r="Z117" s="121" t="s">
        <v>1042</v>
      </c>
      <c r="AA117" s="121" t="str">
        <f>IF(Z117&lt;&gt;"",VLOOKUP($Z117,Resultados!$A$1:$B$49,2,FALSE),"")</f>
        <v>Recursos Abstractos</v>
      </c>
    </row>
    <row r="118" spans="1:28" ht="102">
      <c r="A118" s="145">
        <v>117</v>
      </c>
      <c r="B118" s="146">
        <v>45197</v>
      </c>
      <c r="C118" s="188">
        <v>0.52083333333333337</v>
      </c>
      <c r="D118" s="147" t="s">
        <v>104</v>
      </c>
      <c r="E118" s="148" t="s">
        <v>996</v>
      </c>
      <c r="F118" s="148" t="s">
        <v>1106</v>
      </c>
      <c r="G118" s="149">
        <v>29788698</v>
      </c>
      <c r="H118" s="148" t="s">
        <v>1003</v>
      </c>
      <c r="I118" s="150" t="s">
        <v>998</v>
      </c>
      <c r="J118" s="150" t="s">
        <v>999</v>
      </c>
      <c r="K118" s="151"/>
      <c r="L118" s="150" t="s">
        <v>1000</v>
      </c>
      <c r="M118" s="148" t="s">
        <v>1001</v>
      </c>
      <c r="N118" s="147"/>
      <c r="O118" s="147"/>
      <c r="P118" s="147"/>
      <c r="Q118" s="148" t="s">
        <v>132</v>
      </c>
      <c r="R118" s="146">
        <v>45202</v>
      </c>
      <c r="S118" s="187">
        <v>0.39583333333333331</v>
      </c>
      <c r="T118" s="169" t="s">
        <v>307</v>
      </c>
      <c r="U118" s="221"/>
      <c r="V118" s="40"/>
      <c r="W118" s="34" t="str">
        <f t="shared" ca="1" si="8"/>
        <v>SI</v>
      </c>
      <c r="X118" s="23" t="str">
        <f t="shared" si="9"/>
        <v>DIANOSOL</v>
      </c>
      <c r="Y118" s="58" t="s">
        <v>1002</v>
      </c>
      <c r="Z118" s="121" t="s">
        <v>1018</v>
      </c>
      <c r="AA118" s="121" t="str">
        <f>IF(Z118&lt;&gt;"",VLOOKUP($Z118,Resultados!$A$1:$B$49,2,FALSE),"")</f>
        <v>Recursos Denegados</v>
      </c>
    </row>
    <row r="119" spans="1:28" ht="38.25">
      <c r="A119" s="145">
        <v>118</v>
      </c>
      <c r="B119" s="146">
        <v>45197</v>
      </c>
      <c r="C119" s="188">
        <v>0.52083333333333337</v>
      </c>
      <c r="D119" s="147" t="s">
        <v>108</v>
      </c>
      <c r="E119" s="148" t="s">
        <v>1004</v>
      </c>
      <c r="F119" s="148" t="s">
        <v>1005</v>
      </c>
      <c r="G119" s="149">
        <v>19079034</v>
      </c>
      <c r="H119" s="147"/>
      <c r="I119" s="150" t="s">
        <v>972</v>
      </c>
      <c r="J119" s="150" t="s">
        <v>822</v>
      </c>
      <c r="K119" s="151"/>
      <c r="L119" s="150" t="s">
        <v>968</v>
      </c>
      <c r="M119" s="148" t="s">
        <v>1006</v>
      </c>
      <c r="N119" s="147"/>
      <c r="O119" s="147"/>
      <c r="P119" s="147"/>
      <c r="Q119" s="148" t="s">
        <v>132</v>
      </c>
      <c r="R119" s="146">
        <v>45211</v>
      </c>
      <c r="S119" s="187">
        <v>0.4375</v>
      </c>
      <c r="T119" s="169" t="s">
        <v>1195</v>
      </c>
      <c r="U119" s="222"/>
      <c r="W119" s="34" t="str">
        <f t="shared" ca="1" si="8"/>
        <v>SI</v>
      </c>
      <c r="X119" s="23" t="str">
        <f t="shared" si="9"/>
        <v>DIANOSOL</v>
      </c>
      <c r="Y119" s="133" t="s">
        <v>994</v>
      </c>
      <c r="Z119" s="121" t="s">
        <v>1035</v>
      </c>
      <c r="AA119" s="121" t="str">
        <f>IF(Z119&lt;&gt;"",VLOOKUP($Z119,Resultados!$A$1:$B$49,2,FALSE),"")</f>
        <v>Desestimientos de Recursos</v>
      </c>
      <c r="AB119" s="8"/>
    </row>
    <row r="120" spans="1:28" ht="39.950000000000003" customHeight="1">
      <c r="A120" s="145">
        <v>119</v>
      </c>
      <c r="B120" s="146">
        <v>45198</v>
      </c>
      <c r="C120" s="188">
        <v>0.46875</v>
      </c>
      <c r="D120" s="147" t="s">
        <v>230</v>
      </c>
      <c r="E120" s="148" t="s">
        <v>1008</v>
      </c>
      <c r="F120" s="148" t="s">
        <v>1009</v>
      </c>
      <c r="G120" s="149">
        <v>36791896</v>
      </c>
      <c r="H120" s="148" t="s">
        <v>1010</v>
      </c>
      <c r="I120" s="150" t="s">
        <v>420</v>
      </c>
      <c r="J120" s="150" t="s">
        <v>1011</v>
      </c>
      <c r="K120" s="170">
        <v>29251911</v>
      </c>
      <c r="L120" s="150" t="s">
        <v>1012</v>
      </c>
      <c r="M120" s="148" t="s">
        <v>952</v>
      </c>
      <c r="N120" s="147"/>
      <c r="O120" s="148" t="s">
        <v>1013</v>
      </c>
      <c r="P120" s="147"/>
      <c r="Q120" s="148" t="s">
        <v>571</v>
      </c>
      <c r="R120" s="146">
        <v>45216</v>
      </c>
      <c r="S120" s="187">
        <v>0.39583333333333331</v>
      </c>
      <c r="T120" s="169" t="s">
        <v>1256</v>
      </c>
      <c r="U120" s="223"/>
      <c r="W120" s="34" t="str">
        <f t="shared" ca="1" si="8"/>
        <v>SI</v>
      </c>
      <c r="X120" s="23" t="str">
        <f t="shared" si="9"/>
        <v>DIANOSOL</v>
      </c>
      <c r="Y120" s="133" t="s">
        <v>994</v>
      </c>
      <c r="Z120" s="121" t="s">
        <v>1018</v>
      </c>
      <c r="AA120" s="121" t="str">
        <f>IF(Z120&lt;&gt;"",VLOOKUP($Z120,Resultados!$A$1:$B$49,2,FALSE),"")</f>
        <v>Recursos Denegados</v>
      </c>
      <c r="AB120" s="8"/>
    </row>
    <row r="121" spans="1:28" ht="39.950000000000003" customHeight="1">
      <c r="A121" s="145">
        <v>120</v>
      </c>
      <c r="B121" s="146">
        <v>45202</v>
      </c>
      <c r="C121" s="188">
        <v>0.38541666666666669</v>
      </c>
      <c r="D121" s="147" t="s">
        <v>106</v>
      </c>
      <c r="E121" s="148" t="s">
        <v>1108</v>
      </c>
      <c r="F121" s="148" t="s">
        <v>1109</v>
      </c>
      <c r="G121" s="149">
        <v>37004021</v>
      </c>
      <c r="H121" s="148" t="s">
        <v>1114</v>
      </c>
      <c r="I121" s="150" t="s">
        <v>1110</v>
      </c>
      <c r="J121" s="150" t="s">
        <v>1111</v>
      </c>
      <c r="K121" s="170">
        <v>34242062</v>
      </c>
      <c r="L121" s="150" t="s">
        <v>1112</v>
      </c>
      <c r="M121" s="148" t="s">
        <v>1113</v>
      </c>
      <c r="N121" s="147"/>
      <c r="O121" s="147"/>
      <c r="P121" s="147"/>
      <c r="Q121" s="148" t="s">
        <v>136</v>
      </c>
      <c r="R121" s="146"/>
      <c r="S121" s="188"/>
      <c r="T121" s="169" t="s">
        <v>1145</v>
      </c>
      <c r="U121" s="224"/>
      <c r="W121" s="34" t="str">
        <f t="shared" ca="1" si="8"/>
        <v>SI</v>
      </c>
      <c r="X121" s="23" t="str">
        <f t="shared" si="9"/>
        <v>DIANOSOL</v>
      </c>
      <c r="Y121" s="133" t="s">
        <v>994</v>
      </c>
      <c r="Z121" s="121" t="s">
        <v>1042</v>
      </c>
      <c r="AA121" s="121" t="str">
        <f>IF(Z121&lt;&gt;"",VLOOKUP($Z121,Resultados!$A$1:$B$49,2,FALSE),"")</f>
        <v>Recursos Abstractos</v>
      </c>
      <c r="AB121" s="8"/>
    </row>
    <row r="122" spans="1:28" ht="39.950000000000003" customHeight="1">
      <c r="A122" s="63">
        <v>121</v>
      </c>
      <c r="B122" s="114">
        <v>45203</v>
      </c>
      <c r="C122" s="115">
        <v>0.51874999999999993</v>
      </c>
      <c r="D122" s="116" t="s">
        <v>107</v>
      </c>
      <c r="E122" s="116" t="s">
        <v>1116</v>
      </c>
      <c r="F122" s="116" t="s">
        <v>1117</v>
      </c>
      <c r="G122" s="118">
        <v>31853763</v>
      </c>
      <c r="H122" s="116" t="s">
        <v>1118</v>
      </c>
      <c r="I122" s="119" t="s">
        <v>1119</v>
      </c>
      <c r="J122" s="119"/>
      <c r="K122" s="119"/>
      <c r="L122" s="119"/>
      <c r="M122" s="116" t="s">
        <v>1120</v>
      </c>
      <c r="N122" s="116"/>
      <c r="O122" s="116"/>
      <c r="P122" s="116"/>
      <c r="Q122" s="116" t="s">
        <v>132</v>
      </c>
      <c r="R122" s="114">
        <v>45217</v>
      </c>
      <c r="S122" s="189">
        <v>0.45833333333333331</v>
      </c>
      <c r="T122" s="171" t="s">
        <v>941</v>
      </c>
      <c r="U122" s="224" t="s">
        <v>1251</v>
      </c>
      <c r="Y122" s="172" t="s">
        <v>994</v>
      </c>
      <c r="Z122" s="173" t="s">
        <v>1038</v>
      </c>
      <c r="AA122" s="121" t="str">
        <f>IF(Z122&lt;&gt;"",VLOOKUP($Z122,Resultados!$A$1:$B$49,2,FALSE),"")</f>
        <v>Recursos Inadmisibles</v>
      </c>
      <c r="AB122" s="8"/>
    </row>
    <row r="123" spans="1:28" ht="51">
      <c r="A123" s="176">
        <v>122</v>
      </c>
      <c r="B123" s="146">
        <v>45203</v>
      </c>
      <c r="C123" s="188">
        <v>0.51874999999999993</v>
      </c>
      <c r="D123" s="147" t="s">
        <v>228</v>
      </c>
      <c r="E123" s="148" t="s">
        <v>1121</v>
      </c>
      <c r="F123" s="148" t="s">
        <v>1122</v>
      </c>
      <c r="G123" s="149">
        <v>31870270</v>
      </c>
      <c r="H123" s="148" t="s">
        <v>1123</v>
      </c>
      <c r="I123" s="150" t="s">
        <v>1124</v>
      </c>
      <c r="J123" s="150" t="s">
        <v>1125</v>
      </c>
      <c r="K123" s="151"/>
      <c r="L123" s="151"/>
      <c r="M123" s="148" t="s">
        <v>1126</v>
      </c>
      <c r="N123" s="147"/>
      <c r="O123" s="147"/>
      <c r="P123" s="147"/>
      <c r="Q123" s="148" t="s">
        <v>132</v>
      </c>
      <c r="R123" s="146"/>
      <c r="S123" s="188"/>
      <c r="T123" s="169" t="s">
        <v>592</v>
      </c>
      <c r="U123" s="225" t="s">
        <v>990</v>
      </c>
      <c r="V123" s="40"/>
      <c r="W123" s="73" t="s">
        <v>994</v>
      </c>
      <c r="X123" s="73"/>
      <c r="Y123" s="58" t="s">
        <v>994</v>
      </c>
      <c r="Z123" s="174" t="s">
        <v>1018</v>
      </c>
      <c r="AA123" s="121" t="str">
        <f>IF(Z123&lt;&gt;"",VLOOKUP($Z123,Resultados!$A$1:$B$49,2,FALSE),"")</f>
        <v>Recursos Denegados</v>
      </c>
      <c r="AB123" s="8"/>
    </row>
    <row r="124" spans="1:28" ht="51">
      <c r="A124" s="145">
        <v>123</v>
      </c>
      <c r="B124" s="146">
        <v>45203</v>
      </c>
      <c r="C124" s="188">
        <v>0.51874999999999993</v>
      </c>
      <c r="D124" s="147" t="s">
        <v>227</v>
      </c>
      <c r="E124" s="148" t="s">
        <v>1127</v>
      </c>
      <c r="F124" s="148" t="s">
        <v>1128</v>
      </c>
      <c r="G124" s="148" t="s">
        <v>1129</v>
      </c>
      <c r="H124" s="147"/>
      <c r="I124" s="150" t="s">
        <v>1130</v>
      </c>
      <c r="J124" s="150" t="s">
        <v>1131</v>
      </c>
      <c r="K124" s="170">
        <v>37720452</v>
      </c>
      <c r="L124" s="150" t="s">
        <v>1132</v>
      </c>
      <c r="M124" s="148" t="s">
        <v>1133</v>
      </c>
      <c r="N124" s="147"/>
      <c r="O124" s="147"/>
      <c r="P124" s="147"/>
      <c r="Q124" s="148" t="s">
        <v>136</v>
      </c>
      <c r="R124" s="146">
        <v>45209</v>
      </c>
      <c r="S124" s="188">
        <v>0.39583333333333331</v>
      </c>
      <c r="T124" s="169" t="s">
        <v>1180</v>
      </c>
      <c r="U124" s="224" t="s">
        <v>990</v>
      </c>
      <c r="Y124" s="133" t="s">
        <v>994</v>
      </c>
      <c r="Z124" s="121" t="s">
        <v>1062</v>
      </c>
      <c r="AA124" s="121" t="str">
        <f>IF(Z124&lt;&gt;"",VLOOKUP($Z124,Resultados!$A$1:$B$49,2,FALSE),"")</f>
        <v>Recursos donde se hizo lugar</v>
      </c>
      <c r="AB124" s="8"/>
    </row>
    <row r="125" spans="1:28" ht="38.25">
      <c r="A125" s="113">
        <v>124</v>
      </c>
      <c r="B125" s="114">
        <v>45203</v>
      </c>
      <c r="C125" s="115">
        <v>0.41666666666666669</v>
      </c>
      <c r="D125" s="116" t="s">
        <v>226</v>
      </c>
      <c r="E125" s="116" t="s">
        <v>1134</v>
      </c>
      <c r="F125" s="116" t="s">
        <v>1135</v>
      </c>
      <c r="G125" s="118">
        <v>17708885</v>
      </c>
      <c r="H125" s="116" t="s">
        <v>1136</v>
      </c>
      <c r="I125" s="119" t="s">
        <v>1137</v>
      </c>
      <c r="J125" s="119" t="s">
        <v>1138</v>
      </c>
      <c r="K125" s="119"/>
      <c r="L125" s="119" t="s">
        <v>1139</v>
      </c>
      <c r="M125" s="116" t="s">
        <v>1140</v>
      </c>
      <c r="N125" s="116" t="s">
        <v>1141</v>
      </c>
      <c r="O125" s="116"/>
      <c r="P125" s="116"/>
      <c r="Q125" s="117" t="s">
        <v>136</v>
      </c>
      <c r="R125" s="114">
        <v>45211</v>
      </c>
      <c r="S125" s="189">
        <v>0.39583333333333331</v>
      </c>
      <c r="T125" s="171" t="s">
        <v>1190</v>
      </c>
      <c r="U125" s="224" t="s">
        <v>1196</v>
      </c>
      <c r="Y125" s="172" t="s">
        <v>994</v>
      </c>
      <c r="Z125" s="121" t="s">
        <v>1062</v>
      </c>
      <c r="AA125" s="121" t="str">
        <f>IF(Z125&lt;&gt;"",VLOOKUP($Z125,Resultados!$A$1:$B$49,2,FALSE),"")</f>
        <v>Recursos donde se hizo lugar</v>
      </c>
      <c r="AB125" s="8"/>
    </row>
    <row r="126" spans="1:28" ht="51">
      <c r="A126" s="145">
        <v>125</v>
      </c>
      <c r="B126" s="146">
        <v>45205</v>
      </c>
      <c r="C126" s="188">
        <v>0.45833333333333331</v>
      </c>
      <c r="D126" s="147" t="s">
        <v>106</v>
      </c>
      <c r="E126" s="148" t="s">
        <v>1143</v>
      </c>
      <c r="F126" s="148" t="s">
        <v>1147</v>
      </c>
      <c r="G126" s="148" t="s">
        <v>1146</v>
      </c>
      <c r="H126" s="147"/>
      <c r="I126" s="150" t="s">
        <v>832</v>
      </c>
      <c r="J126" s="150" t="s">
        <v>1149</v>
      </c>
      <c r="K126" s="151"/>
      <c r="L126" s="150" t="s">
        <v>1148</v>
      </c>
      <c r="M126" s="148" t="s">
        <v>1150</v>
      </c>
      <c r="N126" s="148" t="s">
        <v>1151</v>
      </c>
      <c r="O126" s="147"/>
      <c r="P126" s="147"/>
      <c r="Q126" s="148" t="s">
        <v>133</v>
      </c>
      <c r="R126" s="146"/>
      <c r="S126" s="188"/>
      <c r="T126" s="169" t="s">
        <v>1190</v>
      </c>
      <c r="U126" s="224"/>
      <c r="V126" s="40"/>
      <c r="W126" s="73" t="s">
        <v>994</v>
      </c>
      <c r="X126" s="73"/>
      <c r="Y126" s="58" t="s">
        <v>994</v>
      </c>
      <c r="Z126" s="174" t="s">
        <v>1062</v>
      </c>
      <c r="AA126" s="121" t="str">
        <f>IF(Z126&lt;&gt;"",VLOOKUP($Z126,Resultados!$A$1:$B$49,2,FALSE),"")</f>
        <v>Recursos donde se hizo lugar</v>
      </c>
      <c r="AB126" s="8"/>
    </row>
    <row r="127" spans="1:28" ht="39.950000000000003" customHeight="1">
      <c r="A127" s="145">
        <v>126</v>
      </c>
      <c r="B127" s="146">
        <v>45205</v>
      </c>
      <c r="C127" s="188">
        <v>0.45833333333333331</v>
      </c>
      <c r="D127" s="147" t="s">
        <v>433</v>
      </c>
      <c r="E127" s="148" t="s">
        <v>1152</v>
      </c>
      <c r="F127" s="148" t="s">
        <v>1153</v>
      </c>
      <c r="G127" s="149">
        <v>42553616</v>
      </c>
      <c r="H127" s="148" t="s">
        <v>1154</v>
      </c>
      <c r="I127" s="150" t="s">
        <v>420</v>
      </c>
      <c r="J127" s="150" t="s">
        <v>1155</v>
      </c>
      <c r="K127" s="170">
        <v>45362777</v>
      </c>
      <c r="L127" s="150" t="s">
        <v>1156</v>
      </c>
      <c r="M127" s="148" t="s">
        <v>386</v>
      </c>
      <c r="N127" s="148" t="s">
        <v>1182</v>
      </c>
      <c r="O127" s="148"/>
      <c r="P127" s="147"/>
      <c r="Q127" s="148" t="s">
        <v>132</v>
      </c>
      <c r="R127" s="146">
        <v>45216</v>
      </c>
      <c r="S127" s="187">
        <v>0.39583333333333331</v>
      </c>
      <c r="T127" s="169" t="s">
        <v>307</v>
      </c>
      <c r="U127" s="198"/>
      <c r="Y127" s="133" t="s">
        <v>994</v>
      </c>
      <c r="Z127" s="121" t="s">
        <v>1018</v>
      </c>
      <c r="AA127" s="121" t="str">
        <f>IF(Z127&lt;&gt;"",VLOOKUP($Z127,Resultados!$A$1:$B$49,2,FALSE),"")</f>
        <v>Recursos Denegados</v>
      </c>
      <c r="AB127" s="8"/>
    </row>
    <row r="128" spans="1:28" ht="39.950000000000003" customHeight="1">
      <c r="A128" s="145">
        <v>127</v>
      </c>
      <c r="B128" s="146">
        <v>45209</v>
      </c>
      <c r="C128" s="188">
        <v>0.33333333333333331</v>
      </c>
      <c r="D128" s="147" t="s">
        <v>226</v>
      </c>
      <c r="E128" s="148" t="s">
        <v>1157</v>
      </c>
      <c r="F128" s="148" t="s">
        <v>1158</v>
      </c>
      <c r="G128" s="149">
        <v>45179575</v>
      </c>
      <c r="H128" s="148" t="s">
        <v>1159</v>
      </c>
      <c r="I128" s="150" t="s">
        <v>1160</v>
      </c>
      <c r="J128" s="150" t="s">
        <v>1161</v>
      </c>
      <c r="K128" s="170">
        <v>26876117</v>
      </c>
      <c r="L128" s="150" t="s">
        <v>1162</v>
      </c>
      <c r="M128" s="148" t="s">
        <v>1163</v>
      </c>
      <c r="N128" s="147"/>
      <c r="O128" s="147"/>
      <c r="P128" s="147"/>
      <c r="Q128" s="148" t="s">
        <v>136</v>
      </c>
      <c r="R128" s="146"/>
      <c r="S128" s="188"/>
      <c r="T128" s="146"/>
      <c r="U128" s="224" t="s">
        <v>1254</v>
      </c>
      <c r="Y128" s="133" t="s">
        <v>994</v>
      </c>
      <c r="Z128" s="121"/>
      <c r="AA128" s="121" t="str">
        <f>IF(Z128&lt;&gt;"",VLOOKUP($Z128,Resultados!$A$1:$B$49,2,FALSE),"")</f>
        <v/>
      </c>
      <c r="AB128" s="8"/>
    </row>
    <row r="129" spans="1:28" ht="39.950000000000003" customHeight="1">
      <c r="A129" s="145">
        <v>128</v>
      </c>
      <c r="B129" s="146">
        <v>45209</v>
      </c>
      <c r="C129" s="188">
        <v>0.37708333333333338</v>
      </c>
      <c r="D129" s="147" t="s">
        <v>106</v>
      </c>
      <c r="E129" s="148" t="s">
        <v>1164</v>
      </c>
      <c r="F129" s="148" t="s">
        <v>1165</v>
      </c>
      <c r="G129" s="147"/>
      <c r="H129" s="148" t="s">
        <v>1166</v>
      </c>
      <c r="I129" s="150" t="s">
        <v>130</v>
      </c>
      <c r="J129" s="151"/>
      <c r="K129" s="151"/>
      <c r="L129" s="151"/>
      <c r="M129" s="148" t="s">
        <v>1167</v>
      </c>
      <c r="N129" s="147"/>
      <c r="O129" s="147"/>
      <c r="P129" s="147"/>
      <c r="Q129" s="148" t="s">
        <v>136</v>
      </c>
      <c r="R129" s="146">
        <v>45230</v>
      </c>
      <c r="S129" s="188">
        <v>0.39583333333333331</v>
      </c>
      <c r="T129" s="169" t="s">
        <v>1267</v>
      </c>
      <c r="U129" s="224"/>
      <c r="Y129" s="133" t="s">
        <v>994</v>
      </c>
      <c r="Z129" s="121" t="s">
        <v>1018</v>
      </c>
      <c r="AA129" s="121" t="str">
        <f>IF(Z129&lt;&gt;"",VLOOKUP($Z129,Resultados!$A$1:$B$49,2,FALSE),"")</f>
        <v>Recursos Denegados</v>
      </c>
      <c r="AB129" s="8"/>
    </row>
    <row r="130" spans="1:28" ht="39.950000000000003" customHeight="1">
      <c r="A130" s="145">
        <v>129</v>
      </c>
      <c r="B130" s="146">
        <v>45209</v>
      </c>
      <c r="C130" s="188">
        <v>0.37708333333333338</v>
      </c>
      <c r="D130" s="147" t="s">
        <v>242</v>
      </c>
      <c r="E130" s="148" t="s">
        <v>1168</v>
      </c>
      <c r="F130" s="148" t="s">
        <v>1170</v>
      </c>
      <c r="G130" s="149">
        <v>43688523</v>
      </c>
      <c r="H130" s="147"/>
      <c r="I130" s="151" t="s">
        <v>1171</v>
      </c>
      <c r="J130" s="151" t="s">
        <v>1172</v>
      </c>
      <c r="K130" s="151" t="s">
        <v>1173</v>
      </c>
      <c r="L130" s="151" t="s">
        <v>1174</v>
      </c>
      <c r="M130" s="147" t="s">
        <v>1175</v>
      </c>
      <c r="N130" s="147"/>
      <c r="O130" s="147" t="s">
        <v>1176</v>
      </c>
      <c r="P130" s="147"/>
      <c r="Q130" s="147" t="s">
        <v>1177</v>
      </c>
      <c r="R130" s="146">
        <v>45217</v>
      </c>
      <c r="S130" s="188">
        <v>0.39583333333333331</v>
      </c>
      <c r="T130" s="169" t="s">
        <v>851</v>
      </c>
      <c r="U130" s="223"/>
      <c r="Y130" s="133" t="s">
        <v>994</v>
      </c>
      <c r="Z130" s="121" t="s">
        <v>1018</v>
      </c>
      <c r="AA130" s="121" t="str">
        <f>IF(Z130&lt;&gt;"",VLOOKUP($Z130,Resultados!$A$1:$B$49,2,FALSE),"")</f>
        <v>Recursos Denegados</v>
      </c>
      <c r="AB130" s="8"/>
    </row>
    <row r="131" spans="1:28" ht="38.25">
      <c r="A131" s="145">
        <v>130</v>
      </c>
      <c r="B131" s="146">
        <v>45205</v>
      </c>
      <c r="C131" s="188">
        <v>0.5</v>
      </c>
      <c r="D131" s="147" t="s">
        <v>108</v>
      </c>
      <c r="E131" s="148" t="s">
        <v>1178</v>
      </c>
      <c r="F131" s="148" t="s">
        <v>1179</v>
      </c>
      <c r="G131" s="149">
        <v>34993106</v>
      </c>
      <c r="H131" s="147"/>
      <c r="I131" s="150" t="s">
        <v>972</v>
      </c>
      <c r="J131" s="150" t="s">
        <v>822</v>
      </c>
      <c r="K131" s="151"/>
      <c r="L131" s="151"/>
      <c r="M131" s="148" t="s">
        <v>215</v>
      </c>
      <c r="N131" s="147"/>
      <c r="O131" s="147"/>
      <c r="P131" s="147"/>
      <c r="Q131" s="148" t="s">
        <v>132</v>
      </c>
      <c r="R131" s="146">
        <v>45211</v>
      </c>
      <c r="S131" s="187">
        <v>0.4375</v>
      </c>
      <c r="T131" s="169" t="s">
        <v>1194</v>
      </c>
      <c r="U131" s="221" t="s">
        <v>1069</v>
      </c>
      <c r="Y131" s="133" t="s">
        <v>994</v>
      </c>
      <c r="Z131" s="121" t="s">
        <v>1025</v>
      </c>
      <c r="AA131" s="121" t="str">
        <f>IF(Z131&lt;&gt;"",VLOOKUP($Z131,Resultados!$A$1:$B$49,2,FALSE),"")</f>
        <v>Recursos donde se hizo lugar</v>
      </c>
      <c r="AB131" s="8"/>
    </row>
    <row r="132" spans="1:28" ht="39.950000000000003" customHeight="1">
      <c r="A132" s="145">
        <v>131</v>
      </c>
      <c r="B132" s="146">
        <v>45216</v>
      </c>
      <c r="C132" s="188">
        <v>0.37083333333333335</v>
      </c>
      <c r="D132" s="147" t="s">
        <v>228</v>
      </c>
      <c r="E132" s="148" t="s">
        <v>1183</v>
      </c>
      <c r="F132" s="148" t="s">
        <v>1184</v>
      </c>
      <c r="G132" s="147"/>
      <c r="H132" s="147"/>
      <c r="I132" s="150" t="s">
        <v>1185</v>
      </c>
      <c r="J132" s="151"/>
      <c r="K132" s="151"/>
      <c r="L132" s="151"/>
      <c r="M132" s="148" t="s">
        <v>386</v>
      </c>
      <c r="N132" s="147"/>
      <c r="O132" s="147"/>
      <c r="P132" s="147"/>
      <c r="Q132" s="148" t="s">
        <v>503</v>
      </c>
      <c r="R132" s="146"/>
      <c r="S132" s="188"/>
      <c r="T132" s="169" t="s">
        <v>1257</v>
      </c>
      <c r="U132" s="222" t="s">
        <v>1096</v>
      </c>
      <c r="Y132" s="133" t="s">
        <v>994</v>
      </c>
      <c r="Z132" s="121" t="s">
        <v>1018</v>
      </c>
      <c r="AA132" s="121" t="str">
        <f>IF(Z132&lt;&gt;"",VLOOKUP($Z132,Resultados!$A$1:$B$49,2,FALSE),"")</f>
        <v>Recursos Denegados</v>
      </c>
      <c r="AB132" s="8"/>
    </row>
    <row r="133" spans="1:28" ht="51">
      <c r="A133" s="145">
        <v>132</v>
      </c>
      <c r="B133" s="146">
        <v>45216</v>
      </c>
      <c r="C133" s="188">
        <v>0.37083333333333335</v>
      </c>
      <c r="D133" s="147" t="s">
        <v>229</v>
      </c>
      <c r="E133" s="148" t="s">
        <v>1186</v>
      </c>
      <c r="F133" s="148" t="s">
        <v>1187</v>
      </c>
      <c r="G133" s="149">
        <v>32857444</v>
      </c>
      <c r="H133" s="148" t="s">
        <v>1188</v>
      </c>
      <c r="I133" s="150" t="s">
        <v>245</v>
      </c>
      <c r="J133" s="151"/>
      <c r="K133" s="151"/>
      <c r="L133" s="151"/>
      <c r="M133" s="148" t="s">
        <v>1189</v>
      </c>
      <c r="N133" s="147"/>
      <c r="O133" s="147"/>
      <c r="P133" s="147"/>
      <c r="Q133" s="148" t="s">
        <v>136</v>
      </c>
      <c r="R133" s="146">
        <v>45218</v>
      </c>
      <c r="S133" s="187">
        <v>0.39583333333333331</v>
      </c>
      <c r="T133" s="169" t="s">
        <v>883</v>
      </c>
      <c r="U133" s="226"/>
      <c r="Y133" s="133" t="s">
        <v>994</v>
      </c>
      <c r="Z133" s="121" t="s">
        <v>1018</v>
      </c>
      <c r="AA133" s="121" t="str">
        <f>IF(Z133&lt;&gt;"",VLOOKUP($Z133,Resultados!$A$1:$B$49,2,FALSE),"")</f>
        <v>Recursos Denegados</v>
      </c>
      <c r="AB133" s="8"/>
    </row>
    <row r="134" spans="1:28" ht="38.25">
      <c r="A134" s="193">
        <v>132</v>
      </c>
      <c r="B134" s="194">
        <v>45217</v>
      </c>
      <c r="C134" s="195">
        <v>0.39583333333333331</v>
      </c>
      <c r="D134" s="196" t="s">
        <v>107</v>
      </c>
      <c r="E134" s="175" t="s">
        <v>1197</v>
      </c>
      <c r="F134" s="175" t="s">
        <v>1241</v>
      </c>
      <c r="G134" s="197">
        <v>42446496</v>
      </c>
      <c r="H134" s="196" t="s">
        <v>1198</v>
      </c>
      <c r="I134" s="198" t="s">
        <v>588</v>
      </c>
      <c r="J134" s="199" t="s">
        <v>1199</v>
      </c>
      <c r="K134" s="199"/>
      <c r="L134" s="199"/>
      <c r="M134" s="175" t="s">
        <v>1167</v>
      </c>
      <c r="N134" s="175" t="s">
        <v>1249</v>
      </c>
      <c r="O134" s="196"/>
      <c r="P134" s="196"/>
      <c r="Q134" s="175" t="s">
        <v>133</v>
      </c>
      <c r="R134" s="194">
        <v>45231</v>
      </c>
      <c r="S134" s="195">
        <v>0.39583333333333331</v>
      </c>
      <c r="T134" s="192" t="s">
        <v>1324</v>
      </c>
      <c r="U134" s="222" t="s">
        <v>1325</v>
      </c>
      <c r="Y134" s="133" t="s">
        <v>994</v>
      </c>
      <c r="Z134" s="121" t="s">
        <v>1062</v>
      </c>
      <c r="AA134" s="121" t="str">
        <f>IF(Z134&lt;&gt;"",VLOOKUP($Z134,Resultados!$A$1:$B$49,2,FALSE),"")</f>
        <v>Recursos donde se hizo lugar</v>
      </c>
      <c r="AB134" s="8"/>
    </row>
    <row r="135" spans="1:28" ht="51">
      <c r="A135" s="145">
        <v>134</v>
      </c>
      <c r="B135" s="146">
        <v>45217</v>
      </c>
      <c r="C135" s="188">
        <v>0.4236111111111111</v>
      </c>
      <c r="D135" s="147" t="s">
        <v>226</v>
      </c>
      <c r="E135" s="148" t="s">
        <v>1200</v>
      </c>
      <c r="F135" s="148" t="s">
        <v>1201</v>
      </c>
      <c r="G135" s="149">
        <v>42606284</v>
      </c>
      <c r="H135" s="148" t="s">
        <v>1203</v>
      </c>
      <c r="I135" s="150" t="s">
        <v>1202</v>
      </c>
      <c r="J135" s="151"/>
      <c r="K135" s="151"/>
      <c r="L135" s="151"/>
      <c r="M135" s="148" t="s">
        <v>1133</v>
      </c>
      <c r="N135" s="147"/>
      <c r="O135" s="147"/>
      <c r="P135" s="147"/>
      <c r="Q135" s="148" t="s">
        <v>136</v>
      </c>
      <c r="R135" s="146">
        <v>45223</v>
      </c>
      <c r="S135" s="188">
        <v>0.39583333333333331</v>
      </c>
      <c r="T135" s="169" t="s">
        <v>1239</v>
      </c>
      <c r="U135" s="222" t="s">
        <v>1250</v>
      </c>
      <c r="W135" s="23" t="s">
        <v>994</v>
      </c>
      <c r="Y135" s="133" t="s">
        <v>994</v>
      </c>
      <c r="Z135" s="121" t="s">
        <v>1018</v>
      </c>
      <c r="AA135" s="121" t="str">
        <f>IF(Z135&lt;&gt;"",VLOOKUP($Z135,Resultados!$A$1:$B$49,2,FALSE),"")</f>
        <v>Recursos Denegados</v>
      </c>
      <c r="AB135" s="8"/>
    </row>
    <row r="136" spans="1:28" ht="51">
      <c r="A136" s="193">
        <v>135</v>
      </c>
      <c r="B136" s="194">
        <v>45176</v>
      </c>
      <c r="C136" s="195">
        <v>0.5</v>
      </c>
      <c r="D136" s="196" t="s">
        <v>108</v>
      </c>
      <c r="E136" s="175" t="s">
        <v>819</v>
      </c>
      <c r="F136" s="175" t="s">
        <v>820</v>
      </c>
      <c r="G136" s="197">
        <v>29892834</v>
      </c>
      <c r="H136" s="196"/>
      <c r="I136" s="198" t="s">
        <v>821</v>
      </c>
      <c r="J136" s="198" t="s">
        <v>822</v>
      </c>
      <c r="K136" s="199"/>
      <c r="L136" s="199"/>
      <c r="M136" s="175" t="s">
        <v>386</v>
      </c>
      <c r="N136" s="196"/>
      <c r="O136" s="196"/>
      <c r="P136" s="196"/>
      <c r="Q136" s="175" t="s">
        <v>599</v>
      </c>
      <c r="R136" s="194">
        <v>45188</v>
      </c>
      <c r="S136" s="232">
        <v>0.35416666666666669</v>
      </c>
      <c r="T136" s="192" t="s">
        <v>934</v>
      </c>
      <c r="U136" s="221"/>
      <c r="W136" s="23" t="s">
        <v>994</v>
      </c>
      <c r="Y136" s="133" t="s">
        <v>994</v>
      </c>
      <c r="Z136" s="121" t="s">
        <v>1025</v>
      </c>
      <c r="AA136" s="121" t="str">
        <f>IF(Z136&lt;&gt;"",VLOOKUP($Z136,Resultados!$A$1:$B$49,2,FALSE),"")</f>
        <v>Recursos donde se hizo lugar</v>
      </c>
      <c r="AB136" s="8"/>
    </row>
    <row r="137" spans="1:28" ht="76.5">
      <c r="A137" s="200">
        <v>135</v>
      </c>
      <c r="B137" s="201">
        <v>45219</v>
      </c>
      <c r="C137" s="202">
        <v>0.40972222222222227</v>
      </c>
      <c r="D137" s="203" t="s">
        <v>242</v>
      </c>
      <c r="E137" s="204" t="s">
        <v>1206</v>
      </c>
      <c r="F137" s="204" t="s">
        <v>1207</v>
      </c>
      <c r="G137" s="204" t="s">
        <v>1208</v>
      </c>
      <c r="H137" s="204" t="s">
        <v>1214</v>
      </c>
      <c r="I137" s="205" t="s">
        <v>1209</v>
      </c>
      <c r="J137" s="205" t="s">
        <v>1210</v>
      </c>
      <c r="K137" s="206">
        <v>11374413</v>
      </c>
      <c r="L137" s="205" t="s">
        <v>1211</v>
      </c>
      <c r="M137" s="204" t="s">
        <v>1212</v>
      </c>
      <c r="N137" s="203"/>
      <c r="O137" s="203"/>
      <c r="P137" s="203"/>
      <c r="Q137" s="204" t="s">
        <v>1213</v>
      </c>
      <c r="R137" s="201">
        <v>45231</v>
      </c>
      <c r="S137" s="202">
        <v>0.375</v>
      </c>
      <c r="T137" s="231" t="s">
        <v>1268</v>
      </c>
      <c r="U137" s="227"/>
      <c r="W137" s="23" t="s">
        <v>994</v>
      </c>
      <c r="Y137" s="133" t="s">
        <v>1002</v>
      </c>
      <c r="Z137" s="121" t="s">
        <v>1014</v>
      </c>
      <c r="AA137" s="121" t="str">
        <f>IF(Z137&lt;&gt;"",VLOOKUP($Z137,Resultados!$A$1:$B$49,2,FALSE),"")</f>
        <v>Recursos Denegados</v>
      </c>
      <c r="AB137" s="8"/>
    </row>
    <row r="138" spans="1:28" ht="51">
      <c r="A138" s="145">
        <v>136</v>
      </c>
      <c r="B138" s="146">
        <v>45222</v>
      </c>
      <c r="C138" s="188">
        <v>0.375</v>
      </c>
      <c r="D138" s="147" t="s">
        <v>433</v>
      </c>
      <c r="E138" s="148" t="s">
        <v>1215</v>
      </c>
      <c r="F138" s="148" t="s">
        <v>1216</v>
      </c>
      <c r="G138" s="149">
        <v>45261023</v>
      </c>
      <c r="H138" s="148" t="s">
        <v>1217</v>
      </c>
      <c r="I138" s="150" t="s">
        <v>1218</v>
      </c>
      <c r="J138" s="150" t="s">
        <v>1219</v>
      </c>
      <c r="K138" s="170">
        <v>40156929</v>
      </c>
      <c r="L138" s="150" t="s">
        <v>1220</v>
      </c>
      <c r="M138" s="148" t="s">
        <v>1221</v>
      </c>
      <c r="N138" s="147"/>
      <c r="O138" s="147"/>
      <c r="P138" s="147"/>
      <c r="Q138" s="148" t="s">
        <v>136</v>
      </c>
      <c r="R138" s="146">
        <v>45232</v>
      </c>
      <c r="S138" s="188">
        <v>0.39583333333333331</v>
      </c>
      <c r="T138" s="169" t="s">
        <v>961</v>
      </c>
      <c r="U138" s="221"/>
      <c r="W138" s="23" t="s">
        <v>994</v>
      </c>
      <c r="Y138" s="133" t="s">
        <v>994</v>
      </c>
      <c r="Z138" s="121" t="s">
        <v>1019</v>
      </c>
      <c r="AA138" s="121" t="str">
        <f>IF(Z138&lt;&gt;"",VLOOKUP($Z138,Resultados!$A$1:$B$49,2,FALSE),"")</f>
        <v>Recursos donde se hizo lugar</v>
      </c>
      <c r="AB138" s="8"/>
    </row>
    <row r="139" spans="1:28" ht="76.5">
      <c r="A139" s="145">
        <v>137</v>
      </c>
      <c r="B139" s="146">
        <v>45219</v>
      </c>
      <c r="C139" s="188">
        <v>0.41666666666666669</v>
      </c>
      <c r="D139" s="147" t="s">
        <v>107</v>
      </c>
      <c r="E139" s="148" t="s">
        <v>1222</v>
      </c>
      <c r="F139" s="148" t="s">
        <v>1223</v>
      </c>
      <c r="G139" s="149">
        <v>32045159</v>
      </c>
      <c r="H139" s="147"/>
      <c r="I139" s="150" t="s">
        <v>1224</v>
      </c>
      <c r="J139" s="150" t="s">
        <v>1225</v>
      </c>
      <c r="K139" s="170">
        <v>22554066</v>
      </c>
      <c r="L139" s="150" t="s">
        <v>1226</v>
      </c>
      <c r="M139" s="148" t="s">
        <v>1227</v>
      </c>
      <c r="N139" s="147"/>
      <c r="O139" s="147"/>
      <c r="P139" s="147"/>
      <c r="Q139" s="148" t="s">
        <v>132</v>
      </c>
      <c r="R139" s="146">
        <v>45229</v>
      </c>
      <c r="S139" s="188">
        <v>0.39583333333333331</v>
      </c>
      <c r="T139" s="169" t="s">
        <v>1258</v>
      </c>
      <c r="U139" s="221"/>
      <c r="W139" s="23" t="s">
        <v>994</v>
      </c>
      <c r="Y139" s="133" t="s">
        <v>994</v>
      </c>
      <c r="Z139" s="121" t="s">
        <v>1018</v>
      </c>
      <c r="AA139" s="121" t="str">
        <f>IF(Z139&lt;&gt;"",VLOOKUP($Z139,Resultados!$A$1:$B$49,2,FALSE),"")</f>
        <v>Recursos Denegados</v>
      </c>
      <c r="AB139" s="8"/>
    </row>
    <row r="140" spans="1:28" ht="140.25">
      <c r="A140" s="193">
        <v>138</v>
      </c>
      <c r="B140" s="194">
        <v>45222</v>
      </c>
      <c r="C140" s="195">
        <v>0.47916666666666669</v>
      </c>
      <c r="D140" s="196" t="s">
        <v>105</v>
      </c>
      <c r="E140" s="175" t="s">
        <v>1228</v>
      </c>
      <c r="F140" s="175" t="s">
        <v>1229</v>
      </c>
      <c r="G140" s="175" t="s">
        <v>1230</v>
      </c>
      <c r="H140" s="196"/>
      <c r="I140" s="198" t="s">
        <v>1231</v>
      </c>
      <c r="J140" s="199"/>
      <c r="K140" s="199"/>
      <c r="L140" s="199"/>
      <c r="M140" s="175" t="s">
        <v>1232</v>
      </c>
      <c r="N140" s="196"/>
      <c r="O140" s="196"/>
      <c r="P140" s="196"/>
      <c r="Q140" s="175" t="s">
        <v>133</v>
      </c>
      <c r="R140" s="194">
        <v>45226</v>
      </c>
      <c r="S140" s="195">
        <v>0.41666666666666669</v>
      </c>
      <c r="T140" s="192" t="s">
        <v>1259</v>
      </c>
      <c r="U140" s="224"/>
      <c r="W140" s="23" t="s">
        <v>994</v>
      </c>
      <c r="Y140" s="133" t="s">
        <v>994</v>
      </c>
      <c r="Z140" s="121" t="s">
        <v>1018</v>
      </c>
      <c r="AA140" s="121" t="str">
        <f>IF(Z140&lt;&gt;"",VLOOKUP($Z140,Resultados!$A$1:$B$49,2,FALSE),"")</f>
        <v>Recursos Denegados</v>
      </c>
      <c r="AB140" s="8"/>
    </row>
    <row r="141" spans="1:28" ht="38.25">
      <c r="A141" s="145">
        <v>139</v>
      </c>
      <c r="B141" s="146">
        <v>45223</v>
      </c>
      <c r="C141" s="188">
        <v>0.53472222222222221</v>
      </c>
      <c r="D141" s="147" t="s">
        <v>230</v>
      </c>
      <c r="E141" s="148" t="s">
        <v>1233</v>
      </c>
      <c r="F141" s="148" t="s">
        <v>1234</v>
      </c>
      <c r="G141" s="149">
        <v>30638483</v>
      </c>
      <c r="H141" s="148" t="s">
        <v>1238</v>
      </c>
      <c r="I141" s="150" t="s">
        <v>897</v>
      </c>
      <c r="J141" s="150" t="s">
        <v>1235</v>
      </c>
      <c r="K141" s="170">
        <v>94051866</v>
      </c>
      <c r="L141" s="150" t="s">
        <v>1236</v>
      </c>
      <c r="M141" s="148" t="s">
        <v>1237</v>
      </c>
      <c r="N141" s="147"/>
      <c r="O141" s="147"/>
      <c r="P141" s="147"/>
      <c r="Q141" s="147" t="s">
        <v>136</v>
      </c>
      <c r="R141" s="146">
        <v>45237</v>
      </c>
      <c r="S141" s="188">
        <v>0.4375</v>
      </c>
      <c r="T141" s="169" t="s">
        <v>1331</v>
      </c>
      <c r="U141" s="224"/>
      <c r="W141" s="23" t="s">
        <v>994</v>
      </c>
      <c r="Y141" s="133" t="s">
        <v>1002</v>
      </c>
      <c r="Z141" s="121" t="s">
        <v>1014</v>
      </c>
      <c r="AA141" s="121" t="str">
        <f>IF(Z141&lt;&gt;"",VLOOKUP($Z141,Resultados!$A$1:$B$49,2,FALSE),"")</f>
        <v>Recursos Denegados</v>
      </c>
      <c r="AB141" s="8"/>
    </row>
    <row r="142" spans="1:28" ht="76.5">
      <c r="A142" s="145">
        <v>140</v>
      </c>
      <c r="B142" s="146">
        <v>45224</v>
      </c>
      <c r="C142" s="188">
        <v>0.39583333333333331</v>
      </c>
      <c r="D142" s="147" t="s">
        <v>227</v>
      </c>
      <c r="E142" s="148" t="s">
        <v>1242</v>
      </c>
      <c r="F142" s="148" t="s">
        <v>1243</v>
      </c>
      <c r="G142" s="149">
        <v>40150172</v>
      </c>
      <c r="H142" s="148" t="s">
        <v>1244</v>
      </c>
      <c r="I142" s="150" t="s">
        <v>1245</v>
      </c>
      <c r="J142" s="150" t="s">
        <v>1246</v>
      </c>
      <c r="K142" s="170">
        <v>34184752</v>
      </c>
      <c r="L142" s="150" t="s">
        <v>1248</v>
      </c>
      <c r="M142" s="148" t="s">
        <v>1247</v>
      </c>
      <c r="N142" s="147"/>
      <c r="O142" s="147"/>
      <c r="P142" s="147"/>
      <c r="Q142" s="148" t="s">
        <v>132</v>
      </c>
      <c r="R142" s="146">
        <v>45237</v>
      </c>
      <c r="S142" s="188">
        <v>0.35416666666666669</v>
      </c>
      <c r="T142" s="169" t="s">
        <v>1323</v>
      </c>
      <c r="U142" s="224" t="s">
        <v>1320</v>
      </c>
      <c r="W142" s="23" t="s">
        <v>994</v>
      </c>
      <c r="Y142" s="133" t="s">
        <v>994</v>
      </c>
      <c r="Z142" s="121" t="s">
        <v>1019</v>
      </c>
      <c r="AA142" s="121" t="str">
        <f>IF(Z142&lt;&gt;"",VLOOKUP($Z142,Resultados!$A$1:$B$49,2,FALSE),"")</f>
        <v>Recursos donde se hizo lugar</v>
      </c>
      <c r="AB142" s="8"/>
    </row>
    <row r="143" spans="1:28" ht="38.25">
      <c r="A143" s="145">
        <v>141</v>
      </c>
      <c r="B143" s="146"/>
      <c r="C143" s="147"/>
      <c r="D143" s="147" t="s">
        <v>228</v>
      </c>
      <c r="E143" s="148" t="s">
        <v>1261</v>
      </c>
      <c r="F143" s="147"/>
      <c r="G143" s="147"/>
      <c r="H143" s="147"/>
      <c r="I143" s="151"/>
      <c r="J143" s="151"/>
      <c r="K143" s="151"/>
      <c r="L143" s="151"/>
      <c r="M143" s="147"/>
      <c r="N143" s="147"/>
      <c r="O143" s="147"/>
      <c r="P143" s="147"/>
      <c r="Q143" s="147"/>
      <c r="R143" s="146">
        <v>45173</v>
      </c>
      <c r="S143" s="188">
        <v>0.41666666666666669</v>
      </c>
      <c r="T143" s="146"/>
      <c r="U143" s="223"/>
      <c r="W143" s="23" t="s">
        <v>994</v>
      </c>
      <c r="Y143" s="172" t="s">
        <v>994</v>
      </c>
      <c r="Z143" s="173" t="s">
        <v>1040</v>
      </c>
      <c r="AA143" s="173" t="str">
        <f>IF(Z143&lt;&gt;"",VLOOKUP($Z143,Resultados!$A$1:$B$49,2,FALSE),"")</f>
        <v>Audiencias de Visu</v>
      </c>
      <c r="AB143" s="8"/>
    </row>
    <row r="144" spans="1:28" ht="39.950000000000003" customHeight="1">
      <c r="A144" s="145">
        <v>142</v>
      </c>
      <c r="B144" s="146"/>
      <c r="C144" s="147"/>
      <c r="D144" s="147" t="s">
        <v>242</v>
      </c>
      <c r="E144" s="148" t="s">
        <v>1262</v>
      </c>
      <c r="F144" s="147"/>
      <c r="G144" s="147"/>
      <c r="H144" s="147"/>
      <c r="I144" s="151"/>
      <c r="J144" s="151"/>
      <c r="K144" s="151"/>
      <c r="L144" s="151"/>
      <c r="M144" s="147"/>
      <c r="N144" s="147"/>
      <c r="O144" s="147"/>
      <c r="P144" s="147"/>
      <c r="Q144" s="147"/>
      <c r="R144" s="146">
        <v>45177</v>
      </c>
      <c r="S144" s="188">
        <v>0.45833333333333331</v>
      </c>
      <c r="T144" s="146"/>
      <c r="U144" s="223"/>
      <c r="V144" s="147"/>
      <c r="W144" s="23" t="s">
        <v>994</v>
      </c>
      <c r="X144" s="148"/>
      <c r="Y144" s="148"/>
      <c r="Z144" s="229" t="s">
        <v>1040</v>
      </c>
      <c r="AA144" s="229" t="str">
        <f>IF(Z144&lt;&gt;"",VLOOKUP($Z144,Resultados!$A$1:$B$49,2,FALSE),"")</f>
        <v>Audiencias de Visu</v>
      </c>
      <c r="AB144" s="8"/>
    </row>
    <row r="145" spans="1:28" ht="39.950000000000003" customHeight="1">
      <c r="A145" s="145">
        <v>143</v>
      </c>
      <c r="B145" s="146"/>
      <c r="C145" s="147"/>
      <c r="D145" s="147" t="s">
        <v>105</v>
      </c>
      <c r="E145" s="148" t="s">
        <v>1263</v>
      </c>
      <c r="F145" s="147"/>
      <c r="G145" s="147"/>
      <c r="H145" s="147"/>
      <c r="I145" s="151"/>
      <c r="J145" s="151"/>
      <c r="K145" s="151"/>
      <c r="L145" s="151"/>
      <c r="M145" s="147"/>
      <c r="N145" s="147"/>
      <c r="O145" s="147"/>
      <c r="P145" s="147"/>
      <c r="Q145" s="147"/>
      <c r="R145" s="146">
        <v>45177</v>
      </c>
      <c r="S145" s="188">
        <v>0.5</v>
      </c>
      <c r="T145" s="146"/>
      <c r="U145" s="223"/>
      <c r="V145" s="147"/>
      <c r="W145" s="23" t="s">
        <v>994</v>
      </c>
      <c r="X145" s="148"/>
      <c r="Y145" s="148"/>
      <c r="Z145" s="229" t="s">
        <v>1040</v>
      </c>
      <c r="AA145" s="229" t="str">
        <f>IF(Z145&lt;&gt;"",VLOOKUP($Z145,Resultados!$A$1:$B$49,2,FALSE),"")</f>
        <v>Audiencias de Visu</v>
      </c>
      <c r="AB145" s="8"/>
    </row>
    <row r="146" spans="1:28" ht="39.950000000000003" customHeight="1">
      <c r="A146" s="145">
        <v>144</v>
      </c>
      <c r="B146" s="146"/>
      <c r="C146" s="147"/>
      <c r="D146" s="147" t="s">
        <v>230</v>
      </c>
      <c r="E146" s="148" t="s">
        <v>1264</v>
      </c>
      <c r="F146" s="147"/>
      <c r="G146" s="147"/>
      <c r="H146" s="147"/>
      <c r="I146" s="151"/>
      <c r="J146" s="151"/>
      <c r="K146" s="151"/>
      <c r="L146" s="151"/>
      <c r="M146" s="147"/>
      <c r="N146" s="147"/>
      <c r="O146" s="147"/>
      <c r="P146" s="147"/>
      <c r="Q146" s="147"/>
      <c r="R146" s="146">
        <v>45196</v>
      </c>
      <c r="S146" s="188">
        <v>0.45833333333333331</v>
      </c>
      <c r="T146" s="146"/>
      <c r="U146" s="223"/>
      <c r="V146" s="147"/>
      <c r="W146" s="23" t="s">
        <v>994</v>
      </c>
      <c r="X146" s="148"/>
      <c r="Y146" s="148"/>
      <c r="Z146" s="229" t="s">
        <v>1040</v>
      </c>
      <c r="AA146" s="229" t="str">
        <f>IF(Z146&lt;&gt;"",VLOOKUP($Z146,Resultados!$A$1:$B$49,2,FALSE),"")</f>
        <v>Audiencias de Visu</v>
      </c>
      <c r="AB146" s="8"/>
    </row>
    <row r="147" spans="1:28" ht="39.950000000000003" customHeight="1">
      <c r="A147" s="145">
        <v>145</v>
      </c>
      <c r="B147" s="146"/>
      <c r="C147" s="147"/>
      <c r="D147" s="147" t="s">
        <v>105</v>
      </c>
      <c r="E147" s="148" t="s">
        <v>1265</v>
      </c>
      <c r="F147" s="147"/>
      <c r="G147" s="147"/>
      <c r="H147" s="147"/>
      <c r="I147" s="151"/>
      <c r="J147" s="151"/>
      <c r="K147" s="151"/>
      <c r="L147" s="151"/>
      <c r="M147" s="147"/>
      <c r="N147" s="147"/>
      <c r="O147" s="147"/>
      <c r="P147" s="147"/>
      <c r="Q147" s="147"/>
      <c r="R147" s="146">
        <v>45205</v>
      </c>
      <c r="S147" s="188">
        <v>0.45833333333333331</v>
      </c>
      <c r="T147" s="146"/>
      <c r="U147" s="223"/>
      <c r="V147" s="147"/>
      <c r="W147" s="23" t="s">
        <v>994</v>
      </c>
      <c r="X147" s="148"/>
      <c r="Y147" s="148"/>
      <c r="Z147" s="229" t="s">
        <v>1040</v>
      </c>
      <c r="AA147" s="229" t="str">
        <f>IF(Z147&lt;&gt;"",VLOOKUP($Z147,Resultados!$A$1:$B$49,2,FALSE),"")</f>
        <v>Audiencias de Visu</v>
      </c>
      <c r="AB147" s="8"/>
    </row>
    <row r="148" spans="1:28" ht="63.75">
      <c r="A148" s="145">
        <v>146</v>
      </c>
      <c r="B148" s="146">
        <v>45231</v>
      </c>
      <c r="C148" s="188">
        <v>0.4375</v>
      </c>
      <c r="D148" s="147" t="s">
        <v>106</v>
      </c>
      <c r="E148" s="148" t="s">
        <v>1269</v>
      </c>
      <c r="F148" s="148" t="s">
        <v>1270</v>
      </c>
      <c r="G148" s="149">
        <v>34287480</v>
      </c>
      <c r="H148" s="148" t="s">
        <v>1271</v>
      </c>
      <c r="I148" s="150" t="s">
        <v>1272</v>
      </c>
      <c r="J148" s="150" t="s">
        <v>1273</v>
      </c>
      <c r="K148" s="150" t="s">
        <v>1274</v>
      </c>
      <c r="L148" s="150" t="s">
        <v>1275</v>
      </c>
      <c r="M148" s="148" t="s">
        <v>386</v>
      </c>
      <c r="N148" s="148" t="s">
        <v>1276</v>
      </c>
      <c r="O148" s="147"/>
      <c r="P148" s="147"/>
      <c r="Q148" s="148" t="s">
        <v>132</v>
      </c>
      <c r="R148" s="146">
        <v>45238</v>
      </c>
      <c r="S148" s="188">
        <v>0.39583333333333331</v>
      </c>
      <c r="T148" s="169" t="s">
        <v>1257</v>
      </c>
      <c r="U148" s="224" t="s">
        <v>1332</v>
      </c>
      <c r="V148" s="147"/>
      <c r="W148" s="148" t="s">
        <v>994</v>
      </c>
      <c r="X148" s="148"/>
      <c r="Y148" s="148" t="s">
        <v>994</v>
      </c>
      <c r="Z148" s="229" t="s">
        <v>1018</v>
      </c>
      <c r="AA148" s="229" t="str">
        <f>IF(Z148&lt;&gt;"",VLOOKUP($Z148,Resultados!$A$1:$B$49,2,FALSE),"")</f>
        <v>Recursos Denegados</v>
      </c>
      <c r="AB148" s="8"/>
    </row>
    <row r="149" spans="1:28" ht="165.75">
      <c r="A149" s="145">
        <v>147</v>
      </c>
      <c r="B149" s="146">
        <v>45231</v>
      </c>
      <c r="C149" s="188">
        <v>0.4375</v>
      </c>
      <c r="D149" s="147" t="s">
        <v>242</v>
      </c>
      <c r="E149" s="148" t="s">
        <v>1277</v>
      </c>
      <c r="F149" s="148" t="s">
        <v>1278</v>
      </c>
      <c r="G149" s="149">
        <v>33186876</v>
      </c>
      <c r="H149" s="148" t="s">
        <v>1279</v>
      </c>
      <c r="I149" s="150" t="s">
        <v>1280</v>
      </c>
      <c r="J149" s="150" t="s">
        <v>1281</v>
      </c>
      <c r="K149" s="170">
        <v>35188079</v>
      </c>
      <c r="L149" s="150" t="s">
        <v>1282</v>
      </c>
      <c r="M149" s="148" t="s">
        <v>77</v>
      </c>
      <c r="N149" s="148" t="s">
        <v>1283</v>
      </c>
      <c r="O149" s="148" t="s">
        <v>1321</v>
      </c>
      <c r="P149" s="147"/>
      <c r="Q149" s="148" t="s">
        <v>136</v>
      </c>
      <c r="R149" s="146">
        <v>45245</v>
      </c>
      <c r="S149" s="188">
        <v>0.39583333333333331</v>
      </c>
      <c r="T149" s="169" t="s">
        <v>1369</v>
      </c>
      <c r="U149" s="224" t="s">
        <v>1344</v>
      </c>
      <c r="V149" s="147"/>
      <c r="W149" s="148" t="s">
        <v>994</v>
      </c>
      <c r="X149" s="148"/>
      <c r="Y149" s="148" t="s">
        <v>994</v>
      </c>
      <c r="Z149" s="229" t="s">
        <v>1019</v>
      </c>
      <c r="AA149" s="229" t="str">
        <f>IF(Z149&lt;&gt;"",VLOOKUP($Z149,Resultados!$A$1:$B$49,2,FALSE),"")</f>
        <v>Recursos donde se hizo lugar</v>
      </c>
      <c r="AB149" s="8"/>
    </row>
    <row r="150" spans="1:28" ht="89.25">
      <c r="A150" s="145">
        <v>148</v>
      </c>
      <c r="B150" s="146"/>
      <c r="C150" s="147"/>
      <c r="D150" s="147" t="s">
        <v>242</v>
      </c>
      <c r="E150" s="148" t="s">
        <v>1284</v>
      </c>
      <c r="F150" s="148" t="s">
        <v>1285</v>
      </c>
      <c r="G150" s="147"/>
      <c r="H150" s="147"/>
      <c r="I150" s="150" t="s">
        <v>1286</v>
      </c>
      <c r="J150" s="150" t="s">
        <v>1287</v>
      </c>
      <c r="K150" s="151"/>
      <c r="L150" s="151"/>
      <c r="M150" s="148" t="s">
        <v>462</v>
      </c>
      <c r="N150" s="147"/>
      <c r="O150" s="147"/>
      <c r="P150" s="147"/>
      <c r="Q150" s="148" t="s">
        <v>133</v>
      </c>
      <c r="R150" s="146">
        <v>45232</v>
      </c>
      <c r="S150" s="188">
        <v>0.41666666666666669</v>
      </c>
      <c r="T150" s="146"/>
      <c r="U150" s="223"/>
      <c r="V150" s="147"/>
      <c r="W150" s="148"/>
      <c r="X150" s="148"/>
      <c r="Y150" s="148" t="s">
        <v>1002</v>
      </c>
      <c r="Z150" s="229" t="s">
        <v>1040</v>
      </c>
      <c r="AA150" s="229" t="str">
        <f>IF(Z150&lt;&gt;"",VLOOKUP($Z150,Resultados!$A$1:$B$49,2,FALSE),"")</f>
        <v>Audiencias de Visu</v>
      </c>
      <c r="AB150" s="8"/>
    </row>
    <row r="151" spans="1:28" ht="178.5">
      <c r="A151" s="145">
        <v>149</v>
      </c>
      <c r="B151" s="146">
        <v>45232</v>
      </c>
      <c r="C151" s="147"/>
      <c r="D151" s="147" t="s">
        <v>227</v>
      </c>
      <c r="E151" s="148" t="s">
        <v>1288</v>
      </c>
      <c r="F151" s="148" t="s">
        <v>1289</v>
      </c>
      <c r="G151" s="147"/>
      <c r="H151" s="147"/>
      <c r="I151" s="150" t="s">
        <v>1290</v>
      </c>
      <c r="J151" s="150" t="s">
        <v>1291</v>
      </c>
      <c r="K151" s="151"/>
      <c r="L151" s="151"/>
      <c r="M151" s="148" t="s">
        <v>1292</v>
      </c>
      <c r="N151" s="147"/>
      <c r="O151" s="147"/>
      <c r="P151" s="147"/>
      <c r="Q151" s="148" t="s">
        <v>133</v>
      </c>
      <c r="R151" s="146">
        <v>45237</v>
      </c>
      <c r="S151" s="188">
        <v>0.47916666666666669</v>
      </c>
      <c r="T151" s="146"/>
      <c r="U151" s="223"/>
      <c r="V151" s="147"/>
      <c r="W151" s="148"/>
      <c r="X151" s="148"/>
      <c r="Y151" s="148" t="s">
        <v>994</v>
      </c>
      <c r="Z151" s="229" t="s">
        <v>1040</v>
      </c>
      <c r="AA151" s="229" t="str">
        <f>IF(Z151&lt;&gt;"",VLOOKUP($Z151,Resultados!$A$1:$B$49,2,FALSE),"")</f>
        <v>Audiencias de Visu</v>
      </c>
      <c r="AB151" s="8"/>
    </row>
    <row r="152" spans="1:28" ht="89.25">
      <c r="A152" s="145">
        <v>150</v>
      </c>
      <c r="B152" s="146">
        <v>45232</v>
      </c>
      <c r="C152" s="188">
        <v>0.39583333333333331</v>
      </c>
      <c r="D152" s="147" t="s">
        <v>106</v>
      </c>
      <c r="E152" s="148" t="s">
        <v>1293</v>
      </c>
      <c r="F152" s="148" t="s">
        <v>1294</v>
      </c>
      <c r="G152" s="149">
        <v>38506460</v>
      </c>
      <c r="H152" s="148" t="s">
        <v>1295</v>
      </c>
      <c r="I152" s="150" t="s">
        <v>1296</v>
      </c>
      <c r="J152" s="151"/>
      <c r="K152" s="151"/>
      <c r="L152" s="151"/>
      <c r="M152" s="148" t="s">
        <v>812</v>
      </c>
      <c r="N152" s="147"/>
      <c r="O152" s="148" t="s">
        <v>1297</v>
      </c>
      <c r="P152" s="147"/>
      <c r="Q152" s="148" t="s">
        <v>1298</v>
      </c>
      <c r="R152" s="146">
        <v>45239</v>
      </c>
      <c r="S152" s="188">
        <v>0.39583333333333331</v>
      </c>
      <c r="T152" s="146"/>
      <c r="U152" s="224" t="s">
        <v>1339</v>
      </c>
      <c r="V152" s="147"/>
      <c r="W152" s="148"/>
      <c r="X152" s="148"/>
      <c r="Y152" s="148" t="s">
        <v>994</v>
      </c>
      <c r="Z152" s="229"/>
      <c r="AA152" s="229" t="str">
        <f>IF(Z152&lt;&gt;"",VLOOKUP($Z152,Resultados!$A$1:$B$49,2,FALSE),"")</f>
        <v/>
      </c>
      <c r="AB152" s="8"/>
    </row>
    <row r="153" spans="1:28" ht="39.950000000000003" customHeight="1">
      <c r="A153" s="145">
        <v>151</v>
      </c>
      <c r="B153" s="146">
        <v>45233</v>
      </c>
      <c r="C153" s="188">
        <v>0.375</v>
      </c>
      <c r="D153" s="147" t="s">
        <v>242</v>
      </c>
      <c r="E153" s="148" t="s">
        <v>1299</v>
      </c>
      <c r="F153" s="148" t="s">
        <v>1300</v>
      </c>
      <c r="G153" s="149">
        <v>28938229</v>
      </c>
      <c r="H153" s="148" t="s">
        <v>1301</v>
      </c>
      <c r="I153" s="150" t="s">
        <v>1302</v>
      </c>
      <c r="J153" s="150" t="s">
        <v>1303</v>
      </c>
      <c r="K153" s="170">
        <v>23101063</v>
      </c>
      <c r="L153" s="150" t="s">
        <v>1304</v>
      </c>
      <c r="M153" s="148" t="s">
        <v>462</v>
      </c>
      <c r="N153" s="148" t="s">
        <v>1305</v>
      </c>
      <c r="O153" s="147"/>
      <c r="P153" s="147"/>
      <c r="Q153" s="148" t="s">
        <v>136</v>
      </c>
      <c r="R153" s="146">
        <v>45244</v>
      </c>
      <c r="S153" s="188">
        <v>0.39583333333333331</v>
      </c>
      <c r="T153" s="169" t="s">
        <v>1363</v>
      </c>
      <c r="U153" s="224" t="s">
        <v>1322</v>
      </c>
      <c r="V153" s="147"/>
      <c r="W153" s="148"/>
      <c r="X153" s="148"/>
      <c r="Y153" s="148" t="s">
        <v>994</v>
      </c>
      <c r="Z153" s="229" t="s">
        <v>1018</v>
      </c>
      <c r="AA153" s="229" t="str">
        <f>IF(Z153&lt;&gt;"",VLOOKUP($Z153,Resultados!$A$1:$B$49,2,FALSE),"")</f>
        <v>Recursos Denegados</v>
      </c>
      <c r="AB153" s="8"/>
    </row>
    <row r="154" spans="1:28" ht="63.75">
      <c r="A154" s="145">
        <v>152</v>
      </c>
      <c r="B154" s="146">
        <v>45236</v>
      </c>
      <c r="C154" s="147"/>
      <c r="D154" s="148" t="s">
        <v>1306</v>
      </c>
      <c r="E154" s="148" t="s">
        <v>1307</v>
      </c>
      <c r="F154" s="148" t="s">
        <v>1308</v>
      </c>
      <c r="G154" s="147"/>
      <c r="H154" s="147"/>
      <c r="I154" s="150" t="s">
        <v>1309</v>
      </c>
      <c r="J154" s="150" t="s">
        <v>1310</v>
      </c>
      <c r="K154" s="151"/>
      <c r="L154" s="151"/>
      <c r="M154" s="148" t="s">
        <v>462</v>
      </c>
      <c r="N154" s="148" t="s">
        <v>1311</v>
      </c>
      <c r="O154" s="147"/>
      <c r="P154" s="147"/>
      <c r="Q154" s="148" t="s">
        <v>132</v>
      </c>
      <c r="R154" s="146">
        <v>45236</v>
      </c>
      <c r="S154" s="188">
        <v>0.4375</v>
      </c>
      <c r="T154" s="146"/>
      <c r="U154" s="223"/>
      <c r="V154" s="147"/>
      <c r="W154" s="148"/>
      <c r="X154" s="148"/>
      <c r="Y154" s="148" t="s">
        <v>994</v>
      </c>
      <c r="Z154" s="229" t="s">
        <v>1040</v>
      </c>
      <c r="AA154" s="229" t="str">
        <f>IF(Z154&lt;&gt;"",VLOOKUP($Z154,Resultados!$A$1:$B$49,2,FALSE),"")</f>
        <v>Audiencias de Visu</v>
      </c>
      <c r="AB154" s="8"/>
    </row>
    <row r="155" spans="1:28" ht="102">
      <c r="A155" s="145">
        <v>153</v>
      </c>
      <c r="B155" s="146">
        <v>45236</v>
      </c>
      <c r="C155" s="188">
        <v>0.51041666666666663</v>
      </c>
      <c r="D155" s="148" t="s">
        <v>105</v>
      </c>
      <c r="E155" s="148" t="s">
        <v>1312</v>
      </c>
      <c r="F155" s="148" t="s">
        <v>1313</v>
      </c>
      <c r="G155" s="148" t="s">
        <v>1314</v>
      </c>
      <c r="H155" s="148" t="s">
        <v>1315</v>
      </c>
      <c r="I155" s="150" t="s">
        <v>1316</v>
      </c>
      <c r="J155" s="150" t="s">
        <v>1317</v>
      </c>
      <c r="K155" s="151"/>
      <c r="L155" s="151"/>
      <c r="M155" s="148" t="s">
        <v>1318</v>
      </c>
      <c r="N155" s="147"/>
      <c r="O155" s="147"/>
      <c r="P155" s="147"/>
      <c r="Q155" s="148" t="s">
        <v>779</v>
      </c>
      <c r="R155" s="146">
        <v>45245</v>
      </c>
      <c r="S155" s="188">
        <v>0.4375</v>
      </c>
      <c r="T155" s="169" t="s">
        <v>1252</v>
      </c>
      <c r="U155" s="224" t="s">
        <v>1319</v>
      </c>
      <c r="V155" s="147"/>
      <c r="W155" s="148"/>
      <c r="X155" s="148"/>
      <c r="Y155" s="148" t="s">
        <v>994</v>
      </c>
      <c r="Z155" s="229" t="s">
        <v>1018</v>
      </c>
      <c r="AA155" s="229" t="str">
        <f>IF(Z155&lt;&gt;"",VLOOKUP($Z155,Resultados!$A$1:$B$49,2,FALSE),"")</f>
        <v>Recursos Denegados</v>
      </c>
      <c r="AB155" s="8"/>
    </row>
    <row r="156" spans="1:28" ht="39.950000000000003" customHeight="1">
      <c r="A156" s="145">
        <v>154</v>
      </c>
      <c r="B156" s="146">
        <v>45238</v>
      </c>
      <c r="C156" s="188">
        <v>0.33333333333333331</v>
      </c>
      <c r="D156" s="148" t="s">
        <v>242</v>
      </c>
      <c r="E156" s="148" t="s">
        <v>1326</v>
      </c>
      <c r="F156" s="148" t="s">
        <v>1328</v>
      </c>
      <c r="G156" s="149">
        <v>33929745</v>
      </c>
      <c r="H156" s="148" t="s">
        <v>1329</v>
      </c>
      <c r="I156" s="150" t="s">
        <v>420</v>
      </c>
      <c r="J156" s="150" t="s">
        <v>1330</v>
      </c>
      <c r="K156" s="151"/>
      <c r="L156" s="151"/>
      <c r="M156" s="148" t="s">
        <v>1327</v>
      </c>
      <c r="N156" s="147"/>
      <c r="O156" s="147"/>
      <c r="P156" s="147"/>
      <c r="Q156" s="148" t="s">
        <v>132</v>
      </c>
      <c r="R156" s="146"/>
      <c r="S156" s="188"/>
      <c r="T156" s="146"/>
      <c r="U156" s="223"/>
      <c r="V156" s="147"/>
      <c r="W156" s="148"/>
      <c r="X156" s="148"/>
      <c r="Y156" s="148" t="s">
        <v>994</v>
      </c>
      <c r="Z156" s="229"/>
      <c r="AA156" s="229" t="str">
        <f>IF(Z156&lt;&gt;"",VLOOKUP($Z156,Resultados!$A$1:$B$49,2,FALSE),"")</f>
        <v/>
      </c>
      <c r="AB156" s="8"/>
    </row>
    <row r="157" spans="1:28" ht="76.5">
      <c r="A157" s="145">
        <v>155</v>
      </c>
      <c r="B157" s="146">
        <v>45239</v>
      </c>
      <c r="C157" s="188">
        <v>0.41666666666666669</v>
      </c>
      <c r="D157" s="148" t="s">
        <v>226</v>
      </c>
      <c r="E157" s="148" t="s">
        <v>1333</v>
      </c>
      <c r="F157" s="148" t="s">
        <v>1334</v>
      </c>
      <c r="G157" s="149">
        <v>26713324</v>
      </c>
      <c r="H157" s="148" t="s">
        <v>1335</v>
      </c>
      <c r="I157" s="150" t="s">
        <v>1336</v>
      </c>
      <c r="J157" s="151"/>
      <c r="K157" s="151"/>
      <c r="L157" s="151"/>
      <c r="M157" s="148" t="s">
        <v>386</v>
      </c>
      <c r="N157" s="147" t="s">
        <v>1337</v>
      </c>
      <c r="O157" s="147"/>
      <c r="P157" s="147"/>
      <c r="Q157" s="148" t="s">
        <v>556</v>
      </c>
      <c r="R157" s="146">
        <v>45246</v>
      </c>
      <c r="S157" s="188">
        <v>0.39583333333333331</v>
      </c>
      <c r="T157" s="146"/>
      <c r="U157" s="224" t="s">
        <v>1338</v>
      </c>
      <c r="V157" s="147"/>
      <c r="W157" s="148"/>
      <c r="X157" s="148"/>
      <c r="Y157" s="148" t="s">
        <v>994</v>
      </c>
      <c r="Z157" s="229"/>
      <c r="AA157" s="229" t="str">
        <f>IF(Z157&lt;&gt;"",VLOOKUP($Z157,Resultados!$A$1:$B$49,2,FALSE),"")</f>
        <v/>
      </c>
      <c r="AB157" s="8"/>
    </row>
    <row r="158" spans="1:28" ht="39.950000000000003" customHeight="1">
      <c r="A158" s="234" t="s">
        <v>82</v>
      </c>
      <c r="B158" s="146">
        <v>45239</v>
      </c>
      <c r="C158" s="188">
        <v>0.41666666666666669</v>
      </c>
      <c r="D158" s="148" t="s">
        <v>242</v>
      </c>
      <c r="E158" s="148" t="s">
        <v>1340</v>
      </c>
      <c r="F158" s="148" t="s">
        <v>1341</v>
      </c>
      <c r="G158" s="147"/>
      <c r="H158" s="147"/>
      <c r="I158" s="151"/>
      <c r="J158" s="151"/>
      <c r="K158" s="151"/>
      <c r="L158" s="151"/>
      <c r="M158" s="148" t="s">
        <v>1342</v>
      </c>
      <c r="N158" s="148" t="s">
        <v>1343</v>
      </c>
      <c r="O158" s="147"/>
      <c r="P158" s="147"/>
      <c r="Q158" s="148" t="s">
        <v>136</v>
      </c>
      <c r="R158" s="146">
        <v>45245</v>
      </c>
      <c r="S158" s="188">
        <v>0.4375</v>
      </c>
      <c r="T158" s="146"/>
      <c r="U158" s="223"/>
      <c r="V158" s="147"/>
      <c r="W158" s="148"/>
      <c r="X158" s="148"/>
      <c r="Y158" s="148" t="s">
        <v>994</v>
      </c>
      <c r="Z158" s="229" t="s">
        <v>1040</v>
      </c>
      <c r="AA158" s="229" t="str">
        <f>IF(Z158&lt;&gt;"",VLOOKUP($Z158,Resultados!$A$1:$B$49,2,FALSE),"")</f>
        <v>Audiencias de Visu</v>
      </c>
      <c r="AB158" s="8"/>
    </row>
    <row r="159" spans="1:28" ht="51">
      <c r="A159" s="145">
        <v>157</v>
      </c>
      <c r="B159" s="146">
        <v>45240</v>
      </c>
      <c r="C159" s="188">
        <v>0.45833333333333331</v>
      </c>
      <c r="D159" s="148" t="s">
        <v>104</v>
      </c>
      <c r="E159" s="148" t="s">
        <v>1345</v>
      </c>
      <c r="F159" s="148" t="s">
        <v>1346</v>
      </c>
      <c r="G159" s="148" t="s">
        <v>1347</v>
      </c>
      <c r="H159" s="148" t="s">
        <v>1348</v>
      </c>
      <c r="I159" s="150" t="s">
        <v>1349</v>
      </c>
      <c r="J159" s="150" t="s">
        <v>1350</v>
      </c>
      <c r="K159" s="151"/>
      <c r="L159" s="151"/>
      <c r="M159" s="148" t="s">
        <v>1351</v>
      </c>
      <c r="N159" s="147"/>
      <c r="O159" s="147"/>
      <c r="P159" s="147"/>
      <c r="Q159" s="148" t="s">
        <v>136</v>
      </c>
      <c r="R159" s="146">
        <v>45251</v>
      </c>
      <c r="S159" s="188">
        <v>0.39583333333333331</v>
      </c>
      <c r="T159" s="169" t="s">
        <v>961</v>
      </c>
      <c r="U159" s="224" t="s">
        <v>1352</v>
      </c>
      <c r="V159" s="147"/>
      <c r="W159" s="148"/>
      <c r="X159" s="148"/>
      <c r="Y159" s="148" t="s">
        <v>994</v>
      </c>
      <c r="Z159" s="229" t="s">
        <v>1019</v>
      </c>
      <c r="AA159" s="229" t="str">
        <f>IF(Z159&lt;&gt;"",VLOOKUP($Z159,Resultados!$A$1:$B$49,2,FALSE),"")</f>
        <v>Recursos donde se hizo lugar</v>
      </c>
      <c r="AB159" s="8"/>
    </row>
    <row r="160" spans="1:28" ht="89.25">
      <c r="A160" s="145">
        <v>158</v>
      </c>
      <c r="B160" s="146">
        <v>45243</v>
      </c>
      <c r="C160" s="188">
        <v>0.39583333333333331</v>
      </c>
      <c r="D160" s="148" t="s">
        <v>227</v>
      </c>
      <c r="E160" s="148" t="s">
        <v>1353</v>
      </c>
      <c r="F160" s="148" t="s">
        <v>1354</v>
      </c>
      <c r="G160" s="149">
        <v>28886037</v>
      </c>
      <c r="H160" s="148" t="s">
        <v>1358</v>
      </c>
      <c r="I160" s="150" t="s">
        <v>1359</v>
      </c>
      <c r="J160" s="150" t="s">
        <v>1355</v>
      </c>
      <c r="K160" s="150" t="s">
        <v>1356</v>
      </c>
      <c r="L160" s="150" t="s">
        <v>1357</v>
      </c>
      <c r="M160" s="148" t="s">
        <v>1360</v>
      </c>
      <c r="N160" s="147"/>
      <c r="O160" s="147"/>
      <c r="P160" s="147"/>
      <c r="Q160" s="148" t="s">
        <v>132</v>
      </c>
      <c r="R160" s="146"/>
      <c r="S160" s="188"/>
      <c r="T160" s="146"/>
      <c r="U160" s="224" t="s">
        <v>1361</v>
      </c>
      <c r="V160" s="147"/>
      <c r="W160" s="148"/>
      <c r="X160" s="148"/>
      <c r="Y160" s="148" t="s">
        <v>1002</v>
      </c>
      <c r="Z160" s="229"/>
      <c r="AA160" s="229" t="str">
        <f>IF(Z160&lt;&gt;"",VLOOKUP($Z160,Resultados!$A$1:$B$49,2,FALSE),"")</f>
        <v/>
      </c>
      <c r="AB160" s="8"/>
    </row>
    <row r="161" spans="1:28" ht="39.950000000000003" customHeight="1">
      <c r="A161" s="145">
        <v>159</v>
      </c>
      <c r="B161" s="146">
        <v>44939</v>
      </c>
      <c r="C161" s="188">
        <v>0.51388888888888895</v>
      </c>
      <c r="D161" s="148" t="s">
        <v>242</v>
      </c>
      <c r="E161" s="147" t="s">
        <v>1362</v>
      </c>
      <c r="F161" s="148" t="s">
        <v>1364</v>
      </c>
      <c r="G161" s="149">
        <v>23749907</v>
      </c>
      <c r="H161" s="148" t="s">
        <v>1365</v>
      </c>
      <c r="I161" s="150" t="s">
        <v>1366</v>
      </c>
      <c r="J161" s="150" t="s">
        <v>1367</v>
      </c>
      <c r="K161" s="151"/>
      <c r="L161" s="151"/>
      <c r="M161" s="148" t="s">
        <v>1368</v>
      </c>
      <c r="N161" s="147"/>
      <c r="O161" s="147"/>
      <c r="P161" s="147"/>
      <c r="Q161" s="148" t="s">
        <v>132</v>
      </c>
      <c r="R161" s="146"/>
      <c r="S161" s="188"/>
      <c r="T161" s="146"/>
      <c r="U161" s="223"/>
      <c r="V161" s="147"/>
      <c r="W161" s="148"/>
      <c r="X161" s="148"/>
      <c r="Y161" s="148" t="s">
        <v>994</v>
      </c>
      <c r="Z161" s="229"/>
      <c r="AA161" s="229" t="str">
        <f>IF(Z161&lt;&gt;"",VLOOKUP($Z161,Resultados!$A$1:$B$49,2,FALSE),"")</f>
        <v/>
      </c>
      <c r="AB161" s="8"/>
    </row>
    <row r="162" spans="1:28" ht="89.25">
      <c r="A162" s="43">
        <v>160</v>
      </c>
      <c r="B162" s="82">
        <v>45251</v>
      </c>
      <c r="C162" s="83">
        <v>0.41666666666666669</v>
      </c>
      <c r="D162" s="6" t="s">
        <v>229</v>
      </c>
      <c r="E162" s="6" t="s">
        <v>1370</v>
      </c>
      <c r="F162" s="6" t="s">
        <v>768</v>
      </c>
      <c r="G162" s="5"/>
      <c r="H162" s="5"/>
      <c r="I162" s="37" t="s">
        <v>770</v>
      </c>
      <c r="J162" s="37" t="s">
        <v>1371</v>
      </c>
      <c r="K162" s="84"/>
      <c r="L162" s="84"/>
      <c r="M162" s="6" t="s">
        <v>1372</v>
      </c>
      <c r="N162" s="6" t="s">
        <v>1373</v>
      </c>
      <c r="O162" s="5"/>
      <c r="P162" s="5"/>
      <c r="Q162" s="6" t="s">
        <v>599</v>
      </c>
      <c r="R162" s="82"/>
      <c r="S162" s="83"/>
      <c r="T162" s="82"/>
      <c r="U162" s="218"/>
      <c r="V162" s="5"/>
      <c r="W162" s="6"/>
      <c r="X162" s="6"/>
      <c r="Y162" s="6" t="s">
        <v>994</v>
      </c>
      <c r="Z162" s="174"/>
      <c r="AA162" s="174" t="str">
        <f>IF(Z162&lt;&gt;"",VLOOKUP($Z162,Resultados!$A$1:$B$49,2,FALSE),"")</f>
        <v/>
      </c>
      <c r="AB162" s="8"/>
    </row>
    <row r="163" spans="1:28">
      <c r="Z163" s="123"/>
      <c r="AA163" s="123"/>
      <c r="AB163" s="8"/>
    </row>
    <row r="164" spans="1:28">
      <c r="Z164" s="123"/>
      <c r="AA164" s="123"/>
      <c r="AB164" s="8"/>
    </row>
    <row r="165" spans="1:28">
      <c r="Z165" s="123"/>
      <c r="AA165" s="123"/>
      <c r="AB165" s="8"/>
    </row>
    <row r="166" spans="1:28">
      <c r="Z166" s="123"/>
      <c r="AA166" s="123"/>
      <c r="AB166" s="8"/>
    </row>
    <row r="167" spans="1:28">
      <c r="Z167" s="123"/>
      <c r="AA167" s="123"/>
      <c r="AB167" s="8"/>
    </row>
    <row r="168" spans="1:28">
      <c r="Z168" s="123"/>
      <c r="AA168" s="123"/>
      <c r="AB168" s="8"/>
    </row>
    <row r="169" spans="1:28">
      <c r="Z169" s="123"/>
      <c r="AA169" s="123"/>
      <c r="AB169" s="8"/>
    </row>
    <row r="170" spans="1:28">
      <c r="Z170" s="123"/>
      <c r="AA170" s="123"/>
      <c r="AB170" s="8"/>
    </row>
    <row r="171" spans="1:28">
      <c r="Z171" s="123"/>
      <c r="AA171" s="123"/>
      <c r="AB171" s="8"/>
    </row>
    <row r="172" spans="1:28">
      <c r="Z172" s="123"/>
      <c r="AA172" s="123"/>
      <c r="AB172" s="8"/>
    </row>
    <row r="173" spans="1:28">
      <c r="Z173" s="123"/>
      <c r="AA173" s="123"/>
      <c r="AB173" s="8"/>
    </row>
    <row r="174" spans="1:28">
      <c r="Z174" s="123"/>
      <c r="AA174" s="123"/>
      <c r="AB174" s="8"/>
    </row>
    <row r="175" spans="1:28">
      <c r="Z175" s="123"/>
      <c r="AA175" s="123"/>
      <c r="AB175" s="8"/>
    </row>
    <row r="176" spans="1:28">
      <c r="Z176" s="123"/>
      <c r="AA176" s="123"/>
      <c r="AB176" s="8"/>
    </row>
    <row r="177" spans="26:28">
      <c r="Z177" s="123"/>
      <c r="AA177" s="123"/>
      <c r="AB177" s="8"/>
    </row>
    <row r="178" spans="26:28">
      <c r="Z178" s="123"/>
      <c r="AA178" s="123"/>
      <c r="AB178" s="8"/>
    </row>
    <row r="179" spans="26:28">
      <c r="Z179" s="123"/>
      <c r="AA179" s="123"/>
      <c r="AB179" s="8"/>
    </row>
    <row r="180" spans="26:28">
      <c r="Z180" s="123"/>
      <c r="AA180" s="123"/>
      <c r="AB180" s="8"/>
    </row>
    <row r="181" spans="26:28">
      <c r="Z181" s="123"/>
      <c r="AA181" s="123"/>
      <c r="AB181" s="8"/>
    </row>
    <row r="182" spans="26:28">
      <c r="Z182" s="123"/>
      <c r="AA182" s="123"/>
      <c r="AB182" s="8"/>
    </row>
    <row r="183" spans="26:28">
      <c r="Z183" s="123"/>
      <c r="AA183" s="123"/>
      <c r="AB183" s="8"/>
    </row>
    <row r="184" spans="26:28">
      <c r="Z184" s="123"/>
      <c r="AA184" s="123"/>
      <c r="AB184" s="8"/>
    </row>
    <row r="185" spans="26:28">
      <c r="Z185" s="123"/>
      <c r="AA185" s="123"/>
      <c r="AB185" s="8"/>
    </row>
    <row r="186" spans="26:28">
      <c r="Z186" s="123"/>
      <c r="AA186" s="123"/>
      <c r="AB186" s="8"/>
    </row>
    <row r="187" spans="26:28">
      <c r="Z187" s="123"/>
      <c r="AA187" s="123"/>
      <c r="AB187" s="8"/>
    </row>
    <row r="188" spans="26:28">
      <c r="Z188" s="123"/>
      <c r="AA188" s="123"/>
      <c r="AB188" s="8"/>
    </row>
    <row r="189" spans="26:28">
      <c r="Z189" s="123"/>
      <c r="AA189" s="123"/>
      <c r="AB189" s="8"/>
    </row>
    <row r="190" spans="26:28">
      <c r="Z190" s="123"/>
      <c r="AA190" s="123"/>
      <c r="AB190" s="8"/>
    </row>
    <row r="191" spans="26:28">
      <c r="Z191" s="123"/>
      <c r="AA191" s="123"/>
      <c r="AB191" s="8"/>
    </row>
    <row r="192" spans="26:28">
      <c r="Z192" s="123"/>
      <c r="AA192" s="123"/>
      <c r="AB192" s="8"/>
    </row>
    <row r="193" spans="26:28">
      <c r="Z193" s="123"/>
      <c r="AA193" s="123"/>
      <c r="AB193" s="8"/>
    </row>
    <row r="194" spans="26:28">
      <c r="Z194" s="123"/>
      <c r="AA194" s="123"/>
      <c r="AB194" s="8"/>
    </row>
    <row r="195" spans="26:28">
      <c r="Z195" s="123"/>
      <c r="AA195" s="123"/>
      <c r="AB195" s="8"/>
    </row>
    <row r="196" spans="26:28">
      <c r="Z196" s="123"/>
      <c r="AA196" s="123"/>
      <c r="AB196" s="8"/>
    </row>
    <row r="197" spans="26:28">
      <c r="Z197" s="123"/>
      <c r="AA197" s="123"/>
      <c r="AB197" s="8"/>
    </row>
    <row r="198" spans="26:28">
      <c r="Z198" s="123"/>
      <c r="AA198" s="123"/>
      <c r="AB198" s="8"/>
    </row>
    <row r="199" spans="26:28">
      <c r="Z199" s="123"/>
      <c r="AA199" s="123"/>
      <c r="AB199" s="8"/>
    </row>
    <row r="200" spans="26:28">
      <c r="Z200" s="123"/>
      <c r="AA200" s="123"/>
      <c r="AB200" s="8"/>
    </row>
    <row r="201" spans="26:28">
      <c r="Z201" s="123"/>
      <c r="AA201" s="123"/>
      <c r="AB201" s="8"/>
    </row>
    <row r="202" spans="26:28">
      <c r="Z202" s="123"/>
      <c r="AA202" s="123"/>
      <c r="AB202" s="8"/>
    </row>
    <row r="203" spans="26:28">
      <c r="Z203" s="123"/>
      <c r="AA203" s="123"/>
      <c r="AB203" s="8"/>
    </row>
    <row r="204" spans="26:28">
      <c r="Z204" s="123"/>
      <c r="AA204" s="123"/>
      <c r="AB204" s="8"/>
    </row>
    <row r="205" spans="26:28">
      <c r="Z205" s="123"/>
      <c r="AA205" s="123"/>
      <c r="AB205" s="8"/>
    </row>
    <row r="206" spans="26:28">
      <c r="Z206" s="123"/>
      <c r="AA206" s="123"/>
      <c r="AB206" s="8"/>
    </row>
    <row r="207" spans="26:28">
      <c r="Z207" s="123"/>
      <c r="AA207" s="123"/>
      <c r="AB207" s="8"/>
    </row>
    <row r="208" spans="26:28">
      <c r="Z208" s="123"/>
      <c r="AA208" s="123"/>
      <c r="AB208" s="8"/>
    </row>
    <row r="209" spans="26:28">
      <c r="Z209" s="123"/>
      <c r="AA209" s="123"/>
      <c r="AB209" s="8"/>
    </row>
    <row r="210" spans="26:28">
      <c r="Z210" s="123"/>
      <c r="AA210" s="123"/>
      <c r="AB210" s="8"/>
    </row>
    <row r="211" spans="26:28">
      <c r="Z211" s="123"/>
      <c r="AA211" s="123"/>
      <c r="AB211" s="8"/>
    </row>
    <row r="212" spans="26:28">
      <c r="Z212" s="123"/>
      <c r="AA212" s="123"/>
      <c r="AB212" s="8"/>
    </row>
    <row r="213" spans="26:28">
      <c r="Z213" s="123"/>
      <c r="AA213" s="123"/>
      <c r="AB213" s="8"/>
    </row>
    <row r="214" spans="26:28">
      <c r="Z214" s="123"/>
      <c r="AA214" s="123"/>
      <c r="AB214" s="8"/>
    </row>
    <row r="215" spans="26:28">
      <c r="Z215" s="123"/>
      <c r="AA215" s="123"/>
      <c r="AB215" s="8"/>
    </row>
    <row r="216" spans="26:28">
      <c r="Z216" s="123"/>
      <c r="AA216" s="123"/>
      <c r="AB216" s="8"/>
    </row>
    <row r="217" spans="26:28">
      <c r="Z217" s="123"/>
      <c r="AA217" s="123"/>
      <c r="AB217" s="8"/>
    </row>
    <row r="218" spans="26:28">
      <c r="Z218" s="123"/>
      <c r="AA218" s="123"/>
      <c r="AB218" s="8"/>
    </row>
    <row r="219" spans="26:28">
      <c r="Z219" s="123"/>
      <c r="AA219" s="123"/>
      <c r="AB219" s="8"/>
    </row>
    <row r="220" spans="26:28">
      <c r="Z220" s="123"/>
      <c r="AA220" s="123"/>
      <c r="AB220" s="8"/>
    </row>
    <row r="221" spans="26:28">
      <c r="Z221" s="123"/>
      <c r="AA221" s="123"/>
      <c r="AB221" s="8"/>
    </row>
    <row r="222" spans="26:28">
      <c r="Z222" s="123"/>
      <c r="AA222" s="123"/>
      <c r="AB222" s="8"/>
    </row>
    <row r="223" spans="26:28">
      <c r="Z223" s="123"/>
      <c r="AA223" s="123"/>
      <c r="AB223" s="8"/>
    </row>
    <row r="224" spans="26:28">
      <c r="Z224" s="123"/>
      <c r="AA224" s="123"/>
      <c r="AB224" s="8"/>
    </row>
    <row r="225" spans="26:28">
      <c r="Z225" s="123"/>
      <c r="AA225" s="123"/>
      <c r="AB225" s="8"/>
    </row>
    <row r="226" spans="26:28">
      <c r="Z226" s="123"/>
      <c r="AA226" s="123"/>
      <c r="AB226" s="8"/>
    </row>
    <row r="227" spans="26:28">
      <c r="Z227" s="123"/>
      <c r="AA227" s="123"/>
      <c r="AB227" s="8"/>
    </row>
    <row r="228" spans="26:28">
      <c r="Z228" s="123"/>
      <c r="AA228" s="123"/>
      <c r="AB228" s="8"/>
    </row>
    <row r="229" spans="26:28">
      <c r="Z229" s="123"/>
      <c r="AA229" s="123"/>
      <c r="AB229" s="8"/>
    </row>
    <row r="230" spans="26:28">
      <c r="Z230" s="123"/>
      <c r="AA230" s="123"/>
      <c r="AB230" s="8"/>
    </row>
    <row r="231" spans="26:28">
      <c r="Z231" s="123"/>
      <c r="AA231" s="123"/>
      <c r="AB231" s="8"/>
    </row>
    <row r="232" spans="26:28">
      <c r="Z232" s="123"/>
      <c r="AA232" s="123"/>
      <c r="AB232" s="8"/>
    </row>
    <row r="233" spans="26:28">
      <c r="Z233" s="123"/>
      <c r="AA233" s="123"/>
      <c r="AB233" s="8"/>
    </row>
    <row r="234" spans="26:28">
      <c r="Z234" s="123"/>
      <c r="AA234" s="123"/>
      <c r="AB234" s="8"/>
    </row>
    <row r="235" spans="26:28">
      <c r="Z235" s="123"/>
      <c r="AA235" s="123"/>
      <c r="AB235" s="8"/>
    </row>
    <row r="236" spans="26:28">
      <c r="Z236" s="123"/>
      <c r="AA236" s="123"/>
      <c r="AB236" s="8"/>
    </row>
    <row r="237" spans="26:28">
      <c r="Z237" s="123"/>
      <c r="AA237" s="123"/>
      <c r="AB237" s="8"/>
    </row>
    <row r="238" spans="26:28">
      <c r="Z238" s="123"/>
      <c r="AA238" s="123"/>
      <c r="AB238" s="8"/>
    </row>
    <row r="239" spans="26:28">
      <c r="Z239" s="123"/>
      <c r="AA239" s="123"/>
      <c r="AB239" s="8"/>
    </row>
    <row r="240" spans="26:28">
      <c r="Z240" s="123"/>
      <c r="AA240" s="123"/>
      <c r="AB240" s="8"/>
    </row>
    <row r="241" spans="26:28">
      <c r="Z241" s="123"/>
      <c r="AA241" s="123"/>
      <c r="AB241" s="8"/>
    </row>
    <row r="242" spans="26:28">
      <c r="Z242" s="123"/>
      <c r="AA242" s="123"/>
      <c r="AB242" s="8"/>
    </row>
    <row r="243" spans="26:28">
      <c r="Z243" s="123"/>
      <c r="AA243" s="123"/>
      <c r="AB243" s="8"/>
    </row>
    <row r="244" spans="26:28">
      <c r="Z244" s="123"/>
      <c r="AA244" s="123"/>
      <c r="AB244" s="8"/>
    </row>
    <row r="245" spans="26:28">
      <c r="Z245" s="123"/>
      <c r="AA245" s="123"/>
      <c r="AB245" s="8"/>
    </row>
    <row r="246" spans="26:28">
      <c r="Z246" s="123"/>
      <c r="AA246" s="123"/>
      <c r="AB246" s="8"/>
    </row>
    <row r="247" spans="26:28">
      <c r="Z247" s="123"/>
      <c r="AA247" s="123"/>
      <c r="AB247" s="8"/>
    </row>
    <row r="248" spans="26:28">
      <c r="Z248" s="123"/>
      <c r="AA248" s="123"/>
      <c r="AB248" s="8"/>
    </row>
    <row r="249" spans="26:28">
      <c r="Z249" s="123"/>
      <c r="AA249" s="123"/>
      <c r="AB249" s="8"/>
    </row>
    <row r="250" spans="26:28">
      <c r="Z250" s="123"/>
      <c r="AA250" s="123"/>
      <c r="AB250" s="8"/>
    </row>
    <row r="251" spans="26:28">
      <c r="Z251" s="123"/>
      <c r="AA251" s="123"/>
      <c r="AB251" s="8"/>
    </row>
    <row r="252" spans="26:28">
      <c r="Z252" s="123"/>
      <c r="AA252" s="123"/>
      <c r="AB252" s="8"/>
    </row>
    <row r="253" spans="26:28">
      <c r="Z253" s="123"/>
      <c r="AA253" s="123"/>
      <c r="AB253" s="8"/>
    </row>
    <row r="254" spans="26:28">
      <c r="Z254" s="123"/>
      <c r="AA254" s="123"/>
      <c r="AB254" s="8"/>
    </row>
    <row r="255" spans="26:28">
      <c r="Z255" s="123"/>
      <c r="AA255" s="123"/>
      <c r="AB255" s="8"/>
    </row>
    <row r="256" spans="26:28">
      <c r="Z256" s="123"/>
      <c r="AA256" s="123"/>
      <c r="AB256" s="8"/>
    </row>
    <row r="257" spans="26:28">
      <c r="Z257" s="123"/>
      <c r="AA257" s="123"/>
      <c r="AB257" s="8"/>
    </row>
    <row r="258" spans="26:28">
      <c r="Z258" s="123"/>
      <c r="AA258" s="123"/>
      <c r="AB258" s="8"/>
    </row>
    <row r="259" spans="26:28">
      <c r="Z259" s="123"/>
      <c r="AA259" s="123"/>
      <c r="AB259" s="8"/>
    </row>
    <row r="260" spans="26:28">
      <c r="Z260" s="123"/>
      <c r="AA260" s="123"/>
      <c r="AB260" s="8"/>
    </row>
    <row r="261" spans="26:28">
      <c r="Z261" s="123"/>
      <c r="AA261" s="123"/>
      <c r="AB261" s="8"/>
    </row>
    <row r="262" spans="26:28">
      <c r="Z262" s="123"/>
      <c r="AA262" s="123"/>
      <c r="AB262" s="8"/>
    </row>
    <row r="263" spans="26:28">
      <c r="Z263" s="123"/>
      <c r="AA263" s="123"/>
      <c r="AB263" s="8"/>
    </row>
    <row r="264" spans="26:28">
      <c r="Z264" s="123"/>
      <c r="AA264" s="123"/>
      <c r="AB264" s="8"/>
    </row>
    <row r="265" spans="26:28">
      <c r="Z265" s="123"/>
      <c r="AA265" s="123"/>
      <c r="AB265" s="8"/>
    </row>
    <row r="266" spans="26:28">
      <c r="Z266" s="123"/>
      <c r="AA266" s="123"/>
      <c r="AB266" s="8"/>
    </row>
    <row r="267" spans="26:28">
      <c r="Z267" s="123"/>
      <c r="AA267" s="123"/>
      <c r="AB267" s="8"/>
    </row>
    <row r="268" spans="26:28">
      <c r="Z268" s="123"/>
      <c r="AA268" s="123"/>
      <c r="AB268" s="8"/>
    </row>
    <row r="269" spans="26:28">
      <c r="Z269" s="123"/>
      <c r="AA269" s="123"/>
      <c r="AB269" s="8"/>
    </row>
    <row r="270" spans="26:28">
      <c r="Z270" s="123"/>
      <c r="AA270" s="123"/>
      <c r="AB270" s="8"/>
    </row>
    <row r="271" spans="26:28">
      <c r="Z271" s="124"/>
      <c r="AA271" s="123"/>
      <c r="AB271" s="8"/>
    </row>
    <row r="272" spans="26:28">
      <c r="Z272" s="123"/>
      <c r="AA272" s="123"/>
      <c r="AB272" s="8"/>
    </row>
    <row r="273" spans="26:28">
      <c r="Z273" s="123"/>
      <c r="AA273" s="123"/>
      <c r="AB273" s="8"/>
    </row>
    <row r="274" spans="26:28">
      <c r="Z274" s="123"/>
      <c r="AA274" s="123"/>
      <c r="AB274" s="8"/>
    </row>
    <row r="275" spans="26:28">
      <c r="Z275" s="123"/>
      <c r="AA275" s="123"/>
      <c r="AB275" s="8"/>
    </row>
    <row r="276" spans="26:28">
      <c r="Z276" s="123"/>
      <c r="AA276" s="123"/>
      <c r="AB276" s="8"/>
    </row>
    <row r="277" spans="26:28">
      <c r="Z277" s="123"/>
      <c r="AA277" s="123"/>
      <c r="AB277" s="8"/>
    </row>
    <row r="278" spans="26:28">
      <c r="Z278" s="123"/>
      <c r="AA278" s="123"/>
      <c r="AB278" s="8"/>
    </row>
    <row r="279" spans="26:28">
      <c r="Z279" s="123"/>
      <c r="AA279" s="123"/>
      <c r="AB279" s="8"/>
    </row>
    <row r="280" spans="26:28">
      <c r="Z280" s="123"/>
      <c r="AA280" s="123"/>
      <c r="AB280" s="8"/>
    </row>
    <row r="281" spans="26:28">
      <c r="Z281" s="123"/>
      <c r="AA281" s="123"/>
      <c r="AB281" s="8"/>
    </row>
    <row r="282" spans="26:28">
      <c r="Z282" s="123"/>
      <c r="AA282" s="123"/>
      <c r="AB282" s="8"/>
    </row>
    <row r="283" spans="26:28">
      <c r="Z283" s="123"/>
      <c r="AA283" s="123"/>
      <c r="AB283" s="8"/>
    </row>
    <row r="284" spans="26:28">
      <c r="Z284" s="123"/>
      <c r="AA284" s="123"/>
      <c r="AB284" s="8"/>
    </row>
    <row r="285" spans="26:28">
      <c r="Z285" s="123"/>
      <c r="AA285" s="123"/>
      <c r="AB285" s="8"/>
    </row>
    <row r="286" spans="26:28">
      <c r="Z286" s="123"/>
      <c r="AA286" s="123"/>
      <c r="AB286" s="8"/>
    </row>
    <row r="287" spans="26:28">
      <c r="Z287" s="123"/>
      <c r="AA287" s="123"/>
      <c r="AB287" s="8"/>
    </row>
    <row r="288" spans="26:28">
      <c r="Z288" s="123"/>
      <c r="AA288" s="123"/>
      <c r="AB288" s="8"/>
    </row>
    <row r="289" spans="26:28">
      <c r="Z289" s="123"/>
      <c r="AA289" s="123"/>
      <c r="AB289" s="8"/>
    </row>
    <row r="290" spans="26:28">
      <c r="Z290" s="123"/>
      <c r="AA290" s="123"/>
      <c r="AB290" s="8"/>
    </row>
    <row r="291" spans="26:28">
      <c r="Z291" s="123"/>
      <c r="AA291" s="123"/>
      <c r="AB291" s="8"/>
    </row>
    <row r="292" spans="26:28">
      <c r="Z292" s="123"/>
      <c r="AA292" s="123"/>
      <c r="AB292" s="8"/>
    </row>
    <row r="293" spans="26:28">
      <c r="Z293" s="123"/>
      <c r="AA293" s="123"/>
      <c r="AB293" s="8"/>
    </row>
    <row r="294" spans="26:28">
      <c r="Z294" s="123"/>
      <c r="AA294" s="123"/>
      <c r="AB294" s="8"/>
    </row>
    <row r="295" spans="26:28">
      <c r="Z295" s="123"/>
      <c r="AA295" s="123"/>
      <c r="AB295" s="8"/>
    </row>
    <row r="296" spans="26:28">
      <c r="Z296" s="123"/>
      <c r="AA296" s="123"/>
      <c r="AB296" s="8"/>
    </row>
    <row r="297" spans="26:28">
      <c r="Z297" s="123"/>
      <c r="AA297" s="123"/>
      <c r="AB297" s="8"/>
    </row>
    <row r="298" spans="26:28">
      <c r="Z298" s="123"/>
      <c r="AA298" s="123"/>
      <c r="AB298" s="8"/>
    </row>
    <row r="299" spans="26:28">
      <c r="Z299" s="123"/>
      <c r="AA299" s="123"/>
      <c r="AB299" s="8"/>
    </row>
    <row r="300" spans="26:28">
      <c r="Z300" s="123"/>
      <c r="AA300" s="123"/>
      <c r="AB300" s="8"/>
    </row>
    <row r="301" spans="26:28">
      <c r="Z301" s="123"/>
      <c r="AA301" s="123"/>
      <c r="AB301" s="8"/>
    </row>
    <row r="302" spans="26:28">
      <c r="Z302" s="123"/>
      <c r="AA302" s="123"/>
      <c r="AB302" s="8"/>
    </row>
    <row r="303" spans="26:28">
      <c r="Z303" s="123"/>
      <c r="AA303" s="123"/>
      <c r="AB303" s="8"/>
    </row>
    <row r="304" spans="26:28">
      <c r="Z304" s="123"/>
      <c r="AA304" s="123"/>
      <c r="AB304" s="8"/>
    </row>
    <row r="305" spans="26:28">
      <c r="Z305" s="123"/>
      <c r="AA305" s="123"/>
      <c r="AB305" s="8"/>
    </row>
    <row r="306" spans="26:28">
      <c r="Z306" s="123"/>
      <c r="AA306" s="123"/>
      <c r="AB306" s="8"/>
    </row>
    <row r="307" spans="26:28">
      <c r="Z307" s="123"/>
      <c r="AA307" s="123"/>
      <c r="AB307" s="8"/>
    </row>
    <row r="308" spans="26:28">
      <c r="Z308" s="123"/>
      <c r="AA308" s="123"/>
      <c r="AB308" s="8"/>
    </row>
    <row r="309" spans="26:28">
      <c r="Z309" s="123"/>
      <c r="AA309" s="123"/>
      <c r="AB309" s="8"/>
    </row>
    <row r="310" spans="26:28">
      <c r="Z310" s="123"/>
      <c r="AA310" s="123"/>
      <c r="AB310" s="8"/>
    </row>
    <row r="311" spans="26:28">
      <c r="Z311" s="123"/>
      <c r="AA311" s="123"/>
      <c r="AB311" s="8"/>
    </row>
    <row r="312" spans="26:28">
      <c r="Z312" s="123"/>
      <c r="AA312" s="123"/>
      <c r="AB312" s="8"/>
    </row>
    <row r="313" spans="26:28">
      <c r="Z313" s="123"/>
      <c r="AA313" s="123"/>
      <c r="AB313" s="8"/>
    </row>
    <row r="314" spans="26:28">
      <c r="Z314" s="123"/>
      <c r="AA314" s="123"/>
      <c r="AB314" s="8"/>
    </row>
    <row r="315" spans="26:28">
      <c r="Z315" s="123"/>
      <c r="AA315" s="123"/>
      <c r="AB315" s="8"/>
    </row>
    <row r="316" spans="26:28">
      <c r="Z316" s="123"/>
      <c r="AA316" s="123"/>
      <c r="AB316" s="8"/>
    </row>
    <row r="317" spans="26:28">
      <c r="Z317" s="123"/>
      <c r="AA317" s="123"/>
      <c r="AB317" s="8"/>
    </row>
    <row r="318" spans="26:28">
      <c r="Z318" s="123"/>
      <c r="AA318" s="123"/>
      <c r="AB318" s="8"/>
    </row>
    <row r="319" spans="26:28">
      <c r="Z319" s="123"/>
      <c r="AA319" s="123"/>
      <c r="AB319" s="8"/>
    </row>
    <row r="320" spans="26:28">
      <c r="Z320" s="123"/>
      <c r="AA320" s="123"/>
      <c r="AB320" s="8"/>
    </row>
    <row r="321" spans="26:28">
      <c r="Z321" s="123"/>
      <c r="AA321" s="123"/>
      <c r="AB321" s="8"/>
    </row>
    <row r="322" spans="26:28">
      <c r="Z322" s="123"/>
      <c r="AA322" s="123"/>
      <c r="AB322" s="8"/>
    </row>
    <row r="323" spans="26:28">
      <c r="Z323" s="123"/>
      <c r="AA323" s="123"/>
      <c r="AB323" s="8"/>
    </row>
    <row r="324" spans="26:28">
      <c r="Z324" s="123"/>
      <c r="AA324" s="123"/>
      <c r="AB324" s="8"/>
    </row>
    <row r="325" spans="26:28">
      <c r="Z325" s="123"/>
      <c r="AA325" s="123"/>
      <c r="AB325" s="8"/>
    </row>
    <row r="326" spans="26:28">
      <c r="Z326" s="123"/>
      <c r="AA326" s="123"/>
      <c r="AB326" s="8"/>
    </row>
    <row r="327" spans="26:28">
      <c r="Z327" s="123"/>
      <c r="AA327" s="123"/>
      <c r="AB327" s="8"/>
    </row>
    <row r="328" spans="26:28">
      <c r="Z328" s="123"/>
      <c r="AA328" s="123"/>
      <c r="AB328" s="8"/>
    </row>
    <row r="329" spans="26:28">
      <c r="Z329" s="123"/>
      <c r="AA329" s="123"/>
      <c r="AB329" s="8"/>
    </row>
    <row r="330" spans="26:28">
      <c r="Z330" s="123"/>
      <c r="AA330" s="123"/>
      <c r="AB330" s="8"/>
    </row>
    <row r="331" spans="26:28">
      <c r="Z331" s="123"/>
      <c r="AA331" s="123"/>
      <c r="AB331" s="8"/>
    </row>
    <row r="332" spans="26:28">
      <c r="Z332" s="123"/>
      <c r="AA332" s="123"/>
      <c r="AB332" s="8"/>
    </row>
    <row r="333" spans="26:28">
      <c r="Z333" s="123"/>
      <c r="AA333" s="123"/>
      <c r="AB333" s="8"/>
    </row>
    <row r="334" spans="26:28">
      <c r="Z334" s="123"/>
      <c r="AA334" s="123"/>
      <c r="AB334" s="8"/>
    </row>
    <row r="335" spans="26:28">
      <c r="Z335" s="123"/>
      <c r="AA335" s="123"/>
      <c r="AB335" s="8"/>
    </row>
    <row r="336" spans="26:28">
      <c r="Z336" s="123"/>
      <c r="AA336" s="123"/>
      <c r="AB336" s="8"/>
    </row>
    <row r="337" spans="26:28">
      <c r="Z337" s="123"/>
      <c r="AA337" s="123"/>
      <c r="AB337" s="8"/>
    </row>
    <row r="338" spans="26:28">
      <c r="Z338" s="123"/>
      <c r="AA338" s="123"/>
      <c r="AB338" s="8"/>
    </row>
    <row r="339" spans="26:28">
      <c r="Z339" s="123"/>
      <c r="AA339" s="123"/>
      <c r="AB339" s="8"/>
    </row>
    <row r="340" spans="26:28">
      <c r="Z340" s="123"/>
      <c r="AA340" s="123"/>
      <c r="AB340" s="8"/>
    </row>
    <row r="341" spans="26:28">
      <c r="Z341" s="123"/>
      <c r="AA341" s="123"/>
      <c r="AB341" s="8"/>
    </row>
    <row r="342" spans="26:28">
      <c r="Z342" s="123"/>
      <c r="AA342" s="123"/>
      <c r="AB342" s="8"/>
    </row>
    <row r="343" spans="26:28">
      <c r="Z343" s="123"/>
      <c r="AA343" s="123"/>
      <c r="AB343" s="8"/>
    </row>
    <row r="344" spans="26:28">
      <c r="Z344" s="123"/>
      <c r="AA344" s="123"/>
      <c r="AB344" s="8"/>
    </row>
    <row r="345" spans="26:28">
      <c r="Z345" s="123"/>
      <c r="AA345" s="123"/>
      <c r="AB345" s="8"/>
    </row>
    <row r="346" spans="26:28">
      <c r="Z346" s="123"/>
      <c r="AA346" s="123"/>
      <c r="AB346" s="8"/>
    </row>
    <row r="347" spans="26:28">
      <c r="Z347" s="123"/>
      <c r="AA347" s="123"/>
      <c r="AB347" s="8"/>
    </row>
    <row r="348" spans="26:28">
      <c r="Z348" s="123"/>
      <c r="AA348" s="123"/>
      <c r="AB348" s="8"/>
    </row>
    <row r="349" spans="26:28">
      <c r="Z349" s="123"/>
      <c r="AA349" s="123"/>
      <c r="AB349" s="8"/>
    </row>
    <row r="350" spans="26:28">
      <c r="Z350" s="123"/>
      <c r="AA350" s="123"/>
      <c r="AB350" s="8"/>
    </row>
    <row r="351" spans="26:28">
      <c r="Z351" s="123"/>
      <c r="AA351" s="123"/>
      <c r="AB351" s="8"/>
    </row>
    <row r="352" spans="26:28">
      <c r="Z352" s="123"/>
      <c r="AA352" s="123"/>
      <c r="AB352" s="8"/>
    </row>
    <row r="353" spans="26:28">
      <c r="Z353" s="123"/>
      <c r="AA353" s="123"/>
      <c r="AB353" s="8"/>
    </row>
    <row r="354" spans="26:28">
      <c r="Z354" s="123"/>
      <c r="AA354" s="123"/>
      <c r="AB354" s="8"/>
    </row>
    <row r="355" spans="26:28">
      <c r="Z355" s="123"/>
      <c r="AA355" s="123"/>
      <c r="AB355" s="8"/>
    </row>
    <row r="356" spans="26:28">
      <c r="Z356" s="123"/>
      <c r="AA356" s="123"/>
      <c r="AB356" s="8"/>
    </row>
    <row r="357" spans="26:28">
      <c r="Z357" s="123"/>
      <c r="AA357" s="123"/>
      <c r="AB357" s="8"/>
    </row>
    <row r="358" spans="26:28">
      <c r="Z358" s="123"/>
      <c r="AA358" s="123"/>
      <c r="AB358" s="8"/>
    </row>
    <row r="359" spans="26:28">
      <c r="Z359" s="123"/>
      <c r="AA359" s="123"/>
      <c r="AB359" s="8"/>
    </row>
    <row r="360" spans="26:28">
      <c r="Z360" s="123"/>
      <c r="AA360" s="123"/>
      <c r="AB360" s="8"/>
    </row>
    <row r="361" spans="26:28">
      <c r="Z361" s="123"/>
      <c r="AA361" s="123"/>
      <c r="AB361" s="8"/>
    </row>
    <row r="362" spans="26:28">
      <c r="Z362" s="123"/>
      <c r="AA362" s="123"/>
      <c r="AB362" s="8"/>
    </row>
    <row r="363" spans="26:28">
      <c r="Z363" s="123"/>
      <c r="AA363" s="123"/>
      <c r="AB363" s="8"/>
    </row>
    <row r="364" spans="26:28">
      <c r="Z364" s="123"/>
      <c r="AA364" s="123"/>
      <c r="AB364" s="8"/>
    </row>
    <row r="365" spans="26:28">
      <c r="Z365" s="123"/>
      <c r="AA365" s="123"/>
      <c r="AB365" s="8"/>
    </row>
    <row r="366" spans="26:28">
      <c r="Z366" s="123"/>
      <c r="AA366" s="123"/>
      <c r="AB366" s="8"/>
    </row>
    <row r="367" spans="26:28">
      <c r="Z367" s="123"/>
      <c r="AA367" s="123"/>
      <c r="AB367" s="8"/>
    </row>
    <row r="368" spans="26:28">
      <c r="Z368" s="123"/>
      <c r="AA368" s="123"/>
      <c r="AB368" s="8"/>
    </row>
    <row r="369" spans="26:28">
      <c r="Z369" s="123"/>
      <c r="AA369" s="123"/>
      <c r="AB369" s="8"/>
    </row>
    <row r="370" spans="26:28">
      <c r="Z370" s="123"/>
      <c r="AA370" s="123"/>
      <c r="AB370" s="8"/>
    </row>
    <row r="371" spans="26:28">
      <c r="Z371" s="123"/>
      <c r="AA371" s="123"/>
      <c r="AB371" s="8"/>
    </row>
    <row r="372" spans="26:28">
      <c r="Z372" s="123"/>
      <c r="AA372" s="123"/>
      <c r="AB372" s="8"/>
    </row>
    <row r="373" spans="26:28">
      <c r="Z373" s="123"/>
      <c r="AA373" s="123"/>
      <c r="AB373" s="8"/>
    </row>
    <row r="374" spans="26:28">
      <c r="Z374" s="123"/>
      <c r="AA374" s="123"/>
      <c r="AB374" s="8"/>
    </row>
    <row r="375" spans="26:28">
      <c r="Z375" s="123"/>
      <c r="AA375" s="123"/>
      <c r="AB375" s="8"/>
    </row>
    <row r="376" spans="26:28">
      <c r="Z376" s="123"/>
      <c r="AA376" s="123"/>
      <c r="AB376" s="8"/>
    </row>
    <row r="377" spans="26:28">
      <c r="Z377" s="123"/>
      <c r="AA377" s="123"/>
      <c r="AB377" s="8"/>
    </row>
    <row r="378" spans="26:28">
      <c r="Z378" s="123"/>
      <c r="AA378" s="123"/>
      <c r="AB378" s="8"/>
    </row>
    <row r="379" spans="26:28">
      <c r="Z379" s="123"/>
      <c r="AA379" s="123"/>
      <c r="AB379" s="8"/>
    </row>
    <row r="380" spans="26:28">
      <c r="Z380" s="123"/>
      <c r="AA380" s="123"/>
      <c r="AB380" s="8"/>
    </row>
    <row r="381" spans="26:28">
      <c r="Z381" s="123"/>
      <c r="AA381" s="123"/>
      <c r="AB381" s="8"/>
    </row>
    <row r="382" spans="26:28">
      <c r="Z382" s="123"/>
      <c r="AA382" s="123"/>
      <c r="AB382" s="8"/>
    </row>
    <row r="383" spans="26:28">
      <c r="Z383" s="123"/>
      <c r="AA383" s="123"/>
      <c r="AB383" s="8"/>
    </row>
    <row r="384" spans="26:28">
      <c r="Z384" s="123"/>
      <c r="AA384" s="123"/>
      <c r="AB384" s="8"/>
    </row>
    <row r="385" spans="26:28">
      <c r="Z385" s="123"/>
      <c r="AA385" s="123"/>
      <c r="AB385" s="8"/>
    </row>
    <row r="386" spans="26:28">
      <c r="Z386" s="123"/>
      <c r="AA386" s="123"/>
      <c r="AB386" s="8"/>
    </row>
    <row r="387" spans="26:28">
      <c r="Z387" s="123"/>
      <c r="AA387" s="123"/>
      <c r="AB387" s="8"/>
    </row>
    <row r="388" spans="26:28">
      <c r="Z388" s="123"/>
      <c r="AA388" s="123"/>
      <c r="AB388" s="8"/>
    </row>
    <row r="389" spans="26:28">
      <c r="Z389" s="123"/>
      <c r="AA389" s="123"/>
      <c r="AB389" s="8"/>
    </row>
    <row r="390" spans="26:28">
      <c r="Z390" s="123"/>
      <c r="AA390" s="123"/>
      <c r="AB390" s="8"/>
    </row>
    <row r="391" spans="26:28">
      <c r="Z391" s="123"/>
      <c r="AA391" s="123"/>
      <c r="AB391" s="8"/>
    </row>
    <row r="392" spans="26:28">
      <c r="Z392" s="123"/>
      <c r="AA392" s="123"/>
      <c r="AB392" s="8"/>
    </row>
    <row r="393" spans="26:28">
      <c r="Z393" s="123"/>
      <c r="AA393" s="123"/>
      <c r="AB393" s="8"/>
    </row>
    <row r="394" spans="26:28">
      <c r="Z394" s="123"/>
      <c r="AA394" s="123"/>
      <c r="AB394" s="8"/>
    </row>
    <row r="395" spans="26:28">
      <c r="Z395" s="123"/>
      <c r="AA395" s="123"/>
      <c r="AB395" s="8"/>
    </row>
    <row r="396" spans="26:28">
      <c r="Z396" s="123"/>
      <c r="AA396" s="123"/>
      <c r="AB396" s="8"/>
    </row>
    <row r="397" spans="26:28">
      <c r="Z397" s="123"/>
      <c r="AA397" s="123"/>
      <c r="AB397" s="8"/>
    </row>
    <row r="398" spans="26:28">
      <c r="Z398" s="123"/>
      <c r="AA398" s="123"/>
      <c r="AB398" s="8"/>
    </row>
    <row r="399" spans="26:28">
      <c r="Z399" s="123"/>
      <c r="AA399" s="123"/>
      <c r="AB399" s="8"/>
    </row>
    <row r="400" spans="26:28">
      <c r="Z400" s="123"/>
      <c r="AA400" s="123"/>
      <c r="AB400" s="8"/>
    </row>
    <row r="401" spans="26:28">
      <c r="Z401" s="123"/>
      <c r="AA401" s="123"/>
      <c r="AB401" s="8"/>
    </row>
    <row r="402" spans="26:28">
      <c r="Z402" s="123"/>
      <c r="AA402" s="123"/>
      <c r="AB402" s="8"/>
    </row>
    <row r="403" spans="26:28">
      <c r="Z403" s="123"/>
      <c r="AA403" s="123"/>
      <c r="AB403" s="8"/>
    </row>
    <row r="404" spans="26:28">
      <c r="Z404" s="123"/>
      <c r="AA404" s="123"/>
      <c r="AB404" s="8"/>
    </row>
    <row r="405" spans="26:28">
      <c r="Z405" s="123"/>
      <c r="AA405" s="123"/>
      <c r="AB405" s="8"/>
    </row>
    <row r="406" spans="26:28">
      <c r="Z406" s="123"/>
      <c r="AA406" s="123"/>
      <c r="AB406" s="8"/>
    </row>
    <row r="407" spans="26:28">
      <c r="Z407" s="123"/>
      <c r="AA407" s="123"/>
      <c r="AB407" s="8"/>
    </row>
    <row r="408" spans="26:28">
      <c r="Z408" s="123"/>
      <c r="AA408" s="123"/>
      <c r="AB408" s="8"/>
    </row>
    <row r="409" spans="26:28">
      <c r="Z409" s="123"/>
      <c r="AA409" s="123"/>
      <c r="AB409" s="8"/>
    </row>
    <row r="410" spans="26:28">
      <c r="Z410" s="123"/>
      <c r="AA410" s="123"/>
      <c r="AB410" s="8"/>
    </row>
    <row r="411" spans="26:28">
      <c r="Z411" s="123"/>
      <c r="AA411" s="123"/>
      <c r="AB411" s="8"/>
    </row>
    <row r="412" spans="26:28">
      <c r="Z412" s="123"/>
      <c r="AA412" s="123"/>
      <c r="AB412" s="8"/>
    </row>
    <row r="413" spans="26:28">
      <c r="Z413" s="123"/>
      <c r="AA413" s="123"/>
      <c r="AB413" s="8"/>
    </row>
    <row r="414" spans="26:28">
      <c r="Z414" s="123"/>
      <c r="AA414" s="123"/>
      <c r="AB414" s="8"/>
    </row>
    <row r="415" spans="26:28">
      <c r="Z415" s="123"/>
      <c r="AA415" s="123"/>
      <c r="AB415" s="8"/>
    </row>
    <row r="416" spans="26:28">
      <c r="Z416" s="123"/>
      <c r="AA416" s="123"/>
      <c r="AB416" s="8"/>
    </row>
    <row r="417" spans="26:28">
      <c r="Z417" s="123"/>
      <c r="AA417" s="123"/>
      <c r="AB417" s="8"/>
    </row>
    <row r="418" spans="26:28">
      <c r="Z418" s="123"/>
      <c r="AA418" s="123"/>
      <c r="AB418" s="8"/>
    </row>
    <row r="419" spans="26:28">
      <c r="Z419" s="123"/>
      <c r="AA419" s="123"/>
      <c r="AB419" s="8"/>
    </row>
    <row r="420" spans="26:28">
      <c r="Z420" s="123"/>
      <c r="AA420" s="123"/>
      <c r="AB420" s="8"/>
    </row>
    <row r="421" spans="26:28">
      <c r="Z421" s="123"/>
      <c r="AA421" s="123"/>
      <c r="AB421" s="8"/>
    </row>
    <row r="422" spans="26:28">
      <c r="Z422" s="123"/>
      <c r="AA422" s="123"/>
      <c r="AB422" s="8"/>
    </row>
    <row r="423" spans="26:28">
      <c r="Z423" s="123"/>
      <c r="AA423" s="123"/>
      <c r="AB423" s="8"/>
    </row>
    <row r="424" spans="26:28">
      <c r="Z424" s="123"/>
      <c r="AA424" s="123"/>
      <c r="AB424" s="8"/>
    </row>
    <row r="425" spans="26:28">
      <c r="Z425" s="123"/>
      <c r="AA425" s="123"/>
      <c r="AB425" s="8"/>
    </row>
    <row r="426" spans="26:28">
      <c r="Z426" s="123"/>
      <c r="AA426" s="123"/>
      <c r="AB426" s="8"/>
    </row>
    <row r="427" spans="26:28">
      <c r="Z427" s="123"/>
      <c r="AA427" s="123"/>
      <c r="AB427" s="8"/>
    </row>
    <row r="428" spans="26:28">
      <c r="Z428" s="123"/>
      <c r="AA428" s="123"/>
      <c r="AB428" s="8"/>
    </row>
    <row r="429" spans="26:28">
      <c r="Z429" s="123"/>
      <c r="AA429" s="123"/>
      <c r="AB429" s="8"/>
    </row>
    <row r="430" spans="26:28">
      <c r="Z430" s="123"/>
      <c r="AA430" s="123"/>
      <c r="AB430" s="8"/>
    </row>
    <row r="431" spans="26:28">
      <c r="Z431" s="123"/>
      <c r="AA431" s="123"/>
      <c r="AB431" s="8"/>
    </row>
    <row r="432" spans="26:28">
      <c r="Z432" s="123"/>
      <c r="AA432" s="123"/>
      <c r="AB432" s="8"/>
    </row>
    <row r="433" spans="26:28">
      <c r="Z433" s="123"/>
      <c r="AA433" s="123"/>
      <c r="AB433" s="8"/>
    </row>
    <row r="434" spans="26:28">
      <c r="Z434" s="123"/>
      <c r="AA434" s="123"/>
      <c r="AB434" s="8"/>
    </row>
    <row r="435" spans="26:28">
      <c r="Z435" s="123"/>
      <c r="AA435" s="123"/>
      <c r="AB435" s="8"/>
    </row>
    <row r="436" spans="26:28">
      <c r="Z436" s="123"/>
      <c r="AA436" s="123"/>
      <c r="AB436" s="8"/>
    </row>
    <row r="437" spans="26:28">
      <c r="Z437" s="123"/>
      <c r="AA437" s="123"/>
      <c r="AB437" s="8"/>
    </row>
    <row r="438" spans="26:28">
      <c r="Z438" s="123"/>
      <c r="AA438" s="123"/>
      <c r="AB438" s="8"/>
    </row>
    <row r="439" spans="26:28">
      <c r="Z439" s="123"/>
      <c r="AA439" s="123"/>
      <c r="AB439" s="8"/>
    </row>
    <row r="440" spans="26:28">
      <c r="Z440" s="123"/>
      <c r="AA440" s="123"/>
      <c r="AB440" s="8"/>
    </row>
    <row r="441" spans="26:28">
      <c r="Z441" s="123"/>
      <c r="AA441" s="123"/>
      <c r="AB441" s="8"/>
    </row>
    <row r="442" spans="26:28">
      <c r="Z442" s="123"/>
      <c r="AA442" s="123"/>
      <c r="AB442" s="8"/>
    </row>
    <row r="443" spans="26:28">
      <c r="Z443" s="123"/>
      <c r="AA443" s="123"/>
      <c r="AB443" s="8"/>
    </row>
    <row r="444" spans="26:28">
      <c r="Z444" s="123"/>
      <c r="AA444" s="123"/>
      <c r="AB444" s="8"/>
    </row>
    <row r="445" spans="26:28">
      <c r="Z445" s="123"/>
      <c r="AA445" s="123"/>
      <c r="AB445" s="8"/>
    </row>
    <row r="446" spans="26:28">
      <c r="Z446" s="123"/>
      <c r="AA446" s="123"/>
      <c r="AB446" s="8"/>
    </row>
    <row r="447" spans="26:28">
      <c r="Z447" s="123"/>
      <c r="AA447" s="123"/>
      <c r="AB447" s="8"/>
    </row>
    <row r="448" spans="26:28">
      <c r="Z448" s="123"/>
      <c r="AA448" s="123"/>
      <c r="AB448" s="8"/>
    </row>
    <row r="449" spans="26:28">
      <c r="Z449" s="123"/>
      <c r="AA449" s="123"/>
      <c r="AB449" s="8"/>
    </row>
    <row r="450" spans="26:28">
      <c r="Z450" s="123"/>
      <c r="AA450" s="123"/>
      <c r="AB450" s="8"/>
    </row>
    <row r="451" spans="26:28">
      <c r="Z451" s="123"/>
      <c r="AA451" s="123"/>
      <c r="AB451" s="8"/>
    </row>
    <row r="452" spans="26:28">
      <c r="Z452" s="123"/>
      <c r="AA452" s="123"/>
      <c r="AB452" s="8"/>
    </row>
    <row r="453" spans="26:28">
      <c r="Z453" s="123"/>
      <c r="AA453" s="123"/>
      <c r="AB453" s="8"/>
    </row>
    <row r="454" spans="26:28">
      <c r="Z454" s="123"/>
      <c r="AA454" s="123"/>
      <c r="AB454" s="8"/>
    </row>
    <row r="455" spans="26:28">
      <c r="Z455" s="123"/>
      <c r="AA455" s="123"/>
      <c r="AB455" s="8"/>
    </row>
    <row r="456" spans="26:28">
      <c r="Z456" s="123"/>
      <c r="AA456" s="123"/>
      <c r="AB456" s="8"/>
    </row>
    <row r="457" spans="26:28">
      <c r="Z457" s="123"/>
      <c r="AA457" s="123"/>
      <c r="AB457" s="8"/>
    </row>
    <row r="458" spans="26:28">
      <c r="Z458" s="123"/>
      <c r="AA458" s="123"/>
      <c r="AB458" s="8"/>
    </row>
    <row r="459" spans="26:28">
      <c r="Z459" s="123"/>
      <c r="AA459" s="123"/>
      <c r="AB459" s="8"/>
    </row>
    <row r="460" spans="26:28">
      <c r="Z460" s="123"/>
      <c r="AA460" s="123"/>
      <c r="AB460" s="8"/>
    </row>
    <row r="461" spans="26:28">
      <c r="Z461" s="123"/>
      <c r="AA461" s="123"/>
      <c r="AB461" s="8"/>
    </row>
    <row r="462" spans="26:28">
      <c r="Z462" s="123"/>
      <c r="AA462" s="123"/>
      <c r="AB462" s="8"/>
    </row>
    <row r="463" spans="26:28">
      <c r="Z463" s="123"/>
      <c r="AA463" s="123"/>
      <c r="AB463" s="8"/>
    </row>
    <row r="464" spans="26:28">
      <c r="Z464" s="123"/>
      <c r="AA464" s="123"/>
      <c r="AB464" s="8"/>
    </row>
    <row r="465" spans="26:28">
      <c r="Z465" s="123"/>
      <c r="AA465" s="123"/>
      <c r="AB465" s="8"/>
    </row>
    <row r="466" spans="26:28">
      <c r="Z466" s="123"/>
      <c r="AA466" s="123"/>
      <c r="AB466" s="8"/>
    </row>
    <row r="467" spans="26:28">
      <c r="Z467" s="123"/>
      <c r="AA467" s="123"/>
      <c r="AB467" s="8"/>
    </row>
    <row r="468" spans="26:28">
      <c r="Z468" s="123"/>
      <c r="AA468" s="123"/>
      <c r="AB468" s="8"/>
    </row>
    <row r="469" spans="26:28">
      <c r="Z469" s="123"/>
      <c r="AA469" s="123"/>
      <c r="AB469" s="8"/>
    </row>
    <row r="470" spans="26:28">
      <c r="Z470" s="123"/>
      <c r="AA470" s="123"/>
      <c r="AB470" s="8"/>
    </row>
    <row r="471" spans="26:28">
      <c r="Z471" s="123"/>
      <c r="AA471" s="123"/>
      <c r="AB471" s="8"/>
    </row>
    <row r="472" spans="26:28">
      <c r="Z472" s="123"/>
      <c r="AA472" s="123"/>
      <c r="AB472" s="8"/>
    </row>
    <row r="473" spans="26:28">
      <c r="Z473" s="123"/>
      <c r="AA473" s="123"/>
      <c r="AB473" s="8"/>
    </row>
    <row r="474" spans="26:28">
      <c r="Z474" s="123"/>
      <c r="AA474" s="123"/>
      <c r="AB474" s="8"/>
    </row>
    <row r="475" spans="26:28">
      <c r="Z475" s="123"/>
      <c r="AA475" s="123"/>
      <c r="AB475" s="8"/>
    </row>
    <row r="476" spans="26:28">
      <c r="Z476" s="123"/>
      <c r="AA476" s="123"/>
      <c r="AB476" s="8"/>
    </row>
    <row r="477" spans="26:28">
      <c r="Z477" s="123"/>
      <c r="AA477" s="123"/>
      <c r="AB477" s="8"/>
    </row>
    <row r="478" spans="26:28">
      <c r="Z478" s="123"/>
      <c r="AA478" s="123"/>
      <c r="AB478" s="8"/>
    </row>
    <row r="479" spans="26:28">
      <c r="Z479" s="123"/>
      <c r="AA479" s="123"/>
      <c r="AB479" s="8"/>
    </row>
    <row r="480" spans="26:28">
      <c r="Z480" s="123"/>
      <c r="AA480" s="123"/>
      <c r="AB480" s="8"/>
    </row>
    <row r="481" spans="26:28">
      <c r="Z481" s="123"/>
      <c r="AA481" s="123"/>
      <c r="AB481" s="8"/>
    </row>
    <row r="482" spans="26:28">
      <c r="Z482" s="123"/>
      <c r="AA482" s="123"/>
      <c r="AB482" s="8"/>
    </row>
    <row r="483" spans="26:28">
      <c r="Z483" s="123"/>
      <c r="AA483" s="123"/>
      <c r="AB483" s="8"/>
    </row>
    <row r="484" spans="26:28">
      <c r="Z484" s="123"/>
      <c r="AA484" s="123"/>
      <c r="AB484" s="8"/>
    </row>
    <row r="485" spans="26:28">
      <c r="Z485" s="123"/>
      <c r="AA485" s="123"/>
      <c r="AB485" s="8"/>
    </row>
    <row r="486" spans="26:28">
      <c r="Z486" s="123"/>
      <c r="AA486" s="123"/>
      <c r="AB486" s="8"/>
    </row>
    <row r="487" spans="26:28">
      <c r="Z487" s="123"/>
      <c r="AA487" s="123"/>
      <c r="AB487" s="8"/>
    </row>
    <row r="488" spans="26:28">
      <c r="Z488" s="123"/>
      <c r="AA488" s="123"/>
      <c r="AB488" s="8"/>
    </row>
    <row r="489" spans="26:28">
      <c r="Z489" s="123"/>
      <c r="AA489" s="123"/>
      <c r="AB489" s="8"/>
    </row>
    <row r="490" spans="26:28">
      <c r="Z490" s="123"/>
      <c r="AA490" s="123"/>
      <c r="AB490" s="8"/>
    </row>
    <row r="491" spans="26:28">
      <c r="Z491" s="123"/>
      <c r="AA491" s="123"/>
      <c r="AB491" s="8"/>
    </row>
    <row r="492" spans="26:28">
      <c r="Z492" s="123"/>
      <c r="AA492" s="123"/>
      <c r="AB492" s="8"/>
    </row>
    <row r="493" spans="26:28">
      <c r="Z493" s="123"/>
      <c r="AA493" s="123"/>
      <c r="AB493" s="8"/>
    </row>
    <row r="494" spans="26:28">
      <c r="Z494" s="123"/>
      <c r="AA494" s="123"/>
      <c r="AB494" s="8"/>
    </row>
    <row r="495" spans="26:28">
      <c r="Z495" s="123"/>
      <c r="AA495" s="123"/>
      <c r="AB495" s="8"/>
    </row>
    <row r="496" spans="26:28">
      <c r="Z496" s="123"/>
      <c r="AA496" s="123"/>
      <c r="AB496" s="8"/>
    </row>
    <row r="497" spans="26:28">
      <c r="Z497" s="123"/>
      <c r="AA497" s="123"/>
      <c r="AB497" s="8"/>
    </row>
    <row r="498" spans="26:28">
      <c r="Z498" s="123"/>
      <c r="AA498" s="123"/>
      <c r="AB498" s="8"/>
    </row>
    <row r="499" spans="26:28">
      <c r="Z499" s="123"/>
      <c r="AA499" s="123"/>
      <c r="AB499" s="8"/>
    </row>
    <row r="500" spans="26:28">
      <c r="Z500" s="123"/>
      <c r="AA500" s="123"/>
      <c r="AB500" s="8"/>
    </row>
    <row r="501" spans="26:28">
      <c r="Z501" s="123"/>
      <c r="AA501" s="123"/>
      <c r="AB501" s="8"/>
    </row>
    <row r="502" spans="26:28">
      <c r="Z502" s="123"/>
      <c r="AA502" s="123"/>
      <c r="AB502" s="8"/>
    </row>
    <row r="503" spans="26:28">
      <c r="Z503" s="123"/>
      <c r="AA503" s="123"/>
      <c r="AB503" s="8"/>
    </row>
    <row r="504" spans="26:28">
      <c r="Z504" s="123"/>
      <c r="AA504" s="123"/>
      <c r="AB504" s="8"/>
    </row>
    <row r="505" spans="26:28">
      <c r="Z505" s="123"/>
      <c r="AA505" s="123"/>
      <c r="AB505" s="8"/>
    </row>
    <row r="506" spans="26:28">
      <c r="Z506" s="123"/>
      <c r="AA506" s="123"/>
      <c r="AB506" s="8"/>
    </row>
    <row r="507" spans="26:28">
      <c r="Z507" s="123"/>
      <c r="AA507" s="123"/>
      <c r="AB507" s="8"/>
    </row>
    <row r="508" spans="26:28">
      <c r="Z508" s="123"/>
      <c r="AA508" s="123"/>
      <c r="AB508" s="8"/>
    </row>
    <row r="509" spans="26:28">
      <c r="Z509" s="123"/>
      <c r="AA509" s="123"/>
      <c r="AB509" s="8"/>
    </row>
    <row r="510" spans="26:28">
      <c r="Z510" s="123"/>
      <c r="AA510" s="123"/>
      <c r="AB510" s="8"/>
    </row>
    <row r="511" spans="26:28">
      <c r="Z511" s="123"/>
      <c r="AA511" s="123"/>
      <c r="AB511" s="8"/>
    </row>
    <row r="512" spans="26:28">
      <c r="Z512" s="123"/>
      <c r="AA512" s="123"/>
      <c r="AB512" s="8"/>
    </row>
    <row r="513" spans="26:28">
      <c r="Z513" s="123"/>
      <c r="AA513" s="123"/>
      <c r="AB513" s="8"/>
    </row>
    <row r="514" spans="26:28">
      <c r="Z514" s="123"/>
      <c r="AA514" s="123"/>
      <c r="AB514" s="8"/>
    </row>
    <row r="515" spans="26:28">
      <c r="Z515" s="123"/>
      <c r="AA515" s="123"/>
      <c r="AB515" s="8"/>
    </row>
    <row r="516" spans="26:28">
      <c r="Z516" s="123"/>
      <c r="AA516" s="123"/>
      <c r="AB516" s="8"/>
    </row>
    <row r="517" spans="26:28">
      <c r="Z517" s="123"/>
      <c r="AA517" s="123"/>
      <c r="AB517" s="8"/>
    </row>
    <row r="518" spans="26:28">
      <c r="Z518" s="123"/>
      <c r="AA518" s="123"/>
      <c r="AB518" s="8"/>
    </row>
    <row r="519" spans="26:28">
      <c r="Z519" s="123"/>
      <c r="AA519" s="123"/>
      <c r="AB519" s="8"/>
    </row>
    <row r="520" spans="26:28">
      <c r="Z520" s="123"/>
      <c r="AA520" s="123"/>
      <c r="AB520" s="8"/>
    </row>
    <row r="521" spans="26:28">
      <c r="Z521" s="123"/>
      <c r="AA521" s="123"/>
      <c r="AB521" s="8"/>
    </row>
    <row r="522" spans="26:28">
      <c r="Z522" s="123"/>
      <c r="AA522" s="123"/>
      <c r="AB522" s="8"/>
    </row>
    <row r="523" spans="26:28">
      <c r="Z523" s="123"/>
      <c r="AA523" s="123"/>
      <c r="AB523" s="8"/>
    </row>
    <row r="524" spans="26:28">
      <c r="Z524" s="123"/>
      <c r="AA524" s="123"/>
      <c r="AB524" s="8"/>
    </row>
    <row r="525" spans="26:28">
      <c r="Z525" s="123"/>
      <c r="AA525" s="123"/>
      <c r="AB525" s="8"/>
    </row>
    <row r="526" spans="26:28">
      <c r="Z526" s="123"/>
      <c r="AA526" s="123"/>
      <c r="AB526" s="8"/>
    </row>
    <row r="527" spans="26:28">
      <c r="Z527" s="123"/>
      <c r="AA527" s="123"/>
      <c r="AB527" s="8"/>
    </row>
    <row r="528" spans="26:28">
      <c r="Z528" s="123"/>
      <c r="AA528" s="123"/>
      <c r="AB528" s="8"/>
    </row>
    <row r="529" spans="26:28">
      <c r="Z529" s="123"/>
      <c r="AA529" s="123"/>
      <c r="AB529" s="8"/>
    </row>
    <row r="530" spans="26:28">
      <c r="Z530" s="123"/>
      <c r="AA530" s="123"/>
      <c r="AB530" s="8"/>
    </row>
    <row r="531" spans="26:28">
      <c r="Z531" s="123"/>
      <c r="AA531" s="123"/>
      <c r="AB531" s="8"/>
    </row>
    <row r="532" spans="26:28">
      <c r="Z532" s="123"/>
      <c r="AA532" s="123"/>
      <c r="AB532" s="8"/>
    </row>
    <row r="533" spans="26:28">
      <c r="Z533" s="123"/>
      <c r="AA533" s="123"/>
      <c r="AB533" s="8"/>
    </row>
    <row r="534" spans="26:28">
      <c r="Z534" s="123"/>
      <c r="AA534" s="123"/>
      <c r="AB534" s="8"/>
    </row>
    <row r="535" spans="26:28">
      <c r="Z535" s="123"/>
      <c r="AA535" s="123"/>
      <c r="AB535" s="8"/>
    </row>
    <row r="536" spans="26:28">
      <c r="Z536" s="123"/>
      <c r="AA536" s="123"/>
      <c r="AB536" s="8"/>
    </row>
    <row r="537" spans="26:28">
      <c r="Z537" s="123"/>
      <c r="AA537" s="123"/>
      <c r="AB537" s="8"/>
    </row>
    <row r="538" spans="26:28">
      <c r="Z538" s="123"/>
      <c r="AA538" s="123"/>
      <c r="AB538" s="8"/>
    </row>
    <row r="539" spans="26:28">
      <c r="Z539" s="123"/>
      <c r="AA539" s="123"/>
      <c r="AB539" s="8"/>
    </row>
    <row r="540" spans="26:28">
      <c r="Z540" s="123"/>
      <c r="AA540" s="123"/>
      <c r="AB540" s="8"/>
    </row>
    <row r="541" spans="26:28">
      <c r="Z541" s="123"/>
      <c r="AA541" s="123"/>
      <c r="AB541" s="8"/>
    </row>
    <row r="542" spans="26:28">
      <c r="Z542" s="123"/>
      <c r="AA542" s="123"/>
      <c r="AB542" s="8"/>
    </row>
    <row r="543" spans="26:28">
      <c r="Z543" s="123"/>
      <c r="AA543" s="123"/>
      <c r="AB543" s="8"/>
    </row>
    <row r="544" spans="26:28">
      <c r="Z544" s="123"/>
      <c r="AA544" s="123"/>
      <c r="AB544" s="8"/>
    </row>
    <row r="545" spans="26:28">
      <c r="Z545" s="123"/>
      <c r="AA545" s="123"/>
      <c r="AB545" s="8"/>
    </row>
    <row r="546" spans="26:28">
      <c r="Z546" s="123"/>
      <c r="AA546" s="123"/>
      <c r="AB546" s="8"/>
    </row>
    <row r="547" spans="26:28">
      <c r="Z547" s="123"/>
      <c r="AA547" s="123"/>
      <c r="AB547" s="8"/>
    </row>
    <row r="548" spans="26:28">
      <c r="Z548" s="123"/>
      <c r="AA548" s="123"/>
      <c r="AB548" s="8"/>
    </row>
    <row r="549" spans="26:28">
      <c r="Z549" s="123"/>
      <c r="AA549" s="123"/>
      <c r="AB549" s="8"/>
    </row>
    <row r="550" spans="26:28">
      <c r="Z550" s="123"/>
      <c r="AA550" s="123"/>
      <c r="AB550" s="8"/>
    </row>
    <row r="551" spans="26:28">
      <c r="Z551" s="123"/>
      <c r="AA551" s="123"/>
      <c r="AB551" s="8"/>
    </row>
    <row r="552" spans="26:28">
      <c r="Z552" s="123"/>
      <c r="AA552" s="123"/>
      <c r="AB552" s="8"/>
    </row>
    <row r="553" spans="26:28">
      <c r="Z553" s="123"/>
      <c r="AA553" s="123"/>
      <c r="AB553" s="8"/>
    </row>
    <row r="554" spans="26:28">
      <c r="Z554" s="123"/>
      <c r="AA554" s="123"/>
      <c r="AB554" s="8"/>
    </row>
    <row r="555" spans="26:28">
      <c r="Z555" s="123"/>
      <c r="AA555" s="123"/>
      <c r="AB555" s="8"/>
    </row>
    <row r="556" spans="26:28">
      <c r="Z556" s="123"/>
      <c r="AA556" s="123"/>
      <c r="AB556" s="8"/>
    </row>
    <row r="557" spans="26:28">
      <c r="Z557" s="123"/>
      <c r="AA557" s="123"/>
      <c r="AB557" s="8"/>
    </row>
    <row r="558" spans="26:28">
      <c r="Z558" s="123"/>
      <c r="AA558" s="123"/>
      <c r="AB558" s="8"/>
    </row>
    <row r="559" spans="26:28">
      <c r="Z559" s="123"/>
      <c r="AA559" s="123"/>
      <c r="AB559" s="8"/>
    </row>
    <row r="560" spans="26:28">
      <c r="Z560" s="123"/>
      <c r="AA560" s="123"/>
      <c r="AB560" s="8"/>
    </row>
    <row r="561" spans="26:28">
      <c r="Z561" s="123"/>
      <c r="AA561" s="123"/>
      <c r="AB561" s="8"/>
    </row>
    <row r="562" spans="26:28">
      <c r="Z562" s="123"/>
      <c r="AA562" s="123"/>
      <c r="AB562" s="8"/>
    </row>
    <row r="563" spans="26:28">
      <c r="Z563" s="123"/>
      <c r="AA563" s="123"/>
      <c r="AB563" s="8"/>
    </row>
    <row r="564" spans="26:28">
      <c r="Z564" s="123"/>
      <c r="AA564" s="123"/>
      <c r="AB564" s="8"/>
    </row>
    <row r="565" spans="26:28">
      <c r="Z565" s="123"/>
      <c r="AA565" s="123"/>
      <c r="AB565" s="8"/>
    </row>
    <row r="566" spans="26:28">
      <c r="Z566" s="123"/>
      <c r="AA566" s="123"/>
      <c r="AB566" s="8"/>
    </row>
    <row r="567" spans="26:28">
      <c r="Z567" s="123"/>
      <c r="AA567" s="123"/>
      <c r="AB567" s="8"/>
    </row>
    <row r="568" spans="26:28">
      <c r="Z568" s="123"/>
      <c r="AA568" s="123"/>
      <c r="AB568" s="8"/>
    </row>
    <row r="569" spans="26:28">
      <c r="Z569" s="123"/>
      <c r="AA569" s="123"/>
      <c r="AB569" s="8"/>
    </row>
    <row r="570" spans="26:28">
      <c r="Z570" s="123"/>
      <c r="AA570" s="123"/>
      <c r="AB570" s="8"/>
    </row>
    <row r="571" spans="26:28">
      <c r="Z571" s="123"/>
      <c r="AA571" s="123"/>
      <c r="AB571" s="8"/>
    </row>
    <row r="572" spans="26:28">
      <c r="Z572" s="123"/>
      <c r="AA572" s="123"/>
      <c r="AB572" s="8"/>
    </row>
    <row r="573" spans="26:28">
      <c r="Z573" s="123"/>
      <c r="AA573" s="123"/>
      <c r="AB573" s="8"/>
    </row>
    <row r="574" spans="26:28">
      <c r="Z574" s="123"/>
      <c r="AA574" s="123"/>
      <c r="AB574" s="8"/>
    </row>
    <row r="575" spans="26:28">
      <c r="Z575" s="123"/>
      <c r="AA575" s="123"/>
      <c r="AB575" s="8"/>
    </row>
    <row r="576" spans="26:28">
      <c r="Z576" s="123"/>
      <c r="AA576" s="123"/>
      <c r="AB576" s="8"/>
    </row>
    <row r="577" spans="26:28">
      <c r="Z577" s="123"/>
      <c r="AA577" s="123"/>
      <c r="AB577" s="8"/>
    </row>
    <row r="578" spans="26:28">
      <c r="Z578" s="123"/>
      <c r="AA578" s="123"/>
      <c r="AB578" s="8"/>
    </row>
    <row r="579" spans="26:28">
      <c r="Z579" s="123"/>
      <c r="AA579" s="123"/>
      <c r="AB579" s="8"/>
    </row>
    <row r="580" spans="26:28">
      <c r="Z580" s="123"/>
      <c r="AA580" s="123"/>
      <c r="AB580" s="8"/>
    </row>
    <row r="581" spans="26:28">
      <c r="Z581" s="123"/>
      <c r="AA581" s="123"/>
      <c r="AB581" s="8"/>
    </row>
    <row r="582" spans="26:28">
      <c r="Z582" s="123"/>
      <c r="AA582" s="123"/>
      <c r="AB582" s="8"/>
    </row>
    <row r="583" spans="26:28">
      <c r="Z583" s="123"/>
      <c r="AA583" s="123"/>
      <c r="AB583" s="8"/>
    </row>
    <row r="584" spans="26:28">
      <c r="Z584" s="123"/>
      <c r="AA584" s="123"/>
      <c r="AB584" s="8"/>
    </row>
    <row r="585" spans="26:28">
      <c r="Z585" s="123"/>
      <c r="AA585" s="123"/>
      <c r="AB585" s="8"/>
    </row>
    <row r="586" spans="26:28">
      <c r="Z586" s="123"/>
      <c r="AA586" s="123"/>
      <c r="AB586" s="8"/>
    </row>
    <row r="587" spans="26:28">
      <c r="Z587" s="123"/>
      <c r="AA587" s="123"/>
      <c r="AB587" s="8"/>
    </row>
    <row r="588" spans="26:28">
      <c r="Z588" s="123"/>
      <c r="AA588" s="123"/>
      <c r="AB588" s="8"/>
    </row>
    <row r="589" spans="26:28">
      <c r="Z589" s="123"/>
      <c r="AA589" s="123"/>
      <c r="AB589" s="8"/>
    </row>
    <row r="590" spans="26:28">
      <c r="Z590" s="123"/>
      <c r="AA590" s="123"/>
      <c r="AB590" s="8"/>
    </row>
    <row r="591" spans="26:28">
      <c r="Z591" s="123"/>
      <c r="AA591" s="123"/>
      <c r="AB591" s="8"/>
    </row>
    <row r="592" spans="26:28">
      <c r="Z592" s="123"/>
      <c r="AA592" s="123"/>
      <c r="AB592" s="8"/>
    </row>
    <row r="593" spans="26:28">
      <c r="Z593" s="123"/>
      <c r="AA593" s="123"/>
      <c r="AB593" s="8"/>
    </row>
    <row r="594" spans="26:28">
      <c r="Z594" s="123"/>
      <c r="AA594" s="123"/>
      <c r="AB594" s="8"/>
    </row>
    <row r="595" spans="26:28">
      <c r="Z595" s="123"/>
      <c r="AA595" s="123"/>
      <c r="AB595" s="8"/>
    </row>
    <row r="596" spans="26:28">
      <c r="Z596" s="123"/>
      <c r="AA596" s="123"/>
      <c r="AB596" s="8"/>
    </row>
    <row r="597" spans="26:28">
      <c r="Z597" s="123"/>
      <c r="AA597" s="123"/>
      <c r="AB597" s="8"/>
    </row>
    <row r="598" spans="26:28">
      <c r="Z598" s="123"/>
      <c r="AA598" s="123"/>
      <c r="AB598" s="8"/>
    </row>
    <row r="599" spans="26:28">
      <c r="Z599" s="123"/>
      <c r="AA599" s="123"/>
      <c r="AB599" s="8"/>
    </row>
    <row r="600" spans="26:28">
      <c r="Z600" s="123"/>
      <c r="AA600" s="123"/>
      <c r="AB600" s="8"/>
    </row>
    <row r="601" spans="26:28">
      <c r="Z601" s="123"/>
      <c r="AA601" s="123"/>
      <c r="AB601" s="8"/>
    </row>
    <row r="602" spans="26:28">
      <c r="Z602" s="123"/>
      <c r="AA602" s="123"/>
      <c r="AB602" s="8"/>
    </row>
    <row r="603" spans="26:28">
      <c r="Z603" s="123"/>
      <c r="AA603" s="123"/>
      <c r="AB603" s="8"/>
    </row>
    <row r="604" spans="26:28">
      <c r="Z604" s="123"/>
      <c r="AA604" s="123"/>
      <c r="AB604" s="8"/>
    </row>
    <row r="605" spans="26:28">
      <c r="Z605" s="123"/>
      <c r="AA605" s="123"/>
      <c r="AB605" s="8"/>
    </row>
    <row r="606" spans="26:28">
      <c r="Z606" s="123"/>
      <c r="AA606" s="123"/>
      <c r="AB606" s="8"/>
    </row>
    <row r="607" spans="26:28">
      <c r="Z607" s="123"/>
      <c r="AA607" s="123"/>
      <c r="AB607" s="8"/>
    </row>
    <row r="608" spans="26:28">
      <c r="Z608" s="123"/>
      <c r="AA608" s="123"/>
      <c r="AB608" s="8"/>
    </row>
    <row r="609" spans="26:28">
      <c r="Z609" s="123"/>
      <c r="AA609" s="123"/>
      <c r="AB609" s="8"/>
    </row>
    <row r="610" spans="26:28">
      <c r="Z610" s="123"/>
      <c r="AA610" s="123"/>
      <c r="AB610" s="8"/>
    </row>
    <row r="611" spans="26:28">
      <c r="Z611" s="123"/>
      <c r="AA611" s="123"/>
      <c r="AB611" s="8"/>
    </row>
    <row r="612" spans="26:28">
      <c r="Z612" s="123"/>
      <c r="AA612" s="123"/>
      <c r="AB612" s="8"/>
    </row>
    <row r="613" spans="26:28">
      <c r="Z613" s="123"/>
      <c r="AA613" s="123"/>
      <c r="AB613" s="8"/>
    </row>
    <row r="614" spans="26:28">
      <c r="Z614" s="123"/>
      <c r="AA614" s="123"/>
      <c r="AB614" s="8"/>
    </row>
    <row r="615" spans="26:28">
      <c r="Z615" s="123"/>
      <c r="AA615" s="123"/>
      <c r="AB615" s="8"/>
    </row>
    <row r="616" spans="26:28">
      <c r="Z616" s="123"/>
      <c r="AA616" s="123"/>
      <c r="AB616" s="8"/>
    </row>
    <row r="617" spans="26:28">
      <c r="Z617" s="123"/>
      <c r="AA617" s="123"/>
      <c r="AB617" s="8"/>
    </row>
    <row r="618" spans="26:28">
      <c r="Z618" s="123"/>
      <c r="AA618" s="123"/>
      <c r="AB618" s="8"/>
    </row>
    <row r="619" spans="26:28">
      <c r="Z619" s="123"/>
      <c r="AA619" s="123"/>
      <c r="AB619" s="8"/>
    </row>
    <row r="620" spans="26:28">
      <c r="Z620" s="123"/>
      <c r="AA620" s="123"/>
      <c r="AB620" s="8"/>
    </row>
    <row r="621" spans="26:28">
      <c r="Z621" s="123"/>
      <c r="AA621" s="123"/>
      <c r="AB621" s="8"/>
    </row>
    <row r="622" spans="26:28">
      <c r="Z622" s="123"/>
      <c r="AA622" s="123"/>
      <c r="AB622" s="8"/>
    </row>
    <row r="623" spans="26:28">
      <c r="Z623" s="123"/>
      <c r="AA623" s="123"/>
      <c r="AB623" s="8"/>
    </row>
    <row r="624" spans="26:28">
      <c r="Z624" s="123"/>
      <c r="AA624" s="123"/>
      <c r="AB624" s="8"/>
    </row>
    <row r="625" spans="26:28">
      <c r="Z625" s="123"/>
      <c r="AA625" s="123"/>
      <c r="AB625" s="8"/>
    </row>
    <row r="626" spans="26:28">
      <c r="Z626" s="123"/>
      <c r="AA626" s="123"/>
      <c r="AB626" s="8"/>
    </row>
    <row r="627" spans="26:28">
      <c r="Z627" s="123"/>
      <c r="AA627" s="123"/>
      <c r="AB627" s="8"/>
    </row>
    <row r="628" spans="26:28">
      <c r="Z628" s="123"/>
      <c r="AA628" s="123"/>
      <c r="AB628" s="8"/>
    </row>
    <row r="629" spans="26:28">
      <c r="Z629" s="123"/>
      <c r="AA629" s="123"/>
      <c r="AB629" s="8"/>
    </row>
    <row r="630" spans="26:28">
      <c r="Z630" s="123"/>
      <c r="AA630" s="123"/>
      <c r="AB630" s="8"/>
    </row>
    <row r="631" spans="26:28">
      <c r="Z631" s="123"/>
      <c r="AA631" s="123"/>
      <c r="AB631" s="8"/>
    </row>
    <row r="632" spans="26:28">
      <c r="Z632" s="123"/>
      <c r="AA632" s="123"/>
      <c r="AB632" s="8"/>
    </row>
    <row r="633" spans="26:28">
      <c r="Z633" s="123"/>
      <c r="AA633" s="123"/>
      <c r="AB633" s="8"/>
    </row>
    <row r="634" spans="26:28">
      <c r="Z634" s="123"/>
      <c r="AA634" s="123"/>
      <c r="AB634" s="8"/>
    </row>
    <row r="635" spans="26:28">
      <c r="Z635" s="123"/>
      <c r="AA635" s="123"/>
      <c r="AB635" s="8"/>
    </row>
    <row r="636" spans="26:28">
      <c r="Z636" s="123"/>
      <c r="AA636" s="123"/>
      <c r="AB636" s="8"/>
    </row>
    <row r="637" spans="26:28">
      <c r="Z637" s="123"/>
      <c r="AA637" s="123"/>
      <c r="AB637" s="8"/>
    </row>
    <row r="638" spans="26:28">
      <c r="Z638" s="123"/>
      <c r="AA638" s="123"/>
      <c r="AB638" s="8"/>
    </row>
    <row r="639" spans="26:28">
      <c r="Z639" s="123"/>
      <c r="AA639" s="123"/>
      <c r="AB639" s="8"/>
    </row>
    <row r="640" spans="26:28">
      <c r="Z640" s="123"/>
      <c r="AA640" s="123"/>
      <c r="AB640" s="8"/>
    </row>
    <row r="641" spans="26:28">
      <c r="Z641" s="123"/>
      <c r="AA641" s="123"/>
      <c r="AB641" s="8"/>
    </row>
    <row r="642" spans="26:28">
      <c r="Z642" s="123"/>
      <c r="AA642" s="123"/>
      <c r="AB642" s="8"/>
    </row>
    <row r="643" spans="26:28">
      <c r="Z643" s="123"/>
      <c r="AA643" s="123"/>
      <c r="AB643" s="8"/>
    </row>
    <row r="644" spans="26:28">
      <c r="Z644" s="123"/>
      <c r="AA644" s="123"/>
      <c r="AB644" s="8"/>
    </row>
    <row r="645" spans="26:28">
      <c r="Z645" s="123"/>
      <c r="AA645" s="123"/>
      <c r="AB645" s="8"/>
    </row>
    <row r="646" spans="26:28">
      <c r="Z646" s="123"/>
      <c r="AA646" s="123"/>
      <c r="AB646" s="8"/>
    </row>
    <row r="647" spans="26:28">
      <c r="Z647" s="123"/>
      <c r="AA647" s="123"/>
      <c r="AB647" s="8"/>
    </row>
    <row r="648" spans="26:28">
      <c r="Z648" s="123"/>
      <c r="AA648" s="123"/>
      <c r="AB648" s="8"/>
    </row>
    <row r="649" spans="26:28">
      <c r="Z649" s="123"/>
      <c r="AA649" s="123"/>
      <c r="AB649" s="8"/>
    </row>
    <row r="650" spans="26:28">
      <c r="Z650" s="123"/>
      <c r="AA650" s="123"/>
      <c r="AB650" s="8"/>
    </row>
    <row r="651" spans="26:28">
      <c r="Z651" s="123"/>
      <c r="AA651" s="123"/>
      <c r="AB651" s="8"/>
    </row>
    <row r="652" spans="26:28">
      <c r="Z652" s="123"/>
      <c r="AA652" s="123"/>
      <c r="AB652" s="8"/>
    </row>
    <row r="653" spans="26:28">
      <c r="Z653" s="123"/>
      <c r="AA653" s="123"/>
      <c r="AB653" s="8"/>
    </row>
    <row r="654" spans="26:28">
      <c r="Z654" s="123"/>
      <c r="AA654" s="123"/>
      <c r="AB654" s="8"/>
    </row>
    <row r="655" spans="26:28">
      <c r="Z655" s="123"/>
      <c r="AA655" s="123"/>
      <c r="AB655" s="8"/>
    </row>
    <row r="656" spans="26:28">
      <c r="Z656" s="123"/>
      <c r="AA656" s="123"/>
      <c r="AB656" s="8"/>
    </row>
    <row r="657" spans="26:28">
      <c r="Z657" s="123"/>
      <c r="AA657" s="123"/>
      <c r="AB657" s="8"/>
    </row>
    <row r="658" spans="26:28">
      <c r="Z658" s="123"/>
      <c r="AA658" s="123"/>
      <c r="AB658" s="8"/>
    </row>
    <row r="659" spans="26:28">
      <c r="Z659" s="123"/>
      <c r="AA659" s="123"/>
      <c r="AB659" s="8"/>
    </row>
    <row r="660" spans="26:28">
      <c r="Z660" s="123"/>
      <c r="AA660" s="123"/>
      <c r="AB660" s="8"/>
    </row>
    <row r="661" spans="26:28">
      <c r="Z661" s="123"/>
      <c r="AA661" s="123"/>
      <c r="AB661" s="8"/>
    </row>
    <row r="662" spans="26:28">
      <c r="Z662" s="123"/>
      <c r="AA662" s="123"/>
      <c r="AB662" s="8"/>
    </row>
    <row r="663" spans="26:28">
      <c r="Z663" s="123"/>
      <c r="AA663" s="123"/>
      <c r="AB663" s="8"/>
    </row>
    <row r="664" spans="26:28">
      <c r="Z664" s="123"/>
      <c r="AA664" s="123"/>
      <c r="AB664" s="8"/>
    </row>
    <row r="665" spans="26:28">
      <c r="Z665" s="123"/>
      <c r="AA665" s="123"/>
      <c r="AB665" s="8"/>
    </row>
    <row r="666" spans="26:28">
      <c r="Z666" s="123"/>
      <c r="AA666" s="123"/>
      <c r="AB666" s="8"/>
    </row>
    <row r="667" spans="26:28">
      <c r="Z667" s="123"/>
      <c r="AA667" s="123"/>
      <c r="AB667" s="8"/>
    </row>
    <row r="668" spans="26:28">
      <c r="Z668" s="123"/>
      <c r="AA668" s="123"/>
      <c r="AB668" s="8"/>
    </row>
    <row r="669" spans="26:28">
      <c r="Z669" s="123"/>
      <c r="AA669" s="123"/>
      <c r="AB669" s="8"/>
    </row>
    <row r="670" spans="26:28">
      <c r="Z670" s="123"/>
      <c r="AA670" s="123"/>
      <c r="AB670" s="8"/>
    </row>
    <row r="671" spans="26:28">
      <c r="Z671" s="123"/>
      <c r="AA671" s="123"/>
      <c r="AB671" s="8"/>
    </row>
    <row r="672" spans="26:28">
      <c r="Z672" s="123"/>
      <c r="AA672" s="123"/>
      <c r="AB672" s="8"/>
    </row>
    <row r="673" spans="26:28">
      <c r="Z673" s="123"/>
      <c r="AA673" s="123"/>
      <c r="AB673" s="8"/>
    </row>
    <row r="674" spans="26:28">
      <c r="Z674" s="123"/>
      <c r="AA674" s="123"/>
      <c r="AB674" s="8"/>
    </row>
    <row r="675" spans="26:28">
      <c r="Z675" s="123"/>
      <c r="AA675" s="123"/>
      <c r="AB675" s="8"/>
    </row>
    <row r="676" spans="26:28">
      <c r="Z676" s="123"/>
      <c r="AA676" s="123"/>
      <c r="AB676" s="8"/>
    </row>
    <row r="677" spans="26:28">
      <c r="Z677" s="123"/>
      <c r="AA677" s="123"/>
      <c r="AB677" s="8"/>
    </row>
    <row r="678" spans="26:28">
      <c r="Z678" s="123"/>
      <c r="AA678" s="123"/>
      <c r="AB678" s="8"/>
    </row>
    <row r="679" spans="26:28">
      <c r="Z679" s="123"/>
      <c r="AA679" s="123"/>
      <c r="AB679" s="8"/>
    </row>
    <row r="680" spans="26:28">
      <c r="Z680" s="123"/>
      <c r="AA680" s="123"/>
      <c r="AB680" s="8"/>
    </row>
    <row r="681" spans="26:28">
      <c r="Z681" s="123"/>
      <c r="AA681" s="123"/>
      <c r="AB681" s="8"/>
    </row>
    <row r="682" spans="26:28">
      <c r="Z682" s="123"/>
      <c r="AA682" s="123"/>
      <c r="AB682" s="8"/>
    </row>
    <row r="683" spans="26:28">
      <c r="Z683" s="123"/>
      <c r="AA683" s="123"/>
      <c r="AB683" s="8"/>
    </row>
    <row r="684" spans="26:28">
      <c r="Z684" s="123"/>
      <c r="AA684" s="123"/>
      <c r="AB684" s="8"/>
    </row>
    <row r="685" spans="26:28">
      <c r="Z685" s="123"/>
      <c r="AA685" s="123"/>
      <c r="AB685" s="8"/>
    </row>
    <row r="686" spans="26:28">
      <c r="Z686" s="123"/>
      <c r="AA686" s="123"/>
      <c r="AB686" s="8"/>
    </row>
    <row r="687" spans="26:28">
      <c r="Z687" s="123"/>
      <c r="AA687" s="123"/>
      <c r="AB687" s="8"/>
    </row>
    <row r="688" spans="26:28">
      <c r="Z688" s="123"/>
      <c r="AA688" s="123"/>
      <c r="AB688" s="8"/>
    </row>
    <row r="689" spans="26:28">
      <c r="Z689" s="123"/>
      <c r="AA689" s="123"/>
      <c r="AB689" s="8"/>
    </row>
    <row r="690" spans="26:28">
      <c r="Z690" s="123"/>
      <c r="AA690" s="123"/>
      <c r="AB690" s="8"/>
    </row>
    <row r="691" spans="26:28">
      <c r="Z691" s="123"/>
      <c r="AA691" s="123"/>
      <c r="AB691" s="8"/>
    </row>
    <row r="692" spans="26:28">
      <c r="Z692" s="123"/>
      <c r="AA692" s="123"/>
      <c r="AB692" s="8"/>
    </row>
    <row r="693" spans="26:28">
      <c r="Z693" s="123"/>
      <c r="AA693" s="123"/>
      <c r="AB693" s="8"/>
    </row>
    <row r="694" spans="26:28">
      <c r="Z694" s="123"/>
      <c r="AA694" s="123"/>
      <c r="AB694" s="8"/>
    </row>
    <row r="695" spans="26:28">
      <c r="Z695" s="123"/>
      <c r="AA695" s="123"/>
      <c r="AB695" s="8"/>
    </row>
    <row r="696" spans="26:28">
      <c r="Z696" s="123"/>
      <c r="AA696" s="123"/>
      <c r="AB696" s="8"/>
    </row>
    <row r="697" spans="26:28">
      <c r="Z697" s="123"/>
      <c r="AA697" s="123"/>
      <c r="AB697" s="8"/>
    </row>
    <row r="698" spans="26:28">
      <c r="Z698" s="123"/>
      <c r="AA698" s="123"/>
      <c r="AB698" s="8"/>
    </row>
    <row r="699" spans="26:28">
      <c r="Z699" s="123"/>
      <c r="AA699" s="123"/>
      <c r="AB699" s="8"/>
    </row>
    <row r="700" spans="26:28">
      <c r="Z700" s="123"/>
      <c r="AA700" s="123"/>
      <c r="AB700" s="8"/>
    </row>
    <row r="701" spans="26:28">
      <c r="Z701" s="123"/>
      <c r="AA701" s="123"/>
      <c r="AB701" s="8"/>
    </row>
    <row r="702" spans="26:28">
      <c r="Z702" s="123"/>
      <c r="AA702" s="123"/>
      <c r="AB702" s="8"/>
    </row>
    <row r="703" spans="26:28">
      <c r="Z703" s="123"/>
      <c r="AA703" s="123"/>
      <c r="AB703" s="8"/>
    </row>
    <row r="704" spans="26:28">
      <c r="Z704" s="123"/>
      <c r="AA704" s="123"/>
      <c r="AB704" s="8"/>
    </row>
    <row r="705" spans="26:28">
      <c r="Z705" s="123"/>
      <c r="AA705" s="123"/>
      <c r="AB705" s="8"/>
    </row>
    <row r="706" spans="26:28">
      <c r="Z706" s="123"/>
      <c r="AA706" s="123"/>
      <c r="AB706" s="8"/>
    </row>
    <row r="707" spans="26:28">
      <c r="Z707" s="123"/>
      <c r="AA707" s="123"/>
      <c r="AB707" s="8"/>
    </row>
    <row r="708" spans="26:28">
      <c r="Z708" s="123"/>
      <c r="AA708" s="123"/>
      <c r="AB708" s="8"/>
    </row>
    <row r="709" spans="26:28">
      <c r="Z709" s="123"/>
      <c r="AA709" s="123"/>
      <c r="AB709" s="8"/>
    </row>
    <row r="710" spans="26:28">
      <c r="Z710" s="123"/>
      <c r="AA710" s="123"/>
      <c r="AB710" s="8"/>
    </row>
    <row r="711" spans="26:28">
      <c r="Z711" s="123"/>
      <c r="AA711" s="123"/>
      <c r="AB711" s="8"/>
    </row>
    <row r="712" spans="26:28">
      <c r="Z712" s="123"/>
      <c r="AA712" s="123"/>
      <c r="AB712" s="8"/>
    </row>
    <row r="713" spans="26:28">
      <c r="Z713" s="123"/>
      <c r="AA713" s="123"/>
      <c r="AB713" s="8"/>
    </row>
    <row r="714" spans="26:28">
      <c r="Z714" s="123"/>
      <c r="AA714" s="123"/>
      <c r="AB714" s="8"/>
    </row>
    <row r="715" spans="26:28">
      <c r="Z715" s="123"/>
      <c r="AA715" s="123"/>
      <c r="AB715" s="8"/>
    </row>
    <row r="716" spans="26:28">
      <c r="Z716" s="123"/>
      <c r="AA716" s="123"/>
      <c r="AB716" s="8"/>
    </row>
    <row r="717" spans="26:28">
      <c r="Z717" s="123"/>
      <c r="AA717" s="123"/>
      <c r="AB717" s="8"/>
    </row>
    <row r="718" spans="26:28">
      <c r="Z718" s="123"/>
      <c r="AA718" s="123"/>
      <c r="AB718" s="8"/>
    </row>
    <row r="719" spans="26:28">
      <c r="Z719" s="123"/>
      <c r="AA719" s="123"/>
      <c r="AB719" s="8"/>
    </row>
    <row r="720" spans="26:28">
      <c r="Z720" s="123"/>
      <c r="AA720" s="123"/>
      <c r="AB720" s="8"/>
    </row>
    <row r="721" spans="26:28">
      <c r="Z721" s="123"/>
      <c r="AA721" s="123"/>
      <c r="AB721" s="8"/>
    </row>
    <row r="722" spans="26:28">
      <c r="Z722" s="123"/>
      <c r="AA722" s="123"/>
      <c r="AB722" s="8"/>
    </row>
    <row r="723" spans="26:28">
      <c r="Z723" s="123"/>
      <c r="AA723" s="123"/>
      <c r="AB723" s="8"/>
    </row>
    <row r="724" spans="26:28">
      <c r="Z724" s="123"/>
      <c r="AA724" s="123"/>
      <c r="AB724" s="8"/>
    </row>
    <row r="725" spans="26:28">
      <c r="Z725" s="123"/>
      <c r="AA725" s="123"/>
      <c r="AB725" s="8"/>
    </row>
    <row r="726" spans="26:28">
      <c r="Z726" s="123"/>
      <c r="AA726" s="123"/>
      <c r="AB726" s="8"/>
    </row>
    <row r="727" spans="26:28">
      <c r="Z727" s="123"/>
      <c r="AA727" s="123"/>
      <c r="AB727" s="8"/>
    </row>
    <row r="728" spans="26:28">
      <c r="Z728" s="123"/>
      <c r="AA728" s="123"/>
      <c r="AB728" s="8"/>
    </row>
    <row r="729" spans="26:28">
      <c r="Z729" s="123"/>
      <c r="AA729" s="123"/>
      <c r="AB729" s="8"/>
    </row>
    <row r="730" spans="26:28">
      <c r="Z730" s="123"/>
      <c r="AA730" s="123"/>
      <c r="AB730" s="8"/>
    </row>
    <row r="731" spans="26:28">
      <c r="Z731" s="123"/>
      <c r="AA731" s="123"/>
      <c r="AB731" s="8"/>
    </row>
    <row r="732" spans="26:28">
      <c r="Z732" s="123"/>
      <c r="AA732" s="123"/>
      <c r="AB732" s="8"/>
    </row>
    <row r="733" spans="26:28">
      <c r="Z733" s="123"/>
      <c r="AA733" s="123"/>
      <c r="AB733" s="8"/>
    </row>
    <row r="734" spans="26:28">
      <c r="Z734" s="123"/>
      <c r="AA734" s="123"/>
      <c r="AB734" s="8"/>
    </row>
    <row r="735" spans="26:28">
      <c r="Z735" s="123"/>
      <c r="AA735" s="123"/>
      <c r="AB735" s="8"/>
    </row>
    <row r="736" spans="26:28">
      <c r="Z736" s="123"/>
      <c r="AA736" s="123"/>
      <c r="AB736" s="8"/>
    </row>
    <row r="737" spans="26:28">
      <c r="Z737" s="123"/>
      <c r="AA737" s="123"/>
      <c r="AB737" s="8"/>
    </row>
    <row r="738" spans="26:28">
      <c r="Z738" s="123"/>
      <c r="AA738" s="123"/>
      <c r="AB738" s="8"/>
    </row>
    <row r="739" spans="26:28">
      <c r="Z739" s="123"/>
      <c r="AA739" s="123"/>
      <c r="AB739" s="8"/>
    </row>
    <row r="740" spans="26:28">
      <c r="Z740" s="123"/>
      <c r="AA740" s="123"/>
      <c r="AB740" s="8"/>
    </row>
    <row r="741" spans="26:28">
      <c r="Z741" s="123"/>
      <c r="AA741" s="123"/>
      <c r="AB741" s="8"/>
    </row>
    <row r="742" spans="26:28">
      <c r="Z742" s="123"/>
      <c r="AA742" s="123"/>
      <c r="AB742" s="8"/>
    </row>
    <row r="743" spans="26:28">
      <c r="Z743" s="123"/>
      <c r="AA743" s="123"/>
      <c r="AB743" s="8"/>
    </row>
    <row r="744" spans="26:28">
      <c r="Z744" s="123"/>
      <c r="AA744" s="123"/>
      <c r="AB744" s="8"/>
    </row>
    <row r="745" spans="26:28">
      <c r="Z745" s="123"/>
      <c r="AA745" s="123"/>
      <c r="AB745" s="8"/>
    </row>
    <row r="746" spans="26:28">
      <c r="Z746" s="123"/>
      <c r="AA746" s="123"/>
      <c r="AB746" s="8"/>
    </row>
    <row r="747" spans="26:28">
      <c r="Z747" s="123"/>
      <c r="AA747" s="123"/>
      <c r="AB747" s="8"/>
    </row>
    <row r="748" spans="26:28">
      <c r="Z748" s="123"/>
      <c r="AA748" s="123"/>
      <c r="AB748" s="8"/>
    </row>
    <row r="749" spans="26:28">
      <c r="Z749" s="123"/>
      <c r="AA749" s="123"/>
      <c r="AB749" s="8"/>
    </row>
    <row r="750" spans="26:28">
      <c r="Z750" s="123"/>
      <c r="AA750" s="123"/>
      <c r="AB750" s="8"/>
    </row>
    <row r="751" spans="26:28">
      <c r="Z751" s="123"/>
      <c r="AA751" s="123"/>
      <c r="AB751" s="8"/>
    </row>
    <row r="752" spans="26:28">
      <c r="Z752" s="123"/>
      <c r="AA752" s="123"/>
      <c r="AB752" s="8"/>
    </row>
    <row r="753" spans="26:28">
      <c r="Z753" s="123"/>
      <c r="AA753" s="123"/>
      <c r="AB753" s="8"/>
    </row>
    <row r="754" spans="26:28">
      <c r="Z754" s="123"/>
      <c r="AA754" s="123"/>
      <c r="AB754" s="8"/>
    </row>
    <row r="755" spans="26:28">
      <c r="Z755" s="123"/>
      <c r="AA755" s="123"/>
      <c r="AB755" s="8"/>
    </row>
    <row r="756" spans="26:28">
      <c r="Z756" s="123"/>
      <c r="AA756" s="123"/>
      <c r="AB756" s="8"/>
    </row>
    <row r="757" spans="26:28">
      <c r="Z757" s="123"/>
      <c r="AA757" s="123"/>
      <c r="AB757" s="8"/>
    </row>
    <row r="758" spans="26:28">
      <c r="Z758" s="123"/>
      <c r="AA758" s="123"/>
      <c r="AB758" s="8"/>
    </row>
    <row r="759" spans="26:28">
      <c r="Z759" s="123"/>
      <c r="AA759" s="123"/>
      <c r="AB759" s="8"/>
    </row>
    <row r="760" spans="26:28">
      <c r="Z760" s="123"/>
      <c r="AA760" s="123"/>
      <c r="AB760" s="8"/>
    </row>
    <row r="761" spans="26:28">
      <c r="Z761" s="123"/>
      <c r="AA761" s="123"/>
      <c r="AB761" s="8"/>
    </row>
    <row r="762" spans="26:28">
      <c r="Z762" s="123"/>
      <c r="AA762" s="123"/>
      <c r="AB762" s="8"/>
    </row>
    <row r="763" spans="26:28">
      <c r="Z763" s="123"/>
      <c r="AA763" s="123"/>
      <c r="AB763" s="8"/>
    </row>
    <row r="764" spans="26:28">
      <c r="Z764" s="123"/>
      <c r="AA764" s="123"/>
      <c r="AB764" s="8"/>
    </row>
    <row r="765" spans="26:28">
      <c r="Z765" s="123"/>
      <c r="AA765" s="123"/>
      <c r="AB765" s="8"/>
    </row>
    <row r="766" spans="26:28">
      <c r="Z766" s="123"/>
      <c r="AA766" s="123"/>
      <c r="AB766" s="8"/>
    </row>
    <row r="767" spans="26:28">
      <c r="Z767" s="123"/>
      <c r="AA767" s="123"/>
      <c r="AB767" s="8"/>
    </row>
    <row r="768" spans="26:28">
      <c r="Z768" s="123"/>
      <c r="AA768" s="123"/>
      <c r="AB768" s="8"/>
    </row>
    <row r="769" spans="26:28">
      <c r="Z769" s="123"/>
      <c r="AA769" s="123"/>
      <c r="AB769" s="8"/>
    </row>
    <row r="770" spans="26:28">
      <c r="Z770" s="123"/>
      <c r="AA770" s="123"/>
      <c r="AB770" s="8"/>
    </row>
    <row r="771" spans="26:28">
      <c r="Z771" s="123"/>
      <c r="AA771" s="123"/>
      <c r="AB771" s="8"/>
    </row>
    <row r="772" spans="26:28">
      <c r="Z772" s="123"/>
      <c r="AA772" s="123"/>
      <c r="AB772" s="8"/>
    </row>
    <row r="773" spans="26:28">
      <c r="Z773" s="123"/>
      <c r="AA773" s="123"/>
      <c r="AB773" s="8"/>
    </row>
    <row r="774" spans="26:28">
      <c r="Z774" s="123"/>
      <c r="AA774" s="123"/>
      <c r="AB774" s="8"/>
    </row>
    <row r="775" spans="26:28">
      <c r="Z775" s="123"/>
      <c r="AA775" s="123"/>
      <c r="AB775" s="8"/>
    </row>
    <row r="776" spans="26:28">
      <c r="Z776" s="123"/>
      <c r="AA776" s="123"/>
      <c r="AB776" s="8"/>
    </row>
    <row r="777" spans="26:28">
      <c r="Z777" s="123"/>
      <c r="AA777" s="123"/>
      <c r="AB777" s="8"/>
    </row>
    <row r="778" spans="26:28">
      <c r="Z778" s="123"/>
      <c r="AA778" s="123"/>
      <c r="AB778" s="8"/>
    </row>
    <row r="779" spans="26:28">
      <c r="Z779" s="123"/>
      <c r="AA779" s="123"/>
      <c r="AB779" s="8"/>
    </row>
    <row r="780" spans="26:28">
      <c r="Z780" s="123"/>
      <c r="AA780" s="123"/>
      <c r="AB780" s="8"/>
    </row>
    <row r="781" spans="26:28">
      <c r="Z781" s="123"/>
      <c r="AA781" s="123"/>
      <c r="AB781" s="8"/>
    </row>
    <row r="782" spans="26:28">
      <c r="Z782" s="123"/>
      <c r="AA782" s="123"/>
      <c r="AB782" s="8"/>
    </row>
    <row r="783" spans="26:28">
      <c r="Z783" s="123"/>
      <c r="AA783" s="123"/>
      <c r="AB783" s="8"/>
    </row>
    <row r="784" spans="26:28">
      <c r="Z784" s="123"/>
      <c r="AA784" s="123"/>
      <c r="AB784" s="8"/>
    </row>
    <row r="785" spans="26:28">
      <c r="Z785" s="123"/>
      <c r="AA785" s="123"/>
      <c r="AB785" s="8"/>
    </row>
    <row r="786" spans="26:28">
      <c r="Z786" s="123"/>
      <c r="AA786" s="123"/>
      <c r="AB786" s="8"/>
    </row>
    <row r="787" spans="26:28">
      <c r="Z787" s="123"/>
      <c r="AA787" s="123"/>
      <c r="AB787" s="8"/>
    </row>
    <row r="788" spans="26:28">
      <c r="Z788" s="123"/>
      <c r="AA788" s="123"/>
      <c r="AB788" s="8"/>
    </row>
    <row r="789" spans="26:28">
      <c r="Z789" s="123"/>
      <c r="AA789" s="123"/>
      <c r="AB789" s="8"/>
    </row>
    <row r="790" spans="26:28">
      <c r="Z790" s="123"/>
      <c r="AA790" s="123"/>
      <c r="AB790" s="8"/>
    </row>
    <row r="791" spans="26:28">
      <c r="Z791" s="123"/>
      <c r="AA791" s="123"/>
      <c r="AB791" s="8"/>
    </row>
    <row r="792" spans="26:28">
      <c r="Z792" s="123"/>
      <c r="AA792" s="123"/>
      <c r="AB792" s="8"/>
    </row>
    <row r="793" spans="26:28">
      <c r="Z793" s="123"/>
      <c r="AA793" s="123"/>
      <c r="AB793" s="8"/>
    </row>
    <row r="794" spans="26:28">
      <c r="Z794" s="123"/>
      <c r="AA794" s="123"/>
      <c r="AB794" s="8"/>
    </row>
    <row r="795" spans="26:28">
      <c r="Z795" s="123"/>
      <c r="AA795" s="123"/>
      <c r="AB795" s="8"/>
    </row>
    <row r="796" spans="26:28">
      <c r="Z796" s="123"/>
      <c r="AA796" s="123"/>
      <c r="AB796" s="8"/>
    </row>
    <row r="797" spans="26:28">
      <c r="Z797" s="123"/>
      <c r="AA797" s="123"/>
      <c r="AB797" s="8"/>
    </row>
    <row r="798" spans="26:28">
      <c r="Z798" s="123"/>
      <c r="AA798" s="123"/>
      <c r="AB798" s="8"/>
    </row>
    <row r="799" spans="26:28">
      <c r="Z799" s="123"/>
      <c r="AA799" s="123"/>
      <c r="AB799" s="8"/>
    </row>
    <row r="800" spans="26:28">
      <c r="Z800" s="123"/>
      <c r="AA800" s="123"/>
      <c r="AB800" s="8"/>
    </row>
    <row r="801" spans="26:28">
      <c r="Z801" s="123"/>
      <c r="AA801" s="123"/>
      <c r="AB801" s="8"/>
    </row>
    <row r="802" spans="26:28">
      <c r="Z802" s="123"/>
      <c r="AA802" s="123"/>
      <c r="AB802" s="8"/>
    </row>
    <row r="803" spans="26:28">
      <c r="Z803" s="123"/>
      <c r="AA803" s="123"/>
      <c r="AB803" s="8"/>
    </row>
    <row r="804" spans="26:28">
      <c r="Z804" s="123"/>
      <c r="AA804" s="123"/>
      <c r="AB804" s="8"/>
    </row>
    <row r="805" spans="26:28">
      <c r="Z805" s="123"/>
      <c r="AA805" s="123"/>
      <c r="AB805" s="8"/>
    </row>
    <row r="806" spans="26:28">
      <c r="Z806" s="123"/>
      <c r="AA806" s="123"/>
      <c r="AB806" s="8"/>
    </row>
    <row r="807" spans="26:28">
      <c r="Z807" s="123"/>
      <c r="AA807" s="123"/>
      <c r="AB807" s="8"/>
    </row>
    <row r="808" spans="26:28">
      <c r="Z808" s="123"/>
      <c r="AA808" s="123"/>
      <c r="AB808" s="8"/>
    </row>
    <row r="809" spans="26:28">
      <c r="Z809" s="123"/>
      <c r="AA809" s="123"/>
      <c r="AB809" s="8"/>
    </row>
    <row r="810" spans="26:28">
      <c r="Z810" s="123"/>
      <c r="AA810" s="123"/>
      <c r="AB810" s="8"/>
    </row>
    <row r="811" spans="26:28">
      <c r="Z811" s="123"/>
      <c r="AA811" s="123"/>
      <c r="AB811" s="8"/>
    </row>
    <row r="812" spans="26:28">
      <c r="Z812" s="123"/>
      <c r="AA812" s="123"/>
      <c r="AB812" s="8"/>
    </row>
    <row r="813" spans="26:28">
      <c r="Z813" s="123"/>
      <c r="AA813" s="123"/>
      <c r="AB813" s="8"/>
    </row>
    <row r="814" spans="26:28">
      <c r="Z814" s="123"/>
      <c r="AA814" s="123"/>
      <c r="AB814" s="8"/>
    </row>
    <row r="815" spans="26:28">
      <c r="Z815" s="123"/>
      <c r="AA815" s="123"/>
      <c r="AB815" s="8"/>
    </row>
    <row r="816" spans="26:28">
      <c r="Z816" s="123"/>
      <c r="AA816" s="123"/>
      <c r="AB816" s="8"/>
    </row>
    <row r="817" spans="26:28">
      <c r="Z817" s="123"/>
      <c r="AA817" s="123"/>
      <c r="AB817" s="8"/>
    </row>
    <row r="818" spans="26:28">
      <c r="Z818" s="123"/>
      <c r="AA818" s="123"/>
      <c r="AB818" s="8"/>
    </row>
    <row r="819" spans="26:28">
      <c r="Z819" s="123"/>
      <c r="AA819" s="123"/>
      <c r="AB819" s="8"/>
    </row>
    <row r="820" spans="26:28">
      <c r="Z820" s="123"/>
      <c r="AA820" s="123"/>
      <c r="AB820" s="8"/>
    </row>
    <row r="821" spans="26:28">
      <c r="Z821" s="123"/>
      <c r="AA821" s="123"/>
      <c r="AB821" s="8"/>
    </row>
    <row r="822" spans="26:28">
      <c r="Z822" s="123"/>
      <c r="AA822" s="123"/>
      <c r="AB822" s="8"/>
    </row>
    <row r="823" spans="26:28">
      <c r="Z823" s="123"/>
      <c r="AA823" s="123"/>
      <c r="AB823" s="8"/>
    </row>
    <row r="824" spans="26:28">
      <c r="Z824" s="123"/>
      <c r="AA824" s="123"/>
      <c r="AB824" s="8"/>
    </row>
    <row r="825" spans="26:28">
      <c r="Z825" s="123"/>
      <c r="AA825" s="123"/>
      <c r="AB825" s="8"/>
    </row>
    <row r="826" spans="26:28">
      <c r="Z826" s="123"/>
      <c r="AA826" s="123"/>
      <c r="AB826" s="8"/>
    </row>
    <row r="827" spans="26:28">
      <c r="Z827" s="123"/>
      <c r="AA827" s="123"/>
      <c r="AB827" s="8"/>
    </row>
    <row r="828" spans="26:28">
      <c r="Z828" s="123"/>
      <c r="AA828" s="123"/>
      <c r="AB828" s="8"/>
    </row>
    <row r="829" spans="26:28">
      <c r="Z829" s="123"/>
      <c r="AA829" s="123"/>
      <c r="AB829" s="8"/>
    </row>
    <row r="830" spans="26:28">
      <c r="Z830" s="123"/>
      <c r="AA830" s="123"/>
      <c r="AB830" s="8"/>
    </row>
    <row r="831" spans="26:28">
      <c r="Z831" s="123"/>
      <c r="AA831" s="123"/>
      <c r="AB831" s="8"/>
    </row>
    <row r="832" spans="26:28">
      <c r="Z832" s="123"/>
      <c r="AA832" s="123"/>
      <c r="AB832" s="8"/>
    </row>
    <row r="833" spans="26:28">
      <c r="Z833" s="123"/>
      <c r="AA833" s="123"/>
      <c r="AB833" s="8"/>
    </row>
    <row r="834" spans="26:28">
      <c r="Z834" s="123"/>
      <c r="AA834" s="123"/>
      <c r="AB834" s="8"/>
    </row>
    <row r="835" spans="26:28">
      <c r="Z835" s="123"/>
      <c r="AA835" s="123"/>
      <c r="AB835" s="8"/>
    </row>
    <row r="836" spans="26:28">
      <c r="Z836" s="123"/>
      <c r="AA836" s="123"/>
      <c r="AB836" s="8"/>
    </row>
    <row r="837" spans="26:28">
      <c r="Z837" s="123"/>
      <c r="AA837" s="123"/>
      <c r="AB837" s="8"/>
    </row>
    <row r="838" spans="26:28">
      <c r="Z838" s="123"/>
      <c r="AA838" s="123"/>
      <c r="AB838" s="8"/>
    </row>
    <row r="839" spans="26:28">
      <c r="Z839" s="123"/>
      <c r="AA839" s="123"/>
      <c r="AB839" s="8"/>
    </row>
    <row r="840" spans="26:28">
      <c r="Z840" s="123"/>
      <c r="AA840" s="123"/>
      <c r="AB840" s="8"/>
    </row>
    <row r="841" spans="26:28">
      <c r="Z841" s="123"/>
      <c r="AA841" s="123"/>
      <c r="AB841" s="8"/>
    </row>
    <row r="842" spans="26:28">
      <c r="Z842" s="123"/>
      <c r="AA842" s="123"/>
      <c r="AB842" s="8"/>
    </row>
    <row r="843" spans="26:28">
      <c r="Z843" s="123"/>
      <c r="AA843" s="123"/>
      <c r="AB843" s="8"/>
    </row>
    <row r="844" spans="26:28">
      <c r="Z844" s="123"/>
      <c r="AA844" s="123"/>
      <c r="AB844" s="8"/>
    </row>
    <row r="845" spans="26:28">
      <c r="Z845" s="123"/>
      <c r="AA845" s="123"/>
      <c r="AB845" s="8"/>
    </row>
    <row r="846" spans="26:28">
      <c r="Z846" s="123"/>
      <c r="AA846" s="123"/>
      <c r="AB846" s="8"/>
    </row>
    <row r="847" spans="26:28">
      <c r="Z847" s="123"/>
      <c r="AA847" s="123"/>
      <c r="AB847" s="8"/>
    </row>
    <row r="848" spans="26:28">
      <c r="Z848" s="123"/>
      <c r="AA848" s="123"/>
      <c r="AB848" s="8"/>
    </row>
    <row r="849" spans="26:28">
      <c r="Z849" s="123"/>
      <c r="AA849" s="123"/>
      <c r="AB849" s="8"/>
    </row>
    <row r="850" spans="26:28">
      <c r="Z850" s="123"/>
      <c r="AA850" s="123"/>
      <c r="AB850" s="8"/>
    </row>
    <row r="851" spans="26:28">
      <c r="Z851" s="123"/>
      <c r="AA851" s="123"/>
      <c r="AB851" s="8"/>
    </row>
    <row r="852" spans="26:28">
      <c r="Z852" s="123"/>
      <c r="AA852" s="123"/>
      <c r="AB852" s="8"/>
    </row>
    <row r="853" spans="26:28">
      <c r="Z853" s="123"/>
      <c r="AA853" s="123"/>
      <c r="AB853" s="8"/>
    </row>
    <row r="854" spans="26:28">
      <c r="Z854" s="123"/>
      <c r="AA854" s="123"/>
      <c r="AB854" s="8"/>
    </row>
    <row r="855" spans="26:28">
      <c r="Z855" s="123"/>
      <c r="AA855" s="123"/>
      <c r="AB855" s="8"/>
    </row>
    <row r="856" spans="26:28">
      <c r="Z856" s="123"/>
      <c r="AA856" s="123"/>
      <c r="AB856" s="8"/>
    </row>
    <row r="857" spans="26:28">
      <c r="Z857" s="123"/>
      <c r="AA857" s="123"/>
      <c r="AB857" s="8"/>
    </row>
    <row r="858" spans="26:28">
      <c r="Z858" s="123"/>
      <c r="AA858" s="123"/>
      <c r="AB858" s="8"/>
    </row>
    <row r="859" spans="26:28">
      <c r="Z859" s="123"/>
      <c r="AA859" s="123"/>
      <c r="AB859" s="8"/>
    </row>
    <row r="860" spans="26:28">
      <c r="Z860" s="123"/>
      <c r="AA860" s="123"/>
      <c r="AB860" s="8"/>
    </row>
    <row r="861" spans="26:28">
      <c r="Z861" s="123"/>
      <c r="AA861" s="123"/>
      <c r="AB861" s="8"/>
    </row>
    <row r="862" spans="26:28">
      <c r="Z862" s="123"/>
      <c r="AA862" s="123"/>
      <c r="AB862" s="8"/>
    </row>
    <row r="863" spans="26:28">
      <c r="Z863" s="123"/>
      <c r="AA863" s="123"/>
      <c r="AB863" s="8"/>
    </row>
    <row r="864" spans="26:28">
      <c r="Z864" s="123"/>
      <c r="AA864" s="123"/>
      <c r="AB864" s="8"/>
    </row>
    <row r="865" spans="26:28">
      <c r="Z865" s="123"/>
      <c r="AA865" s="123"/>
      <c r="AB865" s="8"/>
    </row>
    <row r="866" spans="26:28">
      <c r="Z866" s="123"/>
      <c r="AA866" s="123"/>
      <c r="AB866" s="8"/>
    </row>
    <row r="867" spans="26:28">
      <c r="Z867" s="123"/>
      <c r="AA867" s="123"/>
      <c r="AB867" s="8"/>
    </row>
    <row r="868" spans="26:28">
      <c r="Z868" s="123"/>
      <c r="AA868" s="123"/>
      <c r="AB868" s="8"/>
    </row>
    <row r="869" spans="26:28">
      <c r="Z869" s="123"/>
      <c r="AA869" s="123"/>
      <c r="AB869" s="8"/>
    </row>
    <row r="870" spans="26:28">
      <c r="Z870" s="123"/>
      <c r="AA870" s="123"/>
      <c r="AB870" s="8"/>
    </row>
    <row r="871" spans="26:28">
      <c r="Z871" s="123"/>
      <c r="AA871" s="123"/>
      <c r="AB871" s="8"/>
    </row>
    <row r="872" spans="26:28">
      <c r="Z872" s="123"/>
      <c r="AA872" s="123"/>
      <c r="AB872" s="8"/>
    </row>
    <row r="873" spans="26:28">
      <c r="Z873" s="123"/>
      <c r="AA873" s="123"/>
      <c r="AB873" s="8"/>
    </row>
    <row r="874" spans="26:28">
      <c r="Z874" s="123"/>
      <c r="AA874" s="123"/>
      <c r="AB874" s="8"/>
    </row>
    <row r="875" spans="26:28">
      <c r="Z875" s="123"/>
      <c r="AA875" s="123"/>
      <c r="AB875" s="8"/>
    </row>
    <row r="876" spans="26:28">
      <c r="Z876" s="123"/>
      <c r="AA876" s="123"/>
      <c r="AB876" s="8"/>
    </row>
    <row r="877" spans="26:28">
      <c r="Z877" s="123"/>
      <c r="AA877" s="123"/>
      <c r="AB877" s="8"/>
    </row>
    <row r="878" spans="26:28">
      <c r="Z878" s="123"/>
      <c r="AA878" s="123"/>
      <c r="AB878" s="8"/>
    </row>
    <row r="879" spans="26:28">
      <c r="Z879" s="123"/>
      <c r="AA879" s="123"/>
      <c r="AB879" s="8"/>
    </row>
    <row r="880" spans="26:28">
      <c r="Z880" s="123"/>
      <c r="AA880" s="123"/>
      <c r="AB880" s="8"/>
    </row>
    <row r="881" spans="26:28">
      <c r="Z881" s="123"/>
      <c r="AA881" s="123"/>
      <c r="AB881" s="8"/>
    </row>
    <row r="882" spans="26:28">
      <c r="Z882" s="123"/>
      <c r="AA882" s="123"/>
      <c r="AB882" s="8"/>
    </row>
    <row r="883" spans="26:28">
      <c r="Z883" s="123"/>
      <c r="AA883" s="123"/>
      <c r="AB883" s="8"/>
    </row>
    <row r="884" spans="26:28">
      <c r="Z884" s="123"/>
      <c r="AA884" s="123"/>
      <c r="AB884" s="8"/>
    </row>
    <row r="885" spans="26:28">
      <c r="Z885" s="123"/>
      <c r="AA885" s="123"/>
      <c r="AB885" s="8"/>
    </row>
    <row r="886" spans="26:28">
      <c r="Z886" s="123"/>
      <c r="AA886" s="123"/>
      <c r="AB886" s="8"/>
    </row>
    <row r="887" spans="26:28">
      <c r="Z887" s="123"/>
      <c r="AA887" s="123"/>
      <c r="AB887" s="8"/>
    </row>
    <row r="888" spans="26:28">
      <c r="Z888" s="123"/>
      <c r="AA888" s="123"/>
      <c r="AB888" s="8"/>
    </row>
    <row r="889" spans="26:28">
      <c r="Z889" s="123"/>
      <c r="AA889" s="123"/>
      <c r="AB889" s="8"/>
    </row>
    <row r="890" spans="26:28">
      <c r="Z890" s="123"/>
      <c r="AA890" s="123"/>
      <c r="AB890" s="8"/>
    </row>
    <row r="891" spans="26:28">
      <c r="Z891" s="123"/>
      <c r="AA891" s="123"/>
      <c r="AB891" s="8"/>
    </row>
    <row r="892" spans="26:28">
      <c r="Z892" s="123"/>
      <c r="AA892" s="123"/>
      <c r="AB892" s="8"/>
    </row>
    <row r="893" spans="26:28">
      <c r="Z893" s="123"/>
      <c r="AA893" s="123"/>
      <c r="AB893" s="8"/>
    </row>
    <row r="894" spans="26:28">
      <c r="Z894" s="123"/>
      <c r="AA894" s="123"/>
      <c r="AB894" s="8"/>
    </row>
    <row r="895" spans="26:28">
      <c r="Z895" s="123"/>
      <c r="AA895" s="123"/>
      <c r="AB895" s="8"/>
    </row>
    <row r="896" spans="26:28">
      <c r="Z896" s="123"/>
      <c r="AA896" s="123"/>
      <c r="AB896" s="8"/>
    </row>
    <row r="897" spans="26:28">
      <c r="Z897" s="123"/>
      <c r="AA897" s="123"/>
      <c r="AB897" s="8"/>
    </row>
    <row r="898" spans="26:28">
      <c r="Z898" s="123"/>
      <c r="AA898" s="123"/>
      <c r="AB898" s="8"/>
    </row>
    <row r="899" spans="26:28">
      <c r="Z899" s="123"/>
      <c r="AA899" s="123"/>
      <c r="AB899" s="8"/>
    </row>
    <row r="900" spans="26:28">
      <c r="Z900" s="123"/>
      <c r="AA900" s="123"/>
      <c r="AB900" s="8"/>
    </row>
    <row r="901" spans="26:28">
      <c r="Z901" s="123"/>
      <c r="AA901" s="123"/>
      <c r="AB901" s="8"/>
    </row>
    <row r="902" spans="26:28">
      <c r="Z902" s="123"/>
      <c r="AA902" s="123"/>
      <c r="AB902" s="8"/>
    </row>
    <row r="903" spans="26:28">
      <c r="Z903" s="123"/>
      <c r="AA903" s="123"/>
      <c r="AB903" s="8"/>
    </row>
    <row r="904" spans="26:28">
      <c r="Z904" s="123"/>
      <c r="AA904" s="123"/>
      <c r="AB904" s="8"/>
    </row>
    <row r="905" spans="26:28">
      <c r="Z905" s="123"/>
      <c r="AA905" s="123"/>
      <c r="AB905" s="8"/>
    </row>
    <row r="906" spans="26:28">
      <c r="Z906" s="123"/>
      <c r="AA906" s="123"/>
      <c r="AB906" s="8"/>
    </row>
    <row r="907" spans="26:28">
      <c r="Z907" s="123"/>
      <c r="AA907" s="123"/>
      <c r="AB907" s="8"/>
    </row>
    <row r="908" spans="26:28">
      <c r="Z908" s="123"/>
      <c r="AA908" s="123"/>
      <c r="AB908" s="8"/>
    </row>
    <row r="909" spans="26:28">
      <c r="Z909" s="123"/>
      <c r="AA909" s="123"/>
      <c r="AB909" s="8"/>
    </row>
    <row r="910" spans="26:28">
      <c r="Z910" s="123"/>
      <c r="AA910" s="123"/>
      <c r="AB910" s="8"/>
    </row>
    <row r="911" spans="26:28">
      <c r="Z911" s="123"/>
      <c r="AA911" s="123"/>
      <c r="AB911" s="8"/>
    </row>
    <row r="912" spans="26:28">
      <c r="Z912" s="123"/>
      <c r="AA912" s="123"/>
      <c r="AB912" s="8"/>
    </row>
    <row r="913" spans="26:28">
      <c r="Z913" s="123"/>
      <c r="AA913" s="123"/>
      <c r="AB913" s="8"/>
    </row>
    <row r="914" spans="26:28">
      <c r="Z914" s="123"/>
      <c r="AA914" s="123"/>
      <c r="AB914" s="8"/>
    </row>
    <row r="915" spans="26:28">
      <c r="Z915" s="123"/>
      <c r="AA915" s="123"/>
      <c r="AB915" s="8"/>
    </row>
    <row r="916" spans="26:28">
      <c r="Z916" s="123"/>
      <c r="AA916" s="123"/>
      <c r="AB916" s="8"/>
    </row>
    <row r="917" spans="26:28">
      <c r="Z917" s="123"/>
      <c r="AA917" s="123"/>
      <c r="AB917" s="8"/>
    </row>
    <row r="918" spans="26:28">
      <c r="Z918" s="123"/>
      <c r="AA918" s="123"/>
      <c r="AB918" s="8"/>
    </row>
    <row r="919" spans="26:28">
      <c r="Z919" s="123"/>
      <c r="AA919" s="123"/>
      <c r="AB919" s="8"/>
    </row>
    <row r="920" spans="26:28">
      <c r="Z920" s="123"/>
      <c r="AA920" s="123"/>
      <c r="AB920" s="8"/>
    </row>
    <row r="921" spans="26:28">
      <c r="Z921" s="123"/>
      <c r="AA921" s="123"/>
      <c r="AB921" s="8"/>
    </row>
    <row r="922" spans="26:28">
      <c r="Z922" s="123"/>
      <c r="AA922" s="123"/>
      <c r="AB922" s="8"/>
    </row>
    <row r="923" spans="26:28">
      <c r="Z923" s="123"/>
      <c r="AA923" s="123"/>
      <c r="AB923" s="8"/>
    </row>
    <row r="924" spans="26:28">
      <c r="Z924" s="123"/>
      <c r="AA924" s="123"/>
      <c r="AB924" s="8"/>
    </row>
    <row r="925" spans="26:28">
      <c r="Z925" s="123"/>
      <c r="AA925" s="123"/>
      <c r="AB925" s="8"/>
    </row>
    <row r="926" spans="26:28">
      <c r="Z926" s="123"/>
      <c r="AA926" s="123"/>
      <c r="AB926" s="8"/>
    </row>
    <row r="927" spans="26:28">
      <c r="Z927" s="123"/>
      <c r="AA927" s="123"/>
      <c r="AB927" s="8"/>
    </row>
    <row r="928" spans="26:28">
      <c r="Z928" s="123"/>
      <c r="AA928" s="123"/>
      <c r="AB928" s="8"/>
    </row>
    <row r="929" spans="26:28">
      <c r="Z929" s="123"/>
      <c r="AA929" s="123"/>
      <c r="AB929" s="8"/>
    </row>
    <row r="930" spans="26:28">
      <c r="Z930" s="123"/>
      <c r="AA930" s="123"/>
      <c r="AB930" s="8"/>
    </row>
    <row r="931" spans="26:28">
      <c r="Z931" s="123"/>
      <c r="AA931" s="123"/>
      <c r="AB931" s="8"/>
    </row>
    <row r="932" spans="26:28">
      <c r="Z932" s="123"/>
      <c r="AA932" s="123"/>
      <c r="AB932" s="8"/>
    </row>
    <row r="933" spans="26:28">
      <c r="Z933" s="123"/>
      <c r="AA933" s="123"/>
      <c r="AB933" s="8"/>
    </row>
    <row r="934" spans="26:28">
      <c r="Z934" s="123"/>
      <c r="AA934" s="123"/>
      <c r="AB934" s="8"/>
    </row>
    <row r="935" spans="26:28">
      <c r="Z935" s="123"/>
      <c r="AA935" s="123"/>
      <c r="AB935" s="8"/>
    </row>
    <row r="936" spans="26:28">
      <c r="Z936" s="123"/>
      <c r="AA936" s="123"/>
      <c r="AB936" s="8"/>
    </row>
    <row r="937" spans="26:28">
      <c r="Z937" s="123"/>
      <c r="AA937" s="123"/>
      <c r="AB937" s="8"/>
    </row>
    <row r="938" spans="26:28">
      <c r="Z938" s="123"/>
      <c r="AA938" s="123"/>
      <c r="AB938" s="8"/>
    </row>
    <row r="939" spans="26:28">
      <c r="Z939" s="123"/>
      <c r="AA939" s="123"/>
      <c r="AB939" s="8"/>
    </row>
    <row r="940" spans="26:28">
      <c r="Z940" s="123"/>
      <c r="AA940" s="123"/>
      <c r="AB940" s="8"/>
    </row>
    <row r="941" spans="26:28">
      <c r="Z941" s="123"/>
      <c r="AA941" s="123"/>
      <c r="AB941" s="8"/>
    </row>
    <row r="942" spans="26:28">
      <c r="Z942" s="123"/>
      <c r="AA942" s="123"/>
      <c r="AB942" s="8"/>
    </row>
    <row r="943" spans="26:28">
      <c r="Z943" s="123"/>
      <c r="AA943" s="123"/>
      <c r="AB943" s="8"/>
    </row>
    <row r="944" spans="26:28">
      <c r="Z944" s="123"/>
      <c r="AA944" s="123"/>
      <c r="AB944" s="8"/>
    </row>
    <row r="945" spans="26:28">
      <c r="Z945" s="123"/>
      <c r="AA945" s="123"/>
      <c r="AB945" s="8"/>
    </row>
    <row r="946" spans="26:28">
      <c r="Z946" s="123"/>
      <c r="AA946" s="123"/>
      <c r="AB946" s="8"/>
    </row>
    <row r="947" spans="26:28">
      <c r="Z947" s="123"/>
      <c r="AA947" s="123"/>
      <c r="AB947" s="8"/>
    </row>
    <row r="948" spans="26:28">
      <c r="Z948" s="123"/>
      <c r="AA948" s="123"/>
      <c r="AB948" s="8"/>
    </row>
    <row r="949" spans="26:28">
      <c r="Z949" s="123"/>
      <c r="AA949" s="123"/>
      <c r="AB949" s="8"/>
    </row>
    <row r="950" spans="26:28">
      <c r="Z950" s="123"/>
      <c r="AA950" s="123"/>
      <c r="AB950" s="8"/>
    </row>
    <row r="951" spans="26:28">
      <c r="Z951" s="123"/>
      <c r="AA951" s="123"/>
      <c r="AB951" s="8"/>
    </row>
    <row r="952" spans="26:28">
      <c r="Z952" s="123"/>
      <c r="AA952" s="123"/>
      <c r="AB952" s="8"/>
    </row>
    <row r="953" spans="26:28">
      <c r="Z953" s="123"/>
      <c r="AA953" s="123"/>
      <c r="AB953" s="8"/>
    </row>
    <row r="954" spans="26:28">
      <c r="Z954" s="123"/>
      <c r="AA954" s="123"/>
      <c r="AB954" s="8"/>
    </row>
    <row r="955" spans="26:28">
      <c r="Z955" s="123"/>
      <c r="AA955" s="123"/>
      <c r="AB955" s="8"/>
    </row>
    <row r="956" spans="26:28">
      <c r="Z956" s="123"/>
      <c r="AA956" s="123"/>
      <c r="AB956" s="8"/>
    </row>
    <row r="957" spans="26:28">
      <c r="Z957" s="123"/>
      <c r="AA957" s="123"/>
      <c r="AB957" s="8"/>
    </row>
    <row r="958" spans="26:28">
      <c r="Z958" s="123"/>
      <c r="AA958" s="123"/>
      <c r="AB958" s="8"/>
    </row>
    <row r="959" spans="26:28">
      <c r="Z959" s="123"/>
      <c r="AA959" s="123"/>
      <c r="AB959" s="8"/>
    </row>
    <row r="960" spans="26:28">
      <c r="Z960" s="123"/>
      <c r="AA960" s="123"/>
      <c r="AB960" s="8"/>
    </row>
    <row r="961" spans="26:28">
      <c r="Z961" s="123"/>
      <c r="AA961" s="123"/>
      <c r="AB961" s="8"/>
    </row>
    <row r="962" spans="26:28">
      <c r="Z962" s="123"/>
      <c r="AA962" s="123"/>
      <c r="AB962" s="8"/>
    </row>
    <row r="963" spans="26:28">
      <c r="Z963" s="123"/>
      <c r="AA963" s="123"/>
      <c r="AB963" s="8"/>
    </row>
    <row r="964" spans="26:28">
      <c r="Z964" s="123"/>
      <c r="AA964" s="123"/>
      <c r="AB964" s="8"/>
    </row>
    <row r="965" spans="26:28">
      <c r="Z965" s="123"/>
      <c r="AA965" s="123"/>
      <c r="AB965" s="8"/>
    </row>
    <row r="966" spans="26:28">
      <c r="Z966" s="123"/>
      <c r="AA966" s="123"/>
      <c r="AB966" s="8"/>
    </row>
    <row r="967" spans="26:28">
      <c r="Z967" s="123"/>
      <c r="AA967" s="123"/>
      <c r="AB967" s="8"/>
    </row>
    <row r="968" spans="26:28">
      <c r="Z968" s="123"/>
      <c r="AA968" s="123"/>
      <c r="AB968" s="8"/>
    </row>
    <row r="969" spans="26:28">
      <c r="Z969" s="123"/>
      <c r="AA969" s="123"/>
      <c r="AB969" s="8"/>
    </row>
    <row r="970" spans="26:28">
      <c r="Z970" s="123"/>
      <c r="AA970" s="123"/>
      <c r="AB970" s="8"/>
    </row>
    <row r="971" spans="26:28">
      <c r="Z971" s="123"/>
      <c r="AA971" s="123"/>
      <c r="AB971" s="8"/>
    </row>
    <row r="972" spans="26:28">
      <c r="Z972" s="123"/>
      <c r="AA972" s="123"/>
      <c r="AB972" s="8"/>
    </row>
    <row r="973" spans="26:28">
      <c r="Z973" s="123"/>
      <c r="AA973" s="123"/>
      <c r="AB973" s="8"/>
    </row>
    <row r="974" spans="26:28">
      <c r="Z974" s="123"/>
      <c r="AA974" s="123"/>
      <c r="AB974" s="8"/>
    </row>
    <row r="975" spans="26:28">
      <c r="Z975" s="123"/>
      <c r="AA975" s="123"/>
      <c r="AB975" s="8"/>
    </row>
    <row r="976" spans="26:28">
      <c r="Z976" s="123"/>
      <c r="AA976" s="123"/>
      <c r="AB976" s="8"/>
    </row>
    <row r="977" spans="26:28">
      <c r="Z977" s="123"/>
      <c r="AA977" s="123"/>
      <c r="AB977" s="8"/>
    </row>
    <row r="978" spans="26:28">
      <c r="Z978" s="123"/>
      <c r="AA978" s="123"/>
      <c r="AB978" s="8"/>
    </row>
    <row r="979" spans="26:28">
      <c r="Z979" s="123"/>
      <c r="AA979" s="123"/>
      <c r="AB979" s="8"/>
    </row>
    <row r="980" spans="26:28">
      <c r="Z980" s="123"/>
      <c r="AA980" s="123"/>
      <c r="AB980" s="8"/>
    </row>
    <row r="981" spans="26:28">
      <c r="Z981" s="123"/>
      <c r="AA981" s="123"/>
      <c r="AB981" s="8"/>
    </row>
    <row r="982" spans="26:28">
      <c r="Z982" s="123"/>
      <c r="AA982" s="123"/>
      <c r="AB982" s="8"/>
    </row>
    <row r="983" spans="26:28">
      <c r="Z983" s="123"/>
      <c r="AA983" s="123"/>
      <c r="AB983" s="8"/>
    </row>
    <row r="984" spans="26:28">
      <c r="Z984" s="123"/>
      <c r="AA984" s="123"/>
      <c r="AB984" s="8"/>
    </row>
    <row r="985" spans="26:28">
      <c r="Z985" s="123"/>
      <c r="AA985" s="123"/>
      <c r="AB985" s="8"/>
    </row>
    <row r="986" spans="26:28">
      <c r="Z986" s="123"/>
      <c r="AA986" s="123"/>
      <c r="AB986" s="8"/>
    </row>
    <row r="987" spans="26:28">
      <c r="Z987" s="123"/>
      <c r="AA987" s="123"/>
      <c r="AB987" s="8"/>
    </row>
    <row r="988" spans="26:28">
      <c r="Z988" s="123"/>
      <c r="AA988" s="123"/>
      <c r="AB988" s="8"/>
    </row>
    <row r="989" spans="26:28">
      <c r="Z989" s="123"/>
      <c r="AA989" s="123"/>
      <c r="AB989" s="8"/>
    </row>
    <row r="990" spans="26:28">
      <c r="Z990" s="123"/>
      <c r="AA990" s="123"/>
      <c r="AB990" s="8"/>
    </row>
    <row r="991" spans="26:28">
      <c r="Z991" s="123"/>
      <c r="AA991" s="123"/>
      <c r="AB991" s="8"/>
    </row>
    <row r="992" spans="26:28">
      <c r="Z992" s="123"/>
      <c r="AA992" s="123"/>
      <c r="AB992" s="8"/>
    </row>
    <row r="993" spans="26:28">
      <c r="Z993" s="123"/>
      <c r="AA993" s="123"/>
      <c r="AB993" s="8"/>
    </row>
    <row r="994" spans="26:28">
      <c r="Z994" s="123"/>
      <c r="AA994" s="123"/>
      <c r="AB994" s="8"/>
    </row>
    <row r="995" spans="26:28">
      <c r="Z995" s="123"/>
      <c r="AA995" s="123"/>
      <c r="AB995" s="8"/>
    </row>
    <row r="996" spans="26:28">
      <c r="Z996" s="123"/>
      <c r="AA996" s="123"/>
      <c r="AB996" s="8"/>
    </row>
    <row r="997" spans="26:28">
      <c r="Z997" s="123"/>
      <c r="AA997" s="123"/>
      <c r="AB997" s="8"/>
    </row>
    <row r="998" spans="26:28">
      <c r="Z998" s="123"/>
      <c r="AA998" s="123"/>
      <c r="AB998" s="8"/>
    </row>
    <row r="999" spans="26:28">
      <c r="Z999" s="123"/>
      <c r="AA999" s="123"/>
      <c r="AB999" s="8"/>
    </row>
    <row r="1000" spans="26:28">
      <c r="Z1000" s="123"/>
      <c r="AA1000" s="123"/>
      <c r="AB1000" s="8"/>
    </row>
    <row r="1001" spans="26:28">
      <c r="Z1001" s="123"/>
      <c r="AA1001" s="123"/>
      <c r="AB1001" s="8"/>
    </row>
    <row r="1002" spans="26:28">
      <c r="Z1002" s="123"/>
      <c r="AA1002" s="123"/>
      <c r="AB1002" s="8"/>
    </row>
    <row r="1003" spans="26:28">
      <c r="Z1003" s="123"/>
      <c r="AA1003" s="123"/>
      <c r="AB1003" s="8"/>
    </row>
    <row r="1004" spans="26:28">
      <c r="Z1004" s="123"/>
      <c r="AA1004" s="123"/>
      <c r="AB1004" s="8"/>
    </row>
    <row r="1005" spans="26:28">
      <c r="Z1005" s="123"/>
      <c r="AA1005" s="123"/>
      <c r="AB1005" s="8"/>
    </row>
    <row r="1006" spans="26:28">
      <c r="Z1006" s="123"/>
      <c r="AA1006" s="123"/>
      <c r="AB1006" s="8"/>
    </row>
    <row r="1007" spans="26:28">
      <c r="Z1007" s="123"/>
      <c r="AA1007" s="123"/>
      <c r="AB1007" s="8"/>
    </row>
    <row r="1008" spans="26:28">
      <c r="Z1008" s="123"/>
      <c r="AA1008" s="123"/>
      <c r="AB1008" s="8"/>
    </row>
    <row r="1009" spans="26:28">
      <c r="Z1009" s="123"/>
      <c r="AA1009" s="123"/>
      <c r="AB1009" s="8"/>
    </row>
    <row r="1010" spans="26:28">
      <c r="Z1010" s="123"/>
      <c r="AA1010" s="123"/>
      <c r="AB1010" s="8"/>
    </row>
    <row r="1011" spans="26:28">
      <c r="Z1011" s="123"/>
      <c r="AA1011" s="123"/>
      <c r="AB1011" s="8"/>
    </row>
    <row r="1012" spans="26:28">
      <c r="Z1012" s="123"/>
      <c r="AA1012" s="123"/>
      <c r="AB1012" s="8"/>
    </row>
    <row r="1013" spans="26:28">
      <c r="Z1013" s="123"/>
      <c r="AA1013" s="123"/>
      <c r="AB1013" s="8"/>
    </row>
    <row r="1014" spans="26:28">
      <c r="Z1014" s="123"/>
      <c r="AA1014" s="123"/>
      <c r="AB1014" s="8"/>
    </row>
    <row r="1015" spans="26:28">
      <c r="Z1015" s="123"/>
      <c r="AA1015" s="123"/>
      <c r="AB1015" s="8"/>
    </row>
    <row r="1016" spans="26:28">
      <c r="Z1016" s="123"/>
      <c r="AA1016" s="123"/>
      <c r="AB1016" s="8"/>
    </row>
    <row r="1017" spans="26:28">
      <c r="Z1017" s="123"/>
      <c r="AA1017" s="123"/>
      <c r="AB1017" s="8"/>
    </row>
    <row r="1018" spans="26:28">
      <c r="Z1018" s="123"/>
      <c r="AA1018" s="123"/>
      <c r="AB1018" s="8"/>
    </row>
    <row r="1019" spans="26:28">
      <c r="Z1019" s="123"/>
      <c r="AA1019" s="123"/>
      <c r="AB1019" s="8"/>
    </row>
    <row r="1020" spans="26:28">
      <c r="Z1020" s="123"/>
      <c r="AA1020" s="123"/>
      <c r="AB1020" s="8"/>
    </row>
    <row r="1021" spans="26:28">
      <c r="Z1021" s="123"/>
      <c r="AA1021" s="123"/>
      <c r="AB1021" s="8"/>
    </row>
    <row r="1022" spans="26:28">
      <c r="Z1022" s="123"/>
      <c r="AA1022" s="123"/>
      <c r="AB1022" s="8"/>
    </row>
    <row r="1023" spans="26:28">
      <c r="Z1023" s="123"/>
      <c r="AA1023" s="123"/>
      <c r="AB1023" s="8"/>
    </row>
    <row r="1024" spans="26:28">
      <c r="Z1024" s="123"/>
      <c r="AA1024" s="123"/>
      <c r="AB1024" s="8"/>
    </row>
    <row r="1025" spans="26:28">
      <c r="Z1025" s="123"/>
      <c r="AA1025" s="123"/>
      <c r="AB1025" s="8"/>
    </row>
    <row r="1026" spans="26:28">
      <c r="Z1026" s="123"/>
      <c r="AA1026" s="123"/>
      <c r="AB1026" s="8"/>
    </row>
    <row r="1027" spans="26:28">
      <c r="Z1027" s="123"/>
      <c r="AA1027" s="123"/>
      <c r="AB1027" s="8"/>
    </row>
    <row r="1028" spans="26:28">
      <c r="Z1028" s="123"/>
      <c r="AA1028" s="123"/>
      <c r="AB1028" s="8"/>
    </row>
    <row r="1029" spans="26:28">
      <c r="Z1029" s="123"/>
      <c r="AA1029" s="123"/>
      <c r="AB1029" s="8"/>
    </row>
    <row r="1030" spans="26:28">
      <c r="Z1030" s="123"/>
      <c r="AA1030" s="123"/>
      <c r="AB1030" s="8"/>
    </row>
    <row r="1031" spans="26:28">
      <c r="Z1031" s="123"/>
      <c r="AA1031" s="123"/>
      <c r="AB1031" s="8"/>
    </row>
    <row r="1032" spans="26:28">
      <c r="Z1032" s="123"/>
      <c r="AA1032" s="123"/>
      <c r="AB1032" s="8"/>
    </row>
    <row r="1033" spans="26:28">
      <c r="Z1033" s="123"/>
      <c r="AA1033" s="123"/>
      <c r="AB1033" s="8"/>
    </row>
    <row r="1034" spans="26:28">
      <c r="Z1034" s="123"/>
      <c r="AA1034" s="123"/>
      <c r="AB1034" s="8"/>
    </row>
    <row r="1035" spans="26:28">
      <c r="Z1035" s="123"/>
      <c r="AA1035" s="123"/>
      <c r="AB1035" s="8"/>
    </row>
    <row r="1036" spans="26:28">
      <c r="Z1036" s="123"/>
      <c r="AA1036" s="123"/>
      <c r="AB1036" s="8"/>
    </row>
    <row r="1037" spans="26:28">
      <c r="Z1037" s="123"/>
      <c r="AA1037" s="123"/>
      <c r="AB1037" s="8"/>
    </row>
    <row r="1038" spans="26:28">
      <c r="Z1038" s="123"/>
      <c r="AA1038" s="123"/>
      <c r="AB1038" s="8"/>
    </row>
    <row r="1039" spans="26:28">
      <c r="Z1039" s="123"/>
      <c r="AA1039" s="123"/>
      <c r="AB1039" s="8"/>
    </row>
    <row r="1040" spans="26:28">
      <c r="Z1040" s="123"/>
      <c r="AA1040" s="123"/>
      <c r="AB1040" s="8"/>
    </row>
    <row r="1041" spans="26:28">
      <c r="Z1041" s="123"/>
      <c r="AA1041" s="123"/>
      <c r="AB1041" s="8"/>
    </row>
    <row r="1042" spans="26:28">
      <c r="Z1042" s="123"/>
      <c r="AA1042" s="123"/>
      <c r="AB1042" s="8"/>
    </row>
    <row r="1043" spans="26:28">
      <c r="Z1043" s="123"/>
      <c r="AA1043" s="123"/>
      <c r="AB1043" s="8"/>
    </row>
    <row r="1044" spans="26:28">
      <c r="Z1044" s="123"/>
      <c r="AA1044" s="123"/>
      <c r="AB1044" s="8"/>
    </row>
    <row r="1045" spans="26:28">
      <c r="Z1045" s="123"/>
      <c r="AA1045" s="123"/>
      <c r="AB1045" s="8"/>
    </row>
    <row r="1046" spans="26:28">
      <c r="Z1046" s="123"/>
      <c r="AA1046" s="123"/>
      <c r="AB1046" s="8"/>
    </row>
    <row r="1047" spans="26:28">
      <c r="Z1047" s="123"/>
      <c r="AA1047" s="123"/>
      <c r="AB1047" s="8"/>
    </row>
    <row r="1048" spans="26:28">
      <c r="Z1048" s="123"/>
      <c r="AA1048" s="123"/>
      <c r="AB1048" s="8"/>
    </row>
    <row r="1049" spans="26:28">
      <c r="Z1049" s="123"/>
      <c r="AA1049" s="123"/>
      <c r="AB1049" s="8"/>
    </row>
    <row r="1050" spans="26:28">
      <c r="Z1050" s="123"/>
      <c r="AA1050" s="123"/>
      <c r="AB1050" s="8"/>
    </row>
    <row r="1051" spans="26:28">
      <c r="Z1051" s="123"/>
      <c r="AA1051" s="123"/>
      <c r="AB1051" s="8"/>
    </row>
    <row r="1052" spans="26:28">
      <c r="Z1052" s="123"/>
      <c r="AA1052" s="123"/>
      <c r="AB1052" s="8"/>
    </row>
    <row r="1053" spans="26:28">
      <c r="Z1053" s="123"/>
      <c r="AA1053" s="123"/>
      <c r="AB1053" s="8"/>
    </row>
    <row r="1054" spans="26:28">
      <c r="Z1054" s="123"/>
      <c r="AA1054" s="123"/>
      <c r="AB1054" s="8"/>
    </row>
    <row r="1055" spans="26:28">
      <c r="Z1055" s="123"/>
      <c r="AA1055" s="123"/>
      <c r="AB1055" s="8"/>
    </row>
    <row r="1056" spans="26:28">
      <c r="Z1056" s="123"/>
      <c r="AA1056" s="123"/>
      <c r="AB1056" s="8"/>
    </row>
    <row r="1057" spans="26:28">
      <c r="Z1057" s="123"/>
      <c r="AA1057" s="123"/>
      <c r="AB1057" s="8"/>
    </row>
    <row r="1058" spans="26:28">
      <c r="Z1058" s="123"/>
      <c r="AA1058" s="123"/>
      <c r="AB1058" s="8"/>
    </row>
    <row r="1059" spans="26:28">
      <c r="Z1059" s="123"/>
      <c r="AA1059" s="123"/>
      <c r="AB1059" s="8"/>
    </row>
    <row r="1060" spans="26:28">
      <c r="Z1060" s="123"/>
      <c r="AA1060" s="123"/>
      <c r="AB1060" s="8"/>
    </row>
    <row r="1061" spans="26:28">
      <c r="Z1061" s="123"/>
      <c r="AA1061" s="123"/>
      <c r="AB1061" s="8"/>
    </row>
    <row r="1062" spans="26:28">
      <c r="Z1062" s="123"/>
      <c r="AA1062" s="123"/>
      <c r="AB1062" s="8"/>
    </row>
    <row r="1063" spans="26:28">
      <c r="Z1063" s="123"/>
      <c r="AA1063" s="123"/>
      <c r="AB1063" s="8"/>
    </row>
    <row r="1064" spans="26:28">
      <c r="Z1064" s="123"/>
      <c r="AA1064" s="123"/>
      <c r="AB1064" s="8"/>
    </row>
    <row r="1065" spans="26:28">
      <c r="Z1065" s="123"/>
      <c r="AA1065" s="123"/>
      <c r="AB1065" s="8"/>
    </row>
    <row r="1066" spans="26:28">
      <c r="Z1066" s="123"/>
      <c r="AA1066" s="123"/>
      <c r="AB1066" s="8"/>
    </row>
    <row r="1067" spans="26:28">
      <c r="Z1067" s="123"/>
      <c r="AA1067" s="123"/>
      <c r="AB1067" s="8"/>
    </row>
    <row r="1068" spans="26:28">
      <c r="Z1068" s="123"/>
      <c r="AA1068" s="123"/>
      <c r="AB1068" s="8"/>
    </row>
    <row r="1069" spans="26:28">
      <c r="Z1069" s="123"/>
      <c r="AA1069" s="123"/>
      <c r="AB1069" s="8"/>
    </row>
    <row r="1070" spans="26:28">
      <c r="Z1070" s="123"/>
      <c r="AA1070" s="123"/>
      <c r="AB1070" s="8"/>
    </row>
    <row r="1071" spans="26:28">
      <c r="Z1071" s="123"/>
      <c r="AA1071" s="123"/>
      <c r="AB1071" s="8"/>
    </row>
    <row r="1072" spans="26:28">
      <c r="Z1072" s="123"/>
      <c r="AA1072" s="123"/>
      <c r="AB1072" s="8"/>
    </row>
    <row r="1073" spans="26:28">
      <c r="Z1073" s="123"/>
      <c r="AA1073" s="123"/>
      <c r="AB1073" s="8"/>
    </row>
    <row r="1074" spans="26:28">
      <c r="Z1074" s="123"/>
      <c r="AA1074" s="123"/>
      <c r="AB1074" s="8"/>
    </row>
    <row r="1075" spans="26:28">
      <c r="Z1075" s="123"/>
      <c r="AA1075" s="123"/>
      <c r="AB1075" s="8"/>
    </row>
    <row r="1076" spans="26:28">
      <c r="Z1076" s="123"/>
      <c r="AA1076" s="123"/>
      <c r="AB1076" s="8"/>
    </row>
    <row r="1077" spans="26:28">
      <c r="Z1077" s="123"/>
      <c r="AA1077" s="123"/>
      <c r="AB1077" s="8"/>
    </row>
    <row r="1078" spans="26:28">
      <c r="Z1078" s="123"/>
      <c r="AA1078" s="123"/>
      <c r="AB1078" s="8"/>
    </row>
    <row r="1079" spans="26:28">
      <c r="Z1079" s="123"/>
      <c r="AA1079" s="123"/>
      <c r="AB1079" s="8"/>
    </row>
    <row r="1080" spans="26:28">
      <c r="Z1080" s="123"/>
      <c r="AA1080" s="123"/>
      <c r="AB1080" s="8"/>
    </row>
    <row r="1081" spans="26:28">
      <c r="Z1081" s="123"/>
      <c r="AA1081" s="123"/>
      <c r="AB1081" s="8"/>
    </row>
    <row r="1082" spans="26:28">
      <c r="Z1082" s="123"/>
      <c r="AA1082" s="123"/>
      <c r="AB1082" s="8"/>
    </row>
    <row r="1083" spans="26:28">
      <c r="Z1083" s="123"/>
      <c r="AA1083" s="123"/>
      <c r="AB1083" s="8"/>
    </row>
    <row r="1084" spans="26:28">
      <c r="Z1084" s="123"/>
      <c r="AA1084" s="123"/>
      <c r="AB1084" s="8"/>
    </row>
    <row r="1085" spans="26:28">
      <c r="Z1085" s="123"/>
      <c r="AA1085" s="123"/>
      <c r="AB1085" s="8"/>
    </row>
    <row r="1086" spans="26:28">
      <c r="Z1086" s="123"/>
      <c r="AA1086" s="123"/>
      <c r="AB1086" s="8"/>
    </row>
    <row r="1087" spans="26:28">
      <c r="Z1087" s="123"/>
      <c r="AA1087" s="123"/>
      <c r="AB1087" s="8"/>
    </row>
    <row r="1088" spans="26:28">
      <c r="Z1088" s="123"/>
      <c r="AA1088" s="123"/>
      <c r="AB1088" s="8"/>
    </row>
    <row r="1089" spans="26:28">
      <c r="Z1089" s="123"/>
      <c r="AA1089" s="123"/>
      <c r="AB1089" s="8"/>
    </row>
    <row r="1090" spans="26:28">
      <c r="Z1090" s="123"/>
      <c r="AA1090" s="123"/>
      <c r="AB1090" s="8"/>
    </row>
    <row r="1091" spans="26:28">
      <c r="Z1091" s="123"/>
      <c r="AA1091" s="123"/>
      <c r="AB1091" s="8"/>
    </row>
    <row r="1092" spans="26:28">
      <c r="Z1092" s="123"/>
      <c r="AA1092" s="123"/>
      <c r="AB1092" s="8"/>
    </row>
    <row r="1093" spans="26:28">
      <c r="Z1093" s="123"/>
      <c r="AA1093" s="123"/>
      <c r="AB1093" s="8"/>
    </row>
    <row r="1094" spans="26:28">
      <c r="Z1094" s="123"/>
      <c r="AA1094" s="123"/>
      <c r="AB1094" s="8"/>
    </row>
    <row r="1095" spans="26:28">
      <c r="Z1095" s="123"/>
      <c r="AA1095" s="123"/>
      <c r="AB1095" s="8"/>
    </row>
    <row r="1096" spans="26:28">
      <c r="Z1096" s="123"/>
      <c r="AA1096" s="123"/>
      <c r="AB1096" s="8"/>
    </row>
    <row r="1097" spans="26:28">
      <c r="Z1097" s="123"/>
      <c r="AA1097" s="123"/>
      <c r="AB1097" s="8"/>
    </row>
    <row r="1098" spans="26:28">
      <c r="Z1098" s="123"/>
      <c r="AA1098" s="123"/>
      <c r="AB1098" s="8"/>
    </row>
    <row r="1099" spans="26:28">
      <c r="Z1099" s="123"/>
      <c r="AA1099" s="123"/>
      <c r="AB1099" s="8"/>
    </row>
    <row r="1100" spans="26:28">
      <c r="Z1100" s="123"/>
      <c r="AA1100" s="123"/>
      <c r="AB1100" s="8"/>
    </row>
    <row r="1101" spans="26:28">
      <c r="Z1101" s="123"/>
      <c r="AA1101" s="123"/>
      <c r="AB1101" s="8"/>
    </row>
    <row r="1102" spans="26:28">
      <c r="Z1102" s="123"/>
      <c r="AA1102" s="123"/>
      <c r="AB1102" s="8"/>
    </row>
    <row r="1103" spans="26:28">
      <c r="Z1103" s="123"/>
      <c r="AA1103" s="123"/>
      <c r="AB1103" s="8"/>
    </row>
    <row r="1104" spans="26:28">
      <c r="Z1104" s="123"/>
      <c r="AA1104" s="123"/>
      <c r="AB1104" s="8"/>
    </row>
    <row r="1105" spans="26:28">
      <c r="Z1105" s="123"/>
      <c r="AA1105" s="123"/>
      <c r="AB1105" s="8"/>
    </row>
    <row r="1106" spans="26:28">
      <c r="Z1106" s="123"/>
      <c r="AA1106" s="123"/>
      <c r="AB1106" s="8"/>
    </row>
    <row r="1107" spans="26:28">
      <c r="Z1107" s="123"/>
      <c r="AA1107" s="123"/>
      <c r="AB1107" s="8"/>
    </row>
    <row r="1108" spans="26:28">
      <c r="Z1108" s="123"/>
      <c r="AA1108" s="123"/>
      <c r="AB1108" s="8"/>
    </row>
    <row r="1109" spans="26:28">
      <c r="Z1109" s="123"/>
      <c r="AA1109" s="123"/>
      <c r="AB1109" s="8"/>
    </row>
    <row r="1110" spans="26:28">
      <c r="Z1110" s="123"/>
      <c r="AA1110" s="123"/>
      <c r="AB1110" s="8"/>
    </row>
    <row r="1111" spans="26:28">
      <c r="Z1111" s="123"/>
      <c r="AA1111" s="123"/>
      <c r="AB1111" s="8"/>
    </row>
    <row r="1112" spans="26:28">
      <c r="Z1112" s="123"/>
      <c r="AA1112" s="123"/>
      <c r="AB1112" s="8"/>
    </row>
    <row r="1113" spans="26:28">
      <c r="Z1113" s="123"/>
      <c r="AA1113" s="123"/>
      <c r="AB1113" s="8"/>
    </row>
    <row r="1114" spans="26:28">
      <c r="Z1114" s="123"/>
      <c r="AA1114" s="123"/>
      <c r="AB1114" s="8"/>
    </row>
    <row r="1115" spans="26:28">
      <c r="Z1115" s="123"/>
      <c r="AA1115" s="123"/>
      <c r="AB1115" s="8"/>
    </row>
    <row r="1116" spans="26:28">
      <c r="Z1116" s="123"/>
      <c r="AA1116" s="123"/>
      <c r="AB1116" s="8"/>
    </row>
    <row r="1117" spans="26:28">
      <c r="Z1117" s="123"/>
      <c r="AA1117" s="123"/>
      <c r="AB1117" s="8"/>
    </row>
    <row r="1118" spans="26:28">
      <c r="Z1118" s="123"/>
      <c r="AA1118" s="123"/>
      <c r="AB1118" s="8"/>
    </row>
    <row r="1119" spans="26:28">
      <c r="Z1119" s="123"/>
      <c r="AA1119" s="123"/>
      <c r="AB1119" s="8"/>
    </row>
    <row r="1120" spans="26:28">
      <c r="Z1120" s="123"/>
      <c r="AA1120" s="123"/>
      <c r="AB1120" s="8"/>
    </row>
    <row r="1121" spans="26:28">
      <c r="Z1121" s="123"/>
      <c r="AA1121" s="123"/>
      <c r="AB1121" s="8"/>
    </row>
    <row r="1122" spans="26:28">
      <c r="Z1122" s="123"/>
      <c r="AA1122" s="123"/>
      <c r="AB1122" s="8"/>
    </row>
    <row r="1123" spans="26:28">
      <c r="Z1123" s="123"/>
      <c r="AA1123" s="123"/>
      <c r="AB1123" s="8"/>
    </row>
    <row r="1124" spans="26:28">
      <c r="Z1124" s="123"/>
      <c r="AA1124" s="123"/>
      <c r="AB1124" s="8"/>
    </row>
    <row r="1125" spans="26:28">
      <c r="Z1125" s="123"/>
      <c r="AA1125" s="123"/>
      <c r="AB1125" s="8"/>
    </row>
    <row r="1126" spans="26:28">
      <c r="Z1126" s="123"/>
      <c r="AA1126" s="123"/>
      <c r="AB1126" s="8"/>
    </row>
    <row r="1127" spans="26:28">
      <c r="Z1127" s="123"/>
      <c r="AA1127" s="123"/>
      <c r="AB1127" s="8"/>
    </row>
    <row r="1128" spans="26:28">
      <c r="Z1128" s="123"/>
      <c r="AA1128" s="123"/>
      <c r="AB1128" s="8"/>
    </row>
    <row r="1129" spans="26:28">
      <c r="Z1129" s="123"/>
      <c r="AA1129" s="123"/>
      <c r="AB1129" s="8"/>
    </row>
    <row r="1130" spans="26:28">
      <c r="Z1130" s="123"/>
      <c r="AA1130" s="123"/>
      <c r="AB1130" s="8"/>
    </row>
    <row r="1131" spans="26:28">
      <c r="Z1131" s="123"/>
      <c r="AA1131" s="123"/>
      <c r="AB1131" s="8"/>
    </row>
    <row r="1132" spans="26:28">
      <c r="Z1132" s="123"/>
      <c r="AA1132" s="123"/>
      <c r="AB1132" s="8"/>
    </row>
    <row r="1133" spans="26:28">
      <c r="Z1133" s="123"/>
      <c r="AA1133" s="123"/>
      <c r="AB1133" s="8"/>
    </row>
    <row r="1134" spans="26:28">
      <c r="Z1134" s="123"/>
      <c r="AA1134" s="123"/>
      <c r="AB1134" s="8"/>
    </row>
    <row r="1135" spans="26:28">
      <c r="Z1135" s="123"/>
      <c r="AA1135" s="123"/>
      <c r="AB1135" s="8"/>
    </row>
    <row r="1136" spans="26:28">
      <c r="Z1136" s="123"/>
      <c r="AA1136" s="123"/>
      <c r="AB1136" s="8"/>
    </row>
    <row r="1137" spans="26:28">
      <c r="Z1137" s="123"/>
      <c r="AA1137" s="123"/>
      <c r="AB1137" s="8"/>
    </row>
    <row r="1138" spans="26:28">
      <c r="Z1138" s="123"/>
      <c r="AA1138" s="123"/>
      <c r="AB1138" s="8"/>
    </row>
    <row r="1139" spans="26:28">
      <c r="Z1139" s="123"/>
      <c r="AA1139" s="123"/>
      <c r="AB1139" s="8"/>
    </row>
    <row r="1140" spans="26:28">
      <c r="Z1140" s="123"/>
      <c r="AA1140" s="123"/>
      <c r="AB1140" s="8"/>
    </row>
    <row r="1141" spans="26:28">
      <c r="Z1141" s="123"/>
      <c r="AA1141" s="123"/>
      <c r="AB1141" s="8"/>
    </row>
    <row r="1142" spans="26:28">
      <c r="Z1142" s="123"/>
      <c r="AA1142" s="123"/>
      <c r="AB1142" s="8"/>
    </row>
    <row r="1143" spans="26:28">
      <c r="Z1143" s="123"/>
      <c r="AA1143" s="123"/>
      <c r="AB1143" s="8"/>
    </row>
    <row r="1144" spans="26:28">
      <c r="Z1144" s="123"/>
      <c r="AA1144" s="123"/>
      <c r="AB1144" s="8"/>
    </row>
    <row r="1145" spans="26:28">
      <c r="Z1145" s="123"/>
      <c r="AA1145" s="123"/>
      <c r="AB1145" s="8"/>
    </row>
    <row r="1146" spans="26:28">
      <c r="Z1146" s="123"/>
      <c r="AA1146" s="123"/>
      <c r="AB1146" s="8"/>
    </row>
    <row r="1147" spans="26:28">
      <c r="Z1147" s="123"/>
      <c r="AA1147" s="123"/>
      <c r="AB1147" s="8"/>
    </row>
    <row r="1148" spans="26:28">
      <c r="Z1148" s="123"/>
      <c r="AA1148" s="123"/>
      <c r="AB1148" s="8"/>
    </row>
    <row r="1149" spans="26:28">
      <c r="Z1149" s="123"/>
      <c r="AA1149" s="123"/>
      <c r="AB1149" s="8"/>
    </row>
    <row r="1150" spans="26:28">
      <c r="Z1150" s="123"/>
      <c r="AA1150" s="123"/>
      <c r="AB1150" s="8"/>
    </row>
    <row r="1151" spans="26:28">
      <c r="Z1151" s="123"/>
      <c r="AA1151" s="123"/>
      <c r="AB1151" s="8"/>
    </row>
    <row r="1152" spans="26:28">
      <c r="Z1152" s="123"/>
      <c r="AA1152" s="123"/>
      <c r="AB1152" s="8"/>
    </row>
    <row r="1153" spans="26:28">
      <c r="Z1153" s="123"/>
      <c r="AA1153" s="123"/>
      <c r="AB1153" s="8"/>
    </row>
    <row r="1154" spans="26:28">
      <c r="Z1154" s="123"/>
      <c r="AA1154" s="123"/>
      <c r="AB1154" s="8"/>
    </row>
    <row r="1155" spans="26:28">
      <c r="Z1155" s="123"/>
      <c r="AA1155" s="123"/>
      <c r="AB1155" s="8"/>
    </row>
    <row r="1156" spans="26:28">
      <c r="Z1156" s="123"/>
      <c r="AA1156" s="123"/>
      <c r="AB1156" s="8"/>
    </row>
    <row r="1157" spans="26:28">
      <c r="Z1157" s="123"/>
      <c r="AA1157" s="123"/>
      <c r="AB1157" s="8"/>
    </row>
    <row r="1158" spans="26:28">
      <c r="Z1158" s="123"/>
      <c r="AA1158" s="123"/>
      <c r="AB1158" s="8"/>
    </row>
    <row r="1159" spans="26:28">
      <c r="Z1159" s="123"/>
      <c r="AA1159" s="123"/>
      <c r="AB1159" s="8"/>
    </row>
    <row r="1160" spans="26:28">
      <c r="Z1160" s="123"/>
      <c r="AA1160" s="123"/>
      <c r="AB1160" s="8"/>
    </row>
    <row r="1161" spans="26:28">
      <c r="Z1161" s="123"/>
      <c r="AA1161" s="123"/>
      <c r="AB1161" s="8"/>
    </row>
    <row r="1162" spans="26:28">
      <c r="Z1162" s="123"/>
      <c r="AA1162" s="123"/>
      <c r="AB1162" s="8"/>
    </row>
    <row r="1163" spans="26:28">
      <c r="Z1163" s="123"/>
      <c r="AA1163" s="123"/>
      <c r="AB1163" s="8"/>
    </row>
    <row r="1164" spans="26:28">
      <c r="Z1164" s="123"/>
      <c r="AA1164" s="123"/>
      <c r="AB1164" s="8"/>
    </row>
    <row r="1165" spans="26:28">
      <c r="Z1165" s="123"/>
      <c r="AA1165" s="123"/>
      <c r="AB1165" s="8"/>
    </row>
    <row r="1166" spans="26:28">
      <c r="Z1166" s="123"/>
      <c r="AA1166" s="123"/>
      <c r="AB1166" s="8"/>
    </row>
    <row r="1167" spans="26:28">
      <c r="Z1167" s="123"/>
      <c r="AA1167" s="123"/>
      <c r="AB1167" s="8"/>
    </row>
    <row r="1168" spans="26:28">
      <c r="Z1168" s="123"/>
      <c r="AA1168" s="123"/>
      <c r="AB1168" s="8"/>
    </row>
    <row r="1169" spans="26:28">
      <c r="Z1169" s="123"/>
      <c r="AA1169" s="123"/>
      <c r="AB1169" s="8"/>
    </row>
    <row r="1170" spans="26:28">
      <c r="Z1170" s="123"/>
      <c r="AA1170" s="123"/>
      <c r="AB1170" s="8"/>
    </row>
    <row r="1171" spans="26:28">
      <c r="Z1171" s="123"/>
      <c r="AA1171" s="123"/>
      <c r="AB1171" s="8"/>
    </row>
    <row r="1172" spans="26:28">
      <c r="Z1172" s="123"/>
      <c r="AA1172" s="123"/>
      <c r="AB1172" s="8"/>
    </row>
    <row r="1173" spans="26:28">
      <c r="Z1173" s="123"/>
      <c r="AA1173" s="123"/>
      <c r="AB1173" s="8"/>
    </row>
    <row r="1174" spans="26:28">
      <c r="Z1174" s="123"/>
      <c r="AA1174" s="123"/>
      <c r="AB1174" s="8"/>
    </row>
    <row r="1175" spans="26:28">
      <c r="Z1175" s="123"/>
      <c r="AA1175" s="123"/>
      <c r="AB1175" s="8"/>
    </row>
    <row r="1176" spans="26:28">
      <c r="Z1176" s="123"/>
      <c r="AA1176" s="123"/>
      <c r="AB1176" s="8"/>
    </row>
    <row r="1177" spans="26:28">
      <c r="Z1177" s="123"/>
      <c r="AA1177" s="123"/>
      <c r="AB1177" s="8"/>
    </row>
    <row r="1178" spans="26:28">
      <c r="Z1178" s="123"/>
      <c r="AA1178" s="123"/>
      <c r="AB1178" s="8"/>
    </row>
    <row r="1179" spans="26:28">
      <c r="Z1179" s="123"/>
      <c r="AA1179" s="123"/>
      <c r="AB1179" s="8"/>
    </row>
    <row r="1180" spans="26:28">
      <c r="Z1180" s="123"/>
      <c r="AA1180" s="123"/>
      <c r="AB1180" s="8"/>
    </row>
    <row r="1181" spans="26:28">
      <c r="Z1181" s="123"/>
      <c r="AA1181" s="123"/>
      <c r="AB1181" s="8"/>
    </row>
    <row r="1182" spans="26:28">
      <c r="Z1182" s="123"/>
      <c r="AA1182" s="123"/>
      <c r="AB1182" s="8"/>
    </row>
    <row r="1183" spans="26:28">
      <c r="Z1183" s="123"/>
      <c r="AA1183" s="123"/>
      <c r="AB1183" s="8"/>
    </row>
    <row r="1184" spans="26:28">
      <c r="Z1184" s="123"/>
      <c r="AA1184" s="123"/>
      <c r="AB1184" s="8"/>
    </row>
    <row r="1185" spans="26:28">
      <c r="Z1185" s="123"/>
      <c r="AA1185" s="123"/>
      <c r="AB1185" s="8"/>
    </row>
    <row r="1186" spans="26:28">
      <c r="Z1186" s="123"/>
      <c r="AA1186" s="123"/>
      <c r="AB1186" s="8"/>
    </row>
    <row r="1187" spans="26:28">
      <c r="Z1187" s="123"/>
      <c r="AA1187" s="123"/>
      <c r="AB1187" s="8"/>
    </row>
    <row r="1188" spans="26:28">
      <c r="Z1188" s="123"/>
      <c r="AA1188" s="123"/>
      <c r="AB1188" s="8"/>
    </row>
    <row r="1189" spans="26:28">
      <c r="Z1189" s="123"/>
      <c r="AA1189" s="123"/>
      <c r="AB1189" s="8"/>
    </row>
    <row r="1190" spans="26:28">
      <c r="Z1190" s="123"/>
      <c r="AA1190" s="123"/>
      <c r="AB1190" s="8"/>
    </row>
    <row r="1191" spans="26:28">
      <c r="Z1191" s="123"/>
      <c r="AA1191" s="123"/>
      <c r="AB1191" s="8"/>
    </row>
    <row r="1192" spans="26:28">
      <c r="Z1192" s="123"/>
      <c r="AA1192" s="123"/>
      <c r="AB1192" s="8"/>
    </row>
    <row r="1193" spans="26:28">
      <c r="Z1193" s="123"/>
      <c r="AA1193" s="123"/>
      <c r="AB1193" s="8"/>
    </row>
    <row r="1194" spans="26:28">
      <c r="Z1194" s="123"/>
      <c r="AA1194" s="123"/>
      <c r="AB1194" s="8"/>
    </row>
    <row r="1195" spans="26:28">
      <c r="Z1195" s="123"/>
      <c r="AA1195" s="123"/>
      <c r="AB1195" s="8"/>
    </row>
    <row r="1196" spans="26:28">
      <c r="Z1196" s="123"/>
      <c r="AA1196" s="123"/>
      <c r="AB1196" s="8"/>
    </row>
    <row r="1197" spans="26:28">
      <c r="Z1197" s="123"/>
      <c r="AA1197" s="123"/>
      <c r="AB1197" s="8"/>
    </row>
    <row r="1198" spans="26:28">
      <c r="Z1198" s="123"/>
      <c r="AA1198" s="123"/>
      <c r="AB1198" s="8"/>
    </row>
    <row r="1199" spans="26:28">
      <c r="Z1199" s="123"/>
      <c r="AA1199" s="123"/>
      <c r="AB1199" s="8"/>
    </row>
    <row r="1200" spans="26:28">
      <c r="Z1200" s="123"/>
      <c r="AA1200" s="123"/>
      <c r="AB1200" s="8"/>
    </row>
    <row r="1201" spans="26:28">
      <c r="Z1201" s="123"/>
      <c r="AA1201" s="123"/>
      <c r="AB1201" s="8"/>
    </row>
    <row r="1202" spans="26:28">
      <c r="Z1202" s="123"/>
      <c r="AA1202" s="123"/>
      <c r="AB1202" s="8"/>
    </row>
    <row r="1203" spans="26:28">
      <c r="Z1203" s="123"/>
      <c r="AA1203" s="123"/>
      <c r="AB1203" s="8"/>
    </row>
    <row r="1204" spans="26:28">
      <c r="Z1204" s="123"/>
      <c r="AA1204" s="123"/>
      <c r="AB1204" s="8"/>
    </row>
    <row r="1205" spans="26:28">
      <c r="Z1205" s="123"/>
      <c r="AA1205" s="123"/>
      <c r="AB1205" s="8"/>
    </row>
    <row r="1206" spans="26:28">
      <c r="Z1206" s="123"/>
      <c r="AA1206" s="123"/>
      <c r="AB1206" s="8"/>
    </row>
    <row r="1207" spans="26:28">
      <c r="Z1207" s="123"/>
      <c r="AA1207" s="123"/>
      <c r="AB1207" s="8"/>
    </row>
    <row r="1208" spans="26:28">
      <c r="Z1208" s="123"/>
      <c r="AA1208" s="123"/>
      <c r="AB1208" s="8"/>
    </row>
    <row r="1209" spans="26:28">
      <c r="Z1209" s="123"/>
      <c r="AA1209" s="123"/>
      <c r="AB1209" s="8"/>
    </row>
    <row r="1210" spans="26:28">
      <c r="Z1210" s="123"/>
      <c r="AA1210" s="123"/>
      <c r="AB1210" s="8"/>
    </row>
    <row r="1211" spans="26:28">
      <c r="Z1211" s="123"/>
      <c r="AA1211" s="123"/>
      <c r="AB1211" s="8"/>
    </row>
    <row r="1212" spans="26:28">
      <c r="Z1212" s="123"/>
      <c r="AA1212" s="123"/>
      <c r="AB1212" s="8"/>
    </row>
  </sheetData>
  <autoFilter ref="A2:AA2"/>
  <sortState ref="A4:AA161">
    <sortCondition ref="A3:A161"/>
  </sortState>
  <phoneticPr fontId="1" type="noConversion"/>
  <dataValidations count="5">
    <dataValidation type="list" allowBlank="1" showInputMessage="1" showErrorMessage="1" sqref="M3:M154">
      <formula1>defensores!$A$1:$A$200</formula1>
    </dataValidation>
    <dataValidation type="list" allowBlank="1" showInputMessage="1" showErrorMessage="1" sqref="O3:O154">
      <formula1>Asesores!$A$1:$A$15</formula1>
    </dataValidation>
    <dataValidation type="list" allowBlank="1" showInputMessage="1" showErrorMessage="1" sqref="P3:P154">
      <formula1>'fiscalias penales'!$A$1:$A$5</formula1>
    </dataValidation>
    <dataValidation type="list" allowBlank="1" showInputMessage="1" showErrorMessage="1" sqref="Q3:Q154">
      <formula1>fiscalimpug!$A$1:$A$5</formula1>
    </dataValidation>
    <dataValidation type="list" allowBlank="1" showInputMessage="1" showErrorMessage="1" sqref="Z3:Z162">
      <formula1>Resultados!$A$2:$A$31</formula1>
    </dataValidation>
  </dataValidations>
  <pageMargins left="0.19685039370078741" right="0.19685039370078741" top="0.19685039370078741" bottom="0.19685039370078741" header="0" footer="0"/>
  <pageSetup paperSize="5" scale="70" orientation="landscape" r:id="rId1"/>
  <headerFooter alignWithMargins="0"/>
  <legacyDrawing r:id="rId2"/>
  <extLst xmlns:x14="http://schemas.microsoft.com/office/spreadsheetml/2009/9/main">
    <ext uri="{CCE6A557-97BC-4b89-ADB6-D9C93CAAB3DF}">
      <x14:dataValidations xmlns:xm="http://schemas.microsoft.com/office/excel/2006/main" count="8">
        <x14:dataValidation type="list" allowBlank="1" showInputMessage="1" showErrorMessage="1">
          <x14:formula1>
            <xm:f>Jueces!$A$1:$A$11</xm:f>
          </x14:formula1>
          <xm:sqref>D126 D123 D154:D1048576</xm:sqref>
        </x14:dataValidation>
        <x14:dataValidation type="list" allowBlank="1" showInputMessage="1" showErrorMessage="1">
          <x14:formula1>
            <xm:f>'E:\back planillas\[PLCGar.xlsm]Resultados'!#REF!</xm:f>
          </x14:formula1>
          <xm:sqref>Z2 Z154:Z717</xm:sqref>
        </x14:dataValidation>
        <x14:dataValidation type="list" allowBlank="1" showInputMessage="1" showErrorMessage="1">
          <x14:formula1>
            <xm:f>defensores!$A$1:$A$50</xm:f>
          </x14:formula1>
          <xm:sqref>M5:M21 M64</xm:sqref>
        </x14:dataValidation>
        <x14:dataValidation type="list" allowBlank="1" showInputMessage="1" showErrorMessage="1">
          <x14:formula1>
            <xm:f>Asesores!$A$1:$A$11</xm:f>
          </x14:formula1>
          <xm:sqref>O3:O21 O64</xm:sqref>
        </x14:dataValidation>
        <x14:dataValidation type="list" allowBlank="1" showInputMessage="1" showErrorMessage="1">
          <x14:formula1>
            <xm:f>'fiscalias penales'!$A$1:$A$100</xm:f>
          </x14:formula1>
          <xm:sqref>P3:P21 P64</xm:sqref>
        </x14:dataValidation>
        <x14:dataValidation type="list" allowBlank="1" showInputMessage="1" showErrorMessage="1">
          <x14:formula1>
            <xm:f>fiscalimpug!$A$1:$A$50</xm:f>
          </x14:formula1>
          <xm:sqref>Q3:Q21 Q64</xm:sqref>
        </x14:dataValidation>
        <x14:dataValidation type="list" allowBlank="1" showInputMessage="1" showErrorMessage="1">
          <x14:formula1>
            <xm:f>Jueces!$A$1:$A$20</xm:f>
          </x14:formula1>
          <xm:sqref>D3:D122 D124:D125 D127:D153</xm:sqref>
        </x14:dataValidation>
        <x14:dataValidation type="list" allowBlank="1" showInputMessage="1" showErrorMessage="1">
          <x14:formula1>
            <xm:f>Resultados!$A$1:$A$30</xm:f>
          </x14:formula1>
          <xm:sqref>Z3:Z153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
  <dimension ref="A1:A12"/>
  <sheetViews>
    <sheetView workbookViewId="0">
      <selection activeCell="A12" sqref="A12"/>
    </sheetView>
  </sheetViews>
  <sheetFormatPr baseColWidth="10" defaultRowHeight="12.75"/>
  <cols>
    <col min="1" max="1" width="20.5703125" style="29" customWidth="1"/>
    <col min="2" max="2" width="7.42578125" customWidth="1"/>
  </cols>
  <sheetData>
    <row r="1" spans="1:1" ht="20.100000000000001" customHeight="1">
      <c r="A1" s="9" t="s">
        <v>107</v>
      </c>
    </row>
    <row r="2" spans="1:1" ht="20.100000000000001" customHeight="1">
      <c r="A2" s="9" t="s">
        <v>104</v>
      </c>
    </row>
    <row r="3" spans="1:1" ht="20.100000000000001" customHeight="1">
      <c r="A3" s="9" t="s">
        <v>105</v>
      </c>
    </row>
    <row r="4" spans="1:1" ht="20.100000000000001" customHeight="1">
      <c r="A4" s="9" t="s">
        <v>106</v>
      </c>
    </row>
    <row r="5" spans="1:1">
      <c r="A5" s="9" t="s">
        <v>108</v>
      </c>
    </row>
    <row r="6" spans="1:1">
      <c r="A6" s="77" t="s">
        <v>226</v>
      </c>
    </row>
    <row r="7" spans="1:1">
      <c r="A7" s="77" t="s">
        <v>227</v>
      </c>
    </row>
    <row r="8" spans="1:1">
      <c r="A8" s="77" t="s">
        <v>228</v>
      </c>
    </row>
    <row r="9" spans="1:1">
      <c r="A9" s="78" t="s">
        <v>229</v>
      </c>
    </row>
    <row r="10" spans="1:1">
      <c r="A10" s="78" t="s">
        <v>230</v>
      </c>
    </row>
    <row r="11" spans="1:1">
      <c r="A11" s="78" t="s">
        <v>242</v>
      </c>
    </row>
    <row r="12" spans="1:1">
      <c r="A12" s="78" t="s">
        <v>433</v>
      </c>
    </row>
  </sheetData>
  <phoneticPr fontId="1" type="noConversion"/>
  <pageMargins left="0.75" right="0.75" top="1" bottom="1" header="0" footer="0"/>
  <headerFooter alignWithMargins="0"/>
</worksheet>
</file>

<file path=xl/worksheets/sheet3.xml><?xml version="1.0" encoding="utf-8"?>
<worksheet xmlns="http://schemas.openxmlformats.org/spreadsheetml/2006/main" xmlns:r="http://schemas.openxmlformats.org/officeDocument/2006/relationships">
  <sheetPr codeName="Hoja3"/>
  <dimension ref="A1:A9"/>
  <sheetViews>
    <sheetView workbookViewId="0">
      <selection activeCell="F15" sqref="F15"/>
    </sheetView>
  </sheetViews>
  <sheetFormatPr baseColWidth="10" defaultRowHeight="12.75"/>
  <cols>
    <col min="1" max="1" width="23.28515625" bestFit="1" customWidth="1"/>
    <col min="3" max="3" width="16.5703125" customWidth="1"/>
  </cols>
  <sheetData>
    <row r="1" spans="1:1" ht="39.950000000000003" customHeight="1">
      <c r="A1" s="9"/>
    </row>
    <row r="2" spans="1:1" ht="39.950000000000003" customHeight="1">
      <c r="A2" s="9"/>
    </row>
    <row r="3" spans="1:1" ht="39.950000000000003" customHeight="1">
      <c r="A3" s="9"/>
    </row>
    <row r="4" spans="1:1" ht="39.950000000000003" customHeight="1">
      <c r="A4" s="9"/>
    </row>
    <row r="5" spans="1:1" ht="39.950000000000003" customHeight="1">
      <c r="A5" s="9"/>
    </row>
    <row r="6" spans="1:1" ht="39.950000000000003" customHeight="1">
      <c r="A6" s="7"/>
    </row>
    <row r="7" spans="1:1" ht="39.950000000000003" customHeight="1">
      <c r="A7" s="21"/>
    </row>
    <row r="8" spans="1:1" ht="39.950000000000003" customHeight="1">
      <c r="A8" s="8"/>
    </row>
    <row r="9" spans="1:1" ht="39.950000000000003" customHeight="1">
      <c r="A9" s="8"/>
    </row>
  </sheetData>
  <phoneticPr fontId="1" type="noConversion"/>
  <pageMargins left="0.75" right="0.75" top="1" bottom="1" header="0" footer="0"/>
  <pageSetup paperSize="5" orientation="portrait" r:id="rId1"/>
  <headerFooter alignWithMargins="0"/>
</worksheet>
</file>

<file path=xl/worksheets/sheet4.xml><?xml version="1.0" encoding="utf-8"?>
<worksheet xmlns="http://schemas.openxmlformats.org/spreadsheetml/2006/main" xmlns:r="http://schemas.openxmlformats.org/officeDocument/2006/relationships">
  <sheetPr codeName="Hoja4"/>
  <dimension ref="B1:I34"/>
  <sheetViews>
    <sheetView zoomScale="85" zoomScaleNormal="85" zoomScaleSheetLayoutView="70" workbookViewId="0">
      <selection activeCell="C25" sqref="C25"/>
    </sheetView>
  </sheetViews>
  <sheetFormatPr baseColWidth="10" defaultRowHeight="12.75"/>
  <cols>
    <col min="1" max="1" width="5.5703125" customWidth="1"/>
    <col min="2" max="2" width="42.140625" customWidth="1"/>
    <col min="3" max="3" width="37.7109375" customWidth="1"/>
    <col min="8" max="8" width="49.85546875" bestFit="1" customWidth="1"/>
  </cols>
  <sheetData>
    <row r="1" spans="2:9" ht="36.75" customHeight="1">
      <c r="B1" s="19" t="s">
        <v>47</v>
      </c>
      <c r="C1" s="20">
        <f ca="1">TODAY()</f>
        <v>45251</v>
      </c>
      <c r="H1" s="26"/>
    </row>
    <row r="2" spans="2:9">
      <c r="H2" s="11"/>
    </row>
    <row r="3" spans="2:9" ht="20.100000000000001" customHeight="1">
      <c r="B3" s="235" t="s">
        <v>109</v>
      </c>
      <c r="C3" s="235"/>
      <c r="I3" s="11"/>
    </row>
    <row r="4" spans="2:9" ht="20.100000000000001" customHeight="1">
      <c r="B4" s="14" t="s">
        <v>83</v>
      </c>
      <c r="C4" s="14" t="s">
        <v>18</v>
      </c>
    </row>
    <row r="5" spans="2:9" ht="24.95" customHeight="1">
      <c r="B5" s="12" t="s">
        <v>107</v>
      </c>
      <c r="C5" s="12">
        <f>COUNTIF(EXPEDIENTES!$D$3:$D$21,"Dra. Solorzano")</f>
        <v>3</v>
      </c>
      <c r="D5" s="11" t="s">
        <v>82</v>
      </c>
    </row>
    <row r="6" spans="2:9" ht="24.95" customHeight="1">
      <c r="B6" s="12" t="s">
        <v>104</v>
      </c>
      <c r="C6" s="12">
        <f>COUNTIF(EXPEDIENTES!$D$3:$D$21,"Dr. Arias Nallar")</f>
        <v>5</v>
      </c>
    </row>
    <row r="7" spans="2:9" ht="24.95" customHeight="1">
      <c r="B7" s="12" t="s">
        <v>105</v>
      </c>
      <c r="C7" s="12">
        <f>COUNTIF(EXPEDIENTES!$D$3:$D$21,"Dr. Arancibia")</f>
        <v>2</v>
      </c>
    </row>
    <row r="8" spans="2:9" ht="24.95" customHeight="1">
      <c r="B8" s="12" t="s">
        <v>106</v>
      </c>
      <c r="C8" s="12">
        <f>COUNTIF(EXPEDIENTES!$D$3:$D$21,"Dr. Akemeier")</f>
        <v>2</v>
      </c>
    </row>
    <row r="9" spans="2:9" ht="24.95" customHeight="1">
      <c r="B9" s="12" t="s">
        <v>108</v>
      </c>
      <c r="C9" s="12">
        <f>COUNTIF(EXPEDIENTES!$D$3:$D$21,"Dr. Barrionuevo")</f>
        <v>4</v>
      </c>
    </row>
    <row r="10" spans="2:9" ht="24.95" customHeight="1">
      <c r="B10" s="24" t="s">
        <v>25</v>
      </c>
      <c r="C10" s="25">
        <f>SUM(C5:C9)</f>
        <v>16</v>
      </c>
    </row>
    <row r="11" spans="2:9" ht="20.100000000000001" customHeight="1"/>
    <row r="12" spans="2:9" ht="20.100000000000001" customHeight="1"/>
    <row r="13" spans="2:9" ht="20.100000000000001" customHeight="1">
      <c r="B13" s="235" t="s">
        <v>110</v>
      </c>
      <c r="C13" s="235"/>
    </row>
    <row r="14" spans="2:9" ht="20.100000000000001" customHeight="1">
      <c r="B14" s="14" t="s">
        <v>24</v>
      </c>
      <c r="C14" s="14" t="s">
        <v>18</v>
      </c>
    </row>
    <row r="15" spans="2:9" ht="24.95" customHeight="1">
      <c r="B15" s="12" t="s">
        <v>107</v>
      </c>
      <c r="C15" s="12">
        <f ca="1">COUNTIFS(EXPEDIENTES!$D$3:$D$21,"Dra. Solorzano",EXPEDIENTES!$W$3:$W$21,"NO")</f>
        <v>0</v>
      </c>
    </row>
    <row r="16" spans="2:9" ht="24.95" customHeight="1">
      <c r="B16" s="12" t="s">
        <v>104</v>
      </c>
      <c r="C16" s="12">
        <f ca="1">COUNTIFS(EXPEDIENTES!$D$3:$D$21,"Dr. Arias Nallar",EXPEDIENTES!$W$3:$W$21,"NO")</f>
        <v>0</v>
      </c>
    </row>
    <row r="17" spans="2:3" ht="24.95" customHeight="1">
      <c r="B17" s="12" t="s">
        <v>105</v>
      </c>
      <c r="C17" s="12">
        <f ca="1">COUNTIFS(EXPEDIENTES!$D$3:$D$21,"Dr. Arancibia",EXPEDIENTES!$W$3:$W$21,"NO")</f>
        <v>0</v>
      </c>
    </row>
    <row r="18" spans="2:3" ht="24.95" customHeight="1">
      <c r="B18" s="12" t="s">
        <v>106</v>
      </c>
      <c r="C18" s="12">
        <f>COUNTIFS(EXPEDIENTES!$D$3:$D$21,"Dr. Akemeierr",EXPEDIENTES!$W$3:$W$21,"NO")</f>
        <v>0</v>
      </c>
    </row>
    <row r="19" spans="2:3" ht="24.95" customHeight="1">
      <c r="B19" s="12" t="s">
        <v>108</v>
      </c>
      <c r="C19" s="12">
        <f ca="1">COUNTIFS(EXPEDIENTES!$D$3:$D$21,"Dr. Barrionuevo",EXPEDIENTES!$W$3:$W$21,"NO")</f>
        <v>0</v>
      </c>
    </row>
    <row r="20" spans="2:3" ht="24.95" customHeight="1">
      <c r="B20" s="27" t="s">
        <v>41</v>
      </c>
      <c r="C20" s="25">
        <f ca="1">SUM(C15:C19)</f>
        <v>0</v>
      </c>
    </row>
    <row r="21" spans="2:3" ht="20.100000000000001" customHeight="1"/>
    <row r="22" spans="2:3" ht="20.100000000000001" customHeight="1"/>
    <row r="23" spans="2:3" ht="20.100000000000001" customHeight="1">
      <c r="B23" s="235" t="s">
        <v>111</v>
      </c>
      <c r="C23" s="235"/>
    </row>
    <row r="24" spans="2:3" ht="20.100000000000001" customHeight="1">
      <c r="B24" s="14" t="s">
        <v>24</v>
      </c>
      <c r="C24" s="14" t="s">
        <v>18</v>
      </c>
    </row>
    <row r="25" spans="2:3" ht="24.95" customHeight="1">
      <c r="B25" s="12" t="s">
        <v>107</v>
      </c>
      <c r="C25" s="12">
        <f>COUNTIFS(EXPEDIENTES!$T$3:$T$21,"Dr. Pastrana",EXPEDIENTES!$W$3:$W$21,"SI")</f>
        <v>0</v>
      </c>
    </row>
    <row r="26" spans="2:3" ht="24.95" customHeight="1">
      <c r="B26" s="12" t="s">
        <v>104</v>
      </c>
      <c r="C26" s="12">
        <f>COUNTIFS(EXPEDIENTES!$T$3:$T$21,"Dr. Colombo",EXPEDIENTES!$W$3:$W$21,"SI")</f>
        <v>0</v>
      </c>
    </row>
    <row r="27" spans="2:3" ht="24.95" customHeight="1">
      <c r="B27" s="12" t="s">
        <v>105</v>
      </c>
      <c r="C27" s="12">
        <f>COUNTIFS(EXPEDIENTES!$T$3:$T$21,"Dr. Rodriguez Pipino",EXPEDIENTES!$W$3:$W$21,"SI")</f>
        <v>0</v>
      </c>
    </row>
    <row r="28" spans="2:3" ht="24.95" customHeight="1">
      <c r="B28" s="12" t="s">
        <v>106</v>
      </c>
      <c r="C28" s="12">
        <f>COUNTIFS(EXPEDIENTES!$T$3:$T$21,"Dra. Puertas",EXPEDIENTES!$W$3:$W$21,"SI")</f>
        <v>0</v>
      </c>
    </row>
    <row r="29" spans="2:3" ht="24.95" customHeight="1">
      <c r="B29" s="12" t="s">
        <v>108</v>
      </c>
      <c r="C29" s="12">
        <f>COUNTIFS(EXPEDIENTES!$T$3:$T$21,"Dra. Puertas",EXPEDIENTES!$W$3:$W$21,"SI")</f>
        <v>0</v>
      </c>
    </row>
    <row r="30" spans="2:3" ht="24.95" customHeight="1">
      <c r="B30" s="27" t="s">
        <v>22</v>
      </c>
      <c r="C30" s="25">
        <f>SUM(C25:C29)</f>
        <v>0</v>
      </c>
    </row>
    <row r="31" spans="2:3" ht="20.100000000000001" customHeight="1"/>
    <row r="32" spans="2:3" ht="20.100000000000001" customHeight="1"/>
    <row r="33" spans="2:3" ht="20.100000000000001" customHeight="1">
      <c r="B33" s="236" t="s">
        <v>42</v>
      </c>
      <c r="C33" s="236"/>
    </row>
    <row r="34" spans="2:3" ht="20.100000000000001" customHeight="1">
      <c r="B34" s="13" t="s">
        <v>43</v>
      </c>
      <c r="C34" s="12" t="e">
        <f>#REF!</f>
        <v>#REF!</v>
      </c>
    </row>
  </sheetData>
  <mergeCells count="4">
    <mergeCell ref="B3:C3"/>
    <mergeCell ref="B13:C13"/>
    <mergeCell ref="B23:C23"/>
    <mergeCell ref="B33:C33"/>
  </mergeCells>
  <pageMargins left="0.23622047244094491" right="0.19685039370078741" top="0.39370078740157483" bottom="0.39370078740157483" header="0.27559055118110237" footer="0.31496062992125984"/>
  <pageSetup paperSize="5" scale="95" orientation="portrait" r:id="rId1"/>
</worksheet>
</file>

<file path=xl/worksheets/sheet5.xml><?xml version="1.0" encoding="utf-8"?>
<worksheet xmlns="http://schemas.openxmlformats.org/spreadsheetml/2006/main" xmlns:r="http://schemas.openxmlformats.org/officeDocument/2006/relationships">
  <sheetPr codeName="Hoja6"/>
  <dimension ref="A3:A29"/>
  <sheetViews>
    <sheetView zoomScale="70" zoomScaleNormal="70" workbookViewId="0">
      <selection activeCell="M23" sqref="M23"/>
    </sheetView>
  </sheetViews>
  <sheetFormatPr baseColWidth="10" defaultRowHeight="12.75"/>
  <sheetData>
    <row r="3" ht="20.100000000000001" customHeight="1"/>
    <row r="4" ht="20.100000000000001" customHeight="1"/>
    <row r="5" ht="20.100000000000001" customHeight="1"/>
    <row r="6" ht="20.100000000000001" customHeight="1"/>
    <row r="7" ht="20.100000000000001" customHeight="1"/>
    <row r="8" ht="20.100000000000001" customHeight="1"/>
    <row r="9" ht="20.100000000000001" customHeight="1"/>
    <row r="10" ht="20.100000000000001" customHeight="1"/>
    <row r="11" ht="20.100000000000001" customHeight="1"/>
    <row r="12" ht="20.100000000000001" customHeight="1"/>
    <row r="13" ht="20.100000000000001" customHeight="1"/>
    <row r="14" ht="20.100000000000001" customHeight="1"/>
    <row r="15" ht="20.100000000000001" customHeight="1"/>
    <row r="16" ht="20.100000000000001" customHeight="1"/>
    <row r="17" ht="20.100000000000001" customHeight="1"/>
    <row r="18" ht="20.100000000000001" customHeight="1"/>
    <row r="19" ht="20.100000000000001" customHeight="1"/>
    <row r="20" ht="20.100000000000001" customHeight="1"/>
    <row r="21" ht="20.100000000000001" customHeight="1"/>
    <row r="22" ht="20.100000000000001" customHeight="1"/>
    <row r="23" ht="20.100000000000001" customHeight="1"/>
    <row r="24" ht="20.100000000000001" customHeight="1"/>
    <row r="25" ht="20.100000000000001" customHeight="1"/>
    <row r="26" ht="20.100000000000001" customHeight="1"/>
    <row r="27" ht="20.100000000000001" customHeight="1"/>
    <row r="28" ht="20.100000000000001" customHeight="1"/>
    <row r="29" ht="20.100000000000001" customHeight="1"/>
  </sheetData>
  <pageMargins left="0.7" right="0.7" top="0.75" bottom="0.75" header="0.3" footer="0.3"/>
  <pageSetup paperSize="5" orientation="portrait" r:id="rId1"/>
  <drawing r:id="rId2"/>
</worksheet>
</file>

<file path=xl/worksheets/sheet6.xml><?xml version="1.0" encoding="utf-8"?>
<worksheet xmlns="http://schemas.openxmlformats.org/spreadsheetml/2006/main" xmlns:r="http://schemas.openxmlformats.org/officeDocument/2006/relationships">
  <sheetPr codeName="Hoja13">
    <pageSetUpPr autoPageBreaks="0"/>
  </sheetPr>
  <dimension ref="B1:P106"/>
  <sheetViews>
    <sheetView showGridLines="0" view="pageBreakPreview" topLeftCell="B5" zoomScale="115" zoomScaleNormal="85" zoomScaleSheetLayoutView="115" zoomScalePageLayoutView="40" workbookViewId="0">
      <selection activeCell="C14" sqref="C14"/>
    </sheetView>
  </sheetViews>
  <sheetFormatPr baseColWidth="10" defaultColWidth="11.28515625" defaultRowHeight="12.75"/>
  <cols>
    <col min="1" max="1" width="2.140625" style="98" customWidth="1"/>
    <col min="2" max="2" width="14" style="98" customWidth="1"/>
    <col min="3" max="3" width="51.28515625" style="98" customWidth="1"/>
    <col min="4" max="16384" width="11.28515625" style="98"/>
  </cols>
  <sheetData>
    <row r="1" spans="2:12" ht="18">
      <c r="B1" s="237" t="s">
        <v>1105</v>
      </c>
      <c r="C1" s="237"/>
      <c r="D1" s="237"/>
      <c r="E1" s="237"/>
      <c r="F1" s="237"/>
      <c r="G1" s="237"/>
      <c r="H1" s="237"/>
      <c r="I1" s="237"/>
      <c r="J1" s="237"/>
      <c r="K1" s="237"/>
      <c r="L1" s="237"/>
    </row>
    <row r="2" spans="2:12" ht="12.75" customHeight="1">
      <c r="B2" s="111"/>
      <c r="C2" s="111"/>
      <c r="D2" s="111"/>
      <c r="E2" s="111"/>
      <c r="F2" s="111"/>
      <c r="G2" s="111"/>
      <c r="H2" s="111"/>
      <c r="I2" s="111"/>
      <c r="J2" s="111"/>
      <c r="K2" s="111"/>
      <c r="L2" s="111"/>
    </row>
    <row r="3" spans="2:12" ht="30.75" customHeight="1">
      <c r="B3" s="238" t="s">
        <v>886</v>
      </c>
      <c r="C3" s="238"/>
      <c r="D3" s="238"/>
      <c r="E3" s="238"/>
      <c r="F3" s="238"/>
      <c r="G3" s="238"/>
      <c r="H3" s="238"/>
      <c r="I3" s="238"/>
      <c r="J3" s="238"/>
      <c r="K3" s="238"/>
      <c r="L3" s="238"/>
    </row>
    <row r="4" spans="2:12" ht="27" customHeight="1"/>
    <row r="5" spans="2:12" ht="45" customHeight="1">
      <c r="B5" s="101" t="s">
        <v>887</v>
      </c>
      <c r="C5" s="101" t="s">
        <v>888</v>
      </c>
      <c r="H5" s="99"/>
      <c r="I5" s="99"/>
    </row>
    <row r="6" spans="2:12" ht="28.35" customHeight="1">
      <c r="B6" s="102">
        <f>COUNTIFS(EXPEDIENTES!AA:AA,$C6,EXPEDIENTES!W:W,"SI")</f>
        <v>0</v>
      </c>
      <c r="C6" s="162" t="s">
        <v>1095</v>
      </c>
      <c r="F6" s="100"/>
      <c r="H6" s="99"/>
      <c r="I6" s="99"/>
    </row>
    <row r="7" spans="2:12" ht="28.35" customHeight="1">
      <c r="B7" s="102">
        <f ca="1">COUNTIFS(EXPEDIENTES!AA:AA,$C7,EXPEDIENTES!W:W,"SI")</f>
        <v>3</v>
      </c>
      <c r="C7" s="161" t="s">
        <v>1034</v>
      </c>
      <c r="F7" s="100"/>
      <c r="H7" s="99"/>
      <c r="I7" s="99"/>
    </row>
    <row r="8" spans="2:12" ht="28.35" customHeight="1">
      <c r="B8" s="102">
        <f ca="1">COUNTIFS(EXPEDIENTES!AA:AA,$C8,EXPEDIENTES!W:W,"SI")</f>
        <v>2</v>
      </c>
      <c r="C8" s="161" t="s">
        <v>1045</v>
      </c>
      <c r="F8" s="100"/>
      <c r="H8" s="99"/>
      <c r="I8" s="99"/>
    </row>
    <row r="9" spans="2:12" ht="28.35" customHeight="1">
      <c r="B9" s="102">
        <f ca="1">COUNTIFS(EXPEDIENTES!AA:AA,$C9,EXPEDIENTES!W:W,"SI")</f>
        <v>7</v>
      </c>
      <c r="C9" s="161" t="s">
        <v>1043</v>
      </c>
      <c r="F9" s="100"/>
      <c r="H9" s="99"/>
      <c r="I9" s="99"/>
    </row>
    <row r="10" spans="2:12" ht="28.35" customHeight="1">
      <c r="B10" s="102">
        <f ca="1">COUNTIFS(EXPEDIENTES!AA:AA,$C10,EXPEDIENTES!W:W,"SI")</f>
        <v>74</v>
      </c>
      <c r="C10" s="161" t="s">
        <v>1015</v>
      </c>
      <c r="F10" s="100"/>
      <c r="H10" s="99"/>
      <c r="I10" s="99"/>
    </row>
    <row r="11" spans="2:12" ht="28.35" customHeight="1">
      <c r="B11" s="102">
        <f ca="1">COUNTIFS(EXPEDIENTES!AA:AA,$C11,EXPEDIENTES!W:W,"SI")</f>
        <v>1</v>
      </c>
      <c r="C11" s="230" t="s">
        <v>1077</v>
      </c>
      <c r="F11" s="100"/>
      <c r="H11" s="99"/>
      <c r="I11" s="99"/>
    </row>
    <row r="12" spans="2:12" ht="28.35" customHeight="1">
      <c r="B12" s="102">
        <f ca="1">COUNTIFS(EXPEDIENTES!AA:AA,$C12,EXPEDIENTES!W:W,"SI")</f>
        <v>37</v>
      </c>
      <c r="C12" s="161" t="s">
        <v>1017</v>
      </c>
      <c r="F12" s="100"/>
      <c r="H12" s="99"/>
      <c r="I12" s="99"/>
    </row>
    <row r="13" spans="2:12" ht="28.35" customHeight="1">
      <c r="B13" s="102">
        <f>COUNTIFS(EXPEDIENTES!AA:AA,$C13)</f>
        <v>2</v>
      </c>
      <c r="C13" s="207" t="s">
        <v>1039</v>
      </c>
      <c r="D13" s="103"/>
      <c r="E13" s="103"/>
      <c r="F13" s="103"/>
      <c r="G13" s="103"/>
      <c r="H13" s="103"/>
      <c r="I13" s="103"/>
      <c r="J13" s="103"/>
      <c r="K13" s="97"/>
    </row>
    <row r="14" spans="2:12" ht="28.35" customHeight="1">
      <c r="B14" s="102">
        <f ca="1">COUNTIFS(EXPEDIENTES!AA:AA,$C14,EXPEDIENTES!W:W,"SI")</f>
        <v>9</v>
      </c>
      <c r="C14" s="207" t="s">
        <v>1041</v>
      </c>
      <c r="D14" s="104"/>
      <c r="E14" s="104"/>
      <c r="F14" s="104"/>
      <c r="G14" s="104"/>
      <c r="H14" s="104"/>
      <c r="I14" s="104"/>
      <c r="J14" s="104"/>
      <c r="K14" s="97"/>
    </row>
    <row r="15" spans="2:12" ht="28.35" customHeight="1">
      <c r="B15" s="163">
        <f ca="1">SUM(B6:B14)</f>
        <v>135</v>
      </c>
      <c r="C15" s="163" t="s">
        <v>889</v>
      </c>
      <c r="D15" s="104"/>
      <c r="E15" s="104"/>
      <c r="F15" s="104"/>
      <c r="G15" s="104"/>
      <c r="H15" s="104"/>
      <c r="I15" s="104"/>
      <c r="J15" s="104"/>
      <c r="K15" s="97"/>
    </row>
    <row r="16" spans="2:12" ht="28.35" customHeight="1">
      <c r="B16" s="108"/>
      <c r="C16" s="164"/>
      <c r="H16" s="99"/>
      <c r="I16" s="99"/>
      <c r="K16" s="106"/>
    </row>
    <row r="17" spans="2:16" ht="28.35" customHeight="1">
      <c r="B17" s="108"/>
      <c r="C17" s="164"/>
      <c r="D17" s="105"/>
      <c r="I17" s="99"/>
      <c r="J17" s="99"/>
    </row>
    <row r="18" spans="2:16" ht="28.35" customHeight="1">
      <c r="D18" s="107"/>
      <c r="I18" s="99"/>
      <c r="J18" s="99"/>
      <c r="P18" s="159"/>
    </row>
    <row r="19" spans="2:16" ht="28.35" customHeight="1">
      <c r="P19" s="159"/>
    </row>
    <row r="20" spans="2:16" ht="28.35" customHeight="1">
      <c r="B20" s="98" t="str">
        <f ca="1">"Fuente: Oficina Judicial de Impugnación - Información al "&amp;TEXT(TODAY(),"DD/MM/YYYY")</f>
        <v>Fuente: Oficina Judicial de Impugnación - Información al 21/11/2023</v>
      </c>
      <c r="P20" s="160"/>
    </row>
    <row r="21" spans="2:16" ht="28.35" customHeight="1">
      <c r="P21" s="109"/>
    </row>
    <row r="22" spans="2:16" ht="30" customHeight="1">
      <c r="B22" s="237" t="s">
        <v>885</v>
      </c>
      <c r="C22" s="237"/>
      <c r="D22" s="237"/>
      <c r="E22" s="237"/>
      <c r="F22" s="237"/>
      <c r="G22" s="237"/>
      <c r="H22" s="237"/>
      <c r="I22" s="237"/>
      <c r="J22" s="237"/>
      <c r="K22" s="237"/>
    </row>
    <row r="23" spans="2:16" ht="30" customHeight="1">
      <c r="B23" s="238" t="s">
        <v>890</v>
      </c>
      <c r="C23" s="238"/>
      <c r="D23" s="238"/>
      <c r="E23" s="238"/>
      <c r="F23" s="238"/>
      <c r="G23" s="238"/>
      <c r="H23" s="238"/>
      <c r="I23" s="238"/>
      <c r="J23" s="238"/>
      <c r="K23" s="238"/>
    </row>
    <row r="24" spans="2:16" ht="30" customHeight="1">
      <c r="B24" s="101" t="s">
        <v>887</v>
      </c>
      <c r="C24" s="101" t="s">
        <v>888</v>
      </c>
    </row>
    <row r="25" spans="2:16" ht="18" customHeight="1">
      <c r="B25" s="110">
        <f ca="1">COUNTIFS(EXPEDIENTES!Z:Z,$C25,EXPEDIENTES!W:W,"SI")</f>
        <v>4</v>
      </c>
      <c r="C25" s="165" t="s">
        <v>1014</v>
      </c>
    </row>
    <row r="26" spans="2:16" ht="18" customHeight="1">
      <c r="B26" s="110">
        <f ca="1">COUNTIFS(EXPEDIENTES!Z:Z,$C26,EXPEDIENTES!W:W,"SI")</f>
        <v>1</v>
      </c>
      <c r="C26" s="165" t="s">
        <v>1016</v>
      </c>
    </row>
    <row r="27" spans="2:16" ht="18" customHeight="1">
      <c r="B27" s="110">
        <f ca="1">COUNTIFS(EXPEDIENTES!Z:Z,$C27,EXPEDIENTES!W:W,"SI")</f>
        <v>70</v>
      </c>
      <c r="C27" s="165" t="s">
        <v>1018</v>
      </c>
    </row>
    <row r="28" spans="2:16" ht="18" customHeight="1">
      <c r="B28" s="110">
        <f ca="1">COUNTIFS(EXPEDIENTES!Z:Z,$C28,EXPEDIENTES!W:W,"SI")</f>
        <v>17</v>
      </c>
      <c r="C28" s="165" t="s">
        <v>1019</v>
      </c>
    </row>
    <row r="29" spans="2:16" ht="18" customHeight="1">
      <c r="B29" s="110">
        <f>COUNTIFS(EXPEDIENTES!Z:Z,$C29,EXPEDIENTES!W:W,"SI")</f>
        <v>0</v>
      </c>
      <c r="C29" s="165" t="s">
        <v>1020</v>
      </c>
    </row>
    <row r="30" spans="2:16" ht="18" customHeight="1">
      <c r="B30" s="110">
        <f>COUNTIFS(EXPEDIENTES!Z:Z,$C30,EXPEDIENTES!W:W,"SI")</f>
        <v>0</v>
      </c>
      <c r="C30" s="165" t="s">
        <v>1021</v>
      </c>
    </row>
    <row r="31" spans="2:16" ht="18" customHeight="1">
      <c r="B31" s="110">
        <f>COUNTIFS(EXPEDIENTES!Z:Z,$C31,EXPEDIENTES!W:W,"SI")</f>
        <v>0</v>
      </c>
      <c r="C31" s="165" t="s">
        <v>1022</v>
      </c>
    </row>
    <row r="32" spans="2:16" ht="18" customHeight="1">
      <c r="B32" s="110">
        <f>COUNTIFS(EXPEDIENTES!Z:Z,$C32,EXPEDIENTES!W:W,"SI")</f>
        <v>0</v>
      </c>
      <c r="C32" s="165" t="s">
        <v>1023</v>
      </c>
    </row>
    <row r="33" spans="2:3" ht="18" customHeight="1">
      <c r="B33" s="110">
        <f>COUNTIFS(EXPEDIENTES!Z:Z,$C33,EXPEDIENTES!W:W,"SI")</f>
        <v>0</v>
      </c>
      <c r="C33" s="165" t="s">
        <v>1024</v>
      </c>
    </row>
    <row r="34" spans="2:3" ht="18" customHeight="1">
      <c r="B34" s="110">
        <f ca="1">COUNTIFS(EXPEDIENTES!Z:Z,$C34,EXPEDIENTES!W:W,"SI")</f>
        <v>7</v>
      </c>
      <c r="C34" s="165" t="s">
        <v>1025</v>
      </c>
    </row>
    <row r="35" spans="2:3" ht="18" customHeight="1">
      <c r="B35" s="110">
        <f>COUNTIFS(EXPEDIENTES!Z:Z,$C35,EXPEDIENTES!W:W,"SI")</f>
        <v>0</v>
      </c>
      <c r="C35" s="165" t="s">
        <v>1026</v>
      </c>
    </row>
    <row r="36" spans="2:3" ht="18" customHeight="1">
      <c r="B36" s="110">
        <f>COUNTIFS(EXPEDIENTES!Z:Z,$C36,EXPEDIENTES!W:W,"SI")</f>
        <v>0</v>
      </c>
      <c r="C36" s="165" t="s">
        <v>1027</v>
      </c>
    </row>
    <row r="37" spans="2:3" ht="18" customHeight="1">
      <c r="B37" s="110">
        <f ca="1">COUNTIFS(EXPEDIENTES!Z:Z,$C37,EXPEDIENTES!W:W,"SI")</f>
        <v>2</v>
      </c>
      <c r="C37" s="165" t="s">
        <v>1028</v>
      </c>
    </row>
    <row r="38" spans="2:3" ht="18" customHeight="1">
      <c r="B38" s="110">
        <f>COUNTIFS(EXPEDIENTES!Z:Z,$C38,EXPEDIENTES!W:W,"SI")</f>
        <v>0</v>
      </c>
      <c r="C38" s="165" t="s">
        <v>1030</v>
      </c>
    </row>
    <row r="39" spans="2:3" ht="18" customHeight="1">
      <c r="B39" s="110">
        <f>COUNTIFS(EXPEDIENTES!Z:Z,$C39,EXPEDIENTES!W:W,"SI")</f>
        <v>0</v>
      </c>
      <c r="C39" s="165" t="s">
        <v>1031</v>
      </c>
    </row>
    <row r="40" spans="2:3" ht="18" customHeight="1">
      <c r="B40" s="110">
        <f>COUNTIFS(EXPEDIENTES!Z:Z,$C40,EXPEDIENTES!W:W,"SI")</f>
        <v>0</v>
      </c>
      <c r="C40" s="165" t="s">
        <v>1032</v>
      </c>
    </row>
    <row r="41" spans="2:3" ht="18" customHeight="1">
      <c r="B41" s="110">
        <f>COUNTIFS(EXPEDIENTES!Z:Z,$C41,EXPEDIENTES!W:W,"SI")</f>
        <v>0</v>
      </c>
      <c r="C41" s="165" t="s">
        <v>1033</v>
      </c>
    </row>
    <row r="42" spans="2:3" ht="18" customHeight="1">
      <c r="B42" s="110">
        <f ca="1">COUNTIFS(EXPEDIENTES!Z:Z,$C42,EXPEDIENTES!W:W,"SI")</f>
        <v>3</v>
      </c>
      <c r="C42" s="165" t="s">
        <v>1035</v>
      </c>
    </row>
    <row r="43" spans="2:3" ht="18" customHeight="1">
      <c r="B43" s="110">
        <f>COUNTIFS(EXPEDIENTES!Z:Z,$C43,EXPEDIENTES!W:W,"SI")</f>
        <v>0</v>
      </c>
      <c r="C43" s="165" t="s">
        <v>1036</v>
      </c>
    </row>
    <row r="44" spans="2:3" ht="18" customHeight="1">
      <c r="B44" s="110">
        <f>COUNTIFS(EXPEDIENTES!Z:Z,$C44,EXPEDIENTES!W:W,"SI")</f>
        <v>0</v>
      </c>
      <c r="C44" s="165" t="s">
        <v>1037</v>
      </c>
    </row>
    <row r="45" spans="2:3" ht="18" customHeight="1">
      <c r="B45" s="110">
        <f ca="1">COUNTIFS(EXPEDIENTES!Z:Z,$C45,EXPEDIENTES!W:W,"SI")</f>
        <v>1</v>
      </c>
      <c r="C45" s="165" t="s">
        <v>1038</v>
      </c>
    </row>
    <row r="46" spans="2:3" ht="18" customHeight="1">
      <c r="B46" s="110">
        <f ca="1">COUNTIFS(EXPEDIENTES!Z:Z,$C46,EXPEDIENTES!W:W,"SI")</f>
        <v>9</v>
      </c>
      <c r="C46" s="165" t="s">
        <v>1040</v>
      </c>
    </row>
    <row r="47" spans="2:3" ht="18" customHeight="1">
      <c r="B47" s="110">
        <f ca="1">COUNTIFS(EXPEDIENTES!Z:Z,$C47,EXPEDIENTES!W:W,"SI")</f>
        <v>7</v>
      </c>
      <c r="C47" s="165" t="s">
        <v>1042</v>
      </c>
    </row>
    <row r="48" spans="2:3" ht="18" customHeight="1">
      <c r="B48" s="110">
        <f ca="1">COUNTIFS(EXPEDIENTES!Z:Z,$C48,EXPEDIENTES!W:W,"SI")</f>
        <v>2</v>
      </c>
      <c r="C48" s="165" t="s">
        <v>1044</v>
      </c>
    </row>
    <row r="49" spans="2:3" ht="18" customHeight="1">
      <c r="B49" s="110">
        <f ca="1">COUNTIFS(EXPEDIENTES!Z:Z,$C49,EXPEDIENTES!W:W,"SI")</f>
        <v>12</v>
      </c>
      <c r="C49" s="165" t="s">
        <v>1062</v>
      </c>
    </row>
    <row r="50" spans="2:3" ht="18" customHeight="1">
      <c r="B50" s="110">
        <f ca="1">COUNTIFS(EXPEDIENTES!Z:Z,$C50,EXPEDIENTES!W:W,"SI")</f>
        <v>1</v>
      </c>
      <c r="C50" s="166" t="s">
        <v>1076</v>
      </c>
    </row>
    <row r="51" spans="2:3" ht="18" customHeight="1">
      <c r="B51" s="110">
        <f>COUNTIFS(EXPEDIENTES!Z:Z,$C51,EXPEDIENTES!W:W,"SI")</f>
        <v>0</v>
      </c>
      <c r="C51" s="166" t="s">
        <v>1094</v>
      </c>
    </row>
    <row r="52" spans="2:3" ht="18">
      <c r="B52" s="101">
        <f ca="1">SUM(B25:B41)</f>
        <v>101</v>
      </c>
      <c r="C52" s="101" t="s">
        <v>889</v>
      </c>
    </row>
    <row r="61" spans="2:3" ht="23.25" customHeight="1"/>
    <row r="62" spans="2:3" ht="18" customHeight="1"/>
    <row r="63" spans="2:3" ht="21" customHeight="1"/>
    <row r="64" spans="2:3" ht="22.5" customHeight="1"/>
    <row r="65" ht="23.25" customHeight="1"/>
    <row r="66" ht="21" customHeight="1"/>
    <row r="67" ht="23.25" customHeight="1"/>
    <row r="97" ht="27.75" customHeight="1"/>
    <row r="98" ht="27" customHeight="1"/>
    <row r="99" ht="23.25" customHeight="1"/>
    <row r="100" ht="24" customHeight="1"/>
    <row r="101" ht="24" customHeight="1"/>
    <row r="102" ht="24.75" customHeight="1"/>
    <row r="103" ht="24.75" customHeight="1"/>
    <row r="104" ht="19.5" customHeight="1"/>
    <row r="105" ht="23.25" customHeight="1"/>
    <row r="106" ht="24.75" customHeight="1"/>
  </sheetData>
  <sortState ref="P4:P30">
    <sortCondition ref="P4:P30"/>
  </sortState>
  <mergeCells count="4">
    <mergeCell ref="B22:K22"/>
    <mergeCell ref="B23:K23"/>
    <mergeCell ref="B1:L1"/>
    <mergeCell ref="B3:L3"/>
  </mergeCells>
  <pageMargins left="0.19685039370078741" right="0.19685039370078741" top="0.19685039370078741" bottom="0.19685039370078741" header="0.11811023622047245" footer="0.11811023622047245"/>
  <pageSetup paperSize="5" orientation="landscape" r:id="rId1"/>
  <drawing r:id="rId2"/>
</worksheet>
</file>

<file path=xl/worksheets/sheet7.xml><?xml version="1.0" encoding="utf-8"?>
<worksheet xmlns="http://schemas.openxmlformats.org/spreadsheetml/2006/main" xmlns:r="http://schemas.openxmlformats.org/officeDocument/2006/relationships">
  <sheetPr codeName="Hoja9"/>
  <dimension ref="A3:A29"/>
  <sheetViews>
    <sheetView zoomScale="70" zoomScaleNormal="70" workbookViewId="0">
      <selection activeCell="J42" sqref="J42"/>
    </sheetView>
  </sheetViews>
  <sheetFormatPr baseColWidth="10" defaultRowHeight="12.75"/>
  <sheetData>
    <row r="3" ht="20.100000000000001" customHeight="1"/>
    <row r="4" ht="20.100000000000001" customHeight="1"/>
    <row r="5" ht="20.100000000000001" customHeight="1"/>
    <row r="6" ht="20.100000000000001" customHeight="1"/>
    <row r="7" ht="20.100000000000001" customHeight="1"/>
    <row r="8" ht="20.100000000000001" customHeight="1"/>
    <row r="9" ht="20.100000000000001" customHeight="1"/>
    <row r="10" ht="20.100000000000001" customHeight="1"/>
    <row r="11" ht="20.100000000000001" customHeight="1"/>
    <row r="12" ht="20.100000000000001" customHeight="1"/>
    <row r="13" ht="20.100000000000001" customHeight="1"/>
    <row r="14" ht="20.100000000000001" customHeight="1"/>
    <row r="15" ht="20.100000000000001" customHeight="1"/>
    <row r="16" ht="20.100000000000001" customHeight="1"/>
    <row r="17" ht="20.100000000000001" customHeight="1"/>
    <row r="18" ht="20.100000000000001" customHeight="1"/>
    <row r="19" ht="20.100000000000001" customHeight="1"/>
    <row r="20" ht="20.100000000000001" customHeight="1"/>
    <row r="21" ht="20.100000000000001" customHeight="1"/>
    <row r="22" ht="20.100000000000001" customHeight="1"/>
    <row r="23" ht="20.100000000000001" customHeight="1"/>
    <row r="24" ht="20.100000000000001" customHeight="1"/>
    <row r="25" ht="20.100000000000001" customHeight="1"/>
    <row r="26" ht="20.100000000000001" customHeight="1"/>
    <row r="27" ht="20.100000000000001" customHeight="1"/>
    <row r="28" ht="20.100000000000001" customHeight="1"/>
    <row r="29" ht="20.100000000000001" customHeight="1"/>
  </sheetData>
  <pageMargins left="0.7" right="0.7" top="0.75" bottom="0.75" header="0.3" footer="0.3"/>
  <pageSetup paperSize="5" orientation="portrait" r:id="rId1"/>
  <drawing r:id="rId2"/>
</worksheet>
</file>

<file path=xl/worksheets/sheet8.xml><?xml version="1.0" encoding="utf-8"?>
<worksheet xmlns="http://schemas.openxmlformats.org/spreadsheetml/2006/main" xmlns:r="http://schemas.openxmlformats.org/officeDocument/2006/relationships">
  <sheetPr codeName="Hoja8"/>
  <dimension ref="A1:E40"/>
  <sheetViews>
    <sheetView topLeftCell="A19" zoomScale="85" zoomScaleNormal="85" workbookViewId="0">
      <selection activeCell="F31" sqref="F31"/>
    </sheetView>
  </sheetViews>
  <sheetFormatPr baseColWidth="10" defaultRowHeight="12.75"/>
  <cols>
    <col min="1" max="1" width="54.28515625" style="17" customWidth="1"/>
  </cols>
  <sheetData>
    <row r="1" spans="1:1" ht="24.95" customHeight="1">
      <c r="A1" s="15" t="s">
        <v>9</v>
      </c>
    </row>
    <row r="2" spans="1:1" ht="24.95" customHeight="1">
      <c r="A2" s="16" t="s">
        <v>12</v>
      </c>
    </row>
    <row r="3" spans="1:1" ht="24.95" customHeight="1">
      <c r="A3" s="15" t="s">
        <v>11</v>
      </c>
    </row>
    <row r="4" spans="1:1" ht="24.95" customHeight="1">
      <c r="A4" s="15" t="s">
        <v>30</v>
      </c>
    </row>
    <row r="5" spans="1:1" ht="24.95" customHeight="1">
      <c r="A5" s="16" t="s">
        <v>31</v>
      </c>
    </row>
    <row r="6" spans="1:1" ht="24.95" customHeight="1">
      <c r="A6" s="17" t="s">
        <v>50</v>
      </c>
    </row>
    <row r="7" spans="1:1" ht="24.95" customHeight="1">
      <c r="A7" s="15" t="s">
        <v>23</v>
      </c>
    </row>
    <row r="8" spans="1:1" ht="24.95" customHeight="1">
      <c r="A8" s="15" t="s">
        <v>27</v>
      </c>
    </row>
    <row r="9" spans="1:1" ht="24.95" customHeight="1">
      <c r="A9" s="16" t="s">
        <v>19</v>
      </c>
    </row>
    <row r="10" spans="1:1" ht="24.95" customHeight="1">
      <c r="A10" s="15" t="s">
        <v>28</v>
      </c>
    </row>
    <row r="11" spans="1:1" ht="24.95" customHeight="1">
      <c r="A11" s="16" t="s">
        <v>20</v>
      </c>
    </row>
    <row r="12" spans="1:1" ht="24.95" customHeight="1">
      <c r="A12" s="15" t="s">
        <v>16</v>
      </c>
    </row>
    <row r="13" spans="1:1" ht="24.95" customHeight="1">
      <c r="A13" s="16" t="s">
        <v>6</v>
      </c>
    </row>
    <row r="14" spans="1:1" ht="24.95" customHeight="1">
      <c r="A14" s="16" t="s">
        <v>14</v>
      </c>
    </row>
    <row r="15" spans="1:1" ht="24.95" customHeight="1">
      <c r="A15" s="16" t="s">
        <v>58</v>
      </c>
    </row>
    <row r="16" spans="1:1" ht="24.95" customHeight="1">
      <c r="A16" s="16" t="s">
        <v>26</v>
      </c>
    </row>
    <row r="17" spans="1:5" ht="24.95" customHeight="1">
      <c r="A17" s="16" t="s">
        <v>21</v>
      </c>
    </row>
    <row r="18" spans="1:5" ht="24.95" customHeight="1">
      <c r="A18" s="15" t="s">
        <v>15</v>
      </c>
    </row>
    <row r="19" spans="1:5" ht="24.95" customHeight="1">
      <c r="A19" s="17" t="s">
        <v>46</v>
      </c>
    </row>
    <row r="20" spans="1:5" ht="24.95" customHeight="1">
      <c r="A20" s="18" t="s">
        <v>45</v>
      </c>
    </row>
    <row r="21" spans="1:5" ht="24.95" customHeight="1">
      <c r="A21" s="18" t="s">
        <v>49</v>
      </c>
    </row>
    <row r="22" spans="1:5" ht="24.95" customHeight="1">
      <c r="A22" s="16" t="s">
        <v>4</v>
      </c>
    </row>
    <row r="23" spans="1:5" ht="24.95" customHeight="1">
      <c r="A23" s="16" t="s">
        <v>29</v>
      </c>
    </row>
    <row r="24" spans="1:5" ht="24.95" customHeight="1">
      <c r="A24" s="16" t="s">
        <v>32</v>
      </c>
    </row>
    <row r="25" spans="1:5" ht="24.95" customHeight="1">
      <c r="A25" s="16" t="s">
        <v>5</v>
      </c>
    </row>
    <row r="26" spans="1:5" ht="24.95" customHeight="1">
      <c r="A26" s="15" t="s">
        <v>7</v>
      </c>
      <c r="E26" s="11"/>
    </row>
    <row r="27" spans="1:5" ht="24.95" customHeight="1">
      <c r="A27" s="15" t="s">
        <v>8</v>
      </c>
    </row>
    <row r="28" spans="1:5" ht="24.95" customHeight="1">
      <c r="A28" s="15" t="s">
        <v>37</v>
      </c>
    </row>
    <row r="29" spans="1:5" ht="24.95" customHeight="1">
      <c r="A29" s="16" t="s">
        <v>34</v>
      </c>
    </row>
    <row r="30" spans="1:5" ht="24.95" customHeight="1">
      <c r="A30" s="16" t="s">
        <v>35</v>
      </c>
    </row>
    <row r="31" spans="1:5" ht="24.95" customHeight="1">
      <c r="A31" s="16" t="s">
        <v>33</v>
      </c>
    </row>
    <row r="32" spans="1:5" ht="24.95" customHeight="1">
      <c r="A32" s="16" t="s">
        <v>38</v>
      </c>
    </row>
    <row r="33" spans="1:1" ht="24.95" customHeight="1">
      <c r="A33" s="16" t="s">
        <v>39</v>
      </c>
    </row>
    <row r="34" spans="1:1" ht="24.95" customHeight="1">
      <c r="A34" s="15" t="s">
        <v>40</v>
      </c>
    </row>
    <row r="35" spans="1:1" ht="24.95" customHeight="1">
      <c r="A35" s="16" t="s">
        <v>13</v>
      </c>
    </row>
    <row r="36" spans="1:1" ht="24.95" customHeight="1">
      <c r="A36" s="18" t="s">
        <v>117</v>
      </c>
    </row>
    <row r="37" spans="1:1" ht="24.95" customHeight="1">
      <c r="A37" s="15" t="s">
        <v>36</v>
      </c>
    </row>
    <row r="38" spans="1:1" ht="24.95" customHeight="1">
      <c r="A38" s="17" t="s">
        <v>52</v>
      </c>
    </row>
    <row r="39" spans="1:1">
      <c r="A39" s="18" t="s">
        <v>53</v>
      </c>
    </row>
    <row r="40" spans="1:1">
      <c r="A40" s="18" t="s">
        <v>216</v>
      </c>
    </row>
  </sheetData>
  <sortState ref="A1:A39">
    <sortCondition ref="A1:A39"/>
  </sortState>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Hoja10"/>
  <dimension ref="A1:A44"/>
  <sheetViews>
    <sheetView topLeftCell="A37" workbookViewId="0">
      <selection activeCell="A44" sqref="A44"/>
    </sheetView>
  </sheetViews>
  <sheetFormatPr baseColWidth="10" defaultRowHeight="12.75"/>
  <cols>
    <col min="1" max="1" width="36" style="3" customWidth="1"/>
  </cols>
  <sheetData>
    <row r="1" spans="1:1" ht="30" customHeight="1">
      <c r="A1" s="28" t="s">
        <v>64</v>
      </c>
    </row>
    <row r="2" spans="1:1" ht="30" customHeight="1">
      <c r="A2" s="28" t="s">
        <v>81</v>
      </c>
    </row>
    <row r="3" spans="1:1" ht="30" customHeight="1">
      <c r="A3" s="33" t="s">
        <v>73</v>
      </c>
    </row>
    <row r="4" spans="1:1" ht="30" customHeight="1">
      <c r="A4" s="6" t="s">
        <v>70</v>
      </c>
    </row>
    <row r="5" spans="1:1" ht="30" customHeight="1">
      <c r="A5" s="6" t="s">
        <v>69</v>
      </c>
    </row>
    <row r="6" spans="1:1" ht="30" customHeight="1">
      <c r="A6" s="6" t="s">
        <v>71</v>
      </c>
    </row>
    <row r="7" spans="1:1" ht="30" customHeight="1">
      <c r="A7" s="6"/>
    </row>
    <row r="8" spans="1:1" ht="30" customHeight="1">
      <c r="A8" s="6" t="s">
        <v>67</v>
      </c>
    </row>
    <row r="9" spans="1:1" ht="30" customHeight="1">
      <c r="A9" s="6" t="s">
        <v>68</v>
      </c>
    </row>
    <row r="10" spans="1:1" ht="30" customHeight="1">
      <c r="A10" s="6" t="s">
        <v>79</v>
      </c>
    </row>
    <row r="11" spans="1:1" ht="30" customHeight="1">
      <c r="A11" s="6" t="s">
        <v>80</v>
      </c>
    </row>
    <row r="12" spans="1:1" ht="30" customHeight="1">
      <c r="A12" s="6" t="s">
        <v>72</v>
      </c>
    </row>
    <row r="13" spans="1:1" ht="30" customHeight="1">
      <c r="A13" s="6" t="s">
        <v>56</v>
      </c>
    </row>
    <row r="14" spans="1:1" ht="30" customHeight="1">
      <c r="A14" s="6" t="s">
        <v>48</v>
      </c>
    </row>
    <row r="15" spans="1:1" ht="30" customHeight="1">
      <c r="A15" s="6" t="s">
        <v>54</v>
      </c>
    </row>
    <row r="16" spans="1:1" ht="30" customHeight="1">
      <c r="A16" s="6" t="s">
        <v>74</v>
      </c>
    </row>
    <row r="17" spans="1:1" ht="30" customHeight="1">
      <c r="A17" s="6" t="s">
        <v>75</v>
      </c>
    </row>
    <row r="18" spans="1:1" ht="30" customHeight="1">
      <c r="A18" s="6" t="s">
        <v>60</v>
      </c>
    </row>
    <row r="19" spans="1:1" ht="30" customHeight="1">
      <c r="A19" s="6" t="s">
        <v>66</v>
      </c>
    </row>
    <row r="20" spans="1:1" ht="30" customHeight="1">
      <c r="A20" s="6" t="s">
        <v>63</v>
      </c>
    </row>
    <row r="21" spans="1:1" ht="30" customHeight="1">
      <c r="A21" s="6" t="s">
        <v>76</v>
      </c>
    </row>
    <row r="22" spans="1:1" ht="30" customHeight="1">
      <c r="A22" s="6" t="s">
        <v>77</v>
      </c>
    </row>
    <row r="23" spans="1:1" ht="30" customHeight="1">
      <c r="A23" s="6" t="s">
        <v>55</v>
      </c>
    </row>
    <row r="24" spans="1:1" ht="30" customHeight="1">
      <c r="A24" s="6" t="s">
        <v>44</v>
      </c>
    </row>
    <row r="25" spans="1:1" ht="30" customHeight="1">
      <c r="A25" s="6" t="s">
        <v>62</v>
      </c>
    </row>
    <row r="26" spans="1:1" ht="30" customHeight="1">
      <c r="A26" s="6" t="s">
        <v>65</v>
      </c>
    </row>
    <row r="27" spans="1:1" ht="30" customHeight="1">
      <c r="A27" s="5" t="s">
        <v>10</v>
      </c>
    </row>
    <row r="28" spans="1:1" ht="30" customHeight="1">
      <c r="A28" s="6" t="s">
        <v>59</v>
      </c>
    </row>
    <row r="29" spans="1:1" ht="30" customHeight="1">
      <c r="A29" s="6" t="s">
        <v>61</v>
      </c>
    </row>
    <row r="30" spans="1:1" ht="30" customHeight="1">
      <c r="A30" s="5" t="s">
        <v>17</v>
      </c>
    </row>
    <row r="31" spans="1:1" ht="30" customHeight="1">
      <c r="A31" s="6" t="s">
        <v>78</v>
      </c>
    </row>
    <row r="32" spans="1:1" ht="30" customHeight="1">
      <c r="A32" s="6" t="s">
        <v>159</v>
      </c>
    </row>
    <row r="33" spans="1:1" ht="30" customHeight="1">
      <c r="A33" s="6" t="s">
        <v>160</v>
      </c>
    </row>
    <row r="34" spans="1:1" ht="30" customHeight="1">
      <c r="A34" s="6" t="s">
        <v>175</v>
      </c>
    </row>
    <row r="35" spans="1:1" ht="30" customHeight="1">
      <c r="A35" s="6" t="s">
        <v>184</v>
      </c>
    </row>
    <row r="36" spans="1:1" ht="30" customHeight="1">
      <c r="A36" s="6" t="s">
        <v>200</v>
      </c>
    </row>
    <row r="37" spans="1:1" ht="30" customHeight="1">
      <c r="A37" s="6" t="s">
        <v>208</v>
      </c>
    </row>
    <row r="38" spans="1:1" ht="30" customHeight="1">
      <c r="A38" s="6" t="s">
        <v>215</v>
      </c>
    </row>
    <row r="39" spans="1:1" ht="30" customHeight="1">
      <c r="A39" s="6" t="s">
        <v>217</v>
      </c>
    </row>
    <row r="40" spans="1:1" ht="30" customHeight="1">
      <c r="A40" s="6" t="s">
        <v>241</v>
      </c>
    </row>
    <row r="41" spans="1:1" ht="30" customHeight="1">
      <c r="A41" s="6" t="s">
        <v>246</v>
      </c>
    </row>
    <row r="42" spans="1:1">
      <c r="A42" s="62" t="s">
        <v>252</v>
      </c>
    </row>
    <row r="43" spans="1:1">
      <c r="A43" s="62" t="s">
        <v>253</v>
      </c>
    </row>
    <row r="44" spans="1:1">
      <c r="A44" s="62" t="s">
        <v>594</v>
      </c>
    </row>
  </sheetData>
  <sortState ref="A1:A37">
    <sortCondition ref="A1:A37"/>
  </sortState>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Hoja7"/>
  <dimension ref="A1:A13"/>
  <sheetViews>
    <sheetView workbookViewId="0">
      <selection activeCell="A13" sqref="A13"/>
    </sheetView>
  </sheetViews>
  <sheetFormatPr baseColWidth="10" defaultRowHeight="12.75"/>
  <sheetData>
    <row r="1" spans="1:1">
      <c r="A1" s="11" t="s">
        <v>201</v>
      </c>
    </row>
    <row r="2" spans="1:1">
      <c r="A2" s="11" t="s">
        <v>122</v>
      </c>
    </row>
    <row r="3" spans="1:1">
      <c r="A3" s="11" t="s">
        <v>95</v>
      </c>
    </row>
    <row r="4" spans="1:1">
      <c r="A4" s="11" t="s">
        <v>96</v>
      </c>
    </row>
    <row r="5" spans="1:1">
      <c r="A5" s="11" t="s">
        <v>97</v>
      </c>
    </row>
    <row r="6" spans="1:1">
      <c r="A6" s="11" t="s">
        <v>98</v>
      </c>
    </row>
    <row r="7" spans="1:1">
      <c r="A7" s="11" t="s">
        <v>99</v>
      </c>
    </row>
    <row r="8" spans="1:1">
      <c r="A8" s="11" t="s">
        <v>100</v>
      </c>
    </row>
    <row r="9" spans="1:1">
      <c r="A9" s="11" t="s">
        <v>101</v>
      </c>
    </row>
    <row r="10" spans="1:1">
      <c r="A10" s="11" t="s">
        <v>102</v>
      </c>
    </row>
    <row r="11" spans="1:1">
      <c r="A11" s="11" t="s">
        <v>103</v>
      </c>
    </row>
    <row r="12" spans="1:1">
      <c r="A12" s="11" t="s">
        <v>237</v>
      </c>
    </row>
    <row r="13" spans="1:1">
      <c r="A13" s="11" t="s">
        <v>1321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Hoja5"/>
  <dimension ref="A1:A3"/>
  <sheetViews>
    <sheetView workbookViewId="0">
      <selection activeCell="A4" sqref="A4"/>
    </sheetView>
  </sheetViews>
  <sheetFormatPr baseColWidth="10" defaultRowHeight="12.75"/>
  <cols>
    <col min="1" max="1" width="28.140625" customWidth="1"/>
  </cols>
  <sheetData>
    <row r="1" spans="1:1">
      <c r="A1" s="6" t="s">
        <v>132</v>
      </c>
    </row>
    <row r="2" spans="1:1">
      <c r="A2" s="6" t="s">
        <v>133</v>
      </c>
    </row>
    <row r="3" spans="1:1">
      <c r="A3" s="11" t="s">
        <v>136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Hoja11"/>
  <dimension ref="A1:F33"/>
  <sheetViews>
    <sheetView workbookViewId="0">
      <selection activeCell="A28" sqref="A28"/>
    </sheetView>
  </sheetViews>
  <sheetFormatPr baseColWidth="10" defaultRowHeight="12.75"/>
  <cols>
    <col min="1" max="1" width="61.5703125" style="98" bestFit="1" customWidth="1"/>
    <col min="2" max="2" width="45.7109375" style="98" customWidth="1"/>
    <col min="3" max="16384" width="11.42578125" style="98"/>
  </cols>
  <sheetData>
    <row r="1" spans="1:6">
      <c r="A1" s="100" t="s">
        <v>989</v>
      </c>
      <c r="B1" s="100" t="s">
        <v>988</v>
      </c>
    </row>
    <row r="2" spans="1:6">
      <c r="A2" s="155" t="s">
        <v>1014</v>
      </c>
      <c r="B2" s="156" t="s">
        <v>1015</v>
      </c>
      <c r="F2" s="97"/>
    </row>
    <row r="3" spans="1:6">
      <c r="A3" s="155" t="s">
        <v>1016</v>
      </c>
      <c r="B3" s="156" t="s">
        <v>1017</v>
      </c>
    </row>
    <row r="4" spans="1:6">
      <c r="A4" s="155" t="s">
        <v>1018</v>
      </c>
      <c r="B4" s="156" t="s">
        <v>1015</v>
      </c>
    </row>
    <row r="5" spans="1:6">
      <c r="A5" s="155" t="s">
        <v>1019</v>
      </c>
      <c r="B5" s="157" t="s">
        <v>1017</v>
      </c>
    </row>
    <row r="6" spans="1:6">
      <c r="A6" s="155" t="s">
        <v>1020</v>
      </c>
      <c r="B6" s="156" t="s">
        <v>1015</v>
      </c>
    </row>
    <row r="7" spans="1:6">
      <c r="A7" s="155" t="s">
        <v>1021</v>
      </c>
      <c r="B7" s="156" t="s">
        <v>1017</v>
      </c>
    </row>
    <row r="8" spans="1:6">
      <c r="A8" s="155" t="s">
        <v>1022</v>
      </c>
      <c r="B8" s="156" t="s">
        <v>1015</v>
      </c>
    </row>
    <row r="9" spans="1:6">
      <c r="A9" s="155" t="s">
        <v>1023</v>
      </c>
      <c r="B9" s="156" t="s">
        <v>1017</v>
      </c>
    </row>
    <row r="10" spans="1:6">
      <c r="A10" s="156" t="s">
        <v>1024</v>
      </c>
      <c r="B10" s="157" t="s">
        <v>1017</v>
      </c>
    </row>
    <row r="11" spans="1:6">
      <c r="A11" s="156" t="s">
        <v>1025</v>
      </c>
      <c r="B11" s="157" t="s">
        <v>1017</v>
      </c>
    </row>
    <row r="12" spans="1:6">
      <c r="A12" s="156" t="s">
        <v>1026</v>
      </c>
      <c r="B12" s="157" t="s">
        <v>1017</v>
      </c>
    </row>
    <row r="13" spans="1:6">
      <c r="A13" s="156" t="s">
        <v>1027</v>
      </c>
      <c r="B13" s="157" t="s">
        <v>1017</v>
      </c>
    </row>
    <row r="14" spans="1:6">
      <c r="A14" s="156" t="s">
        <v>1028</v>
      </c>
      <c r="B14" s="156" t="s">
        <v>1029</v>
      </c>
    </row>
    <row r="15" spans="1:6">
      <c r="A15" s="156" t="s">
        <v>1030</v>
      </c>
      <c r="B15" s="156" t="s">
        <v>1029</v>
      </c>
    </row>
    <row r="16" spans="1:6">
      <c r="A16" s="156" t="s">
        <v>1031</v>
      </c>
      <c r="B16" s="156" t="s">
        <v>1029</v>
      </c>
    </row>
    <row r="17" spans="1:2">
      <c r="A17" s="156" t="s">
        <v>1032</v>
      </c>
      <c r="B17" s="156" t="s">
        <v>1029</v>
      </c>
    </row>
    <row r="18" spans="1:2">
      <c r="A18" s="155" t="s">
        <v>1033</v>
      </c>
      <c r="B18" s="156" t="s">
        <v>1034</v>
      </c>
    </row>
    <row r="19" spans="1:2">
      <c r="A19" s="155" t="s">
        <v>1035</v>
      </c>
      <c r="B19" s="156" t="s">
        <v>1034</v>
      </c>
    </row>
    <row r="20" spans="1:2">
      <c r="A20" s="155" t="s">
        <v>1036</v>
      </c>
      <c r="B20" s="156" t="s">
        <v>1034</v>
      </c>
    </row>
    <row r="21" spans="1:2">
      <c r="A21" s="155" t="s">
        <v>1037</v>
      </c>
      <c r="B21" s="156" t="s">
        <v>1034</v>
      </c>
    </row>
    <row r="22" spans="1:2">
      <c r="A22" s="156" t="s">
        <v>1038</v>
      </c>
      <c r="B22" s="157" t="s">
        <v>1039</v>
      </c>
    </row>
    <row r="23" spans="1:2">
      <c r="A23" s="156" t="s">
        <v>1040</v>
      </c>
      <c r="B23" s="156" t="s">
        <v>1041</v>
      </c>
    </row>
    <row r="24" spans="1:2">
      <c r="A24" s="156" t="s">
        <v>1042</v>
      </c>
      <c r="B24" s="156" t="s">
        <v>1043</v>
      </c>
    </row>
    <row r="25" spans="1:2">
      <c r="A25" s="156" t="s">
        <v>1044</v>
      </c>
      <c r="B25" s="156" t="s">
        <v>1045</v>
      </c>
    </row>
    <row r="26" spans="1:2">
      <c r="A26" s="158" t="s">
        <v>1062</v>
      </c>
      <c r="B26" s="157" t="s">
        <v>1017</v>
      </c>
    </row>
    <row r="27" spans="1:2">
      <c r="A27" s="100" t="s">
        <v>1076</v>
      </c>
      <c r="B27" s="100" t="s">
        <v>1077</v>
      </c>
    </row>
    <row r="28" spans="1:2">
      <c r="A28" s="100" t="s">
        <v>1094</v>
      </c>
      <c r="B28" s="100" t="s">
        <v>1095</v>
      </c>
    </row>
    <row r="29" spans="1:2">
      <c r="A29" s="100" t="s">
        <v>984</v>
      </c>
      <c r="B29" s="100" t="s">
        <v>984</v>
      </c>
    </row>
    <row r="30" spans="1:2">
      <c r="A30" s="100" t="s">
        <v>984</v>
      </c>
      <c r="B30" s="100" t="s">
        <v>984</v>
      </c>
    </row>
    <row r="31" spans="1:2">
      <c r="A31" s="100"/>
    </row>
    <row r="32" spans="1:2">
      <c r="A32" s="100"/>
    </row>
    <row r="33" spans="1:1">
      <c r="A33" s="10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1</vt:i4>
      </vt:variant>
    </vt:vector>
  </HeadingPairs>
  <TitlesOfParts>
    <vt:vector size="13" baseType="lpstr">
      <vt:lpstr>EXPEDIENTES</vt:lpstr>
      <vt:lpstr>Jueces</vt:lpstr>
      <vt:lpstr>Internos</vt:lpstr>
      <vt:lpstr>Exp por Vocales</vt:lpstr>
      <vt:lpstr>Exp por Vocales - Grafica</vt:lpstr>
      <vt:lpstr>Graficos Estadisticos (2)</vt:lpstr>
      <vt:lpstr>Graficos Estadisticos</vt:lpstr>
      <vt:lpstr>fiscalias penales</vt:lpstr>
      <vt:lpstr>defensores</vt:lpstr>
      <vt:lpstr>Asesores</vt:lpstr>
      <vt:lpstr>fiscalimpug</vt:lpstr>
      <vt:lpstr>Resultados</vt:lpstr>
      <vt:lpstr>Audiencia_cancelada___inimputabilidad</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nasalas</dc:creator>
  <cp:lastModifiedBy>cvaccaro</cp:lastModifiedBy>
  <cp:lastPrinted>2023-11-13T14:34:27Z</cp:lastPrinted>
  <dcterms:created xsi:type="dcterms:W3CDTF">2023-02-23T14:47:20Z</dcterms:created>
  <dcterms:modified xsi:type="dcterms:W3CDTF">2023-11-21T16:08:48Z</dcterms:modified>
</cp:coreProperties>
</file>