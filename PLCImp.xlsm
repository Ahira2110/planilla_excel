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891"/>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EXPEDIENTES!$A$2:$T$2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53" i="1"/>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comments1.xml><?xml version="1.0" encoding="utf-8"?>
<comments xmlns="http://schemas.openxmlformats.org/spreadsheetml/2006/main">
  <authors>
    <author>cvaccaro</author>
  </authors>
  <commentList>
    <comment ref="A122" authorId="0">
      <text>
        <r>
          <rPr>
            <b/>
            <sz val="9"/>
            <color indexed="81"/>
            <rFont val="Tahoma"/>
            <family val="2"/>
          </rPr>
          <t>cvaccaro:</t>
        </r>
        <r>
          <rPr>
            <sz val="9"/>
            <color indexed="81"/>
            <rFont val="Tahoma"/>
            <family val="2"/>
          </rPr>
          <t xml:space="preserve">
</t>
        </r>
      </text>
    </comment>
  </commentList>
</comments>
</file>

<file path=xl/sharedStrings.xml><?xml version="1.0" encoding="utf-8"?>
<sst xmlns="http://schemas.openxmlformats.org/spreadsheetml/2006/main" count="2189" uniqueCount="1310">
  <si>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</si>
  <si>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</si>
  <si>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</si>
  <si>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</si>
  <si>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</si>
  <si>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</si>
  <si>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</si>
  <si>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</si>
  <si>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</si>
  <si>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</si>
  <si>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</si>
  <si>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</si>
  <si>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</si>
  <si>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</si>
  <si>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</si>
  <si>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</si>
  <si>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</si>
  <si>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</si>
  <si>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</si>
  <si>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</si>
  <si>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</si>
  <si>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</si>
  <si>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</si>
  <si>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</si>
  <si>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</si>
  <si>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</si>
  <si>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</si>
  <si>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</si>
  <si>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</si>
  <si>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</si>
  <si>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</si>
  <si>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</si>
  <si>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</si>
  <si>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</si>
  <si>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</si>
  <si>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</si>
  <si>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</si>
  <si>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</si>
  <si>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</si>
  <si>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</si>
  <si>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</si>
  <si>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</si>
  <si>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</si>
  <si>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</si>
  <si>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</si>
  <si>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</si>
  <si>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</si>
  <si>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</si>
  <si>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</si>
  <si>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</si>
  <si>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</si>
  <si>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</si>
  <si>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</si>
  <si>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</si>
  <si>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</si>
  <si>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</si>
  <si>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</si>
  <si>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</si>
  <si>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</si>
  <si>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</si>
  <si>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</si>
  <si>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</si>
  <si>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</si>
  <si>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</si>
  <si>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</si>
  <si>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</si>
  <si>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</si>
  <si>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</si>
  <si>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</si>
  <si>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</si>
  <si>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</si>
  <si>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</si>
  <si>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</si>
  <si>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</si>
  <si>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</si>
  <si>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</si>
  <si>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</si>
  <si>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</si>
  <si>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</si>
  <si>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</si>
  <si>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</si>
  <si>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</si>
  <si>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</si>
  <si>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</si>
  <si>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</si>
  <si>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</si>
  <si>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</si>
  <si>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</si>
  <si>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</si>
  <si>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</si>
  <si>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</si>
  <si>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</si>
  <si>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</si>
  <si>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</si>
  <si>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</si>
  <si>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</si>
  <si>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</si>
  <si>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</si>
  <si>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</si>
  <si>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</si>
  <si>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</si>
  <si>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</si>
  <si>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</si>
  <si>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</si>
  <si>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</si>
  <si>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</si>
  <si>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</si>
  <si>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</si>
  <si>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</si>
  <si>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</si>
  <si>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</si>
  <si>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</si>
  <si>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</si>
  <si>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</si>
  <si>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</si>
  <si>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</si>
  <si>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</si>
  <si>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</si>
  <si>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</si>
  <si>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</si>
  <si>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</si>
  <si>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</si>
  <si>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</si>
  <si>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</si>
  <si>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</si>
  <si>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</si>
  <si>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</si>
  <si>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</si>
  <si>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</si>
  <si>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</si>
  <si>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</si>
  <si>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</si>
  <si>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</si>
  <si>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</si>
  <si>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</si>
  <si>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</si>
  <si>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</si>
  <si>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</si>
  <si>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</si>
  <si>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</si>
  <si>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</si>
  <si>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</si>
  <si>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</si>
  <si>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</si>
  <si>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</si>
  <si>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</si>
  <si>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</si>
  <si>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</si>
  <si>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</si>
  <si>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</si>
  <si>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</si>
  <si>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</si>
  <si>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</si>
  <si>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</si>
  <si>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</si>
  <si>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</si>
  <si>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</si>
  <si>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</si>
  <si>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</si>
  <si>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</si>
  <si>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</si>
  <si>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</si>
  <si>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</si>
  <si>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</si>
  <si>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</si>
  <si>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</si>
  <si>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</si>
  <si>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</si>
  <si>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</si>
  <si>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</si>
  <si>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</si>
  <si>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</si>
  <si>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</si>
  <si>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</si>
  <si>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</si>
  <si>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</si>
  <si>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</si>
  <si>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</si>
  <si>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</si>
  <si>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</si>
  <si>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</si>
  <si>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</si>
  <si>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</si>
  <si>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</si>
  <si>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</si>
  <si>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</si>
  <si>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</si>
  <si>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</si>
  <si>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</si>
  <si>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</si>
  <si>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</si>
  <si>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</si>
  <si>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</si>
  <si>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</si>
  <si>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</si>
  <si>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</si>
  <si>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</si>
  <si>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</si>
  <si>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</si>
  <si>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</si>
  <si>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</si>
  <si>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</si>
  <si>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</si>
  <si>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</si>
  <si>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</si>
  <si>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</si>
  <si>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</si>
  <si>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</si>
  <si>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</si>
  <si>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</si>
  <si>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</si>
  <si>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</si>
  <si>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</si>
  <si>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</si>
  <si>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</si>
  <si>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</si>
  <si>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</si>
  <si>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</si>
  <si>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</si>
  <si>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</si>
  <si>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</si>
  <si>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</si>
  <si>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</si>
  <si>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</si>
  <si>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</si>
  <si>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</si>
  <si>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</si>
  <si>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</si>
  <si>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</si>
  <si>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</si>
  <si>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</si>
  <si>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</si>
  <si>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</si>
  <si>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</si>
  <si>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</si>
  <si>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</si>
  <si>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</si>
  <si>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</si>
  <si>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</si>
  <si>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</si>
  <si>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</si>
  <si>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</si>
  <si>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</si>
  <si>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</si>
  <si>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</si>
  <si>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</si>
  <si>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</si>
  <si>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</si>
  <si>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</si>
  <si>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</si>
  <si>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</si>
  <si>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</si>
  <si>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</si>
  <si>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</si>
  <si>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</si>
  <si>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</si>
  <si>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</si>
  <si>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</si>
  <si>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</si>
  <si>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</si>
  <si>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</si>
  <si>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</si>
  <si>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</si>
  <si>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</si>
  <si>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</si>
  <si>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</si>
  <si>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</si>
  <si>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</si>
  <si>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</si>
  <si>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</si>
  <si>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</si>
  <si>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</si>
  <si>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</si>
  <si>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</si>
  <si>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</si>
  <si>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</si>
  <si>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</si>
  <si>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</si>
  <si>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</si>
  <si>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</si>
  <si>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</si>
  <si>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</si>
  <si>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</si>
  <si>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</si>
  <si>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</si>
  <si>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</si>
  <si>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</si>
  <si>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</si>
  <si>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</si>
  <si>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</si>
  <si>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</si>
  <si>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</si>
  <si>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</si>
  <si>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</si>
  <si>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</si>
  <si>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</si>
  <si>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</si>
  <si>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</si>
  <si>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</si>
  <si>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</si>
  <si>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</si>
  <si>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</si>
  <si>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</si>
  <si>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</si>
  <si>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</si>
  <si>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</si>
  <si>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</si>
  <si>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</si>
  <si>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</si>
  <si>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</si>
  <si>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</si>
  <si>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</si>
  <si>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</si>
  <si>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</si>
  <si>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</si>
  <si>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</si>
  <si>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</si>
  <si>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</si>
  <si>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</si>
  <si>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</si>
  <si>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</si>
  <si>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</si>
  <si>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</si>
  <si>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</si>
  <si>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</si>
  <si>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</si>
  <si>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</si>
  <si>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</si>
  <si>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</si>
  <si>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</si>
  <si>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</si>
  <si>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</si>
  <si>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</si>
  <si>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</si>
  <si>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</si>
  <si>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</si>
  <si>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</si>
  <si>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</si>
  <si>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</si>
  <si>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</si>
  <si>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</si>
  <si>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</si>
  <si>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</si>
  <si>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</si>
  <si>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</si>
  <si>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</si>
  <si>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</si>
  <si>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</si>
  <si>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</si>
  <si>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</si>
  <si>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</si>
  <si>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</si>
  <si>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</si>
  <si>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</si>
  <si>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</si>
  <si>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</si>
  <si>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</si>
  <si>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</si>
  <si>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</si>
  <si>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</si>
  <si>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</si>
  <si>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</si>
  <si>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</si>
  <si>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</si>
  <si>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</si>
  <si>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</si>
  <si>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</si>
  <si>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</si>
  <si>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</si>
  <si>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</si>
  <si>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</si>
  <si>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</si>
  <si>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</si>
  <si>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</si>
  <si>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</si>
  <si>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</si>
  <si>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</si>
  <si>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</si>
  <si>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</si>
  <si>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</si>
  <si>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</si>
  <si>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</si>
  <si>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</si>
  <si>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</si>
  <si>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</si>
  <si>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</si>
  <si>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</si>
  <si>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</si>
  <si>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</si>
  <si>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</si>
  <si>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</si>
  <si>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</si>
  <si>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</si>
  <si>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</si>
  <si>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</si>
  <si>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</si>
  <si>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</si>
  <si>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</si>
  <si>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</si>
  <si>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</si>
  <si>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</si>
  <si>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</si>
  <si>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</si>
  <si>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</si>
  <si>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</si>
  <si>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</si>
  <si>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</si>
  <si>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</si>
  <si>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</si>
  <si>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</si>
  <si>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</si>
  <si>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</si>
  <si>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</si>
  <si>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</si>
  <si>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</si>
  <si>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</si>
  <si>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</si>
  <si>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</si>
  <si>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</si>
  <si>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</si>
  <si>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</si>
  <si>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</si>
  <si>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</si>
  <si>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</si>
  <si>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</si>
  <si>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</si>
  <si>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</si>
  <si>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</si>
  <si>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</si>
  <si>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</si>
  <si>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</si>
  <si>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</si>
  <si>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</si>
  <si>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</si>
  <si>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</si>
  <si>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</si>
  <si>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</si>
  <si>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</si>
  <si>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</si>
  <si>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</si>
  <si>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</si>
  <si>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</si>
  <si>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</si>
  <si>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</si>
  <si>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</si>
  <si>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</si>
  <si>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</si>
  <si>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</si>
  <si>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</si>
  <si>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</si>
  <si>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</si>
  <si>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</si>
  <si>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</si>
  <si>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</si>
  <si>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</si>
  <si>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</si>
  <si>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</si>
  <si>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</si>
  <si>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</si>
  <si>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</si>
  <si>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</si>
  <si>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</si>
  <si>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</si>
  <si>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</si>
  <si>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</si>
  <si>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</si>
  <si>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</si>
  <si>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</si>
  <si>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</si>
  <si>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</si>
  <si>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</si>
  <si>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</si>
  <si>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</si>
  <si>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</si>
  <si>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</si>
  <si>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</si>
  <si>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</si>
  <si>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</si>
  <si>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</si>
  <si>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</si>
  <si>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</si>
  <si>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</si>
  <si>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</si>
  <si>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</si>
  <si>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</si>
  <si>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</si>
  <si>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</si>
  <si>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</si>
  <si>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</si>
  <si>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</si>
  <si>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</si>
  <si>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</si>
  <si>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</si>
  <si>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</si>
  <si>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</si>
  <si>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</si>
  <si>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</si>
  <si>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</si>
  <si>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</si>
  <si>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</si>
  <si>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</si>
  <si>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</si>
  <si>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</si>
  <si>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</si>
  <si>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</si>
  <si>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</si>
  <si>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</si>
  <si>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</si>
  <si>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</si>
  <si>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</si>
  <si>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</si>
  <si>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</si>
  <si>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</si>
  <si>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</si>
  <si>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</si>
  <si>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</si>
  <si>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</si>
  <si>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</si>
  <si>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</si>
  <si>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</si>
  <si>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</si>
  <si>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</si>
  <si>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</si>
  <si>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</si>
  <si>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</si>
  <si>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</si>
  <si>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</si>
  <si>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</si>
  <si>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</si>
  <si>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</si>
  <si>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</si>
  <si>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</si>
  <si>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</si>
  <si>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</si>
  <si>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</si>
  <si>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</si>
  <si>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</si>
  <si>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</si>
  <si>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</si>
  <si>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</si>
  <si>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</si>
  <si>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</si>
  <si>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</si>
  <si>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</si>
  <si>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</si>
  <si>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</si>
  <si>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</si>
  <si>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</si>
  <si>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</si>
  <si>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</si>
  <si>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</si>
  <si>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</si>
  <si>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</si>
  <si>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</si>
  <si>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</si>
  <si>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</si>
  <si>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</si>
  <si>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</si>
  <si>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</si>
  <si>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</si>
  <si>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</si>
  <si>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</si>
  <si>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</si>
  <si>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</si>
  <si>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</si>
  <si>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</si>
  <si>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</si>
  <si>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</si>
  <si>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</si>
  <si>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</si>
  <si>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</si>
  <si>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</si>
  <si>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</si>
  <si>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</si>
  <si>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</si>
  <si>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</si>
  <si>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</si>
  <si>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</si>
  <si>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</si>
  <si>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</si>
  <si>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</si>
  <si>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</si>
  <si>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</si>
  <si>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</si>
  <si>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</si>
  <si>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</si>
  <si>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</si>
  <si>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</si>
  <si>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</si>
  <si>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</si>
  <si>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</si>
  <si>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</si>
  <si>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</si>
  <si>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</si>
  <si>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</si>
  <si>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</si>
  <si>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</si>
  <si>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</si>
  <si>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</si>
  <si>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</si>
  <si>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</si>
  <si>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</si>
  <si>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</si>
  <si>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</si>
  <si>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</si>
  <si>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</si>
  <si>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</si>
  <si>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</si>
  <si>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</si>
  <si>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</si>
  <si>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</si>
  <si>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</si>
  <si>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</si>
  <si>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</si>
  <si>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</si>
  <si>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</si>
  <si>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</si>
  <si>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</si>
  <si>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</si>
  <si>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</si>
  <si>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</si>
  <si>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</si>
  <si>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</si>
  <si>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</si>
  <si>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</si>
  <si>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</si>
  <si>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</si>
  <si>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</si>
  <si>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</si>
  <si>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</si>
  <si>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</si>
  <si>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</si>
  <si>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</si>
  <si>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</si>
  <si>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</si>
  <si>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</si>
  <si>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</si>
  <si>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</si>
  <si>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</si>
  <si>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</si>
  <si>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</si>
  <si>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</si>
  <si>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</si>
  <si>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</si>
  <si>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</si>
  <si>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</si>
  <si>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</si>
  <si>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</si>
  <si>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</si>
  <si>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</si>
  <si>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</si>
  <si>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</si>
  <si>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</si>
  <si>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</si>
  <si>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</si>
  <si>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</si>
  <si>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</si>
  <si>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</si>
  <si>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</si>
  <si>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</si>
  <si>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</si>
  <si>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</si>
  <si>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</si>
  <si>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</si>
  <si>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</si>
  <si>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</si>
  <si>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</si>
  <si>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</si>
  <si>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</si>
  <si>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</si>
  <si>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</si>
  <si>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</si>
  <si>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</si>
  <si>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</si>
  <si>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</si>
  <si>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</si>
  <si>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</si>
  <si>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</si>
  <si>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</si>
  <si>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</si>
  <si>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</si>
  <si>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</si>
  <si>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</si>
  <si>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</si>
  <si>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</si>
  <si>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</si>
  <si>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</si>
  <si>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</si>
  <si>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</si>
  <si>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</si>
  <si>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</si>
  <si>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</si>
  <si>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</si>
  <si>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</si>
  <si>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</si>
  <si>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</si>
  <si>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</si>
  <si>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</si>
  <si>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</si>
  <si>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</si>
  <si>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</si>
  <si>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</si>
  <si>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</si>
  <si>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</si>
  <si>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</si>
  <si>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</si>
  <si>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</si>
  <si>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</si>
  <si>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</si>
  <si>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</si>
  <si>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</si>
  <si>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</si>
  <si>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</si>
  <si>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</si>
  <si>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</si>
  <si>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</si>
  <si>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</si>
  <si>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</si>
  <si>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</si>
  <si>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</si>
  <si>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</si>
  <si>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</si>
  <si>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</si>
  <si>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</si>
  <si>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</si>
  <si>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</si>
  <si>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</si>
  <si>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</si>
  <si>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</si>
  <si>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</si>
  <si>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</si>
  <si>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</si>
  <si>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</si>
  <si>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</si>
  <si>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</si>
  <si>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</si>
  <si>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</si>
  <si>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</si>
  <si>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</si>
  <si>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</si>
  <si>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</si>
  <si>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</si>
  <si>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</si>
  <si>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</si>
  <si>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</si>
  <si>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</si>
  <si>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</si>
  <si>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</si>
  <si>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</si>
  <si>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</si>
  <si>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</si>
  <si>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</si>
  <si>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</si>
  <si>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</si>
  <si>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</si>
  <si>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</si>
  <si>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</si>
  <si>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</si>
  <si>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</si>
  <si>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</si>
  <si>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</si>
  <si>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</si>
  <si>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</si>
  <si>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</si>
  <si>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</si>
  <si>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</si>
  <si>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</si>
  <si>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</si>
  <si>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</si>
  <si>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</si>
  <si>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</si>
  <si>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</si>
  <si>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</si>
  <si>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</si>
  <si>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</si>
  <si>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</si>
  <si>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</si>
  <si>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</si>
  <si>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</si>
  <si>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</si>
  <si>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</si>
  <si>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</si>
  <si>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</si>
  <si>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</si>
  <si>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</si>
  <si>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</si>
  <si>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</si>
  <si>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</si>
  <si>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</si>
  <si>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</si>
  <si>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</si>
  <si>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</si>
  <si>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</si>
  <si>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</si>
  <si>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</si>
  <si>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</si>
  <si>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</si>
  <si>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</si>
  <si>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</si>
  <si>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</si>
  <si>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</si>
  <si>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</si>
  <si>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</si>
  <si>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</si>
  <si>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</si>
  <si>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</si>
  <si>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</si>
  <si>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</si>
  <si>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</si>
  <si>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</si>
  <si>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</si>
  <si>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</si>
  <si>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</si>
  <si>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</si>
  <si>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</si>
  <si>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</si>
  <si>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</si>
  <si>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</si>
  <si>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</si>
  <si>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</si>
  <si>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</si>
  <si>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</si>
  <si>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</si>
  <si>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</si>
  <si>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</si>
  <si>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</si>
  <si>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</si>
  <si>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</si>
  <si>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</si>
  <si>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</si>
  <si>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</si>
  <si>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</si>
  <si>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</si>
  <si>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</si>
  <si>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</si>
  <si>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</si>
  <si>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</si>
  <si>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</si>
  <si>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</si>
  <si>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</si>
  <si>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</si>
  <si>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</si>
  <si>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</si>
  <si>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</si>
  <si>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</si>
  <si>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</si>
  <si>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</si>
  <si>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</si>
  <si>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</si>
  <si>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</si>
  <si>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</si>
  <si>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</si>
  <si>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</si>
  <si>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</si>
  <si>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</si>
  <si>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</si>
  <si>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</si>
  <si>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</si>
  <si>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</si>
  <si>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</si>
  <si>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</si>
  <si>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</si>
  <si>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</si>
  <si>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</si>
  <si>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</si>
  <si>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</si>
  <si>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</si>
  <si>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</si>
  <si>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</si>
  <si>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</si>
  <si>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</si>
  <si>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</si>
  <si>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</si>
  <si>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</si>
  <si>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</si>
  <si>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</si>
  <si>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</si>
  <si>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</si>
  <si>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</si>
  <si>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</si>
  <si>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</si>
  <si>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</si>
  <si>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</si>
  <si>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</si>
  <si>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</si>
  <si>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</si>
  <si>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</si>
  <si>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</si>
  <si>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</si>
  <si>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</si>
  <si>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</si>
  <si>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</si>
  <si>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</si>
  <si>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</si>
  <si>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</si>
  <si>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</si>
  <si>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</si>
  <si>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</si>
  <si>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</si>
  <si>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</si>
  <si>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</si>
  <si>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</si>
  <si>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</si>
  <si>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</si>
  <si>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</si>
  <si>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</si>
  <si>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</si>
  <si>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</si>
  <si>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</si>
  <si>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</si>
  <si>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</si>
  <si>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</si>
  <si>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</si>
  <si>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</si>
  <si>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</si>
  <si>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</si>
  <si>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</si>
  <si>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</si>
  <si>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</si>
  <si>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</si>
  <si>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</si>
  <si>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</si>
  <si>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</si>
  <si>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</si>
  <si>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</si>
  <si>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</si>
  <si>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</si>
  <si>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</si>
  <si>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</si>
  <si>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</si>
  <si>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</si>
  <si>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</si>
  <si>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</si>
  <si>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</si>
  <si>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</si>
  <si>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</si>
  <si>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</si>
  <si>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</si>
  <si>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</si>
  <si>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</si>
  <si>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</si>
  <si>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</si>
  <si>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</si>
  <si>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</si>
  <si>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</si>
  <si>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</si>
  <si>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</si>
  <si>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</si>
  <si>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</si>
  <si>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</si>
  <si>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</si>
  <si>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</si>
  <si>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</si>
  <si>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</si>
  <si>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</si>
  <si>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</si>
  <si>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</si>
  <si>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</si>
  <si>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</si>
  <si>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</si>
  <si>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</si>
  <si>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</si>
  <si>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</si>
  <si>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</si>
  <si>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</si>
  <si>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</si>
  <si>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</si>
  <si>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</si>
  <si>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</si>
  <si>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</si>
  <si>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</si>
  <si>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</si>
  <si>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</si>
  <si>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</si>
  <si>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</si>
  <si>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</si>
  <si>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</si>
  <si>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</si>
  <si>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</si>
  <si>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</si>
  <si>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</si>
  <si>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</si>
  <si>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</si>
  <si>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</si>
  <si>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</si>
  <si>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</si>
  <si>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</si>
  <si>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</si>
  <si>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</si>
  <si>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</si>
  <si>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</si>
  <si>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</si>
  <si>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</si>
  <si>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</si>
  <si>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</si>
  <si>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</si>
  <si>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</si>
  <si>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</si>
  <si>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</si>
  <si>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</si>
  <si>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</si>
  <si>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</si>
  <si>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</si>
  <si>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</si>
  <si>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</si>
  <si>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</si>
  <si>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</si>
  <si>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</si>
  <si>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</si>
  <si>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</si>
  <si>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</si>
  <si>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</si>
  <si>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</si>
  <si>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</si>
  <si>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</si>
  <si>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</si>
  <si>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</si>
  <si>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</si>
  <si>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</si>
  <si>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</si>
  <si>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</si>
  <si>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</si>
  <si>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</si>
  <si>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</si>
  <si>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</si>
  <si>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</si>
  <si>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</si>
  <si>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</si>
  <si>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</si>
  <si>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</si>
  <si>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</si>
  <si>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</si>
  <si>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</si>
  <si>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</si>
  <si>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</si>
  <si>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</si>
  <si>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</si>
  <si>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</si>
  <si>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</si>
  <si>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</si>
  <si>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</si>
  <si>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</si>
  <si>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</si>
  <si>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</si>
  <si>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</si>
  <si>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</si>
  <si>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</si>
  <si>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</si>
  <si>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</si>
  <si>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</si>
  <si>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</si>
  <si>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</si>
  <si>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</si>
  <si>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</si>
  <si>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</si>
  <si>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</si>
  <si>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</si>
  <si>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</si>
  <si>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</si>
  <si>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</si>
  <si>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</si>
  <si>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</si>
  <si>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</si>
  <si>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</si>
  <si>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</si>
  <si>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</si>
  <si>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</si>
  <si>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</si>
  <si>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</si>
  <si>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</si>
  <si>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</si>
  <si>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</si>
  <si>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</si>
  <si>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</si>
  <si>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</si>
  <si>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</si>
  <si>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</si>
  <si>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</si>
  <si>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</si>
  <si>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</si>
  <si>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</si>
  <si>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</si>
  <si>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</si>
  <si>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</si>
  <si>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</si>
  <si>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</si>
  <si>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</si>
  <si>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</si>
  <si>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</si>
  <si>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</si>
  <si>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</si>
  <si>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</si>
  <si>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</si>
  <si>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</si>
  <si>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</si>
  <si>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</si>
  <si>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</si>
  <si>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</si>
  <si>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</si>
  <si>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</si>
  <si>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</si>
  <si>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</si>
  <si>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</si>
  <si>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</si>
  <si>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</si>
  <si>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</si>
  <si>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</si>
  <si>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</si>
  <si>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</si>
  <si>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</si>
  <si>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</si>
  <si>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</si>
  <si>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</si>
  <si>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</si>
  <si>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</si>
  <si>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</si>
  <si>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</si>
  <si>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</si>
  <si>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</si>
  <si>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</si>
  <si>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</si>
  <si>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</si>
  <si>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</si>
  <si>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</si>
  <si>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</si>
  <si>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</si>
  <si>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</si>
  <si>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</si>
  <si>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</si>
  <si>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</si>
  <si>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</si>
  <si>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</si>
  <si>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</si>
  <si>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</si>
  <si>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</si>
  <si>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</si>
  <si>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</si>
  <si>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</si>
  <si>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</si>
  <si>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</si>
  <si>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</si>
  <si>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</si>
  <si>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</si>
  <si>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</si>
  <si>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</si>
  <si>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</si>
  <si>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</si>
  <si>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</si>
  <si>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</si>
  <si>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</si>
  <si>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</si>
  <si>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</si>
  <si>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</si>
  <si>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</si>
  <si>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</si>
  <si>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</si>
  <si>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</si>
  <si>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</si>
  <si>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</si>
  <si>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</si>
  <si>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</si>
  <si>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</si>
  <si>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</si>
  <si>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</si>
  <si>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</si>
  <si>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</si>
  <si>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</si>
  <si>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</si>
  <si>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</si>
  <si>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</si>
  <si>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</si>
  <si>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</si>
  <si>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</si>
  <si>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</si>
  <si>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</si>
  <si>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</si>
  <si>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</si>
  <si>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</si>
  <si>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</si>
  <si>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</si>
  <si>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</si>
  <si>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</si>
  <si>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</si>
  <si>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</si>
  <si>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</si>
  <si>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</si>
  <si>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</si>
  <si>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</si>
  <si>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</si>
  <si>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</si>
  <si>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</si>
  <si>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</si>
  <si>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</si>
  <si>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</si>
  <si>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</si>
  <si>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</si>
  <si>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</si>
  <si>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</si>
  <si>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</si>
  <si>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</si>
  <si>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</si>
  <si>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</si>
  <si>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</si>
  <si>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</si>
  <si>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</si>
  <si>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</si>
  <si>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</si>
  <si>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</si>
  <si>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</si>
  <si>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</si>
  <si>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</si>
  <si>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</si>
  <si>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</si>
  <si>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</si>
  <si>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</si>
  <si>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</si>
  <si>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</si>
  <si>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</si>
  <si>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</si>
  <si>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</si>
  <si>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</si>
  <si>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</si>
  <si>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</si>
  <si>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</si>
  <si>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</si>
  <si>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</si>
  <si>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</si>
  <si>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</si>
  <si>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</si>
  <si>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</si>
  <si>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</si>
  <si>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</si>
  <si>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</si>
  <si>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</si>
  <si>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</si>
  <si>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</si>
  <si>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</si>
  <si>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</si>
  <si>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</si>
  <si>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</si>
  <si>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</si>
  <si>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</si>
  <si>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</si>
  <si>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</si>
  <si>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</si>
  <si>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</si>
  <si>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</si>
  <si>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</si>
  <si>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</si>
  <si>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</si>
  <si>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</si>
  <si>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</si>
  <si>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</si>
  <si>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</si>
  <si>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</si>
  <si>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</si>
  <si>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</si>
  <si>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</si>
  <si>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 xml:space="preserve">Se resuelve por escrito </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</si>
  <si>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</si>
  <si>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</si>
  <si>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</si>
  <si>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</si>
  <si>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</si>
  <si>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</si>
  <si>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</si>
  <si>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</si>
  <si>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</si>
  <si>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</si>
  <si>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</si>
  <si>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</si>
  <si>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</si>
  <si>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</si>
  <si>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</si>
  <si>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</si>
  <si>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</si>
  <si>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</si>
  <si>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</si>
  <si>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</si>
  <si>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</si>
  <si>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</si>
  <si>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</si>
  <si>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</si>
  <si>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</si>
  <si>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Dra. Esther Lourdes Mamaní MP 3093</t>
  </si>
  <si>
    <t xml:space="preserve">Def. de Violencia de Género Nº 1 Dra. Chirife </t>
  </si>
  <si>
    <t>asesoría nº 6 intervino extrajudicialmente consultar con la dra edith si le damos intervención</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</si>
  <si>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</si>
  <si>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</si>
  <si>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</si>
  <si>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</si>
  <si>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</si>
  <si>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</si>
  <si>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</si>
  <si>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</si>
  <si>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</si>
  <si>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</si>
  <si>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</si>
  <si>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</si>
  <si>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</si>
  <si>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</si>
  <si>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</si>
  <si>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</si>
  <si>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</si>
  <si>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</si>
  <si>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</si>
  <si>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</si>
  <si>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</si>
  <si>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</si>
  <si>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Se remite a fiscalía 03/11/2023</t>
  </si>
</sst>
</file>

<file path=xl/styles.xml><?xml version="1.0" encoding="utf-8"?>
<styleSheet xmlns="http://schemas.openxmlformats.org/spreadsheetml/2006/main">
  <numFmts count="1">
    <numFmt numFmtId="164" formatCode="dd/mm/yyyy;@"/>
  </numFmts>
  <fonts count="38">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7"/>
      <color indexed="10"/>
      <name val="Arial"/>
      <family val="2"/>
    </font>
    <font>
      <b/>
      <sz val="7"/>
      <color indexed="57"/>
      <name val="Arial"/>
      <family val="2"/>
    </font>
    <font>
      <b/>
      <sz val="7"/>
      <color indexed="12"/>
      <name val="Arial"/>
      <family val="2"/>
    </font>
    <font>
      <b/>
      <sz val="7"/>
      <color indexed="61"/>
      <name val="Arial"/>
      <family val="2"/>
    </font>
    <font>
      <b/>
      <sz val="7"/>
      <color indexed="14"/>
      <name val="Arial"/>
      <family val="2"/>
    </font>
    <font>
      <b/>
      <sz val="7"/>
      <color indexed="53"/>
      <name val="Arial"/>
      <family val="2"/>
    </font>
    <font>
      <b/>
      <sz val="7"/>
      <color indexed="38"/>
      <name val="Arial"/>
      <family val="2"/>
    </font>
    <font>
      <b/>
      <sz val="8"/>
      <color indexed="32"/>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indexed="17"/>
      <name val="Arial"/>
      <family val="2"/>
    </font>
    <font>
      <b/>
      <sz val="10"/>
      <color rgb="FF3366FF"/>
      <name val="Arial"/>
      <family val="2"/>
    </font>
    <font>
      <b/>
      <sz val="20"/>
      <color theme="0"/>
      <name val="Arial Rounded MT Bold"/>
      <family val="2"/>
    </font>
    <font>
      <sz val="9"/>
      <color indexed="81"/>
      <name val="Tahoma"/>
      <family val="2"/>
    </font>
    <font>
      <b/>
      <sz val="9"/>
      <color indexed="81"/>
      <name val="Tahoma"/>
      <family val="2"/>
    </font>
    <font>
      <b/>
      <sz val="11"/>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8" fillId="6" borderId="0" applyNumberFormat="0" applyBorder="0" applyAlignment="0" applyProtection="0"/>
    <xf numFmtId="0" fontId="2" fillId="0" borderId="0"/>
  </cellStyleXfs>
  <cellXfs count="238">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9" fillId="2" borderId="3" xfId="1" applyFont="1" applyFill="1" applyBorder="1" applyAlignment="1">
      <alignment vertical="center" wrapText="1"/>
    </xf>
    <xf numFmtId="0" fontId="19" fillId="2" borderId="0" xfId="1" applyFont="1" applyFill="1" applyAlignment="1">
      <alignment vertical="center" wrapText="1"/>
    </xf>
    <xf numFmtId="14" fontId="19" fillId="2" borderId="3" xfId="1" applyNumberFormat="1" applyFont="1" applyFill="1" applyBorder="1" applyAlignment="1">
      <alignment vertical="center" wrapText="1"/>
    </xf>
    <xf numFmtId="0" fontId="19" fillId="2" borderId="3" xfId="1" applyFont="1" applyFill="1" applyBorder="1" applyAlignment="1">
      <alignment horizontal="center" vertical="center" wrapText="1"/>
    </xf>
    <xf numFmtId="0" fontId="19" fillId="2" borderId="1" xfId="1" applyFont="1" applyFill="1" applyBorder="1" applyAlignment="1">
      <alignment vertical="center" wrapText="1"/>
    </xf>
    <xf numFmtId="0" fontId="19" fillId="2" borderId="0" xfId="0" applyFont="1" applyFill="1" applyAlignment="1">
      <alignment vertical="center" wrapText="1"/>
    </xf>
    <xf numFmtId="0" fontId="19" fillId="2" borderId="3" xfId="0" applyFont="1" applyFill="1" applyBorder="1" applyAlignment="1">
      <alignment vertical="center" wrapText="1"/>
    </xf>
    <xf numFmtId="0" fontId="19" fillId="2" borderId="1" xfId="0" applyFont="1" applyFill="1" applyBorder="1" applyAlignment="1">
      <alignment vertical="center" wrapText="1"/>
    </xf>
    <xf numFmtId="0" fontId="19"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25"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8" fillId="4" borderId="1" xfId="2" applyFont="1" applyFill="1" applyBorder="1" applyAlignment="1">
      <alignment horizontal="center" vertical="center"/>
    </xf>
    <xf numFmtId="0" fontId="28"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9" fillId="0" borderId="0" xfId="2" applyFont="1"/>
    <xf numFmtId="0" fontId="2" fillId="0" borderId="0" xfId="2" applyFont="1" applyFill="1" applyBorder="1" applyAlignment="1">
      <alignment horizontal="center" vertical="center"/>
    </xf>
    <xf numFmtId="0" fontId="28" fillId="0" borderId="0" xfId="2" applyFont="1" applyBorder="1" applyAlignment="1">
      <alignment horizontal="center" vertical="center"/>
    </xf>
    <xf numFmtId="0" fontId="2" fillId="0" borderId="0" xfId="2" applyBorder="1"/>
    <xf numFmtId="0" fontId="30"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34"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20" fillId="2" borderId="2" xfId="1" applyFont="1" applyFill="1" applyBorder="1" applyAlignment="1">
      <alignment vertical="center"/>
    </xf>
    <xf numFmtId="3" fontId="19" fillId="2" borderId="2" xfId="1" applyNumberFormat="1" applyFont="1" applyFill="1" applyBorder="1" applyAlignment="1">
      <alignment horizontal="center" vertical="center"/>
    </xf>
    <xf numFmtId="0" fontId="19" fillId="2" borderId="2" xfId="1" applyFont="1" applyFill="1" applyBorder="1" applyAlignment="1">
      <alignment vertical="center" wrapText="1"/>
    </xf>
    <xf numFmtId="3" fontId="19" fillId="2" borderId="2" xfId="1" applyNumberFormat="1" applyFont="1" applyFill="1" applyBorder="1" applyAlignment="1">
      <alignment vertical="center"/>
    </xf>
    <xf numFmtId="0" fontId="19"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15"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15"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30" fillId="0" borderId="1" xfId="0" applyFont="1" applyBorder="1" applyAlignment="1">
      <alignment horizontal="left" vertical="center"/>
    </xf>
    <xf numFmtId="49" fontId="30" fillId="0" borderId="1" xfId="2" applyNumberFormat="1" applyFont="1" applyBorder="1" applyAlignment="1">
      <alignment horizontal="left" vertical="center"/>
    </xf>
    <xf numFmtId="0" fontId="28" fillId="4" borderId="2" xfId="2" applyFont="1" applyFill="1" applyBorder="1" applyAlignment="1">
      <alignment horizontal="center" vertical="center"/>
    </xf>
    <xf numFmtId="0" fontId="30"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25" fillId="2" borderId="0" xfId="0" applyNumberFormat="1" applyFont="1" applyFill="1" applyAlignment="1">
      <alignment horizontal="center" vertical="center" wrapText="1"/>
    </xf>
    <xf numFmtId="1" fontId="34"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9"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20" fontId="2" fillId="2" borderId="6" xfId="0" applyNumberFormat="1" applyFont="1" applyFill="1" applyBorder="1" applyAlignment="1">
      <alignment horizontal="center" vertical="center" wrapText="1"/>
    </xf>
    <xf numFmtId="0" fontId="22" fillId="0" borderId="1" xfId="0" applyFont="1" applyBorder="1" applyAlignment="1">
      <alignmen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30" fillId="0" borderId="1" xfId="0" applyFont="1" applyBorder="1"/>
    <xf numFmtId="164" fontId="19"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9"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37"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26" fillId="0" borderId="0" xfId="2" applyFont="1" applyAlignment="1">
      <alignment horizontal="left"/>
    </xf>
    <xf numFmtId="0" fontId="27"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txPr>
              <a:bodyPr/>
              <a:lstStyle/>
              <a:p>
                <a:pPr>
                  <a:defRPr lang="es-AR"/>
                </a:pPr>
                <a:endParaRPr lang="es-AR"/>
              </a:p>
            </c:txPr>
            <c:showVal val="1"/>
            <c:showLeaderLines val="1"/>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ser>
        <c:firstSliceAng val="0"/>
      </c:pieChart>
    </c:plotArea>
    <c:legend>
      <c:legendPos val="r"/>
      <c:txPr>
        <a:bodyPr/>
        <a:lstStyle/>
        <a:p>
          <a:pPr>
            <a:defRPr lang="es-AR"/>
          </a:pPr>
          <a:endParaRPr lang="es-AR"/>
        </a:p>
      </c:txPr>
    </c:legend>
    <c:plotVisOnly val="1"/>
  </c:chart>
  <c:printSettings>
    <c:headerFooter/>
    <c:pageMargins b="0.74803149606311514" l="0.70866141732291565" r="0.70866141732291565" t="0.74803149606311514" header="0.31496062992131252" footer="0.31496062992131252"/>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txPr>
              <a:bodyPr/>
              <a:lstStyle/>
              <a:p>
                <a:pPr>
                  <a:defRPr lang="es-AR"/>
                </a:pPr>
                <a:endParaRPr lang="es-AR"/>
              </a:p>
            </c:txPr>
            <c:showVal val="1"/>
            <c:showLeaderLines val="1"/>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ser>
        <c:firstSliceAng val="0"/>
      </c:pieChart>
    </c:plotArea>
    <c:legend>
      <c:legendPos val="r"/>
      <c:txPr>
        <a:bodyPr/>
        <a:lstStyle/>
        <a:p>
          <a:pPr>
            <a:defRPr lang="es-AR"/>
          </a:pPr>
          <a:endParaRPr lang="es-AR"/>
        </a:p>
      </c:txPr>
    </c:legend>
    <c:plotVisOnly val="1"/>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txPr>
              <a:bodyPr/>
              <a:lstStyle/>
              <a:p>
                <a:pPr>
                  <a:defRPr lang="es-AR"/>
                </a:pPr>
                <a:endParaRPr lang="es-AR"/>
              </a:p>
            </c:txPr>
            <c:showVal val="1"/>
            <c:showLeaderLines val="1"/>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ser>
        <c:firstSliceAng val="0"/>
      </c:pieChart>
    </c:plotArea>
    <c:legend>
      <c:legendPos val="r"/>
      <c:txPr>
        <a:bodyPr/>
        <a:lstStyle/>
        <a:p>
          <a:pPr>
            <a:defRPr lang="es-AR"/>
          </a:pPr>
          <a:endParaRPr lang="es-AR"/>
        </a:p>
      </c:txPr>
    </c:legend>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88854E-2"/>
                </c:manualLayout>
              </c:layout>
              <c:showVal val="1"/>
              <c:showCatName val="1"/>
            </c:dLbl>
            <c:dLbl>
              <c:idx val="1"/>
              <c:layout>
                <c:manualLayout>
                  <c:x val="-7.2253061325114123E-3"/>
                  <c:y val="-1.8794912888800879E-3"/>
                </c:manualLayout>
              </c:layout>
              <c:showVal val="1"/>
              <c:showCatName val="1"/>
            </c:dLbl>
            <c:dLbl>
              <c:idx val="2"/>
              <c:layout>
                <c:manualLayout>
                  <c:x val="-1.0615813118625151E-2"/>
                  <c:y val="4.1441838086598085E-3"/>
                </c:manualLayout>
              </c:layout>
              <c:showVal val="1"/>
              <c:showCatName val="1"/>
            </c:dLbl>
            <c:dLbl>
              <c:idx val="3"/>
              <c:layout>
                <c:manualLayout>
                  <c:x val="1.3043934136476257E-2"/>
                  <c:y val="-0.13129499162490171"/>
                </c:manualLayout>
              </c:layout>
              <c:showVal val="1"/>
              <c:showCatName val="1"/>
            </c:dLbl>
            <c:dLbl>
              <c:idx val="4"/>
              <c:layout>
                <c:manualLayout>
                  <c:x val="5.3867947476319109E-2"/>
                  <c:y val="-0.25744136906170312"/>
                </c:manualLayout>
              </c:layout>
              <c:showVal val="1"/>
              <c:showCatName val="1"/>
            </c:dLbl>
            <c:dLbl>
              <c:idx val="5"/>
              <c:layout>
                <c:manualLayout>
                  <c:x val="-0.13150205388581279"/>
                  <c:y val="-0.11539417553127876"/>
                </c:manualLayout>
              </c:layout>
              <c:showVal val="1"/>
              <c:showCatName val="1"/>
            </c:dLbl>
            <c:dLbl>
              <c:idx val="6"/>
              <c:layout>
                <c:manualLayout>
                  <c:x val="-4.2202684289189534E-3"/>
                  <c:y val="-0.13659881687501191"/>
                </c:manualLayout>
              </c:layout>
              <c:showVal val="1"/>
              <c:showCatName val="1"/>
            </c:dLbl>
            <c:dLbl>
              <c:idx val="7"/>
              <c:layout>
                <c:manualLayout>
                  <c:x val="-3.140236705132666E-3"/>
                  <c:y val="-2.6857328085982856E-2"/>
                </c:manualLayout>
              </c:layout>
              <c:showVal val="1"/>
              <c:showCatName val="1"/>
            </c:dLbl>
            <c:dLbl>
              <c:idx val="8"/>
              <c:layout>
                <c:manualLayout>
                  <c:x val="-9.9078321959611068E-3"/>
                  <c:y val="0.16676031551938308"/>
                </c:manualLayout>
              </c:layout>
              <c:showVal val="1"/>
              <c:showCatName val="1"/>
            </c:dLbl>
            <c:dLbl>
              <c:idx val="9"/>
              <c:layout>
                <c:manualLayout>
                  <c:x val="-0.21274939846977306"/>
                  <c:y val="0.35111261781950592"/>
                </c:manualLayout>
              </c:layout>
              <c:showVal val="1"/>
              <c:showCatName val="1"/>
            </c:dLbl>
            <c:txPr>
              <a:bodyPr/>
              <a:lstStyle/>
              <a:p>
                <a:pPr>
                  <a:defRPr lang="es-ES"/>
                </a:pPr>
                <a:endParaRPr lang="es-AR"/>
              </a:p>
            </c:txPr>
            <c:showVal val="1"/>
            <c:showCatName val="1"/>
            <c:showLeaderLines val="1"/>
          </c:dLbls>
          <c:cat>
            <c:numRef>
              <c:f>'Graficos Estadisticos'!$AR$29:$AR$37</c:f>
              <c:numCache>
                <c:formatCode>General</c:formatCode>
                <c:ptCount val="9"/>
              </c:numCache>
            </c:numRef>
          </c:cat>
          <c:val>
            <c:numRef>
              <c:f>'Graficos Estadisticos'!$AQ$29:$AQ$37</c:f>
              <c:numCache>
                <c:formatCode>General</c:formatCode>
                <c:ptCount val="9"/>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2518"/>
          <c:h val="0.98333333333333328"/>
        </c:manualLayout>
      </c:layout>
      <c:pie3DChart>
        <c:varyColors val="1"/>
        <c:ser>
          <c:idx val="0"/>
          <c:order val="0"/>
          <c:explosion val="25"/>
          <c:dLbls>
            <c:dLbl>
              <c:idx val="0"/>
              <c:layout>
                <c:manualLayout>
                  <c:x val="4.3113992584026754E-2"/>
                  <c:y val="1.5375176041335991E-2"/>
                </c:manualLayout>
              </c:layout>
              <c:showVal val="1"/>
              <c:showCatName val="1"/>
              <c:showPercent val="1"/>
            </c:dLbl>
            <c:dLbl>
              <c:idx val="1"/>
              <c:layout>
                <c:manualLayout>
                  <c:x val="-4.8612512667768254E-2"/>
                  <c:y val="8.0112368766404568E-2"/>
                </c:manualLayout>
              </c:layout>
              <c:showVal val="1"/>
              <c:showCatName val="1"/>
              <c:showPercent val="1"/>
            </c:dLbl>
            <c:dLbl>
              <c:idx val="2"/>
              <c:layout>
                <c:manualLayout>
                  <c:x val="-0.13871723984252343"/>
                  <c:y val="-1.2286126790998603E-2"/>
                </c:manualLayout>
              </c:layout>
              <c:showVal val="1"/>
              <c:showCatName val="1"/>
              <c:showPercent val="1"/>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dLbl>
            <c:dLbl>
              <c:idx val="5"/>
              <c:layout>
                <c:manualLayout>
                  <c:x val="-3.7270408772324175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dLbl>
            <c:txPr>
              <a:bodyPr/>
              <a:lstStyle/>
              <a:p>
                <a:pPr>
                  <a:defRPr lang="es-ES"/>
                </a:pPr>
                <a:endParaRPr lang="es-AR"/>
              </a:p>
            </c:txPr>
            <c:showVal val="1"/>
            <c:showCatName val="1"/>
            <c:showPercent val="1"/>
            <c:showLeaderLines val="1"/>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72</c:v>
                </c:pt>
                <c:pt idx="5">
                  <c:v>1</c:v>
                </c:pt>
                <c:pt idx="6">
                  <c:v>34</c:v>
                </c:pt>
                <c:pt idx="7">
                  <c:v>2</c:v>
                </c:pt>
                <c:pt idx="8">
                  <c:v>9</c:v>
                </c:pt>
              </c:numCache>
            </c:numRef>
          </c:val>
        </c:ser>
      </c:pie3DChart>
    </c:plotArea>
    <c:plotVisOnly val="1"/>
  </c:chart>
  <c:printSettings>
    <c:headerFooter/>
    <c:pageMargins b="0.75000000000001243" l="0.70000000000000062" r="0.70000000000000062" t="0.7500000000000124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txPr>
              <a:bodyPr/>
              <a:lstStyle/>
              <a:p>
                <a:pPr>
                  <a:defRPr lang="es-AR"/>
                </a:pPr>
                <a:endParaRPr lang="es-AR"/>
              </a:p>
            </c:txPr>
            <c:showVal val="1"/>
            <c:showLeaderLines val="1"/>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ser>
        <c:firstSliceAng val="0"/>
      </c:pieChart>
    </c:plotArea>
    <c:legend>
      <c:legendPos val="r"/>
      <c:txPr>
        <a:bodyPr/>
        <a:lstStyle/>
        <a:p>
          <a:pPr>
            <a:defRPr lang="es-AR"/>
          </a:pPr>
          <a:endParaRPr lang="es-AR"/>
        </a:p>
      </c:txPr>
    </c:legend>
    <c:plotVisOnly val="1"/>
  </c:chart>
  <c:printSettings>
    <c:headerFooter/>
    <c:pageMargins b="0.7480314960631157" l="0.70866141732291565" r="0.70866141732291565" t="0.7480314960631157" header="0.31496062992131263" footer="0.31496062992131263"/>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txPr>
              <a:bodyPr/>
              <a:lstStyle/>
              <a:p>
                <a:pPr>
                  <a:defRPr lang="es-AR"/>
                </a:pPr>
                <a:endParaRPr lang="es-AR"/>
              </a:p>
            </c:txPr>
            <c:showVal val="1"/>
            <c:showLeaderLines val="1"/>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ser>
        <c:firstSliceAng val="0"/>
      </c:pieChart>
    </c:plotArea>
    <c:legend>
      <c:legendPos val="r"/>
      <c:txPr>
        <a:bodyPr/>
        <a:lstStyle/>
        <a:p>
          <a:pPr>
            <a:defRPr lang="es-AR"/>
          </a:pPr>
          <a:endParaRPr lang="es-AR"/>
        </a:p>
      </c:txPr>
    </c:legend>
    <c:plotVisOnly val="1"/>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txPr>
              <a:bodyPr/>
              <a:lstStyle/>
              <a:p>
                <a:pPr>
                  <a:defRPr lang="es-AR"/>
                </a:pPr>
                <a:endParaRPr lang="es-AR"/>
              </a:p>
            </c:txPr>
            <c:showVal val="1"/>
            <c:showLeaderLines val="1"/>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ser>
        <c:firstSliceAng val="0"/>
      </c:pieChart>
    </c:plotArea>
    <c:legend>
      <c:legendPos val="r"/>
      <c:txPr>
        <a:bodyPr/>
        <a:lstStyle/>
        <a:p>
          <a:pPr>
            <a:defRPr lang="es-AR"/>
          </a:pPr>
          <a:endParaRPr lang="es-AR"/>
        </a:p>
      </c:txPr>
    </c:legend>
    <c:plotVisOnly val="1"/>
  </c:chart>
  <c:printSettings>
    <c:headerFooter/>
    <c:pageMargins b="0.75000000000001465" l="0.70000000000000062" r="0.70000000000000062" t="0.75000000000001465"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R1" zoomScale="85" zoomScaleNormal="85" zoomScaleSheetLayoutView="55" workbookViewId="0">
      <pane ySplit="2" topLeftCell="A151" activePane="bottomLeft" state="frozen"/>
      <selection pane="bottomLeft" activeCell="Z153" sqref="Z153"/>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0.71093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30"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150</v>
      </c>
      <c r="B1" s="31"/>
      <c r="C1" s="23"/>
      <c r="D1" s="23"/>
      <c r="E1" s="23"/>
      <c r="F1" s="23"/>
      <c r="G1" s="23"/>
      <c r="H1" s="23"/>
      <c r="I1" s="32"/>
      <c r="J1" s="32"/>
      <c r="K1" s="32"/>
      <c r="L1" s="32"/>
      <c r="M1" s="23"/>
      <c r="N1" s="23"/>
      <c r="O1" s="23"/>
      <c r="P1" s="96">
        <v>45120</v>
      </c>
      <c r="Q1" s="23"/>
      <c r="R1" s="31"/>
      <c r="S1" s="179"/>
      <c r="T1" s="31"/>
      <c r="U1" s="211"/>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2"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10">
        <v>45034</v>
      </c>
      <c r="S3" s="181">
        <v>0.45833333333333331</v>
      </c>
      <c r="T3" s="130" t="s">
        <v>165</v>
      </c>
      <c r="U3" s="213" t="s">
        <v>1046</v>
      </c>
      <c r="V3" s="47" t="s">
        <v>141</v>
      </c>
      <c r="W3" s="23" t="str">
        <f ca="1">IF(R3&lt;=TODAY(),"SI","NO")</f>
        <v>SI</v>
      </c>
      <c r="X3" s="23" t="str">
        <f>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ca="1">IF(R4&lt;=TODAY(),"SI","NO")</f>
        <v>SI</v>
      </c>
      <c r="X4" s="23" t="str">
        <f>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ca="1">IF(R5&lt;=TODAY(),"SI","NO")</f>
        <v>SI</v>
      </c>
      <c r="X5" s="23" t="str">
        <f>IF($X$1=R5,"DIASOL", "DIANOSOL")</f>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4" t="s">
        <v>1205</v>
      </c>
      <c r="V6" s="56" t="s">
        <v>166</v>
      </c>
      <c r="W6" s="34" t="str">
        <f t="shared" ref="W6:W69" ca="1" si="0">IF(R6&lt;=TODAY(),"SI","NO")</f>
        <v>SI</v>
      </c>
      <c r="X6" s="23" t="str">
        <f t="shared" ref="X6:X69" si="1">IF($X$1=R6,"DIASOL", "DIANOSOL")</f>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0"/>
        <v>SI</v>
      </c>
      <c r="X7" s="23" t="str">
        <f t="shared" si="1"/>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0"/>
        <v>SI</v>
      </c>
      <c r="X8" s="23" t="str">
        <f t="shared" si="1"/>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4" t="s">
        <v>1061</v>
      </c>
      <c r="V9" s="6" t="s">
        <v>193</v>
      </c>
      <c r="W9" s="34" t="str">
        <f t="shared" ca="1" si="0"/>
        <v>SI</v>
      </c>
      <c r="X9" s="23" t="str">
        <f t="shared" si="1"/>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4" t="s">
        <v>1074</v>
      </c>
      <c r="V10" s="6" t="s">
        <v>202</v>
      </c>
      <c r="W10" s="34" t="str">
        <f t="shared" ca="1" si="0"/>
        <v>SI</v>
      </c>
      <c r="X10" s="23" t="str">
        <f t="shared" si="1"/>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4" t="s">
        <v>1075</v>
      </c>
      <c r="V11" s="6" t="s">
        <v>218</v>
      </c>
      <c r="W11" s="34" t="str">
        <f t="shared" ca="1" si="0"/>
        <v>SI</v>
      </c>
      <c r="X11" s="23" t="str">
        <f t="shared" si="1"/>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4" t="s">
        <v>1078</v>
      </c>
      <c r="V12" s="56" t="s">
        <v>219</v>
      </c>
      <c r="W12" s="34" t="str">
        <f t="shared" ca="1" si="0"/>
        <v>SI</v>
      </c>
      <c r="X12" s="23" t="str">
        <f t="shared" si="1"/>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4" t="s">
        <v>926</v>
      </c>
      <c r="V13" s="6"/>
      <c r="W13" s="34" t="str">
        <f t="shared" ca="1" si="0"/>
        <v>SI</v>
      </c>
      <c r="X13" s="23" t="str">
        <f t="shared" si="1"/>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4" t="s">
        <v>1047</v>
      </c>
      <c r="V14" s="6"/>
      <c r="W14" s="34" t="str">
        <f t="shared" ca="1" si="0"/>
        <v>SI</v>
      </c>
      <c r="X14" s="23" t="str">
        <f t="shared" si="1"/>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4" t="s">
        <v>1080</v>
      </c>
      <c r="V15" s="6"/>
      <c r="W15" s="34" t="str">
        <f t="shared" ca="1" si="0"/>
        <v>SI</v>
      </c>
      <c r="X15" s="23" t="str">
        <f t="shared" si="1"/>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4"/>
      <c r="V16" s="6"/>
      <c r="W16" s="34" t="str">
        <f t="shared" ca="1" si="0"/>
        <v>SI</v>
      </c>
      <c r="X16" s="23" t="str">
        <f t="shared" si="1"/>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4" t="s">
        <v>1057</v>
      </c>
      <c r="V17" s="6"/>
      <c r="W17" s="34" t="str">
        <f t="shared" ca="1" si="0"/>
        <v>SI</v>
      </c>
      <c r="X17" s="23" t="str">
        <f t="shared" si="1"/>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4" t="s">
        <v>1079</v>
      </c>
      <c r="V18" s="56" t="s">
        <v>302</v>
      </c>
      <c r="W18" s="34" t="str">
        <f t="shared" ca="1" si="0"/>
        <v>SI</v>
      </c>
      <c r="X18" s="23" t="str">
        <f t="shared" si="1"/>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5"/>
      <c r="V19" s="40"/>
      <c r="W19" s="34" t="str">
        <f t="shared" ca="1" si="0"/>
        <v>SI</v>
      </c>
      <c r="X19" s="23" t="str">
        <f t="shared" si="1"/>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5" t="s">
        <v>1091</v>
      </c>
      <c r="V20" s="58" t="s">
        <v>330</v>
      </c>
      <c r="W20" s="34" t="str">
        <f t="shared" ca="1" si="0"/>
        <v>SI</v>
      </c>
      <c r="X20" s="23" t="str">
        <f t="shared" si="1"/>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5"/>
      <c r="V21" s="40"/>
      <c r="W21" s="34" t="str">
        <f t="shared" ca="1" si="0"/>
        <v>SI</v>
      </c>
      <c r="X21" s="23" t="str">
        <f t="shared" si="1"/>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5" t="s">
        <v>1047</v>
      </c>
      <c r="V22" s="40"/>
      <c r="W22" s="34" t="str">
        <f t="shared" ca="1" si="0"/>
        <v>SI</v>
      </c>
      <c r="X22" s="23" t="str">
        <f t="shared" si="1"/>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5" t="s">
        <v>1047</v>
      </c>
      <c r="V23" s="58" t="s">
        <v>338</v>
      </c>
      <c r="W23" s="34" t="str">
        <f t="shared" ca="1" si="0"/>
        <v>SI</v>
      </c>
      <c r="X23" s="23" t="str">
        <f t="shared" si="1"/>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5" t="s">
        <v>1092</v>
      </c>
      <c r="V24" s="58" t="s">
        <v>338</v>
      </c>
      <c r="W24" s="34" t="str">
        <f t="shared" ca="1" si="0"/>
        <v>SI</v>
      </c>
      <c r="X24" s="23" t="str">
        <f t="shared" si="1"/>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5" t="s">
        <v>1092</v>
      </c>
      <c r="V25" s="6" t="s">
        <v>361</v>
      </c>
      <c r="W25" s="34" t="str">
        <f t="shared" ca="1" si="0"/>
        <v>SI</v>
      </c>
      <c r="X25" s="23" t="str">
        <f t="shared" si="1"/>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6" t="s">
        <v>1047</v>
      </c>
      <c r="V26" s="58" t="s">
        <v>379</v>
      </c>
      <c r="W26" s="34" t="str">
        <f t="shared" ca="1" si="0"/>
        <v>SI</v>
      </c>
      <c r="X26" s="23" t="str">
        <f t="shared" si="1"/>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4"/>
      <c r="V27" s="58" t="s">
        <v>379</v>
      </c>
      <c r="W27" s="34" t="str">
        <f t="shared" ca="1" si="0"/>
        <v>SI</v>
      </c>
      <c r="X27" s="23" t="str">
        <f t="shared" si="1"/>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5" t="s">
        <v>1093</v>
      </c>
      <c r="V28" s="73" t="s">
        <v>506</v>
      </c>
      <c r="W28" s="34" t="str">
        <f t="shared" ca="1" si="0"/>
        <v>SI</v>
      </c>
      <c r="X28" s="23" t="str">
        <f t="shared" si="1"/>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6" t="s">
        <v>1081</v>
      </c>
      <c r="V29" s="72"/>
      <c r="W29" s="34" t="str">
        <f t="shared" ca="1" si="0"/>
        <v>SI</v>
      </c>
      <c r="X29" s="23" t="str">
        <f t="shared" si="1"/>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6" t="s">
        <v>1063</v>
      </c>
      <c r="V30" s="73" t="s">
        <v>505</v>
      </c>
      <c r="W30" s="34" t="str">
        <f t="shared" ca="1" si="0"/>
        <v>SI</v>
      </c>
      <c r="X30" s="23" t="str">
        <f t="shared" si="1"/>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6" t="s">
        <v>1049</v>
      </c>
      <c r="V31" s="73" t="s">
        <v>505</v>
      </c>
      <c r="W31" s="34" t="str">
        <f t="shared" ca="1" si="0"/>
        <v>SI</v>
      </c>
      <c r="X31" s="23" t="str">
        <f t="shared" si="1"/>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6" t="s">
        <v>1066</v>
      </c>
      <c r="V32" s="72"/>
      <c r="W32" s="34" t="str">
        <f t="shared" ca="1" si="0"/>
        <v>SI</v>
      </c>
      <c r="X32" s="23" t="str">
        <f t="shared" si="1"/>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6"/>
      <c r="V33" s="72"/>
      <c r="W33" s="34" t="str">
        <f t="shared" ca="1" si="0"/>
        <v>SI</v>
      </c>
      <c r="X33" s="23" t="str">
        <f t="shared" si="1"/>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6" t="s">
        <v>1098</v>
      </c>
      <c r="V34" s="73" t="s">
        <v>561</v>
      </c>
      <c r="W34" s="34" t="str">
        <f t="shared" ca="1" si="0"/>
        <v>SI</v>
      </c>
      <c r="X34" s="23" t="str">
        <f t="shared" si="1"/>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6" t="s">
        <v>1064</v>
      </c>
      <c r="V35" s="73" t="s">
        <v>561</v>
      </c>
      <c r="W35" s="34" t="str">
        <f t="shared" ca="1" si="0"/>
        <v>SI</v>
      </c>
      <c r="X35" s="23" t="str">
        <f t="shared" si="1"/>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6" t="s">
        <v>937</v>
      </c>
      <c r="V36" s="72"/>
      <c r="W36" s="34" t="str">
        <f t="shared" ca="1" si="0"/>
        <v>SI</v>
      </c>
      <c r="X36" s="23" t="str">
        <f t="shared" si="1"/>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0"/>
        <v>SI</v>
      </c>
      <c r="X37" s="23" t="str">
        <f t="shared" si="1"/>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6" t="s">
        <v>1102</v>
      </c>
      <c r="V38" s="73" t="s">
        <v>561</v>
      </c>
      <c r="W38" s="34" t="str">
        <f t="shared" ca="1" si="0"/>
        <v>SI</v>
      </c>
      <c r="X38" s="23" t="str">
        <f t="shared" si="1"/>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6" t="s">
        <v>1050</v>
      </c>
      <c r="V39" s="73" t="s">
        <v>562</v>
      </c>
      <c r="W39" s="34" t="str">
        <f t="shared" ca="1" si="0"/>
        <v>SI</v>
      </c>
      <c r="X39" s="23" t="str">
        <f t="shared" si="1"/>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6"/>
      <c r="V40" s="73" t="s">
        <v>561</v>
      </c>
      <c r="W40" s="34" t="str">
        <f t="shared" ca="1" si="0"/>
        <v>SI</v>
      </c>
      <c r="X40" s="23" t="str">
        <f t="shared" si="1"/>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6" t="s">
        <v>1051</v>
      </c>
      <c r="V41" s="73" t="s">
        <v>584</v>
      </c>
      <c r="W41" s="34" t="str">
        <f t="shared" ca="1" si="0"/>
        <v>SI</v>
      </c>
      <c r="X41" s="23" t="str">
        <f t="shared" si="1"/>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6" t="s">
        <v>1099</v>
      </c>
      <c r="V42" s="73" t="s">
        <v>584</v>
      </c>
      <c r="W42" s="34" t="str">
        <f t="shared" ca="1" si="0"/>
        <v>SI</v>
      </c>
      <c r="X42" s="23" t="str">
        <f t="shared" si="1"/>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6" t="s">
        <v>1059</v>
      </c>
      <c r="V43" s="73" t="s">
        <v>593</v>
      </c>
      <c r="W43" s="34" t="str">
        <f t="shared" ca="1" si="0"/>
        <v>SI</v>
      </c>
      <c r="X43" s="23" t="str">
        <f t="shared" si="1"/>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6"/>
      <c r="V44" s="73" t="s">
        <v>593</v>
      </c>
      <c r="W44" s="34" t="str">
        <f t="shared" ca="1" si="0"/>
        <v>SI</v>
      </c>
      <c r="X44" s="23" t="str">
        <f t="shared" si="1"/>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6"/>
      <c r="V45" s="73" t="s">
        <v>603</v>
      </c>
      <c r="W45" s="34" t="str">
        <f t="shared" ca="1" si="0"/>
        <v>SI</v>
      </c>
      <c r="X45" s="23" t="str">
        <f t="shared" si="1"/>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6" t="s">
        <v>1084</v>
      </c>
      <c r="V46" s="73" t="s">
        <v>648</v>
      </c>
      <c r="W46" s="34" t="str">
        <f t="shared" ca="1" si="0"/>
        <v>SI</v>
      </c>
      <c r="X46" s="23" t="str">
        <f t="shared" si="1"/>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6" t="s">
        <v>1085</v>
      </c>
      <c r="V47" s="73" t="s">
        <v>648</v>
      </c>
      <c r="W47" s="34" t="str">
        <f t="shared" ca="1" si="0"/>
        <v>SI</v>
      </c>
      <c r="X47" s="23" t="str">
        <f t="shared" si="1"/>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7" t="s">
        <v>917</v>
      </c>
      <c r="V48" s="73" t="s">
        <v>666</v>
      </c>
      <c r="W48" s="34" t="str">
        <f t="shared" ca="1" si="0"/>
        <v>SI</v>
      </c>
      <c r="X48" s="23" t="str">
        <f t="shared" si="1"/>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6" t="s">
        <v>1067</v>
      </c>
      <c r="V49" s="73" t="s">
        <v>666</v>
      </c>
      <c r="W49" s="34" t="str">
        <f t="shared" ca="1" si="0"/>
        <v>SI</v>
      </c>
      <c r="X49" s="23" t="str">
        <f t="shared" si="1"/>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4"/>
      <c r="V50" s="73" t="s">
        <v>648</v>
      </c>
      <c r="W50" s="34" t="str">
        <f t="shared" ca="1" si="0"/>
        <v>SI</v>
      </c>
      <c r="X50" s="23" t="str">
        <f t="shared" si="1"/>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6"/>
      <c r="V51" s="73" t="s">
        <v>667</v>
      </c>
      <c r="W51" s="34" t="str">
        <f t="shared" ca="1" si="0"/>
        <v>SI</v>
      </c>
      <c r="X51" s="23" t="str">
        <f t="shared" si="1"/>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6"/>
      <c r="V52" s="73" t="s">
        <v>666</v>
      </c>
      <c r="W52" s="34" t="str">
        <f t="shared" ca="1" si="0"/>
        <v>SI</v>
      </c>
      <c r="X52" s="23" t="str">
        <f t="shared" si="1"/>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6" t="s">
        <v>1101</v>
      </c>
      <c r="V53" s="58" t="s">
        <v>749</v>
      </c>
      <c r="W53" s="34" t="str">
        <f t="shared" ca="1" si="0"/>
        <v>SI</v>
      </c>
      <c r="X53" s="23" t="str">
        <f t="shared" si="1"/>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6"/>
      <c r="V54" s="73" t="s">
        <v>700</v>
      </c>
      <c r="W54" s="34" t="str">
        <f t="shared" ca="1" si="0"/>
        <v>SI</v>
      </c>
      <c r="X54" s="23" t="str">
        <f t="shared" si="1"/>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5"/>
      <c r="V55" s="6" t="s">
        <v>700</v>
      </c>
      <c r="W55" s="34" t="str">
        <f t="shared" ca="1" si="0"/>
        <v>SI</v>
      </c>
      <c r="X55" s="23" t="str">
        <f t="shared" si="1"/>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6" t="s">
        <v>919</v>
      </c>
      <c r="V56" s="5">
        <v>24082023</v>
      </c>
      <c r="W56" s="34" t="str">
        <f t="shared" ca="1" si="0"/>
        <v>SI</v>
      </c>
      <c r="X56" s="23" t="str">
        <f t="shared" si="1"/>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4" t="s">
        <v>1079</v>
      </c>
      <c r="V57" s="6" t="s">
        <v>700</v>
      </c>
      <c r="W57" s="34" t="str">
        <f t="shared" ca="1" si="0"/>
        <v>SI</v>
      </c>
      <c r="X57" s="23" t="str">
        <f t="shared" si="1"/>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6"/>
      <c r="V58" s="73" t="s">
        <v>733</v>
      </c>
      <c r="W58" s="34" t="str">
        <f t="shared" ca="1" si="0"/>
        <v>SI</v>
      </c>
      <c r="X58" s="23" t="str">
        <f t="shared" si="1"/>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5"/>
      <c r="V59" s="72"/>
      <c r="W59" s="34" t="str">
        <f t="shared" ca="1" si="0"/>
        <v>SI</v>
      </c>
      <c r="X59" s="23" t="str">
        <f t="shared" si="1"/>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6" t="s">
        <v>930</v>
      </c>
      <c r="V60" s="5">
        <v>23082023</v>
      </c>
      <c r="W60" s="34" t="str">
        <f t="shared" ca="1" si="0"/>
        <v>SI</v>
      </c>
      <c r="X60" s="23" t="str">
        <f t="shared" si="1"/>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6" t="s">
        <v>930</v>
      </c>
      <c r="V61" s="72"/>
      <c r="W61" s="34" t="str">
        <f t="shared" ca="1" si="0"/>
        <v>SI</v>
      </c>
      <c r="X61" s="23" t="str">
        <f t="shared" si="1"/>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4"/>
      <c r="V62" s="58" t="s">
        <v>733</v>
      </c>
      <c r="W62" s="34" t="str">
        <f t="shared" ca="1" si="0"/>
        <v>SI</v>
      </c>
      <c r="X62" s="23" t="str">
        <f t="shared" si="1"/>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6"/>
      <c r="V63" s="73" t="s">
        <v>774</v>
      </c>
      <c r="W63" s="34" t="str">
        <f t="shared" ca="1" si="0"/>
        <v>SI</v>
      </c>
      <c r="X63" s="23" t="str">
        <f t="shared" si="1"/>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6" t="s">
        <v>1089</v>
      </c>
      <c r="V64" s="73" t="s">
        <v>774</v>
      </c>
      <c r="W64" s="34" t="str">
        <f t="shared" ca="1" si="0"/>
        <v>SI</v>
      </c>
      <c r="X64" s="23" t="str">
        <f t="shared" si="1"/>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6" t="s">
        <v>1065</v>
      </c>
      <c r="V65" s="73" t="s">
        <v>774</v>
      </c>
      <c r="W65" s="34" t="str">
        <f t="shared" ca="1" si="0"/>
        <v>SI</v>
      </c>
      <c r="X65" s="23" t="str">
        <f t="shared" si="1"/>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1261</v>
      </c>
      <c r="U66" s="218" t="s">
        <v>816</v>
      </c>
      <c r="V66" s="73" t="s">
        <v>774</v>
      </c>
      <c r="W66" s="34" t="str">
        <f t="shared" ca="1" si="0"/>
        <v>SI</v>
      </c>
      <c r="X66" s="23" t="str">
        <f t="shared" si="1"/>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6" t="s">
        <v>1068</v>
      </c>
      <c r="V67" s="73" t="s">
        <v>804</v>
      </c>
      <c r="W67" s="34" t="str">
        <f t="shared" ca="1" si="0"/>
        <v>SI</v>
      </c>
      <c r="X67" s="23" t="str">
        <f t="shared" si="1"/>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6" t="s">
        <v>1087</v>
      </c>
      <c r="V68" s="72"/>
      <c r="W68" s="34" t="str">
        <f t="shared" ca="1" si="0"/>
        <v>SI</v>
      </c>
      <c r="X68" s="23" t="str">
        <f t="shared" si="1"/>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6" t="s">
        <v>1053</v>
      </c>
      <c r="V69" s="73" t="s">
        <v>742</v>
      </c>
      <c r="W69" s="34" t="str">
        <f t="shared" ca="1" si="0"/>
        <v>SI</v>
      </c>
      <c r="X69" s="23" t="str">
        <f t="shared" si="1"/>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5" t="s">
        <v>1144</v>
      </c>
      <c r="V70" s="73" t="s">
        <v>804</v>
      </c>
      <c r="W70" s="34" t="str">
        <f t="shared" ref="W70:W121" ca="1" si="2">IF(R70&lt;=TODAY(),"SI","NO")</f>
        <v>SI</v>
      </c>
      <c r="X70" s="23" t="str">
        <f t="shared" ref="X70:X121" si="3">IF($X$1=R70,"DIASOL", "DIANOSOL")</f>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6" t="s">
        <v>1086</v>
      </c>
      <c r="V71" s="73" t="s">
        <v>804</v>
      </c>
      <c r="W71" s="34" t="str">
        <f t="shared" ca="1" si="2"/>
        <v>SI</v>
      </c>
      <c r="X71" s="23" t="str">
        <f t="shared" si="3"/>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6" t="s">
        <v>1071</v>
      </c>
      <c r="V72" s="73" t="s">
        <v>817</v>
      </c>
      <c r="W72" s="34" t="str">
        <f t="shared" ca="1" si="2"/>
        <v>SI</v>
      </c>
      <c r="X72" s="23" t="str">
        <f t="shared" si="3"/>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6" t="s">
        <v>1090</v>
      </c>
      <c r="V73" s="73" t="s">
        <v>818</v>
      </c>
      <c r="W73" s="34" t="str">
        <f t="shared" ca="1" si="2"/>
        <v>SI</v>
      </c>
      <c r="X73" s="23" t="str">
        <f t="shared" si="3"/>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4" t="s">
        <v>1181</v>
      </c>
      <c r="V74" s="72" t="s">
        <v>817</v>
      </c>
      <c r="W74" s="34" t="str">
        <f t="shared" ca="1" si="2"/>
        <v>SI</v>
      </c>
      <c r="X74" s="23" t="str">
        <f t="shared" si="3"/>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6"/>
      <c r="V75" s="72" t="s">
        <v>817</v>
      </c>
      <c r="W75" s="34" t="str">
        <f t="shared" ca="1" si="2"/>
        <v>SI</v>
      </c>
      <c r="X75" s="23" t="str">
        <f t="shared" si="3"/>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9" t="s">
        <v>1007</v>
      </c>
      <c r="V76" s="72"/>
      <c r="W76" s="34" t="str">
        <f t="shared" ca="1" si="2"/>
        <v>SI</v>
      </c>
      <c r="X76" s="23" t="str">
        <f t="shared" si="3"/>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6" t="s">
        <v>991</v>
      </c>
      <c r="V77" s="72"/>
      <c r="W77" s="34" t="str">
        <f t="shared" ca="1" si="2"/>
        <v>SI</v>
      </c>
      <c r="X77" s="23" t="str">
        <f t="shared" si="3"/>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4"/>
      <c r="V78" s="58" t="s">
        <v>380</v>
      </c>
      <c r="W78" s="34" t="str">
        <f t="shared" ca="1" si="2"/>
        <v>SI</v>
      </c>
      <c r="X78" s="23" t="str">
        <f t="shared" si="3"/>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5" t="s">
        <v>1267</v>
      </c>
      <c r="V79" s="91" t="s">
        <v>395</v>
      </c>
      <c r="W79" s="34" t="str">
        <f t="shared" ca="1" si="2"/>
        <v>SI</v>
      </c>
      <c r="X79" s="23" t="str">
        <f t="shared" si="3"/>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20"/>
      <c r="V80" s="58" t="s">
        <v>399</v>
      </c>
      <c r="W80" s="34" t="str">
        <f t="shared" ca="1" si="2"/>
        <v>SI</v>
      </c>
      <c r="X80" s="23" t="str">
        <f t="shared" si="3"/>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5" t="s">
        <v>1169</v>
      </c>
      <c r="V81" s="58" t="s">
        <v>408</v>
      </c>
      <c r="W81" s="34" t="str">
        <f t="shared" ca="1" si="2"/>
        <v>SI</v>
      </c>
      <c r="X81" s="23" t="str">
        <f t="shared" si="3"/>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21"/>
      <c r="V82" s="58" t="s">
        <v>408</v>
      </c>
      <c r="W82" s="34" t="str">
        <f t="shared" ca="1" si="2"/>
        <v>SI</v>
      </c>
      <c r="X82" s="23" t="str">
        <f t="shared" si="3"/>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6"/>
      <c r="V83" s="58" t="s">
        <v>430</v>
      </c>
      <c r="W83" s="34" t="str">
        <f t="shared" ca="1" si="2"/>
        <v>SI</v>
      </c>
      <c r="X83" s="23" t="str">
        <f t="shared" si="3"/>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01" t="s">
        <v>918</v>
      </c>
      <c r="U84" s="211" t="s">
        <v>935</v>
      </c>
      <c r="V84" s="73" t="s">
        <v>416</v>
      </c>
      <c r="W84" s="34" t="str">
        <f t="shared" ca="1" si="2"/>
        <v>SI</v>
      </c>
      <c r="X84" s="23" t="str">
        <f t="shared" si="3"/>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6"/>
      <c r="V85" s="72"/>
      <c r="W85" s="34" t="str">
        <f t="shared" ca="1" si="2"/>
        <v>SI</v>
      </c>
      <c r="X85" s="23" t="str">
        <f t="shared" si="3"/>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84">
        <v>0.38541666666666669</v>
      </c>
      <c r="T86" s="69" t="s">
        <v>914</v>
      </c>
      <c r="U86" s="216" t="s">
        <v>777</v>
      </c>
      <c r="V86" s="72"/>
      <c r="W86" s="34" t="str">
        <f t="shared" ca="1" si="2"/>
        <v>SI</v>
      </c>
      <c r="X86" s="23" t="str">
        <f t="shared" si="3"/>
        <v>DIANOSOL</v>
      </c>
      <c r="Y86" s="58" t="s">
        <v>994</v>
      </c>
      <c r="Z86" s="121" t="s">
        <v>1018</v>
      </c>
      <c r="AA86" s="121" t="str">
        <f>IF(Z86&lt;&gt;"",VLOOKUP($Z86,Resultados!$A$1:$B$49,2,FALSE),"")</f>
        <v>Recursos Denegados</v>
      </c>
    </row>
    <row r="87" spans="1:27" ht="38.25">
      <c r="A87" s="70">
        <v>85</v>
      </c>
      <c r="B87" s="68">
        <v>45153</v>
      </c>
      <c r="C87" s="71">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5" t="s">
        <v>1088</v>
      </c>
      <c r="V87" s="72"/>
      <c r="W87" s="34" t="str">
        <f t="shared" ca="1" si="2"/>
        <v>SI</v>
      </c>
      <c r="X87" s="23" t="str">
        <f t="shared" si="3"/>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6" t="s">
        <v>1083</v>
      </c>
      <c r="V88" s="58" t="s">
        <v>494</v>
      </c>
      <c r="W88" s="34" t="str">
        <f t="shared" ca="1" si="2"/>
        <v>SI</v>
      </c>
      <c r="X88" s="23" t="str">
        <f t="shared" si="3"/>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6" t="s">
        <v>892</v>
      </c>
      <c r="V89" s="58" t="s">
        <v>494</v>
      </c>
      <c r="W89" s="34" t="str">
        <f t="shared" ca="1" si="2"/>
        <v>SI</v>
      </c>
      <c r="X89" s="23" t="str">
        <f t="shared" si="3"/>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20"/>
      <c r="V90" s="73" t="s">
        <v>179</v>
      </c>
      <c r="W90" s="34" t="str">
        <f t="shared" ca="1" si="2"/>
        <v>SI</v>
      </c>
      <c r="X90" s="23" t="str">
        <f t="shared" si="3"/>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6" t="s">
        <v>1060</v>
      </c>
      <c r="V91" s="6" t="s">
        <v>179</v>
      </c>
      <c r="W91" s="34" t="str">
        <f t="shared" ca="1" si="2"/>
        <v>SI</v>
      </c>
      <c r="X91" s="23" t="str">
        <f t="shared" si="3"/>
        <v>DIANOSOL</v>
      </c>
      <c r="Y91" s="58" t="s">
        <v>994</v>
      </c>
      <c r="Z91" s="121" t="s">
        <v>1062</v>
      </c>
      <c r="AA91" s="121" t="str">
        <f>IF(Z91&lt;&gt;"",VLOOKUP($Z91,Resultados!$A$1:$B$49,2,FALSE),"")</f>
        <v>Recursos donde se hizo lugar</v>
      </c>
    </row>
    <row r="92" spans="1:27" ht="25.5">
      <c r="A92" s="70">
        <v>90</v>
      </c>
      <c r="B92" s="68">
        <v>45167</v>
      </c>
      <c r="C92" s="71">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20"/>
      <c r="V92" s="72"/>
      <c r="W92" s="34" t="str">
        <f t="shared" ca="1" si="2"/>
        <v>SI</v>
      </c>
      <c r="X92" s="23" t="str">
        <f t="shared" si="3"/>
        <v>DIANOSOL</v>
      </c>
      <c r="Y92" s="58"/>
      <c r="Z92" s="121" t="s">
        <v>1040</v>
      </c>
      <c r="AA92" s="121" t="str">
        <f>IF(Z92&lt;&gt;"",VLOOKUP($Z92,Resultados!$A$1:$B$49,2,FALSE),"")</f>
        <v>Audiencias de Visu</v>
      </c>
    </row>
    <row r="93" spans="1:27" ht="38.25">
      <c r="A93" s="70">
        <v>91</v>
      </c>
      <c r="B93" s="68">
        <v>45167</v>
      </c>
      <c r="C93" s="71">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5" t="s">
        <v>1072</v>
      </c>
      <c r="V93" s="72"/>
      <c r="W93" s="34" t="str">
        <f t="shared" ca="1" si="2"/>
        <v>SI</v>
      </c>
      <c r="X93" s="23" t="str">
        <f t="shared" si="3"/>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84">
        <v>0.39583333333333331</v>
      </c>
      <c r="T94" s="69" t="s">
        <v>942</v>
      </c>
      <c r="U94" s="222"/>
      <c r="V94" s="73" t="s">
        <v>849</v>
      </c>
      <c r="W94" s="34" t="str">
        <f t="shared" ca="1" si="2"/>
        <v>SI</v>
      </c>
      <c r="X94" s="23" t="str">
        <f t="shared" si="3"/>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6" t="s">
        <v>1060</v>
      </c>
      <c r="V95" s="73" t="s">
        <v>852</v>
      </c>
      <c r="W95" s="34" t="str">
        <f t="shared" ca="1" si="2"/>
        <v>SI</v>
      </c>
      <c r="X95" s="23" t="str">
        <f t="shared" si="3"/>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5" t="s">
        <v>1255</v>
      </c>
      <c r="V96" s="73" t="s">
        <v>962</v>
      </c>
      <c r="W96" s="34" t="str">
        <f t="shared" ca="1" si="2"/>
        <v>SI</v>
      </c>
      <c r="X96" s="23" t="str">
        <f t="shared" si="3"/>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6"/>
      <c r="V97" s="72"/>
      <c r="W97" s="34" t="str">
        <f t="shared" ca="1" si="2"/>
        <v>SI</v>
      </c>
      <c r="X97" s="23" t="str">
        <f t="shared" si="3"/>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20"/>
      <c r="V98" s="40"/>
      <c r="W98" s="34" t="str">
        <f t="shared" ca="1" si="2"/>
        <v>SI</v>
      </c>
      <c r="X98" s="23" t="str">
        <f t="shared" si="3"/>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6" t="s">
        <v>990</v>
      </c>
      <c r="V99" s="73" t="s">
        <v>852</v>
      </c>
      <c r="W99" s="34" t="str">
        <f t="shared" ca="1" si="2"/>
        <v>SI</v>
      </c>
      <c r="X99" s="23" t="str">
        <f t="shared" si="3"/>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5"/>
      <c r="V100" s="40"/>
      <c r="W100" s="34" t="str">
        <f t="shared" ca="1" si="2"/>
        <v>SI</v>
      </c>
      <c r="X100" s="23" t="str">
        <f t="shared" si="3"/>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4" t="s">
        <v>1193</v>
      </c>
      <c r="V101" s="40"/>
      <c r="W101" s="34" t="str">
        <f t="shared" ca="1" si="2"/>
        <v>SI</v>
      </c>
      <c r="X101" s="23" t="str">
        <f t="shared" si="3"/>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1259</v>
      </c>
      <c r="U102" s="215" t="s">
        <v>1058</v>
      </c>
      <c r="V102" s="112"/>
      <c r="W102" s="34" t="str">
        <f t="shared" ca="1" si="2"/>
        <v>SI</v>
      </c>
      <c r="X102" s="153" t="str">
        <f t="shared" si="3"/>
        <v>DIANOSOL</v>
      </c>
      <c r="Y102" s="152" t="s">
        <v>994</v>
      </c>
      <c r="Z102" s="154" t="s">
        <v>1018</v>
      </c>
      <c r="AA102" s="121" t="str">
        <f>IF(Z102&lt;&gt;"",VLOOKUP($Z102,Resultados!$A$1:$B$49,2,FALSE),"")</f>
        <v>Recursos Denegados</v>
      </c>
    </row>
    <row r="103" spans="1:27" ht="51">
      <c r="A103" s="70">
        <v>101</v>
      </c>
      <c r="B103" s="68">
        <v>45176</v>
      </c>
      <c r="C103" s="71">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84">
        <v>0.4375</v>
      </c>
      <c r="T103" s="69"/>
      <c r="U103" s="216" t="s">
        <v>1054</v>
      </c>
      <c r="V103" s="73" t="s">
        <v>875</v>
      </c>
      <c r="W103" s="34" t="str">
        <f t="shared" ca="1" si="2"/>
        <v>SI</v>
      </c>
      <c r="X103" s="23" t="str">
        <f t="shared" si="3"/>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8" t="s">
        <v>990</v>
      </c>
      <c r="V104" s="73" t="s">
        <v>884</v>
      </c>
      <c r="W104" s="34" t="str">
        <f t="shared" ca="1" si="2"/>
        <v>SI</v>
      </c>
      <c r="X104" s="23" t="str">
        <f t="shared" si="3"/>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84">
        <v>0.39583333333333331</v>
      </c>
      <c r="T105" s="69" t="s">
        <v>1115</v>
      </c>
      <c r="U105" s="216" t="s">
        <v>935</v>
      </c>
      <c r="V105" s="73" t="s">
        <v>884</v>
      </c>
      <c r="W105" s="34" t="str">
        <f t="shared" ca="1" si="2"/>
        <v>SI</v>
      </c>
      <c r="X105" s="23" t="str">
        <f t="shared" si="3"/>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4"/>
      <c r="V106" s="72"/>
      <c r="W106" s="34" t="str">
        <f t="shared" ca="1" si="2"/>
        <v>SI</v>
      </c>
      <c r="X106" s="23" t="str">
        <f t="shared" si="3"/>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5" t="s">
        <v>1048</v>
      </c>
      <c r="V107" s="72"/>
      <c r="W107" s="34" t="str">
        <f t="shared" ca="1" si="2"/>
        <v>SI</v>
      </c>
      <c r="X107" s="23" t="str">
        <f t="shared" si="3"/>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2"/>
        <v>SI</v>
      </c>
      <c r="X108" s="23" t="str">
        <f t="shared" si="3"/>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6" t="s">
        <v>1103</v>
      </c>
      <c r="V109" s="112"/>
      <c r="W109" s="34" t="str">
        <f t="shared" ca="1" si="2"/>
        <v>SI</v>
      </c>
      <c r="X109" s="23" t="str">
        <f t="shared" si="3"/>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4" t="s">
        <v>1073</v>
      </c>
      <c r="V110" s="40"/>
      <c r="W110" s="34" t="str">
        <f t="shared" ca="1" si="2"/>
        <v>SI</v>
      </c>
      <c r="X110" s="23" t="str">
        <f t="shared" si="3"/>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5" t="s">
        <v>1191</v>
      </c>
      <c r="V111" s="112"/>
      <c r="W111" s="34" t="str">
        <f t="shared" ca="1" si="2"/>
        <v>SI</v>
      </c>
      <c r="X111" s="23" t="str">
        <f t="shared" si="3"/>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2"/>
        <v>SI</v>
      </c>
      <c r="X112" s="23" t="str">
        <f t="shared" si="3"/>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4" t="s">
        <v>1240</v>
      </c>
      <c r="V113" s="72"/>
      <c r="W113" s="34" t="str">
        <f t="shared" ca="1" si="2"/>
        <v>SI</v>
      </c>
      <c r="X113" s="23" t="str">
        <f t="shared" si="3"/>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6"/>
      <c r="V114" s="72"/>
      <c r="W114" s="34" t="str">
        <f t="shared" ca="1" si="2"/>
        <v>SI</v>
      </c>
      <c r="X114" s="23" t="str">
        <f t="shared" si="3"/>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20"/>
      <c r="V115" s="40"/>
      <c r="W115" s="34" t="str">
        <f t="shared" ca="1" si="2"/>
        <v>SI</v>
      </c>
      <c r="X115" s="23" t="str">
        <f t="shared" si="3"/>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4" t="s">
        <v>1073</v>
      </c>
      <c r="V116" s="72"/>
      <c r="W116" s="34" t="str">
        <f t="shared" ca="1" si="2"/>
        <v>SI</v>
      </c>
      <c r="X116" s="23" t="str">
        <f t="shared" si="3"/>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5" t="s">
        <v>1060</v>
      </c>
      <c r="V117" s="40"/>
      <c r="W117" s="34" t="str">
        <f t="shared" ca="1" si="2"/>
        <v>SI</v>
      </c>
      <c r="X117" s="23" t="str">
        <f t="shared" si="3"/>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3"/>
      <c r="V118" s="40"/>
      <c r="W118" s="34" t="str">
        <f t="shared" ca="1" si="2"/>
        <v>SI</v>
      </c>
      <c r="X118" s="23" t="str">
        <f t="shared" si="3"/>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4"/>
      <c r="W119" s="34" t="str">
        <f t="shared" ca="1" si="2"/>
        <v>SI</v>
      </c>
      <c r="X119" s="23" t="str">
        <f t="shared" si="3"/>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5"/>
      <c r="W120" s="34" t="str">
        <f t="shared" ca="1" si="2"/>
        <v>SI</v>
      </c>
      <c r="X120" s="23" t="str">
        <f t="shared" si="3"/>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6"/>
      <c r="W121" s="34" t="str">
        <f t="shared" ca="1" si="2"/>
        <v>SI</v>
      </c>
      <c r="X121" s="23" t="str">
        <f t="shared" si="3"/>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6"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7"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6"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6"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6"/>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6"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1268</v>
      </c>
      <c r="U129" s="226"/>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5"/>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3"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4"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8"/>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4"/>
      <c r="U134" s="224" t="s">
        <v>1258</v>
      </c>
      <c r="Y134" s="133" t="s">
        <v>994</v>
      </c>
      <c r="Z134" s="121"/>
      <c r="AA134" s="121" t="str">
        <f>IF(Z134&lt;&gt;"",VLOOKUP($Z134,Resultados!$A$1:$B$49,2,FALSE),"")</f>
        <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4"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00">
        <v>0.35416666666666669</v>
      </c>
      <c r="T136" s="192" t="s">
        <v>934</v>
      </c>
      <c r="U136" s="223"/>
      <c r="W136" s="23" t="s">
        <v>994</v>
      </c>
      <c r="Y136" s="133" t="s">
        <v>994</v>
      </c>
      <c r="Z136" s="121" t="s">
        <v>1025</v>
      </c>
      <c r="AA136" s="121" t="str">
        <f>IF(Z136&lt;&gt;"",VLOOKUP($Z136,Resultados!$A$1:$B$49,2,FALSE),"")</f>
        <v>Recursos donde se hizo lugar</v>
      </c>
      <c r="AB136" s="8"/>
    </row>
    <row r="137" spans="1:28" ht="76.5">
      <c r="A137" s="202">
        <v>135</v>
      </c>
      <c r="B137" s="203">
        <v>45219</v>
      </c>
      <c r="C137" s="204">
        <v>0.40972222222222227</v>
      </c>
      <c r="D137" s="205" t="s">
        <v>242</v>
      </c>
      <c r="E137" s="206" t="s">
        <v>1206</v>
      </c>
      <c r="F137" s="206" t="s">
        <v>1207</v>
      </c>
      <c r="G137" s="206" t="s">
        <v>1208</v>
      </c>
      <c r="H137" s="206" t="s">
        <v>1214</v>
      </c>
      <c r="I137" s="207" t="s">
        <v>1209</v>
      </c>
      <c r="J137" s="207" t="s">
        <v>1210</v>
      </c>
      <c r="K137" s="208">
        <v>11374413</v>
      </c>
      <c r="L137" s="207" t="s">
        <v>1211</v>
      </c>
      <c r="M137" s="206" t="s">
        <v>1212</v>
      </c>
      <c r="N137" s="205"/>
      <c r="O137" s="205"/>
      <c r="P137" s="205"/>
      <c r="Q137" s="206" t="s">
        <v>1213</v>
      </c>
      <c r="R137" s="203">
        <v>45231</v>
      </c>
      <c r="S137" s="204">
        <v>0.375</v>
      </c>
      <c r="T137" s="233" t="s">
        <v>1269</v>
      </c>
      <c r="U137" s="229"/>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46"/>
      <c r="U138" s="223"/>
      <c r="W138" s="23" t="s">
        <v>994</v>
      </c>
      <c r="Y138" s="133" t="s">
        <v>994</v>
      </c>
      <c r="Z138" s="121"/>
      <c r="AA138" s="121" t="str">
        <f>IF(Z138&lt;&gt;"",VLOOKUP($Z138,Resultados!$A$1:$B$49,2,FALSE),"")</f>
        <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1259</v>
      </c>
      <c r="U139" s="223"/>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1260</v>
      </c>
      <c r="U140" s="226"/>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c r="R141" s="146">
        <v>45237</v>
      </c>
      <c r="S141" s="188">
        <v>0.4375</v>
      </c>
      <c r="T141" s="146"/>
      <c r="U141" s="226"/>
      <c r="W141" s="23" t="s">
        <v>994</v>
      </c>
      <c r="Y141" s="133" t="s">
        <v>994</v>
      </c>
      <c r="Z141" s="121"/>
      <c r="AA141" s="121" t="str">
        <f>IF(Z141&lt;&gt;"",VLOOKUP($Z141,Resultados!$A$1:$B$49,2,FALSE),"")</f>
        <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45236</v>
      </c>
      <c r="S142" s="188">
        <v>0.5</v>
      </c>
      <c r="T142" s="146"/>
      <c r="U142" s="226"/>
      <c r="W142" s="23" t="s">
        <v>994</v>
      </c>
      <c r="Y142" s="133" t="s">
        <v>994</v>
      </c>
      <c r="Z142" s="121"/>
      <c r="AA142" s="121" t="str">
        <f>IF(Z142&lt;&gt;"",VLOOKUP($Z142,Resultados!$A$1:$B$49,2,FALSE),"")</f>
        <v/>
      </c>
      <c r="AB142" s="8"/>
    </row>
    <row r="143" spans="1:28" ht="39.950000000000003" customHeight="1">
      <c r="A143" s="145">
        <v>141</v>
      </c>
      <c r="B143" s="146"/>
      <c r="C143" s="147"/>
      <c r="D143" s="147" t="s">
        <v>228</v>
      </c>
      <c r="E143" s="148" t="s">
        <v>1262</v>
      </c>
      <c r="F143" s="147"/>
      <c r="G143" s="147"/>
      <c r="H143" s="147"/>
      <c r="I143" s="151"/>
      <c r="J143" s="151"/>
      <c r="K143" s="151"/>
      <c r="L143" s="151"/>
      <c r="M143" s="147"/>
      <c r="N143" s="147"/>
      <c r="O143" s="147"/>
      <c r="P143" s="147"/>
      <c r="Q143" s="147"/>
      <c r="R143" s="146">
        <v>45173</v>
      </c>
      <c r="S143" s="188">
        <v>0.41666666666666669</v>
      </c>
      <c r="T143" s="146"/>
      <c r="U143" s="225"/>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1263</v>
      </c>
      <c r="F144" s="147"/>
      <c r="G144" s="147"/>
      <c r="H144" s="147"/>
      <c r="I144" s="151"/>
      <c r="J144" s="151"/>
      <c r="K144" s="151"/>
      <c r="L144" s="151"/>
      <c r="M144" s="147"/>
      <c r="N144" s="147"/>
      <c r="O144" s="147"/>
      <c r="P144" s="147"/>
      <c r="Q144" s="147"/>
      <c r="R144" s="146">
        <v>45177</v>
      </c>
      <c r="S144" s="188">
        <v>0.45833333333333331</v>
      </c>
      <c r="T144" s="146"/>
      <c r="U144" s="225"/>
      <c r="V144" s="147"/>
      <c r="W144" s="23" t="s">
        <v>994</v>
      </c>
      <c r="X144" s="148"/>
      <c r="Y144" s="148"/>
      <c r="Z144" s="231" t="s">
        <v>1040</v>
      </c>
      <c r="AA144" s="231" t="str">
        <f>IF(Z144&lt;&gt;"",VLOOKUP($Z144,Resultados!$A$1:$B$49,2,FALSE),"")</f>
        <v>Audiencias de Visu</v>
      </c>
      <c r="AB144" s="8"/>
    </row>
    <row r="145" spans="1:28" ht="39.950000000000003" customHeight="1">
      <c r="A145" s="145">
        <v>143</v>
      </c>
      <c r="B145" s="146"/>
      <c r="C145" s="147"/>
      <c r="D145" s="147" t="s">
        <v>105</v>
      </c>
      <c r="E145" s="148" t="s">
        <v>1264</v>
      </c>
      <c r="F145" s="147"/>
      <c r="G145" s="147"/>
      <c r="H145" s="147"/>
      <c r="I145" s="151"/>
      <c r="J145" s="151"/>
      <c r="K145" s="151"/>
      <c r="L145" s="151"/>
      <c r="M145" s="147"/>
      <c r="N145" s="147"/>
      <c r="O145" s="147"/>
      <c r="P145" s="147"/>
      <c r="Q145" s="147"/>
      <c r="R145" s="146">
        <v>45177</v>
      </c>
      <c r="S145" s="188">
        <v>0.5</v>
      </c>
      <c r="T145" s="146"/>
      <c r="U145" s="225"/>
      <c r="V145" s="147"/>
      <c r="W145" s="23" t="s">
        <v>994</v>
      </c>
      <c r="X145" s="148"/>
      <c r="Y145" s="148"/>
      <c r="Z145" s="231" t="s">
        <v>1040</v>
      </c>
      <c r="AA145" s="231" t="str">
        <f>IF(Z145&lt;&gt;"",VLOOKUP($Z145,Resultados!$A$1:$B$49,2,FALSE),"")</f>
        <v>Audiencias de Visu</v>
      </c>
      <c r="AB145" s="8"/>
    </row>
    <row r="146" spans="1:28" ht="39.950000000000003" customHeight="1">
      <c r="A146" s="145">
        <v>144</v>
      </c>
      <c r="B146" s="146"/>
      <c r="C146" s="147"/>
      <c r="D146" s="147" t="s">
        <v>230</v>
      </c>
      <c r="E146" s="148" t="s">
        <v>1265</v>
      </c>
      <c r="F146" s="147"/>
      <c r="G146" s="147"/>
      <c r="H146" s="147"/>
      <c r="I146" s="151"/>
      <c r="J146" s="151"/>
      <c r="K146" s="151"/>
      <c r="L146" s="151"/>
      <c r="M146" s="147"/>
      <c r="N146" s="147"/>
      <c r="O146" s="147"/>
      <c r="P146" s="147"/>
      <c r="Q146" s="147"/>
      <c r="R146" s="146">
        <v>45196</v>
      </c>
      <c r="S146" s="188">
        <v>0.45833333333333331</v>
      </c>
      <c r="T146" s="146"/>
      <c r="U146" s="225"/>
      <c r="V146" s="147"/>
      <c r="W146" s="23" t="s">
        <v>994</v>
      </c>
      <c r="X146" s="148"/>
      <c r="Y146" s="148"/>
      <c r="Z146" s="231" t="s">
        <v>1040</v>
      </c>
      <c r="AA146" s="231" t="str">
        <f>IF(Z146&lt;&gt;"",VLOOKUP($Z146,Resultados!$A$1:$B$49,2,FALSE),"")</f>
        <v>Audiencias de Visu</v>
      </c>
      <c r="AB146" s="8"/>
    </row>
    <row r="147" spans="1:28" ht="39.950000000000003" customHeight="1">
      <c r="A147" s="145">
        <v>145</v>
      </c>
      <c r="B147" s="146"/>
      <c r="C147" s="147"/>
      <c r="D147" s="147" t="s">
        <v>105</v>
      </c>
      <c r="E147" s="148" t="s">
        <v>1266</v>
      </c>
      <c r="F147" s="147"/>
      <c r="G147" s="147"/>
      <c r="H147" s="147"/>
      <c r="I147" s="151"/>
      <c r="J147" s="151"/>
      <c r="K147" s="151"/>
      <c r="L147" s="151"/>
      <c r="M147" s="147"/>
      <c r="N147" s="147"/>
      <c r="O147" s="147"/>
      <c r="P147" s="147"/>
      <c r="Q147" s="147"/>
      <c r="R147" s="146">
        <v>45205</v>
      </c>
      <c r="S147" s="188">
        <v>0.45833333333333331</v>
      </c>
      <c r="T147" s="146"/>
      <c r="U147" s="225"/>
      <c r="V147" s="147"/>
      <c r="W147" s="23" t="s">
        <v>994</v>
      </c>
      <c r="X147" s="148"/>
      <c r="Y147" s="148"/>
      <c r="Z147" s="231" t="s">
        <v>1040</v>
      </c>
      <c r="AA147" s="231" t="str">
        <f>IF(Z147&lt;&gt;"",VLOOKUP($Z147,Resultados!$A$1:$B$49,2,FALSE),"")</f>
        <v>Audiencias de Visu</v>
      </c>
      <c r="AB147" s="8"/>
    </row>
    <row r="148" spans="1:28" ht="63.75">
      <c r="A148" s="145">
        <v>146</v>
      </c>
      <c r="B148" s="146">
        <v>45231</v>
      </c>
      <c r="C148" s="188">
        <v>0.4375</v>
      </c>
      <c r="D148" s="147" t="s">
        <v>106</v>
      </c>
      <c r="E148" s="148" t="s">
        <v>1270</v>
      </c>
      <c r="F148" s="148" t="s">
        <v>1271</v>
      </c>
      <c r="G148" s="149">
        <v>34287480</v>
      </c>
      <c r="H148" s="148" t="s">
        <v>1272</v>
      </c>
      <c r="I148" s="150" t="s">
        <v>1273</v>
      </c>
      <c r="J148" s="150" t="s">
        <v>1274</v>
      </c>
      <c r="K148" s="150" t="s">
        <v>1275</v>
      </c>
      <c r="L148" s="150" t="s">
        <v>1276</v>
      </c>
      <c r="M148" s="148" t="s">
        <v>386</v>
      </c>
      <c r="N148" s="148" t="s">
        <v>1277</v>
      </c>
      <c r="O148" s="147"/>
      <c r="P148" s="147"/>
      <c r="Q148" s="148" t="s">
        <v>132</v>
      </c>
      <c r="R148" s="146">
        <v>45238</v>
      </c>
      <c r="S148" s="188">
        <v>0.39583333333333331</v>
      </c>
      <c r="T148" s="146"/>
      <c r="U148" s="225"/>
      <c r="V148" s="147"/>
      <c r="W148" s="148" t="s">
        <v>994</v>
      </c>
      <c r="X148" s="148"/>
      <c r="Y148" s="148"/>
      <c r="Z148" s="231"/>
      <c r="AA148" s="231" t="str">
        <f>IF(Z148&lt;&gt;"",VLOOKUP($Z148,Resultados!$A$1:$B$49,2,FALSE),"")</f>
        <v/>
      </c>
      <c r="AB148" s="8"/>
    </row>
    <row r="149" spans="1:28" ht="165.75">
      <c r="A149" s="145">
        <v>147</v>
      </c>
      <c r="B149" s="146">
        <v>45231</v>
      </c>
      <c r="C149" s="188">
        <v>0.4375</v>
      </c>
      <c r="D149" s="147" t="s">
        <v>242</v>
      </c>
      <c r="E149" s="148" t="s">
        <v>1278</v>
      </c>
      <c r="F149" s="148" t="s">
        <v>1279</v>
      </c>
      <c r="G149" s="149">
        <v>33186876</v>
      </c>
      <c r="H149" s="148" t="s">
        <v>1280</v>
      </c>
      <c r="I149" s="150" t="s">
        <v>1281</v>
      </c>
      <c r="J149" s="150" t="s">
        <v>1282</v>
      </c>
      <c r="K149" s="170">
        <v>35188079</v>
      </c>
      <c r="L149" s="150" t="s">
        <v>1283</v>
      </c>
      <c r="M149" s="148" t="s">
        <v>1284</v>
      </c>
      <c r="N149" s="148" t="s">
        <v>1285</v>
      </c>
      <c r="O149" s="148" t="s">
        <v>1286</v>
      </c>
      <c r="P149" s="147"/>
      <c r="Q149" s="148" t="s">
        <v>136</v>
      </c>
      <c r="R149" s="146"/>
      <c r="S149" s="188"/>
      <c r="T149" s="146"/>
      <c r="U149" s="225"/>
      <c r="V149" s="147"/>
      <c r="W149" s="148" t="s">
        <v>994</v>
      </c>
      <c r="X149" s="148"/>
      <c r="Y149" s="148"/>
      <c r="Z149" s="231"/>
      <c r="AA149" s="231" t="str">
        <f>IF(Z149&lt;&gt;"",VLOOKUP($Z149,Resultados!$A$1:$B$49,2,FALSE),"")</f>
        <v/>
      </c>
      <c r="AB149" s="8"/>
    </row>
    <row r="150" spans="1:28" ht="89.25">
      <c r="A150" s="145">
        <v>148</v>
      </c>
      <c r="B150" s="146"/>
      <c r="C150" s="147"/>
      <c r="D150" s="147" t="s">
        <v>242</v>
      </c>
      <c r="E150" s="148" t="s">
        <v>1287</v>
      </c>
      <c r="F150" s="148" t="s">
        <v>1288</v>
      </c>
      <c r="G150" s="147"/>
      <c r="H150" s="147"/>
      <c r="I150" s="150" t="s">
        <v>1289</v>
      </c>
      <c r="J150" s="150" t="s">
        <v>1290</v>
      </c>
      <c r="K150" s="151"/>
      <c r="L150" s="151"/>
      <c r="M150" s="148" t="s">
        <v>462</v>
      </c>
      <c r="N150" s="147"/>
      <c r="O150" s="147"/>
      <c r="P150" s="147"/>
      <c r="Q150" s="148" t="s">
        <v>133</v>
      </c>
      <c r="R150" s="146">
        <v>45232</v>
      </c>
      <c r="S150" s="188">
        <v>0.41666666666666669</v>
      </c>
      <c r="T150" s="146"/>
      <c r="U150" s="225"/>
      <c r="V150" s="147"/>
      <c r="W150" s="148"/>
      <c r="X150" s="148"/>
      <c r="Y150" s="148" t="s">
        <v>1002</v>
      </c>
      <c r="Z150" s="231" t="s">
        <v>1040</v>
      </c>
      <c r="AA150" s="231" t="str">
        <f>IF(Z150&lt;&gt;"",VLOOKUP($Z150,Resultados!$A$1:$B$49,2,FALSE),"")</f>
        <v>Audiencias de Visu</v>
      </c>
      <c r="AB150" s="8"/>
    </row>
    <row r="151" spans="1:28" ht="178.5">
      <c r="A151" s="145">
        <v>149</v>
      </c>
      <c r="B151" s="146">
        <v>45232</v>
      </c>
      <c r="C151" s="147"/>
      <c r="D151" s="147" t="s">
        <v>227</v>
      </c>
      <c r="E151" s="148" t="s">
        <v>1291</v>
      </c>
      <c r="F151" s="148" t="s">
        <v>1292</v>
      </c>
      <c r="G151" s="147"/>
      <c r="H151" s="147"/>
      <c r="I151" s="150" t="s">
        <v>1293</v>
      </c>
      <c r="J151" s="150" t="s">
        <v>1294</v>
      </c>
      <c r="K151" s="151"/>
      <c r="L151" s="151"/>
      <c r="M151" s="148" t="s">
        <v>1295</v>
      </c>
      <c r="N151" s="147"/>
      <c r="O151" s="147"/>
      <c r="P151" s="147"/>
      <c r="Q151" s="148" t="s">
        <v>133</v>
      </c>
      <c r="R151" s="146">
        <v>45237</v>
      </c>
      <c r="S151" s="188">
        <v>0.47916666666666669</v>
      </c>
      <c r="T151" s="146"/>
      <c r="U151" s="225"/>
      <c r="V151" s="147"/>
      <c r="W151" s="148"/>
      <c r="X151" s="148"/>
      <c r="Y151" s="148" t="s">
        <v>994</v>
      </c>
      <c r="Z151" s="231" t="s">
        <v>1040</v>
      </c>
      <c r="AA151" s="231" t="str">
        <f>IF(Z151&lt;&gt;"",VLOOKUP($Z151,Resultados!$A$1:$B$49,2,FALSE),"")</f>
        <v>Audiencias de Visu</v>
      </c>
      <c r="AB151" s="8"/>
    </row>
    <row r="152" spans="1:28" ht="89.25">
      <c r="A152" s="145">
        <v>150</v>
      </c>
      <c r="B152" s="146">
        <v>45232</v>
      </c>
      <c r="C152" s="188">
        <v>0.39583333333333331</v>
      </c>
      <c r="D152" s="147" t="s">
        <v>106</v>
      </c>
      <c r="E152" s="148" t="s">
        <v>1296</v>
      </c>
      <c r="F152" s="148" t="s">
        <v>1297</v>
      </c>
      <c r="G152" s="149">
        <v>38506460</v>
      </c>
      <c r="H152" s="148" t="s">
        <v>1298</v>
      </c>
      <c r="I152" s="150" t="s">
        <v>1299</v>
      </c>
      <c r="J152" s="151"/>
      <c r="K152" s="151"/>
      <c r="L152" s="151"/>
      <c r="M152" s="148" t="s">
        <v>812</v>
      </c>
      <c r="N152" s="147"/>
      <c r="O152" s="148" t="s">
        <v>1300</v>
      </c>
      <c r="P152" s="147"/>
      <c r="Q152" s="148" t="s">
        <v>1301</v>
      </c>
      <c r="R152" s="146"/>
      <c r="S152" s="188"/>
      <c r="T152" s="146"/>
      <c r="U152" s="225"/>
      <c r="V152" s="147"/>
      <c r="W152" s="148"/>
      <c r="X152" s="148"/>
      <c r="Y152" s="148" t="s">
        <v>994</v>
      </c>
      <c r="Z152" s="231"/>
      <c r="AA152" s="231" t="str">
        <f>IF(Z152&lt;&gt;"",VLOOKUP($Z152,Resultados!$A$1:$B$49,2,FALSE),"")</f>
        <v/>
      </c>
      <c r="AB152" s="8"/>
    </row>
    <row r="153" spans="1:28" ht="39.950000000000003" customHeight="1">
      <c r="A153" s="43">
        <v>151</v>
      </c>
      <c r="B153" s="82">
        <v>45233</v>
      </c>
      <c r="C153" s="83">
        <v>0.375</v>
      </c>
      <c r="D153" s="5" t="s">
        <v>242</v>
      </c>
      <c r="E153" s="6" t="s">
        <v>1302</v>
      </c>
      <c r="F153" s="6" t="s">
        <v>1303</v>
      </c>
      <c r="G153" s="85">
        <v>28938229</v>
      </c>
      <c r="H153" s="6" t="s">
        <v>1304</v>
      </c>
      <c r="I153" s="37" t="s">
        <v>1305</v>
      </c>
      <c r="J153" s="37" t="s">
        <v>1306</v>
      </c>
      <c r="K153" s="86">
        <v>23101063</v>
      </c>
      <c r="L153" s="37" t="s">
        <v>1307</v>
      </c>
      <c r="M153" s="6" t="s">
        <v>462</v>
      </c>
      <c r="N153" s="6" t="s">
        <v>1308</v>
      </c>
      <c r="O153" s="5"/>
      <c r="P153" s="5"/>
      <c r="Q153" s="6" t="s">
        <v>1309</v>
      </c>
      <c r="R153" s="82"/>
      <c r="S153" s="83"/>
      <c r="T153" s="82"/>
      <c r="U153" s="220"/>
      <c r="V153" s="5"/>
      <c r="W153" s="6"/>
      <c r="X153" s="6"/>
      <c r="Y153" s="6" t="s">
        <v>994</v>
      </c>
      <c r="Z153" s="174"/>
      <c r="AA153" s="174" t="str">
        <f>IF(Z153&lt;&gt;"",VLOOKUP($Z153,Resultados!$A$1:$B$49,2,FALSE),"")</f>
        <v/>
      </c>
      <c r="AB153" s="8"/>
    </row>
    <row r="154" spans="1:28">
      <c r="Z154" s="123"/>
      <c r="AA154" s="123"/>
      <c r="AB154" s="8"/>
    </row>
    <row r="155" spans="1:28">
      <c r="Z155" s="123"/>
      <c r="AA155" s="123"/>
      <c r="AB155" s="8"/>
    </row>
    <row r="156" spans="1:28">
      <c r="Z156" s="123"/>
      <c r="AA156" s="123"/>
      <c r="AB156" s="8"/>
    </row>
    <row r="157" spans="1:28">
      <c r="Z157" s="123"/>
      <c r="AA157" s="123"/>
      <c r="AB157" s="8"/>
    </row>
    <row r="158" spans="1:28">
      <c r="Z158" s="123"/>
      <c r="AA158" s="123"/>
      <c r="AB158" s="8"/>
    </row>
    <row r="159" spans="1:28">
      <c r="Z159" s="123"/>
      <c r="AA159" s="123"/>
      <c r="AB159" s="8"/>
    </row>
    <row r="160" spans="1:28">
      <c r="Z160" s="123"/>
      <c r="AA160" s="123"/>
      <c r="AB160" s="8"/>
    </row>
    <row r="161" spans="26:28">
      <c r="Z161" s="123"/>
      <c r="AA161" s="123"/>
      <c r="AB161" s="8"/>
    </row>
    <row r="162" spans="26:28">
      <c r="Z162" s="123"/>
      <c r="AA162" s="123"/>
      <c r="AB162" s="8"/>
    </row>
    <row r="163" spans="26:28">
      <c r="Z163" s="123"/>
      <c r="AA163" s="123"/>
      <c r="AB163" s="8"/>
    </row>
    <row r="164" spans="26:28">
      <c r="Z164" s="123"/>
      <c r="AA164" s="123"/>
      <c r="AB164" s="8"/>
    </row>
    <row r="165" spans="26:28">
      <c r="Z165" s="123"/>
      <c r="AA165" s="123"/>
      <c r="AB165" s="8"/>
    </row>
    <row r="166" spans="26:28">
      <c r="Z166" s="123"/>
      <c r="AA166" s="123"/>
      <c r="AB166" s="8"/>
    </row>
    <row r="167" spans="26:28">
      <c r="Z167" s="123"/>
      <c r="AA167" s="123"/>
      <c r="AB167" s="8"/>
    </row>
    <row r="168" spans="26:28">
      <c r="Z168" s="123"/>
      <c r="AA168" s="123"/>
      <c r="AB168" s="8"/>
    </row>
    <row r="169" spans="26:28">
      <c r="Z169" s="123"/>
      <c r="AA169" s="123"/>
      <c r="AB169" s="8"/>
    </row>
    <row r="170" spans="26:28">
      <c r="Z170" s="123"/>
      <c r="AA170" s="123"/>
      <c r="AB170" s="8"/>
    </row>
    <row r="171" spans="26:28">
      <c r="Z171" s="123"/>
      <c r="AA171" s="123"/>
      <c r="AB171" s="8"/>
    </row>
    <row r="172" spans="26:28">
      <c r="Z172" s="123"/>
      <c r="AA172" s="123"/>
      <c r="AB172" s="8"/>
    </row>
    <row r="173" spans="26:28">
      <c r="Z173" s="123"/>
      <c r="AA173" s="123"/>
      <c r="AB173" s="8"/>
    </row>
    <row r="174" spans="26:28">
      <c r="Z174" s="123"/>
      <c r="AA174" s="123"/>
      <c r="AB174" s="8"/>
    </row>
    <row r="175" spans="26:28">
      <c r="Z175" s="123"/>
      <c r="AA175" s="123"/>
      <c r="AB175" s="8"/>
    </row>
    <row r="176" spans="26: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autoFilter ref="A2:T2"/>
  <sortState ref="A4:T143">
    <sortCondition ref="A3:A143"/>
  </sortState>
  <phoneticPr fontId="1" type="noConversion"/>
  <dataValidations count="8">
    <dataValidation type="list" allowBlank="1" showInputMessage="1" showErrorMessage="1" sqref="D126 D123 D154:D1048576">
      <formula1>Jueces!$A$1:$A$11</formula1>
    </dataValidation>
    <dataValidation type="list" allowBlank="1" showInputMessage="1" showErrorMessage="1" sqref="Z2 Z154:Z717">
      <formula1>[1]Resultados!$A$1:$A$30</formula1>
    </dataValidation>
    <dataValidation type="list" allowBlank="1" showInputMessage="1" showErrorMessage="1" sqref="M5:M21 M64">
      <formula1>defensores!$A$1:$A$50</formula1>
    </dataValidation>
    <dataValidation type="list" allowBlank="1" showInputMessage="1" showErrorMessage="1" sqref="O3:O21 O64">
      <formula1>Asesores!$A$1:$A$11</formula1>
    </dataValidation>
    <dataValidation type="list" allowBlank="1" showInputMessage="1" showErrorMessage="1" sqref="P3:P21 P64">
      <formula1>'fiscalias penales'!$A$1:$A$100</formula1>
    </dataValidation>
    <dataValidation type="list" allowBlank="1" showInputMessage="1" showErrorMessage="1" sqref="Q3:Q21 Q64">
      <formula1>fiscalimpug!$A$1:$A$50</formula1>
    </dataValidation>
    <dataValidation type="list" allowBlank="1" showInputMessage="1" showErrorMessage="1" sqref="D3:D122 D124:D125 D127:D153">
      <formula1>Jueces!$A$1:$A$20</formula1>
    </dataValidation>
    <dataValidation type="list" allowBlank="1" showInputMessage="1" showErrorMessage="1" sqref="Z3:Z153">
      <formula1>Resultados!$A$1:$A$30</formula1>
    </dataValidation>
  </dataValidations>
  <pageMargins left="0.19685039370078741" right="0.19685039370078741" top="0.19685039370078741" bottom="0.19685039370078741" header="0" footer="0"/>
  <pageSetup paperSize="5" scale="70"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45233</v>
      </c>
      <c r="H1" s="26"/>
    </row>
    <row r="2" spans="2:9">
      <c r="H2" s="11"/>
    </row>
    <row r="3" spans="2:9" ht="20.100000000000001" customHeight="1">
      <c r="B3" s="234" t="s">
        <v>109</v>
      </c>
      <c r="C3" s="234"/>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4" t="s">
        <v>110</v>
      </c>
      <c r="C13" s="234"/>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4" t="s">
        <v>111</v>
      </c>
      <c r="C23" s="234"/>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5" t="s">
        <v>42</v>
      </c>
      <c r="C33" s="235"/>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16" sqref="C16"/>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6" t="s">
        <v>1105</v>
      </c>
      <c r="C1" s="236"/>
      <c r="D1" s="236"/>
      <c r="E1" s="236"/>
      <c r="F1" s="236"/>
      <c r="G1" s="236"/>
      <c r="H1" s="236"/>
      <c r="I1" s="236"/>
      <c r="J1" s="236"/>
      <c r="K1" s="236"/>
      <c r="L1" s="236"/>
    </row>
    <row r="2" spans="2:12" ht="12.75" customHeight="1">
      <c r="B2" s="111"/>
      <c r="C2" s="111"/>
      <c r="D2" s="111"/>
      <c r="E2" s="111"/>
      <c r="F2" s="111"/>
      <c r="G2" s="111"/>
      <c r="H2" s="111"/>
      <c r="I2" s="111"/>
      <c r="J2" s="111"/>
      <c r="K2" s="111"/>
      <c r="L2" s="111"/>
    </row>
    <row r="3" spans="2:12" ht="30.75" customHeight="1">
      <c r="B3" s="237" t="s">
        <v>886</v>
      </c>
      <c r="C3" s="237"/>
      <c r="D3" s="237"/>
      <c r="E3" s="237"/>
      <c r="F3" s="237"/>
      <c r="G3" s="237"/>
      <c r="H3" s="237"/>
      <c r="I3" s="237"/>
      <c r="J3" s="237"/>
      <c r="K3" s="237"/>
      <c r="L3" s="237"/>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72</v>
      </c>
      <c r="C10" s="161" t="s">
        <v>1015</v>
      </c>
      <c r="F10" s="100"/>
      <c r="H10" s="99"/>
      <c r="I10" s="99"/>
    </row>
    <row r="11" spans="2:12" ht="28.35" customHeight="1">
      <c r="B11" s="102">
        <f ca="1">COUNTIFS(EXPEDIENTES!AA:AA,$C11,EXPEDIENTES!W:W,"SI")</f>
        <v>1</v>
      </c>
      <c r="C11" s="232" t="s">
        <v>1077</v>
      </c>
      <c r="F11" s="100"/>
      <c r="H11" s="99"/>
      <c r="I11" s="99"/>
    </row>
    <row r="12" spans="2:12" ht="28.35" customHeight="1">
      <c r="B12" s="102">
        <f ca="1">COUNTIFS(EXPEDIENTES!AA:AA,$C12,EXPEDIENTES!W:W,"SI")</f>
        <v>34</v>
      </c>
      <c r="C12" s="161" t="s">
        <v>1017</v>
      </c>
      <c r="F12" s="100"/>
      <c r="H12" s="99"/>
      <c r="I12" s="99"/>
    </row>
    <row r="13" spans="2:12" ht="28.35" customHeight="1">
      <c r="B13" s="102">
        <f>COUNTIFS(EXPEDIENTES!AA:AA,$C13)</f>
        <v>2</v>
      </c>
      <c r="C13" s="209" t="s">
        <v>1039</v>
      </c>
      <c r="D13" s="103"/>
      <c r="E13" s="103"/>
      <c r="F13" s="103"/>
      <c r="G13" s="103"/>
      <c r="H13" s="103"/>
      <c r="I13" s="103"/>
      <c r="J13" s="103"/>
      <c r="K13" s="97"/>
    </row>
    <row r="14" spans="2:12" ht="28.35" customHeight="1">
      <c r="B14" s="102">
        <f ca="1">COUNTIFS(EXPEDIENTES!AA:AA,$C14,EXPEDIENTES!W:W,"SI")</f>
        <v>9</v>
      </c>
      <c r="C14" s="209" t="s">
        <v>1041</v>
      </c>
      <c r="D14" s="104"/>
      <c r="E14" s="104"/>
      <c r="F14" s="104"/>
      <c r="G14" s="104"/>
      <c r="H14" s="104"/>
      <c r="I14" s="104"/>
      <c r="J14" s="104"/>
      <c r="K14" s="97"/>
    </row>
    <row r="15" spans="2:12" ht="28.35" customHeight="1">
      <c r="B15" s="163">
        <f ca="1">SUM(B6:B14)</f>
        <v>130</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03/11/2023</v>
      </c>
      <c r="P20" s="160"/>
    </row>
    <row r="21" spans="2:16" ht="28.35" customHeight="1">
      <c r="P21" s="109"/>
    </row>
    <row r="22" spans="2:16" ht="30" customHeight="1">
      <c r="B22" s="236" t="s">
        <v>885</v>
      </c>
      <c r="C22" s="236"/>
      <c r="D22" s="236"/>
      <c r="E22" s="236"/>
      <c r="F22" s="236"/>
      <c r="G22" s="236"/>
      <c r="H22" s="236"/>
      <c r="I22" s="236"/>
      <c r="J22" s="236"/>
      <c r="K22" s="236"/>
    </row>
    <row r="23" spans="2:16" ht="30" customHeight="1">
      <c r="B23" s="237" t="s">
        <v>890</v>
      </c>
      <c r="C23" s="237"/>
      <c r="D23" s="237"/>
      <c r="E23" s="237"/>
      <c r="F23" s="237"/>
      <c r="G23" s="237"/>
      <c r="H23" s="237"/>
      <c r="I23" s="237"/>
      <c r="J23" s="237"/>
      <c r="K23" s="237"/>
    </row>
    <row r="24" spans="2:16" ht="30" customHeight="1">
      <c r="B24" s="101" t="s">
        <v>887</v>
      </c>
      <c r="C24" s="101" t="s">
        <v>888</v>
      </c>
    </row>
    <row r="25" spans="2:16" ht="18" customHeight="1">
      <c r="B25" s="110">
        <f ca="1">COUNTIFS(EXPEDIENTES!Z:Z,$C25,EXPEDIENTES!W:W,"SI")</f>
        <v>3</v>
      </c>
      <c r="C25" s="165" t="s">
        <v>1014</v>
      </c>
    </row>
    <row r="26" spans="2:16" ht="18" customHeight="1">
      <c r="B26" s="110">
        <f ca="1">COUNTIFS(EXPEDIENTES!Z:Z,$C26,EXPEDIENTES!W:W,"SI")</f>
        <v>1</v>
      </c>
      <c r="C26" s="165" t="s">
        <v>1016</v>
      </c>
    </row>
    <row r="27" spans="2:16" ht="18" customHeight="1">
      <c r="B27" s="110">
        <f ca="1">COUNTIFS(EXPEDIENTES!Z:Z,$C27,EXPEDIENTES!W:W,"SI")</f>
        <v>69</v>
      </c>
      <c r="C27" s="165" t="s">
        <v>1018</v>
      </c>
    </row>
    <row r="28" spans="2:16" ht="18" customHeight="1">
      <c r="B28" s="110">
        <f ca="1">COUNTIFS(EXPEDIENTES!Z:Z,$C28,EXPEDIENTES!W:W,"SI")</f>
        <v>14</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96</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A40"/>
  <sheetViews>
    <sheetView topLeftCell="A19" zoomScale="85" zoomScaleNormal="85" workbookViewId="0">
      <selection activeCell="F38" sqref="F38"/>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1" ht="24.95" customHeight="1">
      <c r="A17" s="16" t="s">
        <v>21</v>
      </c>
    </row>
    <row r="18" spans="1:1" ht="24.95" customHeight="1">
      <c r="A18" s="15" t="s">
        <v>15</v>
      </c>
    </row>
    <row r="19" spans="1:1" ht="24.95" customHeight="1">
      <c r="A19" s="17" t="s">
        <v>46</v>
      </c>
    </row>
    <row r="20" spans="1:1" ht="24.95" customHeight="1">
      <c r="A20" s="18" t="s">
        <v>45</v>
      </c>
    </row>
    <row r="21" spans="1:1" ht="24.95" customHeight="1">
      <c r="A21" s="18" t="s">
        <v>49</v>
      </c>
    </row>
    <row r="22" spans="1:1" ht="24.95" customHeight="1">
      <c r="A22" s="16" t="s">
        <v>4</v>
      </c>
    </row>
    <row r="23" spans="1:1" ht="24.95" customHeight="1">
      <c r="A23" s="16" t="s">
        <v>29</v>
      </c>
    </row>
    <row r="24" spans="1:1" ht="24.95" customHeight="1">
      <c r="A24" s="16" t="s">
        <v>32</v>
      </c>
    </row>
    <row r="25" spans="1:1" ht="24.95" customHeight="1">
      <c r="A25" s="16" t="s">
        <v>5</v>
      </c>
    </row>
    <row r="26" spans="1:1" ht="24.95" customHeight="1">
      <c r="A26" s="15" t="s">
        <v>7</v>
      </c>
    </row>
    <row r="27" spans="1:1" ht="24.95" customHeight="1">
      <c r="A27" s="15" t="s">
        <v>8</v>
      </c>
    </row>
    <row r="28" spans="1:1" ht="24.95" customHeight="1">
      <c r="A28" s="15" t="s">
        <v>37</v>
      </c>
    </row>
    <row r="29" spans="1:1" ht="24.95" customHeight="1">
      <c r="A29" s="16" t="s">
        <v>34</v>
      </c>
    </row>
    <row r="30" spans="1:1" ht="24.95" customHeight="1">
      <c r="A30" s="16" t="s">
        <v>35</v>
      </c>
    </row>
    <row r="31" spans="1:1" ht="24.95" customHeight="1">
      <c r="A31" s="16" t="s">
        <v>33</v>
      </c>
    </row>
    <row r="32" spans="1:1"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29"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2"/>
  <sheetViews>
    <sheetView workbookViewId="0">
      <selection activeCell="A12" sqref="A12"/>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2023-10-03T11:07:07Z</cp:lastPrinted>
  <dcterms:created xsi:type="dcterms:W3CDTF">2023-02-23T14:47:20Z</dcterms:created>
  <dcterms:modified xsi:type="dcterms:W3CDTF">2023-11-03T16:27:20Z</dcterms:modified>
</cp:coreProperties>
</file>