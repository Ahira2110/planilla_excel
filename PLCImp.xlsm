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58" i="1"/>
  <c r="AA157"/>
  <c r="AA156"/>
  <c r="AA155"/>
  <c r="AA137"/>
  <c r="AA154"/>
  <c r="AA142"/>
  <c r="AA140"/>
  <c r="AA136"/>
  <c r="AA143"/>
  <c r="AA141"/>
  <c r="AA117"/>
  <c r="AA109"/>
  <c r="AA94"/>
  <c r="AA93"/>
  <c r="AA77"/>
  <c r="AA146"/>
  <c r="AA86"/>
  <c r="AA138"/>
  <c r="AA139"/>
  <c r="AA130"/>
  <c r="AA131"/>
  <c r="AA135"/>
  <c r="AA133"/>
  <c r="AA99"/>
  <c r="AA129"/>
  <c r="AA134"/>
  <c r="AA128"/>
  <c r="AA153"/>
  <c r="AA123"/>
  <c r="AA126"/>
  <c r="AA132"/>
  <c r="AA152"/>
  <c r="AA125"/>
  <c r="AA151"/>
  <c r="AA120"/>
  <c r="AA119"/>
  <c r="AA150"/>
  <c r="AA127"/>
  <c r="AA149"/>
  <c r="AA124"/>
  <c r="AA122"/>
  <c r="AA115"/>
  <c r="AA116"/>
  <c r="AA121"/>
  <c r="AA110"/>
  <c r="AA118"/>
  <c r="AA113"/>
  <c r="AA112"/>
  <c r="AA148"/>
  <c r="AA108"/>
  <c r="AA104"/>
  <c r="AA107"/>
  <c r="AA147"/>
  <c r="AA105"/>
  <c r="AA114"/>
  <c r="AA101"/>
  <c r="AA102"/>
  <c r="AA111"/>
  <c r="AA103"/>
  <c r="AA98"/>
  <c r="AA89"/>
  <c r="AA91"/>
  <c r="AA100"/>
  <c r="AA97"/>
  <c r="AA96"/>
  <c r="AA80"/>
  <c r="AA81"/>
  <c r="AA90"/>
  <c r="AA95"/>
  <c r="AA88"/>
  <c r="AA84"/>
  <c r="AA106"/>
  <c r="AA92"/>
  <c r="AA87"/>
  <c r="AA145"/>
  <c r="AA85"/>
  <c r="AA79"/>
  <c r="AA70"/>
  <c r="AA82"/>
  <c r="AA78"/>
  <c r="AA69"/>
  <c r="AA72"/>
  <c r="AA83"/>
  <c r="AA76"/>
  <c r="AA144"/>
  <c r="AA73"/>
  <c r="AA75"/>
  <c r="AA74"/>
  <c r="AA63"/>
  <c r="AA71"/>
  <c r="AA67"/>
  <c r="AA62"/>
  <c r="AA53"/>
  <c r="AA68"/>
  <c r="AA64"/>
  <c r="AA61"/>
  <c r="AA57"/>
  <c r="AA56"/>
  <c r="AA66"/>
  <c r="AA65"/>
  <c r="AA60"/>
  <c r="AA59"/>
  <c r="AA58"/>
  <c r="AA48"/>
  <c r="AA52"/>
  <c r="AA50"/>
  <c r="AA51"/>
  <c r="AA49"/>
  <c r="AA47"/>
  <c r="AA46"/>
  <c r="AA55"/>
  <c r="AA41"/>
  <c r="AA40"/>
  <c r="AA39"/>
  <c r="AA38"/>
  <c r="AA37"/>
  <c r="AA36"/>
  <c r="AA54"/>
  <c r="AA35"/>
  <c r="AA32"/>
  <c r="AA44"/>
  <c r="AA43"/>
  <c r="AA42"/>
  <c r="AA45"/>
  <c r="AA33"/>
  <c r="AA34"/>
  <c r="AA31"/>
  <c r="AA30"/>
  <c r="AA28"/>
  <c r="AA26"/>
  <c r="AA25"/>
  <c r="AA29"/>
  <c r="AA24"/>
  <c r="AA23"/>
  <c r="AA21"/>
  <c r="AA22"/>
  <c r="AA20"/>
  <c r="AA27"/>
  <c r="AA19"/>
  <c r="AA16"/>
  <c r="AA17"/>
  <c r="AA18"/>
  <c r="AA15"/>
  <c r="AA14"/>
  <c r="AA13"/>
  <c r="AA12"/>
  <c r="AA11"/>
  <c r="AA9"/>
  <c r="AA10"/>
  <c r="AA6"/>
  <c r="AA8"/>
  <c r="AA7"/>
  <c r="AA5"/>
  <c r="AA4"/>
  <c r="AA3"/>
  <c r="B44" i="14"/>
  <c r="B43"/>
  <c r="B40"/>
  <c r="B39"/>
  <c r="B38"/>
  <c r="B35"/>
  <c r="B32"/>
  <c r="B31"/>
  <c r="B29"/>
  <c r="X149" i="1"/>
  <c r="X124"/>
  <c r="X122"/>
  <c r="B20" i="14"/>
  <c r="B13" l="1"/>
  <c r="W149" i="1"/>
  <c r="W124"/>
  <c r="B30" i="14" s="1"/>
  <c r="W122" i="1"/>
  <c r="W115"/>
  <c r="W116"/>
  <c r="W121"/>
  <c r="W110"/>
  <c r="W118"/>
  <c r="W113"/>
  <c r="W112"/>
  <c r="W148"/>
  <c r="W108"/>
  <c r="W104"/>
  <c r="W107"/>
  <c r="W147"/>
  <c r="W105"/>
  <c r="W114"/>
  <c r="W101"/>
  <c r="W102"/>
  <c r="W111"/>
  <c r="W146"/>
  <c r="W103"/>
  <c r="W98"/>
  <c r="W89"/>
  <c r="W91"/>
  <c r="W100"/>
  <c r="W97"/>
  <c r="W96"/>
  <c r="W80"/>
  <c r="W81"/>
  <c r="W90"/>
  <c r="W95"/>
  <c r="W88"/>
  <c r="W84"/>
  <c r="W106"/>
  <c r="B36" i="14" s="1"/>
  <c r="W92" i="1"/>
  <c r="W87"/>
  <c r="W145"/>
  <c r="W85"/>
  <c r="W79"/>
  <c r="W70"/>
  <c r="W82"/>
  <c r="W78"/>
  <c r="B51" i="14" s="1"/>
  <c r="W77" i="1"/>
  <c r="W69"/>
  <c r="W72"/>
  <c r="W83"/>
  <c r="W76"/>
  <c r="W144"/>
  <c r="B45" i="14" s="1"/>
  <c r="W73" i="1"/>
  <c r="W75"/>
  <c r="W74"/>
  <c r="W63"/>
  <c r="W71"/>
  <c r="W67"/>
  <c r="W62"/>
  <c r="W53"/>
  <c r="W68"/>
  <c r="W64"/>
  <c r="W61"/>
  <c r="W57"/>
  <c r="W56"/>
  <c r="W66"/>
  <c r="W65"/>
  <c r="W60"/>
  <c r="W59"/>
  <c r="W58"/>
  <c r="W48"/>
  <c r="W52"/>
  <c r="W50"/>
  <c r="W51"/>
  <c r="W49"/>
  <c r="W47"/>
  <c r="W46"/>
  <c r="W55"/>
  <c r="W41"/>
  <c r="W40"/>
  <c r="W39"/>
  <c r="W38"/>
  <c r="W37"/>
  <c r="W36"/>
  <c r="W54"/>
  <c r="W35"/>
  <c r="W32"/>
  <c r="W44"/>
  <c r="W43"/>
  <c r="W42"/>
  <c r="W45"/>
  <c r="W33"/>
  <c r="W34"/>
  <c r="W31"/>
  <c r="W30"/>
  <c r="W28"/>
  <c r="W26"/>
  <c r="W25"/>
  <c r="W29"/>
  <c r="W24"/>
  <c r="W23"/>
  <c r="W21"/>
  <c r="W22"/>
  <c r="W20"/>
  <c r="W27"/>
  <c r="W19"/>
  <c r="W16"/>
  <c r="W17"/>
  <c r="W18"/>
  <c r="W15"/>
  <c r="W14"/>
  <c r="B50" i="14" s="1"/>
  <c r="W13" i="1"/>
  <c r="W12"/>
  <c r="W11"/>
  <c r="W9"/>
  <c r="W10"/>
  <c r="W6"/>
  <c r="W8"/>
  <c r="W7"/>
  <c r="W3"/>
  <c r="B46" i="14" l="1"/>
  <c r="B41"/>
  <c r="B26"/>
  <c r="B25"/>
  <c r="B33"/>
  <c r="B42"/>
  <c r="B48"/>
  <c r="B28"/>
  <c r="B47"/>
  <c r="B49"/>
  <c r="B37"/>
  <c r="B34"/>
  <c r="B6"/>
  <c r="B7"/>
  <c r="B11"/>
  <c r="B14"/>
  <c r="B8"/>
  <c r="B12"/>
  <c r="B9"/>
  <c r="X115" i="1"/>
  <c r="X116"/>
  <c r="X121"/>
  <c r="X110"/>
  <c r="X118"/>
  <c r="X113"/>
  <c r="X112"/>
  <c r="X148"/>
  <c r="X108"/>
  <c r="X104"/>
  <c r="X107"/>
  <c r="X147"/>
  <c r="X105"/>
  <c r="X114"/>
  <c r="X101"/>
  <c r="X102"/>
  <c r="X111"/>
  <c r="X146"/>
  <c r="X103"/>
  <c r="X98"/>
  <c r="X89"/>
  <c r="X91"/>
  <c r="X100"/>
  <c r="X97"/>
  <c r="X96"/>
  <c r="X80"/>
  <c r="X81"/>
  <c r="X90"/>
  <c r="X95"/>
  <c r="X88"/>
  <c r="X84"/>
  <c r="X106"/>
  <c r="X92"/>
  <c r="X87"/>
  <c r="X145"/>
  <c r="X85"/>
  <c r="X79"/>
  <c r="X70"/>
  <c r="X82"/>
  <c r="X78"/>
  <c r="X77"/>
  <c r="X69"/>
  <c r="X72"/>
  <c r="X83"/>
  <c r="X76"/>
  <c r="X144"/>
  <c r="X73"/>
  <c r="X75"/>
  <c r="X74"/>
  <c r="X63"/>
  <c r="X71"/>
  <c r="X67"/>
  <c r="X62"/>
  <c r="X53"/>
  <c r="X68"/>
  <c r="X64"/>
  <c r="X61"/>
  <c r="X57"/>
  <c r="X56"/>
  <c r="X66"/>
  <c r="X65"/>
  <c r="X60"/>
  <c r="X59"/>
  <c r="X58"/>
  <c r="X48"/>
  <c r="X52"/>
  <c r="X50"/>
  <c r="X51"/>
  <c r="X49"/>
  <c r="X47"/>
  <c r="X46"/>
  <c r="X55"/>
  <c r="X41"/>
  <c r="X40"/>
  <c r="X39"/>
  <c r="X38"/>
  <c r="X37"/>
  <c r="X36"/>
  <c r="X54"/>
  <c r="X35"/>
  <c r="X32"/>
  <c r="X44"/>
  <c r="X43"/>
  <c r="X42"/>
  <c r="X45"/>
  <c r="X33"/>
  <c r="X34"/>
  <c r="X31"/>
  <c r="X30"/>
  <c r="X28"/>
  <c r="X26"/>
  <c r="X25"/>
  <c r="X29"/>
  <c r="X24"/>
  <c r="X23"/>
  <c r="X21"/>
  <c r="X22"/>
  <c r="X20"/>
  <c r="X27"/>
  <c r="X19"/>
  <c r="X16"/>
  <c r="X17"/>
  <c r="X18"/>
  <c r="X15"/>
  <c r="X14"/>
  <c r="X13"/>
  <c r="X12"/>
  <c r="X11"/>
  <c r="X9"/>
  <c r="X10"/>
  <c r="X6"/>
  <c r="X8"/>
  <c r="X7"/>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<sst xmlns="http://schemas.openxmlformats.org/spreadsheetml/2006/main" count="2256" uniqueCount="1346">
  <si>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</si>
  <si>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</si>
  <si>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</si>
  <si>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</si>
  <si>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</si>
  <si>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</si>
  <si>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</si>
  <si>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</si>
  <si>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</si>
  <si>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</si>
  <si>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</si>
  <si>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</si>
  <si>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</si>
  <si>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</si>
  <si>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</si>
  <si>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</si>
  <si>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</si>
  <si>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</si>
  <si>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</si>
  <si>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</si>
  <si>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</si>
  <si>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</si>
  <si>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</si>
  <si>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</si>
  <si>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</si>
  <si>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</si>
  <si>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</si>
  <si>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</si>
  <si>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</si>
  <si>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</si>
  <si>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</si>
  <si>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</si>
  <si>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</si>
  <si>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</si>
  <si>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</si>
  <si>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</si>
  <si>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</si>
  <si>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</si>
  <si>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</si>
  <si>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</si>
  <si>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</si>
  <si>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</si>
  <si>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</si>
  <si>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</si>
  <si>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</si>
  <si>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</si>
  <si>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</si>
  <si>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</si>
  <si>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</si>
  <si>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</si>
  <si>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</si>
  <si>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</si>
  <si>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</si>
  <si>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</si>
  <si>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</si>
  <si>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</si>
  <si>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</si>
  <si>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</si>
  <si>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</si>
  <si>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</si>
  <si>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</si>
  <si>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</si>
  <si>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</si>
  <si>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</si>
  <si>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</si>
  <si>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</si>
  <si>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</si>
  <si>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</si>
  <si>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</si>
  <si>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</si>
  <si>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</si>
  <si>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</si>
  <si>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</si>
  <si>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</si>
  <si>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</si>
  <si>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</si>
  <si>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</si>
  <si>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</si>
  <si>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</si>
  <si>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</si>
  <si>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</si>
  <si>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</si>
  <si>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</si>
  <si>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</si>
  <si>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</si>
  <si>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</si>
  <si>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</si>
  <si>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</si>
  <si>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</si>
  <si>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</si>
  <si>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</si>
  <si>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</si>
  <si>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</si>
  <si>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</si>
  <si>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</si>
  <si>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</si>
  <si>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</si>
  <si>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</si>
  <si>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</si>
  <si>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</si>
  <si>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</si>
  <si>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</si>
  <si>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</si>
  <si>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</si>
  <si>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</si>
  <si>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</si>
  <si>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</si>
  <si>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</si>
  <si>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</si>
  <si>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</si>
  <si>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</si>
  <si>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</si>
  <si>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</si>
  <si>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</si>
  <si>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</si>
  <si>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</si>
  <si>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</si>
  <si>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</si>
  <si>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</si>
  <si>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</si>
  <si>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</si>
  <si>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</si>
  <si>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</si>
  <si>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</si>
  <si>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</si>
  <si>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</si>
  <si>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</si>
  <si>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</si>
  <si>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</si>
  <si>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</si>
  <si>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</si>
  <si>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</si>
  <si>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</si>
  <si>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</si>
  <si>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</si>
  <si>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</si>
  <si>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</si>
  <si>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</si>
  <si>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</si>
  <si>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</si>
  <si>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</si>
  <si>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</si>
  <si>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</si>
  <si>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</si>
  <si>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</si>
  <si>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</si>
  <si>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</si>
  <si>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</si>
  <si>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</si>
  <si>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</si>
  <si>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</si>
  <si>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</si>
  <si>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</si>
  <si>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</si>
  <si>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</si>
  <si>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</si>
  <si>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</si>
  <si>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</si>
  <si>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</si>
  <si>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</si>
  <si>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</si>
  <si>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</si>
  <si>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</si>
  <si>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</si>
  <si>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</si>
  <si>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</si>
  <si>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</si>
  <si>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</si>
  <si>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</si>
  <si>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</si>
  <si>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</si>
  <si>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</si>
  <si>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</si>
  <si>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</si>
  <si>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</si>
  <si>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</si>
  <si>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</si>
  <si>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</si>
  <si>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</si>
  <si>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</si>
  <si>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</si>
  <si>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</si>
  <si>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</si>
  <si>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</si>
  <si>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</si>
  <si>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</si>
  <si>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</si>
  <si>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</si>
  <si>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</si>
  <si>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</si>
  <si>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</si>
  <si>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</si>
  <si>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</si>
  <si>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</si>
  <si>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</si>
  <si>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</si>
  <si>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</si>
  <si>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</si>
  <si>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</si>
  <si>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</si>
  <si>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</si>
  <si>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</si>
  <si>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</si>
  <si>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</si>
  <si>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</si>
  <si>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</si>
  <si>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</si>
  <si>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</si>
  <si>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</si>
  <si>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</si>
  <si>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</si>
  <si>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</si>
  <si>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</si>
  <si>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</si>
  <si>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</si>
  <si>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</si>
  <si>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</si>
  <si>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</si>
  <si>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</si>
  <si>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</si>
  <si>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</si>
  <si>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</si>
  <si>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</si>
  <si>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</si>
  <si>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</si>
  <si>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</si>
  <si>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</si>
  <si>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</si>
  <si>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</si>
  <si>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</si>
  <si>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</si>
  <si>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</si>
  <si>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</si>
  <si>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</si>
  <si>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</si>
  <si>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</si>
  <si>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</si>
  <si>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</si>
  <si>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</si>
  <si>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</si>
  <si>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</si>
  <si>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</si>
  <si>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</si>
  <si>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</si>
  <si>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</si>
  <si>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</si>
  <si>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</si>
  <si>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</si>
  <si>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</si>
  <si>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</si>
  <si>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</si>
  <si>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</si>
  <si>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</si>
  <si>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</si>
  <si>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</si>
  <si>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</si>
  <si>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</si>
  <si>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</si>
  <si>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</si>
  <si>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</si>
  <si>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</si>
  <si>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</si>
  <si>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</si>
  <si>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</si>
  <si>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</si>
  <si>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</si>
  <si>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</si>
  <si>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</si>
  <si>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</si>
  <si>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</si>
  <si>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</si>
  <si>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</si>
  <si>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</si>
  <si>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</si>
  <si>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</si>
  <si>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</si>
  <si>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</si>
  <si>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</si>
  <si>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</si>
  <si>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</si>
  <si>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</si>
  <si>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</si>
  <si>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</si>
  <si>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</si>
  <si>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</si>
  <si>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</si>
  <si>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</si>
  <si>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</si>
  <si>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</si>
  <si>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</si>
  <si>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</si>
  <si>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</si>
  <si>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</si>
  <si>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</si>
  <si>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</si>
  <si>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</si>
  <si>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</si>
  <si>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</si>
  <si>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</si>
  <si>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</si>
  <si>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</si>
  <si>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</si>
  <si>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</si>
  <si>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</si>
  <si>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</si>
  <si>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</si>
  <si>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</si>
  <si>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</si>
  <si>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</si>
  <si>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</si>
  <si>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</si>
  <si>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</si>
  <si>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</si>
  <si>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</si>
  <si>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</si>
  <si>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</si>
  <si>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</si>
  <si>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</si>
  <si>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</si>
  <si>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</si>
  <si>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</si>
  <si>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</si>
  <si>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</si>
  <si>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</si>
  <si>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</si>
  <si>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</si>
  <si>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</si>
  <si>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</si>
  <si>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</si>
  <si>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</si>
  <si>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</si>
  <si>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</si>
  <si>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</si>
  <si>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</si>
  <si>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</si>
  <si>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</si>
  <si>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</si>
  <si>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</si>
  <si>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</si>
  <si>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</si>
  <si>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</si>
  <si>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</si>
  <si>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</si>
  <si>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</si>
  <si>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</si>
  <si>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</si>
  <si>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</si>
  <si>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</si>
  <si>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</si>
  <si>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</si>
  <si>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</si>
  <si>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</si>
  <si>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</si>
  <si>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</si>
  <si>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</si>
  <si>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</si>
  <si>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</si>
  <si>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</si>
  <si>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</si>
  <si>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</si>
  <si>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</si>
  <si>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</si>
  <si>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</si>
  <si>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</si>
  <si>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</si>
  <si>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</si>
  <si>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</si>
  <si>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</si>
  <si>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</si>
  <si>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</si>
  <si>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</si>
  <si>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</si>
  <si>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</si>
  <si>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</si>
  <si>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</si>
  <si>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</si>
  <si>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</si>
  <si>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</si>
  <si>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</si>
  <si>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</si>
  <si>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</si>
  <si>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</si>
  <si>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</si>
  <si>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</si>
  <si>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</si>
  <si>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</si>
  <si>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</si>
  <si>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</si>
  <si>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</si>
  <si>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</si>
  <si>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</si>
  <si>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</si>
  <si>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</si>
  <si>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</si>
  <si>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</si>
  <si>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</si>
  <si>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</si>
  <si>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</si>
  <si>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</si>
  <si>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</si>
  <si>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</si>
  <si>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</si>
  <si>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</si>
  <si>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</si>
  <si>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</si>
  <si>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</si>
  <si>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</si>
  <si>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</si>
  <si>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</si>
  <si>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</si>
  <si>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</si>
  <si>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</si>
  <si>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</si>
  <si>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</si>
  <si>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</si>
  <si>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</si>
  <si>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</si>
  <si>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</si>
  <si>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</si>
  <si>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</si>
  <si>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</si>
  <si>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</si>
  <si>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</si>
  <si>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</si>
  <si>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</si>
  <si>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</si>
  <si>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</si>
  <si>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</si>
  <si>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</si>
  <si>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</si>
  <si>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</si>
  <si>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</si>
  <si>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</si>
  <si>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</si>
  <si>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</si>
  <si>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</si>
  <si>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</si>
  <si>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</si>
  <si>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</si>
  <si>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</si>
  <si>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</si>
  <si>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</si>
  <si>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</si>
  <si>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</si>
  <si>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</si>
  <si>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</si>
  <si>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</si>
  <si>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</si>
  <si>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</si>
  <si>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</si>
  <si>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</si>
  <si>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</si>
  <si>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</si>
  <si>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</si>
  <si>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</si>
  <si>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</si>
  <si>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</si>
  <si>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</si>
  <si>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</si>
  <si>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</si>
  <si>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</si>
  <si>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</si>
  <si>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</si>
  <si>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</si>
  <si>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</si>
  <si>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</si>
  <si>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</si>
  <si>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</si>
  <si>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</si>
  <si>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</si>
  <si>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</si>
  <si>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</si>
  <si>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</si>
  <si>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</si>
  <si>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</si>
  <si>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</si>
  <si>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</si>
  <si>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</si>
  <si>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</si>
  <si>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</si>
  <si>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</si>
  <si>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</si>
  <si>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</si>
  <si>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</si>
  <si>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</si>
  <si>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</si>
  <si>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</si>
  <si>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</si>
  <si>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</si>
  <si>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</si>
  <si>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</si>
  <si>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</si>
  <si>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</si>
  <si>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</si>
  <si>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</si>
  <si>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</si>
  <si>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</si>
  <si>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</si>
  <si>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</si>
  <si>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</si>
  <si>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</si>
  <si>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</si>
  <si>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</si>
  <si>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</si>
  <si>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</si>
  <si>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</si>
  <si>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</si>
  <si>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</si>
  <si>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</si>
  <si>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</si>
  <si>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</si>
  <si>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</si>
  <si>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</si>
  <si>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</si>
  <si>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</si>
  <si>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</si>
  <si>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</si>
  <si>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</si>
  <si>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</si>
  <si>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</si>
  <si>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</si>
  <si>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</si>
  <si>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</si>
  <si>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</si>
  <si>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</si>
  <si>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</si>
  <si>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</si>
  <si>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</si>
  <si>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</si>
  <si>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</si>
  <si>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</si>
  <si>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</si>
  <si>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</si>
  <si>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</si>
  <si>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</si>
  <si>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</si>
  <si>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</si>
  <si>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</si>
  <si>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</si>
  <si>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</si>
  <si>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</si>
  <si>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</si>
  <si>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</si>
  <si>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</si>
  <si>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</si>
  <si>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</si>
  <si>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</si>
  <si>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</si>
  <si>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</si>
  <si>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</si>
  <si>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</si>
  <si>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</si>
  <si>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</si>
  <si>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</si>
  <si>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</si>
  <si>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</si>
  <si>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</si>
  <si>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</si>
  <si>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</si>
  <si>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</si>
  <si>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</si>
  <si>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</si>
  <si>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</si>
  <si>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</si>
  <si>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</si>
  <si>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</si>
  <si>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</si>
  <si>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</si>
  <si>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</si>
  <si>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</si>
  <si>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</si>
  <si>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</si>
  <si>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</si>
  <si>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</si>
  <si>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</si>
  <si>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</si>
  <si>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</si>
  <si>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</si>
  <si>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</si>
  <si>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</si>
  <si>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</si>
  <si>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</si>
  <si>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</si>
  <si>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</si>
  <si>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</si>
  <si>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</si>
  <si>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</si>
  <si>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</si>
  <si>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</si>
  <si>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</si>
  <si>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</si>
  <si>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</si>
  <si>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</si>
  <si>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</si>
  <si>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</si>
  <si>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</si>
  <si>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</si>
  <si>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</si>
  <si>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</si>
  <si>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</si>
  <si>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</si>
  <si>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</si>
  <si>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</si>
  <si>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</si>
  <si>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</si>
  <si>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</si>
  <si>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</si>
  <si>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</si>
  <si>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</si>
  <si>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</si>
  <si>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</si>
  <si>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</si>
  <si>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</si>
  <si>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</si>
  <si>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</si>
  <si>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</si>
  <si>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</si>
  <si>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</si>
  <si>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</si>
  <si>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</si>
  <si>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</si>
  <si>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</si>
  <si>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</si>
  <si>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</si>
  <si>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</si>
  <si>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</si>
  <si>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</si>
  <si>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</si>
  <si>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</si>
  <si>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</si>
  <si>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</si>
  <si>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</si>
  <si>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</si>
  <si>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</si>
  <si>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</si>
  <si>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</si>
  <si>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</si>
  <si>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</si>
  <si>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</si>
  <si>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</si>
  <si>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</si>
  <si>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</si>
  <si>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</si>
  <si>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</si>
  <si>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</si>
  <si>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</si>
  <si>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</si>
  <si>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</si>
  <si>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</si>
  <si>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</si>
  <si>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</si>
  <si>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</si>
  <si>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</si>
  <si>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</si>
  <si>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</si>
  <si>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</si>
  <si>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</si>
  <si>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</si>
  <si>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</si>
  <si>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</si>
  <si>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</si>
  <si>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</si>
  <si>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</si>
  <si>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</si>
  <si>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</si>
  <si>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</si>
  <si>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</si>
  <si>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</si>
  <si>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</si>
  <si>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</si>
  <si>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</si>
  <si>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</si>
  <si>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</si>
  <si>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</si>
  <si>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</si>
  <si>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</si>
  <si>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</si>
  <si>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</si>
  <si>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</si>
  <si>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</si>
  <si>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</si>
  <si>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</si>
  <si>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</si>
  <si>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</si>
  <si>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</si>
  <si>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</si>
  <si>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</si>
  <si>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</si>
  <si>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</si>
  <si>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</si>
  <si>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</si>
  <si>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</si>
  <si>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</si>
  <si>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</si>
  <si>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</si>
  <si>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</si>
  <si>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</si>
  <si>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</si>
  <si>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</si>
  <si>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</si>
  <si>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</si>
  <si>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</si>
  <si>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</si>
  <si>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</si>
  <si>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</si>
  <si>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</si>
  <si>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</si>
  <si>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</si>
  <si>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</si>
  <si>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</si>
  <si>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</si>
  <si>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</si>
  <si>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</si>
  <si>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</si>
  <si>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</si>
  <si>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</si>
  <si>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</si>
  <si>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</si>
  <si>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</si>
  <si>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</si>
  <si>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</si>
  <si>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</si>
  <si>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</si>
  <si>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</si>
  <si>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</si>
  <si>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</si>
  <si>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</si>
  <si>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</si>
  <si>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</si>
  <si>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</si>
  <si>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</si>
  <si>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</si>
  <si>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</si>
  <si>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</si>
  <si>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</si>
  <si>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</si>
  <si>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</si>
  <si>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</si>
  <si>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</si>
  <si>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</si>
  <si>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</si>
  <si>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</si>
  <si>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</si>
  <si>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</si>
  <si>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</si>
  <si>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</si>
  <si>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</si>
  <si>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</si>
  <si>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</si>
  <si>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</si>
  <si>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</si>
  <si>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</si>
  <si>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</si>
  <si>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</si>
  <si>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</si>
  <si>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</si>
  <si>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</si>
  <si>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</si>
  <si>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</si>
  <si>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</si>
  <si>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</si>
  <si>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</si>
  <si>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</si>
  <si>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</si>
  <si>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</si>
  <si>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</si>
  <si>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</si>
  <si>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</si>
  <si>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</si>
  <si>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</si>
  <si>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</si>
  <si>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</si>
  <si>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</si>
  <si>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</si>
  <si>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</si>
  <si>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</si>
  <si>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</si>
  <si>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</si>
  <si>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</si>
  <si>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</si>
  <si>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</si>
  <si>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</si>
  <si>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</si>
  <si>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</si>
  <si>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</si>
  <si>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</si>
  <si>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</si>
  <si>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</si>
  <si>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</si>
  <si>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</si>
  <si>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</si>
  <si>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</si>
  <si>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</si>
  <si>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</si>
  <si>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</si>
  <si>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</si>
  <si>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</si>
  <si>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</si>
  <si>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</si>
  <si>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</si>
  <si>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</si>
  <si>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</si>
  <si>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</si>
  <si>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</si>
  <si>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</si>
  <si>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</si>
  <si>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</si>
  <si>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</si>
  <si>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</si>
  <si>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</si>
  <si>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</si>
  <si>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</si>
  <si>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</si>
  <si>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</si>
  <si>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</si>
  <si>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</si>
  <si>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</si>
  <si>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</si>
  <si>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</si>
  <si>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</si>
  <si>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</si>
  <si>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</si>
  <si>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</si>
  <si>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</si>
  <si>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</si>
  <si>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</si>
  <si>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</si>
  <si>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</si>
  <si>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</si>
  <si>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</si>
  <si>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</si>
  <si>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</si>
  <si>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</si>
  <si>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</si>
  <si>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</si>
  <si>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</si>
  <si>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</si>
  <si>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</si>
  <si>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</si>
  <si>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</si>
  <si>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</si>
  <si>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</si>
  <si>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</si>
  <si>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</si>
  <si>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</si>
  <si>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</si>
  <si>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</si>
  <si>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</si>
  <si>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</si>
  <si>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</si>
  <si>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</si>
  <si>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</si>
  <si>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</si>
  <si>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</si>
  <si>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</si>
  <si>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</si>
  <si>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</si>
  <si>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</si>
  <si>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</si>
  <si>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</si>
  <si>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</si>
  <si>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</si>
  <si>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</si>
  <si>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</si>
  <si>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</si>
  <si>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</si>
  <si>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</si>
  <si>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</si>
  <si>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</si>
  <si>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</si>
  <si>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</si>
  <si>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</si>
  <si>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</si>
  <si>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</si>
  <si>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</si>
  <si>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</si>
  <si>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</si>
  <si>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</si>
  <si>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</si>
  <si>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</si>
  <si>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</si>
  <si>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</si>
  <si>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</si>
  <si>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</si>
  <si>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</si>
  <si>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</si>
  <si>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</si>
  <si>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</si>
  <si>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</si>
  <si>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</si>
  <si>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</si>
  <si>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</si>
  <si>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</si>
  <si>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</si>
  <si>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</si>
  <si>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</si>
  <si>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</si>
  <si>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</si>
  <si>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</si>
  <si>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</si>
  <si>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</si>
  <si>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</si>
  <si>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</si>
  <si>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</si>
  <si>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</si>
  <si>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</si>
  <si>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</si>
  <si>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</si>
  <si>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</si>
  <si>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</si>
  <si>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</si>
  <si>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</si>
  <si>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</si>
  <si>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</si>
  <si>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</si>
  <si>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</si>
  <si>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</si>
  <si>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</si>
  <si>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</si>
  <si>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</si>
  <si>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</si>
  <si>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</si>
  <si>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</si>
  <si>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</si>
  <si>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</si>
  <si>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</si>
  <si>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</si>
  <si>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</si>
  <si>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</si>
  <si>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</si>
  <si>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</si>
  <si>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</si>
  <si>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</si>
  <si>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</si>
  <si>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</si>
  <si>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</si>
  <si>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</si>
  <si>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</si>
  <si>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</si>
  <si>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</si>
  <si>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</si>
  <si>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</si>
  <si>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</si>
  <si>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</si>
  <si>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</si>
  <si>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</si>
  <si>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</si>
  <si>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</si>
  <si>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</si>
  <si>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</si>
  <si>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</si>
  <si>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</si>
  <si>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</si>
  <si>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</si>
  <si>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</si>
  <si>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</si>
  <si>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</si>
  <si>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</si>
  <si>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</si>
  <si>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</si>
  <si>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</si>
  <si>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</si>
  <si>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</si>
  <si>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</si>
  <si>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</si>
  <si>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</si>
  <si>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</si>
  <si>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</si>
  <si>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</si>
  <si>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</si>
  <si>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</si>
  <si>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</si>
  <si>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</si>
  <si>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</si>
  <si>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</si>
  <si>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</si>
  <si>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</si>
  <si>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</si>
  <si>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</si>
  <si>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</si>
  <si>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</si>
  <si>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</si>
  <si>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</si>
  <si>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</si>
  <si>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</si>
  <si>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</si>
  <si>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</si>
  <si>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</si>
  <si>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</si>
  <si>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</si>
  <si>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</si>
  <si>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</si>
  <si>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</si>
  <si>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</si>
  <si>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</si>
  <si>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</si>
  <si>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</si>
  <si>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</si>
  <si>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</si>
  <si>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</si>
  <si>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</si>
  <si>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</si>
  <si>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</si>
  <si>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</si>
  <si>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</si>
  <si>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</si>
  <si>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</si>
  <si>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</si>
  <si>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</si>
  <si>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</si>
  <si>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</si>
  <si>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</si>
  <si>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</si>
  <si>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</si>
  <si>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</si>
  <si>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</si>
  <si>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</si>
  <si>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</si>
  <si>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</si>
  <si>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</si>
  <si>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</si>
  <si>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</si>
  <si>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</si>
  <si>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</si>
  <si>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</si>
  <si>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</si>
  <si>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</si>
  <si>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</si>
  <si>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</si>
  <si>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</si>
  <si>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</si>
  <si>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</si>
  <si>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</si>
  <si>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</si>
  <si>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</si>
  <si>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</si>
  <si>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</si>
  <si>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</si>
  <si>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</si>
  <si>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</si>
  <si>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</si>
  <si>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</si>
  <si>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</si>
  <si>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</si>
  <si>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</si>
  <si>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</si>
  <si>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</si>
  <si>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</si>
  <si>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</si>
  <si>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</si>
  <si>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</si>
  <si>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</si>
  <si>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</si>
  <si>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</si>
  <si>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</si>
  <si>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</si>
  <si>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</si>
  <si>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</si>
  <si>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</si>
  <si>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</si>
  <si>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</si>
  <si>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</si>
  <si>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</si>
  <si>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</si>
  <si>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</si>
  <si>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</si>
  <si>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</si>
  <si>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</si>
  <si>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</si>
  <si>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</si>
  <si>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</si>
  <si>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</si>
  <si>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</si>
  <si>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</si>
  <si>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</si>
  <si>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</si>
  <si>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</si>
  <si>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</si>
  <si>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</si>
  <si>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</si>
  <si>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</si>
  <si>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</si>
  <si>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</si>
  <si>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</si>
  <si>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</si>
  <si>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</si>
  <si>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</si>
  <si>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</si>
  <si>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</si>
  <si>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</si>
  <si>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</si>
  <si>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</si>
  <si>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</si>
  <si>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</si>
  <si>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</si>
  <si>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</si>
  <si>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</si>
  <si>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</si>
  <si>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</si>
  <si>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</si>
  <si>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</si>
  <si>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</si>
  <si>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</si>
  <si>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</si>
  <si>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</si>
  <si>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</si>
  <si>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</si>
  <si>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</si>
  <si>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</si>
  <si>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</si>
  <si>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</si>
  <si>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</si>
  <si>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</si>
  <si>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</si>
  <si>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</si>
  <si>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</si>
  <si>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</si>
  <si>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</si>
  <si>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</si>
  <si>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</si>
  <si>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</si>
  <si>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</si>
  <si>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</si>
  <si>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</si>
  <si>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</si>
  <si>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</si>
  <si>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</si>
  <si>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</si>
  <si>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</si>
  <si>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</si>
  <si>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</si>
  <si>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</si>
  <si>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</si>
  <si>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</si>
  <si>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</si>
  <si>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</si>
  <si>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</si>
  <si>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</si>
  <si>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</si>
  <si>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</si>
  <si>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</si>
  <si>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</si>
  <si>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</si>
  <si>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</si>
  <si>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</si>
  <si>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</si>
  <si>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</si>
  <si>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</si>
  <si>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</si>
  <si>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</si>
  <si>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</si>
  <si>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</si>
  <si>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</si>
  <si>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</si>
  <si>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</si>
  <si>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</si>
  <si>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</si>
  <si>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</si>
  <si>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</si>
  <si>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</si>
  <si>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</si>
  <si>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</si>
  <si>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</si>
  <si>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</si>
  <si>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</si>
  <si>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</si>
  <si>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</si>
  <si>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</si>
  <si>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</si>
  <si>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</si>
  <si>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</si>
  <si>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</si>
  <si>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</si>
  <si>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</si>
  <si>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</si>
  <si>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</si>
  <si>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</si>
  <si>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</si>
  <si>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</si>
  <si>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</si>
  <si>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</si>
  <si>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</si>
  <si>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</si>
  <si>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</si>
  <si>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</si>
  <si>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</si>
  <si>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</si>
  <si>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</si>
  <si>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</si>
  <si>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</si>
  <si>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</si>
  <si>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</si>
  <si>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</si>
  <si>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</si>
  <si>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</si>
  <si>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</si>
  <si>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</si>
  <si>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</si>
  <si>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</si>
  <si>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</si>
  <si>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</si>
  <si>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</si>
  <si>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</si>
  <si>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</si>
  <si>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</si>
  <si>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</si>
  <si>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</si>
  <si>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</si>
  <si>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</si>
  <si>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</si>
  <si>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</si>
  <si>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</si>
  <si>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</si>
  <si>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</si>
  <si>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</si>
  <si>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</si>
  <si>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</si>
  <si>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</si>
  <si>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</si>
  <si>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</si>
  <si>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</si>
  <si>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</si>
  <si>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</si>
  <si>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</si>
  <si>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</si>
  <si>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</si>
  <si>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</si>
  <si>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</si>
  <si>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</si>
  <si>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</si>
  <si>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</si>
  <si>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</si>
  <si>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</si>
  <si>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</si>
  <si>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</si>
  <si>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</si>
  <si>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</si>
  <si>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</si>
  <si>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</si>
  <si>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</si>
  <si>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</si>
  <si>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</si>
  <si>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</si>
  <si>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</si>
  <si>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</si>
  <si>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</si>
  <si>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</si>
  <si>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</si>
  <si>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</si>
  <si>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</si>
  <si>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</si>
  <si>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</si>
  <si>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</si>
  <si>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</si>
  <si>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</si>
  <si>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</si>
  <si>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</si>
  <si>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</si>
  <si>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</si>
  <si>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</si>
  <si>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</si>
  <si>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</si>
  <si>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</si>
  <si>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</si>
  <si>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</si>
  <si>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</si>
  <si>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</si>
  <si>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</si>
  <si>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</si>
  <si>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</si>
  <si>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</si>
  <si>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</si>
  <si>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</si>
  <si>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</si>
  <si>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</si>
  <si>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</si>
  <si>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</si>
  <si>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</si>
  <si>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</si>
  <si>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</si>
  <si>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</si>
  <si>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</si>
  <si>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</si>
  <si>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Dra. Esther Lourdes Mamaní MP 3093</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</si>
  <si>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</si>
  <si>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</si>
  <si>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</si>
  <si>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</si>
  <si>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</si>
  <si>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</si>
  <si>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</si>
  <si>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</si>
  <si>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</si>
  <si>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</si>
  <si>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</si>
  <si>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</si>
  <si>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</si>
  <si>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</si>
  <si>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</si>
  <si>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</si>
  <si>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</si>
  <si>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</si>
  <si>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</si>
  <si>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</si>
  <si>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</si>
  <si>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</si>
  <si>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</si>
  <si>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</si>
  <si>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</si>
  <si>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</si>
  <si>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</si>
  <si>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</si>
  <si>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</si>
  <si>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</si>
  <si>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</si>
  <si>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</si>
  <si>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</si>
  <si>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</si>
  <si>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</si>
  <si>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</si>
  <si>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</si>
  <si>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</si>
  <si>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</si>
  <si>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Devolución me sa pupilar 07/11/2023</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</si>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</sst>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45">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0" fontId="2" fillId="0" borderId="6" xfId="0" applyNumberFormat="1" applyFont="1" applyBorder="1" applyAlignment="1">
      <alignment horizontal="left" vertical="center" wrapText="1"/>
    </xf>
    <xf numFmtId="3" fontId="0" fillId="0" borderId="6" xfId="0" applyNumberFormat="1" applyBorder="1" applyAlignment="1">
      <alignment horizontal="left" vertical="center" wrapText="1"/>
    </xf>
    <xf numFmtId="0" fontId="2" fillId="0" borderId="4" xfId="0" applyNumberFormat="1" applyFont="1" applyBorder="1" applyAlignment="1">
      <alignment horizontal="left" vertical="center" wrapText="1"/>
    </xf>
    <xf numFmtId="164" fontId="0" fillId="7" borderId="6" xfId="0" applyNumberFormat="1" applyFill="1" applyBorder="1" applyAlignment="1">
      <alignment horizontal="center" vertical="center" wrapText="1"/>
    </xf>
    <xf numFmtId="0" fontId="14" fillId="0" borderId="6" xfId="0" applyFont="1" applyBorder="1" applyAlignment="1">
      <alignment vertical="center" wrapText="1"/>
    </xf>
    <xf numFmtId="0" fontId="0" fillId="2" borderId="0" xfId="0" applyNumberFormat="1" applyFill="1" applyAlignment="1">
      <alignment horizontal="center" vertical="center" wrapText="1"/>
    </xf>
    <xf numFmtId="0" fontId="0" fillId="8" borderId="6" xfId="0" applyNumberFormat="1" applyFill="1" applyBorder="1" applyAlignment="1">
      <alignment horizontal="center" vertical="center" wrapText="1"/>
    </xf>
    <xf numFmtId="49" fontId="2" fillId="2" borderId="6" xfId="0" applyNumberFormat="1" applyFont="1" applyFill="1" applyBorder="1" applyAlignment="1">
      <alignment horizontal="center" vertical="center" wrapText="1"/>
    </xf>
    <xf numFmtId="0" fontId="2" fillId="2" borderId="2"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092" l="0.70866141732291565" r="0.70866141732291565" t="0.74803149606312092" header="0.31496062992131413" footer="0.31496062992131413"/>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8982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794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6925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78"/>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442"/>
                  <c:y val="0.35111261781950787"/>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2196"/>
          <c:h val="0.98333333333333328"/>
        </c:manualLayout>
      </c:layout>
      <c:pie3DChart>
        <c:varyColors val="1"/>
        <c:ser>
          <c:idx val="0"/>
          <c:order val="0"/>
          <c:explosion val="25"/>
          <c:dLbls>
            <c:dLbl>
              <c:idx val="0"/>
              <c:layout>
                <c:manualLayout>
                  <c:x val="4.3113992584026824E-2"/>
                  <c:y val="1.537517604133604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499"/>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459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36</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136" l="0.70866141732291565" r="0.70866141732291565" t="0.74803149606312136" header="0.31496062992131435" footer="0.31496062992131435"/>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zoomScale="70" zoomScaleNormal="70" zoomScaleSheetLayoutView="55" workbookViewId="0">
      <pane ySplit="2" topLeftCell="A153" activePane="bottomLeft" state="frozen"/>
      <selection pane="bottomLeft" activeCell="A158" sqref="A158"/>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155</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W34" ca="1" si="0">IF(R3&lt;=TODAY(),"SI","NO")</f>
        <v>SI</v>
      </c>
      <c r="X3" s="23" t="str">
        <f t="shared" ref="X3:X34"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ca="1" si="0"/>
        <v>SI</v>
      </c>
      <c r="X4" s="23" t="str">
        <f t="shared" si="1"/>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0"/>
        <v>SI</v>
      </c>
      <c r="X5" s="23" t="str">
        <f t="shared" si="1"/>
        <v>DIANOSOL</v>
      </c>
      <c r="Y5" s="58" t="s">
        <v>994</v>
      </c>
      <c r="Z5" s="121" t="s">
        <v>1018</v>
      </c>
      <c r="AA5" s="121" t="str">
        <f>IF(Z5&lt;&gt;"",VLOOKUP($Z5,Resultados!$A$1:$B$49,2,FALSE),"")</f>
        <v>Recursos Denegados</v>
      </c>
    </row>
    <row r="6" spans="1:32" ht="63.75">
      <c r="A6" s="43">
        <v>6</v>
      </c>
      <c r="B6" s="36">
        <v>45037</v>
      </c>
      <c r="C6" s="35">
        <v>0.54166666666666663</v>
      </c>
      <c r="D6" s="40" t="s">
        <v>106</v>
      </c>
      <c r="E6" s="6" t="s">
        <v>116</v>
      </c>
      <c r="F6" s="38" t="s">
        <v>128</v>
      </c>
      <c r="G6" s="57">
        <v>37745789</v>
      </c>
      <c r="H6" s="37" t="s">
        <v>129</v>
      </c>
      <c r="I6" s="37" t="s">
        <v>130</v>
      </c>
      <c r="J6" s="41" t="s">
        <v>163</v>
      </c>
      <c r="K6" s="54">
        <v>44328616</v>
      </c>
      <c r="L6" s="234" t="s">
        <v>164</v>
      </c>
      <c r="M6" s="40" t="s">
        <v>80</v>
      </c>
      <c r="N6" s="40"/>
      <c r="O6" s="40"/>
      <c r="P6" s="40" t="s">
        <v>13</v>
      </c>
      <c r="Q6" s="40" t="s">
        <v>132</v>
      </c>
      <c r="R6" s="36">
        <v>45050</v>
      </c>
      <c r="S6" s="178">
        <v>0.45833333333333331</v>
      </c>
      <c r="T6" s="55" t="s">
        <v>165</v>
      </c>
      <c r="U6" s="41" t="s">
        <v>1204</v>
      </c>
      <c r="V6" s="56" t="s">
        <v>193</v>
      </c>
      <c r="W6" s="34" t="str">
        <f t="shared" ca="1" si="0"/>
        <v>SI</v>
      </c>
      <c r="X6" s="23" t="str">
        <f t="shared" si="1"/>
        <v>DIANOSOL</v>
      </c>
      <c r="Y6" s="58" t="s">
        <v>994</v>
      </c>
      <c r="Z6" s="121" t="s">
        <v>1062</v>
      </c>
      <c r="AA6" s="121" t="str">
        <f>IF(Z6&lt;&gt;"",VLOOKUP($Z6,Resultados!$A$1:$B$49,2,FALSE),"")</f>
        <v>Recursos donde se hizo lugar</v>
      </c>
    </row>
    <row r="7" spans="1:32" ht="105">
      <c r="A7" s="42">
        <v>4</v>
      </c>
      <c r="B7" s="36">
        <v>45033</v>
      </c>
      <c r="C7" s="35">
        <v>0.54166666666666663</v>
      </c>
      <c r="D7" s="6" t="s">
        <v>104</v>
      </c>
      <c r="E7" s="6" t="s">
        <v>115</v>
      </c>
      <c r="F7" s="38" t="s">
        <v>161</v>
      </c>
      <c r="G7" s="57">
        <v>13272223</v>
      </c>
      <c r="H7" s="37" t="s">
        <v>162</v>
      </c>
      <c r="I7" s="37" t="s">
        <v>127</v>
      </c>
      <c r="J7" s="52" t="s">
        <v>156</v>
      </c>
      <c r="K7" s="52" t="s">
        <v>157</v>
      </c>
      <c r="L7" s="177" t="s">
        <v>158</v>
      </c>
      <c r="M7" s="6" t="s">
        <v>68</v>
      </c>
      <c r="N7" s="6"/>
      <c r="O7" s="6"/>
      <c r="P7" s="52" t="s">
        <v>38</v>
      </c>
      <c r="Q7" s="6" t="s">
        <v>132</v>
      </c>
      <c r="R7" s="36">
        <v>45051</v>
      </c>
      <c r="S7" s="178">
        <v>0.375</v>
      </c>
      <c r="T7" s="36" t="s">
        <v>901</v>
      </c>
      <c r="U7" s="212" t="s">
        <v>1205</v>
      </c>
      <c r="V7" s="56" t="s">
        <v>166</v>
      </c>
      <c r="W7" s="34" t="str">
        <f t="shared" ca="1" si="0"/>
        <v>SI</v>
      </c>
      <c r="X7" s="23" t="str">
        <f t="shared" si="1"/>
        <v>DIANOSOL</v>
      </c>
      <c r="Y7" s="58" t="s">
        <v>994</v>
      </c>
      <c r="Z7" s="121" t="s">
        <v>1028</v>
      </c>
      <c r="AA7" s="121" t="str">
        <f>IF(Z7&lt;&gt;"",VLOOKUP($Z7,Resultados!$A$1:$B$49,2,FALSE),"")</f>
        <v>Recursos rechazados</v>
      </c>
    </row>
    <row r="8" spans="1:32" ht="105">
      <c r="A8" s="42">
        <v>5</v>
      </c>
      <c r="B8" s="36">
        <v>45033</v>
      </c>
      <c r="C8" s="35">
        <v>0.54166666666666663</v>
      </c>
      <c r="D8" s="6" t="s">
        <v>104</v>
      </c>
      <c r="E8" s="6" t="s">
        <v>115</v>
      </c>
      <c r="F8" s="37" t="s">
        <v>125</v>
      </c>
      <c r="G8" s="57">
        <v>35044071</v>
      </c>
      <c r="H8" s="37" t="s">
        <v>126</v>
      </c>
      <c r="I8" s="37" t="s">
        <v>127</v>
      </c>
      <c r="J8" s="52" t="s">
        <v>156</v>
      </c>
      <c r="K8" s="52" t="s">
        <v>157</v>
      </c>
      <c r="L8" s="52" t="s">
        <v>158</v>
      </c>
      <c r="M8" s="6" t="s">
        <v>159</v>
      </c>
      <c r="N8" s="6"/>
      <c r="O8" s="6"/>
      <c r="P8" s="6" t="s">
        <v>38</v>
      </c>
      <c r="Q8" s="6" t="s">
        <v>132</v>
      </c>
      <c r="R8" s="36">
        <v>45051</v>
      </c>
      <c r="S8" s="178">
        <v>0.375</v>
      </c>
      <c r="T8" s="36" t="s">
        <v>901</v>
      </c>
      <c r="U8" s="37" t="s">
        <v>1097</v>
      </c>
      <c r="V8" s="6" t="s">
        <v>194</v>
      </c>
      <c r="W8" s="34" t="str">
        <f t="shared" ca="1" si="0"/>
        <v>SI</v>
      </c>
      <c r="X8" s="23" t="str">
        <f t="shared" si="1"/>
        <v>DIANOSOL</v>
      </c>
      <c r="Y8" s="58" t="s">
        <v>994</v>
      </c>
      <c r="Z8" s="121" t="s">
        <v>1028</v>
      </c>
      <c r="AA8" s="121" t="str">
        <f>IF(Z8&lt;&gt;"",VLOOKUP($Z8,Resultados!$A$1:$B$49,2,FALSE),"")</f>
        <v>Recursos rechazados</v>
      </c>
    </row>
    <row r="9" spans="1:32" ht="39.950000000000003" customHeight="1">
      <c r="A9" s="42">
        <v>8</v>
      </c>
      <c r="B9" s="36">
        <v>45056</v>
      </c>
      <c r="C9" s="35">
        <v>0.54166666666666663</v>
      </c>
      <c r="D9" s="6" t="s">
        <v>107</v>
      </c>
      <c r="E9" s="6" t="s">
        <v>176</v>
      </c>
      <c r="F9" s="59" t="s">
        <v>177</v>
      </c>
      <c r="G9" s="6" t="s">
        <v>178</v>
      </c>
      <c r="H9" s="6" t="s">
        <v>180</v>
      </c>
      <c r="I9" s="37" t="s">
        <v>181</v>
      </c>
      <c r="J9" s="37" t="s">
        <v>182</v>
      </c>
      <c r="K9" s="39">
        <v>44500177</v>
      </c>
      <c r="L9" s="37" t="s">
        <v>183</v>
      </c>
      <c r="M9" s="6" t="s">
        <v>184</v>
      </c>
      <c r="N9" s="6"/>
      <c r="O9" s="6"/>
      <c r="P9" s="6" t="s">
        <v>45</v>
      </c>
      <c r="Q9" s="6" t="s">
        <v>136</v>
      </c>
      <c r="R9" s="36">
        <v>45065</v>
      </c>
      <c r="S9" s="178">
        <v>0.375</v>
      </c>
      <c r="T9" s="36" t="s">
        <v>192</v>
      </c>
      <c r="U9" s="212" t="s">
        <v>1074</v>
      </c>
      <c r="V9" s="6" t="s">
        <v>202</v>
      </c>
      <c r="W9" s="34" t="str">
        <f t="shared" ca="1" si="0"/>
        <v>SI</v>
      </c>
      <c r="X9" s="23" t="str">
        <f t="shared" si="1"/>
        <v>DIANOSOL</v>
      </c>
      <c r="Y9" s="58" t="s">
        <v>994</v>
      </c>
      <c r="Z9" s="121" t="s">
        <v>1019</v>
      </c>
      <c r="AA9" s="121" t="str">
        <f>IF(Z9&lt;&gt;"",VLOOKUP($Z9,Resultados!$A$1:$B$49,2,FALSE),"")</f>
        <v>Recursos donde se hizo lugar</v>
      </c>
    </row>
    <row r="10" spans="1:32" ht="38.25">
      <c r="A10" s="6">
        <v>7</v>
      </c>
      <c r="B10" s="56">
        <v>45056</v>
      </c>
      <c r="C10" s="35">
        <v>0.5</v>
      </c>
      <c r="D10" s="6" t="s">
        <v>106</v>
      </c>
      <c r="E10" s="6" t="s">
        <v>167</v>
      </c>
      <c r="F10" s="38" t="s">
        <v>168</v>
      </c>
      <c r="G10" s="57">
        <v>43950336</v>
      </c>
      <c r="H10" s="6" t="s">
        <v>169</v>
      </c>
      <c r="I10" s="37" t="s">
        <v>170</v>
      </c>
      <c r="J10" s="37" t="s">
        <v>171</v>
      </c>
      <c r="K10" s="39">
        <v>42503697</v>
      </c>
      <c r="L10" s="37" t="s">
        <v>172</v>
      </c>
      <c r="M10" s="6" t="s">
        <v>173</v>
      </c>
      <c r="N10" s="6" t="s">
        <v>174</v>
      </c>
      <c r="O10" s="6"/>
      <c r="P10" s="6" t="s">
        <v>14</v>
      </c>
      <c r="Q10" s="6" t="s">
        <v>136</v>
      </c>
      <c r="R10" s="36">
        <v>45068</v>
      </c>
      <c r="S10" s="178">
        <v>0.375</v>
      </c>
      <c r="T10" s="6" t="s">
        <v>902</v>
      </c>
      <c r="U10" s="212" t="s">
        <v>1061</v>
      </c>
      <c r="V10" s="6" t="s">
        <v>193</v>
      </c>
      <c r="W10" s="34" t="str">
        <f t="shared" ca="1" si="0"/>
        <v>SI</v>
      </c>
      <c r="X10" s="23" t="str">
        <f t="shared" si="1"/>
        <v>DIANOSOL</v>
      </c>
      <c r="Y10" s="58" t="s">
        <v>994</v>
      </c>
      <c r="Z10" s="121" t="s">
        <v>1018</v>
      </c>
      <c r="AA10" s="121" t="str">
        <f>IF(Z10&lt;&gt;"",VLOOKUP($Z10,Resultados!$A$1:$B$49,2,FALSE),"")</f>
        <v>Recursos Denegados</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0"/>
        <v>SI</v>
      </c>
      <c r="X11" s="23" t="str">
        <f t="shared" si="1"/>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0"/>
        <v>SI</v>
      </c>
      <c r="X12" s="23" t="str">
        <f t="shared" si="1"/>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0"/>
        <v>SI</v>
      </c>
      <c r="X13" s="23" t="str">
        <f t="shared" si="1"/>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0"/>
        <v>SI</v>
      </c>
      <c r="X14" s="23" t="str">
        <f t="shared" si="1"/>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0"/>
        <v>SI</v>
      </c>
      <c r="X15" s="23" t="str">
        <f t="shared" si="1"/>
        <v>DIANOSOL</v>
      </c>
      <c r="Y15" s="58" t="s">
        <v>994</v>
      </c>
      <c r="Z15" s="121" t="s">
        <v>1042</v>
      </c>
      <c r="AA15" s="121" t="str">
        <f>IF(Z15&lt;&gt;"",VLOOKUP($Z15,Resultados!$A$1:$B$49,2,FALSE),"")</f>
        <v>Recursos Abstractos</v>
      </c>
    </row>
    <row r="16" spans="1:32" ht="60">
      <c r="A16" s="42">
        <v>16</v>
      </c>
      <c r="B16" s="36">
        <v>45105</v>
      </c>
      <c r="C16" s="35">
        <v>0.54166666666666663</v>
      </c>
      <c r="D16" s="6" t="s">
        <v>242</v>
      </c>
      <c r="E16" s="6" t="s">
        <v>243</v>
      </c>
      <c r="F16" s="59" t="s">
        <v>244</v>
      </c>
      <c r="G16" s="57">
        <v>32242314</v>
      </c>
      <c r="H16" s="6"/>
      <c r="I16" s="61" t="s">
        <v>245</v>
      </c>
      <c r="J16" s="61"/>
      <c r="K16" s="61"/>
      <c r="L16" s="61"/>
      <c r="M16" s="6" t="s">
        <v>246</v>
      </c>
      <c r="N16" s="6"/>
      <c r="O16" s="6"/>
      <c r="P16" s="6" t="s">
        <v>53</v>
      </c>
      <c r="Q16" s="6" t="s">
        <v>133</v>
      </c>
      <c r="R16" s="36">
        <v>45112</v>
      </c>
      <c r="S16" s="178">
        <v>0.39583333333333331</v>
      </c>
      <c r="T16" s="36" t="s">
        <v>192</v>
      </c>
      <c r="U16" s="212" t="s">
        <v>1079</v>
      </c>
      <c r="V16" s="56" t="s">
        <v>302</v>
      </c>
      <c r="W16" s="34" t="str">
        <f t="shared" ca="1" si="0"/>
        <v>SI</v>
      </c>
      <c r="X16" s="23" t="str">
        <f t="shared" si="1"/>
        <v>DIANOSOL</v>
      </c>
      <c r="Y16" s="58" t="s">
        <v>994</v>
      </c>
      <c r="Z16" s="121" t="s">
        <v>1019</v>
      </c>
      <c r="AA16" s="121" t="str">
        <f>IF(Z16&lt;&gt;"",VLOOKUP($Z16,Resultados!$A$1:$B$49,2,FALSE),"")</f>
        <v>Recursos donde se hizo lugar</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0"/>
        <v>SI</v>
      </c>
      <c r="X17" s="23" t="str">
        <f t="shared" si="1"/>
        <v>DIANOSOL</v>
      </c>
      <c r="Y17" s="58" t="s">
        <v>994</v>
      </c>
      <c r="Z17" s="121" t="s">
        <v>1018</v>
      </c>
      <c r="AA17" s="121" t="str">
        <f>IF(Z17&lt;&gt;"",VLOOKUP($Z17,Resultados!$A$1:$B$49,2,FALSE),"")</f>
        <v>Recursos Denegados</v>
      </c>
    </row>
    <row r="18" spans="1:27" ht="51">
      <c r="A18" s="42">
        <v>14</v>
      </c>
      <c r="B18" s="36">
        <v>45105</v>
      </c>
      <c r="C18" s="35">
        <v>0.54166666666666663</v>
      </c>
      <c r="D18" s="178" t="s">
        <v>104</v>
      </c>
      <c r="E18" s="6" t="s">
        <v>231</v>
      </c>
      <c r="F18" s="59" t="s">
        <v>232</v>
      </c>
      <c r="G18" s="57">
        <v>25140448</v>
      </c>
      <c r="H18" s="6" t="s">
        <v>233</v>
      </c>
      <c r="I18" s="37" t="s">
        <v>234</v>
      </c>
      <c r="J18" s="37" t="s">
        <v>235</v>
      </c>
      <c r="K18" s="39">
        <v>26953389</v>
      </c>
      <c r="L18" s="37" t="s">
        <v>236</v>
      </c>
      <c r="M18" s="6" t="s">
        <v>208</v>
      </c>
      <c r="N18" s="6"/>
      <c r="O18" s="6"/>
      <c r="P18" s="6" t="s">
        <v>216</v>
      </c>
      <c r="Q18" s="6" t="s">
        <v>132</v>
      </c>
      <c r="R18" s="36">
        <v>45113</v>
      </c>
      <c r="S18" s="178">
        <v>0.33333333333333331</v>
      </c>
      <c r="T18" s="36" t="s">
        <v>254</v>
      </c>
      <c r="U18" s="212"/>
      <c r="V18" s="6"/>
      <c r="W18" s="34" t="str">
        <f t="shared" ca="1" si="0"/>
        <v>SI</v>
      </c>
      <c r="X18" s="23" t="str">
        <f t="shared" si="1"/>
        <v>DIANOSOL</v>
      </c>
      <c r="Y18" s="58" t="s">
        <v>994</v>
      </c>
      <c r="Z18" s="121" t="s">
        <v>1018</v>
      </c>
      <c r="AA18" s="121" t="str">
        <f>IF(Z18&lt;&gt;"",VLOOKUP($Z18,Resultados!$A$1:$B$49,2,FALSE),"")</f>
        <v>Recursos Denegados</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0"/>
        <v>SI</v>
      </c>
      <c r="X19" s="23" t="str">
        <f t="shared" si="1"/>
        <v>DIANOSOL</v>
      </c>
      <c r="Y19" s="58" t="s">
        <v>994</v>
      </c>
      <c r="Z19" s="121" t="s">
        <v>1018</v>
      </c>
      <c r="AA19" s="121" t="str">
        <f>IF(Z19&lt;&gt;"",VLOOKUP($Z19,Resultados!$A$1:$B$49,2,FALSE),"")</f>
        <v>Recursos Denegados</v>
      </c>
    </row>
    <row r="20" spans="1:27" ht="38.25">
      <c r="A20" s="42">
        <v>19</v>
      </c>
      <c r="B20" s="36">
        <v>45113</v>
      </c>
      <c r="C20" s="35">
        <v>0.54166666666666663</v>
      </c>
      <c r="D20" s="6" t="s">
        <v>230</v>
      </c>
      <c r="E20" s="6" t="s">
        <v>304</v>
      </c>
      <c r="F20" s="6" t="s">
        <v>255</v>
      </c>
      <c r="G20" s="6"/>
      <c r="H20" s="22"/>
      <c r="I20" s="37">
        <v>659</v>
      </c>
      <c r="J20" s="37"/>
      <c r="K20" s="37"/>
      <c r="L20" s="37"/>
      <c r="M20" s="6" t="s">
        <v>253</v>
      </c>
      <c r="N20" s="6"/>
      <c r="O20" s="6"/>
      <c r="P20" s="6"/>
      <c r="Q20" s="6" t="s">
        <v>132</v>
      </c>
      <c r="R20" s="36">
        <v>45118</v>
      </c>
      <c r="S20" s="178">
        <v>0.39583333333333331</v>
      </c>
      <c r="T20" s="36" t="s">
        <v>192</v>
      </c>
      <c r="U20" s="213"/>
      <c r="V20" s="40"/>
      <c r="W20" s="34" t="str">
        <f t="shared" ca="1" si="0"/>
        <v>SI</v>
      </c>
      <c r="X20" s="23" t="str">
        <f t="shared" si="1"/>
        <v>DIANOSOL</v>
      </c>
      <c r="Y20" s="58" t="s">
        <v>994</v>
      </c>
      <c r="Z20" s="121" t="s">
        <v>1019</v>
      </c>
      <c r="AA20" s="121" t="str">
        <f>IF(Z20&lt;&gt;"",VLOOKUP($Z20,Resultados!$A$1:$B$49,2,FALSE),"")</f>
        <v>Recursos donde se hizo lugar</v>
      </c>
    </row>
    <row r="21" spans="1:27" ht="39.950000000000003" customHeight="1">
      <c r="A21" s="63">
        <v>21</v>
      </c>
      <c r="B21" s="60">
        <v>45113</v>
      </c>
      <c r="C21" s="183">
        <v>0.54166666666666663</v>
      </c>
      <c r="D21" s="40" t="s">
        <v>230</v>
      </c>
      <c r="E21" s="58" t="s">
        <v>306</v>
      </c>
      <c r="F21" s="58" t="s">
        <v>305</v>
      </c>
      <c r="G21" s="40"/>
      <c r="H21" s="40"/>
      <c r="I21" s="41" t="s">
        <v>261</v>
      </c>
      <c r="J21" s="41" t="s">
        <v>262</v>
      </c>
      <c r="K21" s="66">
        <v>33475416</v>
      </c>
      <c r="L21" s="41" t="s">
        <v>331</v>
      </c>
      <c r="M21" s="58" t="s">
        <v>263</v>
      </c>
      <c r="N21" s="40"/>
      <c r="O21" s="40"/>
      <c r="P21" s="40"/>
      <c r="Q21" s="58" t="s">
        <v>133</v>
      </c>
      <c r="R21" s="60">
        <v>45119</v>
      </c>
      <c r="S21" s="182">
        <v>0.4375</v>
      </c>
      <c r="T21" s="55" t="s">
        <v>883</v>
      </c>
      <c r="U21" s="213" t="s">
        <v>1047</v>
      </c>
      <c r="V21" s="58" t="s">
        <v>338</v>
      </c>
      <c r="W21" s="34" t="str">
        <f t="shared" ca="1" si="0"/>
        <v>SI</v>
      </c>
      <c r="X21" s="23" t="str">
        <f t="shared" si="1"/>
        <v>DIANOSOL</v>
      </c>
      <c r="Y21" s="58" t="s">
        <v>994</v>
      </c>
      <c r="Z21" s="121" t="s">
        <v>1018</v>
      </c>
      <c r="AA21" s="121" t="str">
        <f>IF(Z21&lt;&gt;"",VLOOKUP($Z21,Resultados!$A$1:$B$49,2,FALSE),"")</f>
        <v>Recursos Denegados</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0"/>
        <v>SI</v>
      </c>
      <c r="X22" s="23" t="str">
        <f t="shared" si="1"/>
        <v>DIANOSOL</v>
      </c>
      <c r="Y22" s="58" t="s">
        <v>994</v>
      </c>
      <c r="Z22" s="121" t="s">
        <v>1018</v>
      </c>
      <c r="AA22" s="121" t="str">
        <f>IF(Z22&lt;&gt;"",VLOOKUP($Z22,Resultados!$A$1:$B$49,2,FALSE),"")</f>
        <v>Recursos Denegados</v>
      </c>
    </row>
    <row r="23" spans="1:27" ht="51">
      <c r="A23" s="63">
        <v>22</v>
      </c>
      <c r="B23" s="60">
        <v>45114</v>
      </c>
      <c r="C23" s="64">
        <v>0.54166666666666663</v>
      </c>
      <c r="D23" s="40" t="s">
        <v>107</v>
      </c>
      <c r="E23" s="58" t="s">
        <v>308</v>
      </c>
      <c r="F23" s="58" t="s">
        <v>264</v>
      </c>
      <c r="G23" s="65">
        <v>39480631</v>
      </c>
      <c r="H23" s="58" t="s">
        <v>222</v>
      </c>
      <c r="I23" s="41" t="s">
        <v>266</v>
      </c>
      <c r="J23" s="41" t="s">
        <v>267</v>
      </c>
      <c r="K23" s="67"/>
      <c r="L23" s="41" t="s">
        <v>268</v>
      </c>
      <c r="M23" s="58" t="s">
        <v>253</v>
      </c>
      <c r="N23" s="40"/>
      <c r="O23" s="40"/>
      <c r="P23" s="40"/>
      <c r="Q23" s="58" t="s">
        <v>133</v>
      </c>
      <c r="R23" s="60">
        <v>45120</v>
      </c>
      <c r="S23" s="182">
        <v>0.41666666666666669</v>
      </c>
      <c r="T23" s="55" t="s">
        <v>906</v>
      </c>
      <c r="U23" s="213" t="s">
        <v>1092</v>
      </c>
      <c r="V23" s="58" t="s">
        <v>338</v>
      </c>
      <c r="W23" s="34" t="str">
        <f t="shared" ca="1" si="0"/>
        <v>SI</v>
      </c>
      <c r="X23" s="23" t="str">
        <f t="shared" si="1"/>
        <v>DIANOSOL</v>
      </c>
      <c r="Y23" s="58" t="s">
        <v>994</v>
      </c>
      <c r="Z23" s="121" t="s">
        <v>1019</v>
      </c>
      <c r="AA23" s="121" t="str">
        <f>IF(Z23&lt;&gt;"",VLOOKUP($Z23,Resultados!$A$1:$B$49,2,FALSE),"")</f>
        <v>Recursos donde se hizo lugar</v>
      </c>
    </row>
    <row r="24" spans="1:27" ht="51">
      <c r="A24" s="63">
        <v>23</v>
      </c>
      <c r="B24" s="60">
        <v>45114</v>
      </c>
      <c r="C24" s="64">
        <v>0.54166666666666663</v>
      </c>
      <c r="D24" s="40" t="s">
        <v>107</v>
      </c>
      <c r="E24" s="58" t="s">
        <v>308</v>
      </c>
      <c r="F24" s="58" t="s">
        <v>275</v>
      </c>
      <c r="G24" s="65">
        <v>37998705</v>
      </c>
      <c r="H24" s="58" t="s">
        <v>265</v>
      </c>
      <c r="I24" s="41" t="s">
        <v>266</v>
      </c>
      <c r="J24" s="41" t="s">
        <v>267</v>
      </c>
      <c r="K24" s="67"/>
      <c r="L24" s="41" t="s">
        <v>268</v>
      </c>
      <c r="M24" s="58" t="s">
        <v>253</v>
      </c>
      <c r="N24" s="40"/>
      <c r="O24" s="40"/>
      <c r="P24" s="40"/>
      <c r="Q24" s="58" t="s">
        <v>133</v>
      </c>
      <c r="R24" s="60">
        <v>45120</v>
      </c>
      <c r="S24" s="182">
        <v>0.41666666666666669</v>
      </c>
      <c r="T24" s="55" t="s">
        <v>907</v>
      </c>
      <c r="U24" s="213" t="s">
        <v>1092</v>
      </c>
      <c r="V24" s="6" t="s">
        <v>361</v>
      </c>
      <c r="W24" s="34" t="str">
        <f t="shared" ca="1" si="0"/>
        <v>SI</v>
      </c>
      <c r="X24" s="23" t="str">
        <f t="shared" si="1"/>
        <v>DIANOSOL</v>
      </c>
      <c r="Y24" s="58" t="s">
        <v>994</v>
      </c>
      <c r="Z24" s="121" t="s">
        <v>1019</v>
      </c>
      <c r="AA24" s="121" t="str">
        <f>IF(Z24&lt;&gt;"",VLOOKUP($Z24,Resultados!$A$1:$B$49,2,FALSE),"")</f>
        <v>Recursos donde se hizo lugar</v>
      </c>
    </row>
    <row r="25" spans="1:27" ht="51">
      <c r="A25" s="63">
        <v>25</v>
      </c>
      <c r="B25" s="60">
        <v>45114</v>
      </c>
      <c r="C25" s="64">
        <v>0.54166666666666663</v>
      </c>
      <c r="D25" s="40" t="s">
        <v>230</v>
      </c>
      <c r="E25" s="58" t="s">
        <v>276</v>
      </c>
      <c r="F25" s="40" t="s">
        <v>277</v>
      </c>
      <c r="G25" s="65">
        <v>44564776</v>
      </c>
      <c r="H25" s="40" t="s">
        <v>278</v>
      </c>
      <c r="I25" s="67" t="s">
        <v>279</v>
      </c>
      <c r="J25" s="67" t="s">
        <v>280</v>
      </c>
      <c r="K25" s="67"/>
      <c r="L25" s="67"/>
      <c r="M25" s="40" t="s">
        <v>217</v>
      </c>
      <c r="N25" s="40"/>
      <c r="O25" s="40"/>
      <c r="P25" s="40"/>
      <c r="Q25" s="40" t="s">
        <v>136</v>
      </c>
      <c r="R25" s="60">
        <v>45120</v>
      </c>
      <c r="S25" s="183">
        <v>0.45833333333333331</v>
      </c>
      <c r="T25" s="55" t="s">
        <v>192</v>
      </c>
      <c r="U25" s="212"/>
      <c r="V25" s="58" t="s">
        <v>379</v>
      </c>
      <c r="W25" s="34" t="str">
        <f t="shared" ca="1" si="0"/>
        <v>SI</v>
      </c>
      <c r="X25" s="23" t="str">
        <f t="shared" si="1"/>
        <v>DIANOSOL</v>
      </c>
      <c r="Y25" s="58" t="s">
        <v>994</v>
      </c>
      <c r="Z25" s="121" t="s">
        <v>1019</v>
      </c>
      <c r="AA25" s="121" t="str">
        <f>IF(Z25&lt;&gt;"",VLOOKUP($Z25,Resultados!$A$1:$B$49,2,FALSE),"")</f>
        <v>Recursos donde se hizo lugar</v>
      </c>
    </row>
    <row r="26" spans="1:27" ht="51">
      <c r="A26" s="63">
        <v>26</v>
      </c>
      <c r="B26" s="60">
        <v>45114</v>
      </c>
      <c r="C26" s="64">
        <v>0.54166666666666663</v>
      </c>
      <c r="D26" s="40" t="s">
        <v>230</v>
      </c>
      <c r="E26" s="40" t="s">
        <v>281</v>
      </c>
      <c r="F26" s="40" t="s">
        <v>282</v>
      </c>
      <c r="G26" s="65">
        <v>44580920</v>
      </c>
      <c r="H26" s="40" t="s">
        <v>283</v>
      </c>
      <c r="I26" s="67" t="s">
        <v>279</v>
      </c>
      <c r="J26" s="67" t="s">
        <v>280</v>
      </c>
      <c r="K26" s="67"/>
      <c r="L26" s="41" t="s">
        <v>340</v>
      </c>
      <c r="M26" s="40" t="s">
        <v>253</v>
      </c>
      <c r="N26" s="40"/>
      <c r="O26" s="40"/>
      <c r="P26" s="40"/>
      <c r="Q26" s="40" t="s">
        <v>136</v>
      </c>
      <c r="R26" s="60">
        <v>45120</v>
      </c>
      <c r="S26" s="183">
        <v>0.45833333333333331</v>
      </c>
      <c r="T26" s="55" t="s">
        <v>192</v>
      </c>
      <c r="U26" s="213" t="s">
        <v>1093</v>
      </c>
      <c r="V26" s="73" t="s">
        <v>506</v>
      </c>
      <c r="W26" s="34" t="str">
        <f t="shared" ca="1" si="0"/>
        <v>SI</v>
      </c>
      <c r="X26" s="23" t="str">
        <f t="shared" si="1"/>
        <v>DIANOSOL</v>
      </c>
      <c r="Y26" s="58" t="s">
        <v>994</v>
      </c>
      <c r="Z26" s="121" t="s">
        <v>1062</v>
      </c>
      <c r="AA26" s="121" t="str">
        <f>IF(Z26&lt;&gt;"",VLOOKUP($Z26,Resultados!$A$1:$B$49,2,FALSE),"")</f>
        <v>Recursos donde se hizo lugar</v>
      </c>
    </row>
    <row r="27" spans="1:27" ht="63.75">
      <c r="A27" s="42">
        <v>18</v>
      </c>
      <c r="B27" s="36">
        <v>45113</v>
      </c>
      <c r="C27" s="178">
        <v>0.54166666666666663</v>
      </c>
      <c r="D27" s="6" t="s">
        <v>226</v>
      </c>
      <c r="E27" s="6" t="s">
        <v>339</v>
      </c>
      <c r="F27" s="59" t="s">
        <v>299</v>
      </c>
      <c r="G27" s="57"/>
      <c r="H27" s="40"/>
      <c r="I27" s="6" t="s">
        <v>300</v>
      </c>
      <c r="J27" s="37" t="s">
        <v>301</v>
      </c>
      <c r="K27" s="39"/>
      <c r="L27" s="37"/>
      <c r="M27" s="6" t="s">
        <v>217</v>
      </c>
      <c r="N27" s="6"/>
      <c r="O27" s="6" t="s">
        <v>98</v>
      </c>
      <c r="P27" s="6"/>
      <c r="Q27" s="6" t="s">
        <v>136</v>
      </c>
      <c r="R27" s="69">
        <v>45121</v>
      </c>
      <c r="S27" s="178">
        <v>0.45833333333333331</v>
      </c>
      <c r="T27" s="36" t="s">
        <v>254</v>
      </c>
      <c r="U27" s="213" t="s">
        <v>1091</v>
      </c>
      <c r="V27" s="58" t="s">
        <v>330</v>
      </c>
      <c r="W27" s="34" t="str">
        <f t="shared" ca="1" si="0"/>
        <v>SI</v>
      </c>
      <c r="X27" s="23" t="str">
        <f t="shared" si="1"/>
        <v>DIANOSOL</v>
      </c>
      <c r="Y27" s="58" t="s">
        <v>994</v>
      </c>
      <c r="Z27" s="121" t="s">
        <v>1018</v>
      </c>
      <c r="AA27" s="121" t="str">
        <f>IF(Z27&lt;&gt;"",VLOOKUP($Z27,Resultados!$A$1:$B$49,2,FALSE),"")</f>
        <v>Recursos Denegados</v>
      </c>
    </row>
    <row r="28" spans="1:27" ht="51">
      <c r="A28" s="63">
        <v>27</v>
      </c>
      <c r="B28" s="60">
        <v>45118</v>
      </c>
      <c r="C28" s="64">
        <v>0.54166666666666663</v>
      </c>
      <c r="D28" s="40" t="s">
        <v>230</v>
      </c>
      <c r="E28" s="58" t="s">
        <v>284</v>
      </c>
      <c r="F28" s="58" t="s">
        <v>285</v>
      </c>
      <c r="G28" s="65">
        <v>37511281</v>
      </c>
      <c r="H28" s="58" t="s">
        <v>288</v>
      </c>
      <c r="I28" s="41" t="s">
        <v>289</v>
      </c>
      <c r="J28" s="41" t="s">
        <v>286</v>
      </c>
      <c r="K28" s="54">
        <v>31436584</v>
      </c>
      <c r="L28" s="41" t="s">
        <v>287</v>
      </c>
      <c r="M28" s="58" t="s">
        <v>290</v>
      </c>
      <c r="N28" s="40"/>
      <c r="O28" s="40"/>
      <c r="P28" s="40"/>
      <c r="Q28" s="58" t="s">
        <v>136</v>
      </c>
      <c r="R28" s="68">
        <v>45121</v>
      </c>
      <c r="S28" s="182">
        <v>0.47916666666666669</v>
      </c>
      <c r="T28" s="55" t="s">
        <v>908</v>
      </c>
      <c r="U28" s="214" t="s">
        <v>1081</v>
      </c>
      <c r="V28" s="72"/>
      <c r="W28" s="34" t="str">
        <f t="shared" ca="1" si="0"/>
        <v>SI</v>
      </c>
      <c r="X28" s="23" t="str">
        <f t="shared" si="1"/>
        <v>DIANOSOL</v>
      </c>
      <c r="Y28" s="58" t="s">
        <v>994</v>
      </c>
      <c r="Z28" s="121" t="s">
        <v>1062</v>
      </c>
      <c r="AA28" s="121" t="str">
        <f>IF(Z28&lt;&gt;"",VLOOKUP($Z28,Resultados!$A$1:$B$49,2,FALSE),"")</f>
        <v>Recursos donde se hizo lugar</v>
      </c>
    </row>
    <row r="29" spans="1:27" ht="51">
      <c r="A29" s="63">
        <v>24</v>
      </c>
      <c r="B29" s="60">
        <v>45114</v>
      </c>
      <c r="C29" s="64">
        <v>0.54166666666666663</v>
      </c>
      <c r="D29" s="40" t="s">
        <v>226</v>
      </c>
      <c r="E29" s="58" t="s">
        <v>309</v>
      </c>
      <c r="F29" s="58" t="s">
        <v>269</v>
      </c>
      <c r="G29" s="65">
        <v>25150658</v>
      </c>
      <c r="H29" s="58" t="s">
        <v>270</v>
      </c>
      <c r="I29" s="41" t="s">
        <v>271</v>
      </c>
      <c r="J29" s="41" t="s">
        <v>272</v>
      </c>
      <c r="K29" s="54">
        <v>43208003</v>
      </c>
      <c r="L29" s="41" t="s">
        <v>273</v>
      </c>
      <c r="M29" s="58" t="s">
        <v>274</v>
      </c>
      <c r="N29" s="40"/>
      <c r="O29" s="58" t="s">
        <v>341</v>
      </c>
      <c r="P29" s="40"/>
      <c r="Q29" s="58" t="s">
        <v>132</v>
      </c>
      <c r="R29" s="68">
        <v>45125</v>
      </c>
      <c r="S29" s="182">
        <v>0.39583333333333331</v>
      </c>
      <c r="T29" s="55" t="s">
        <v>378</v>
      </c>
      <c r="U29" s="214" t="s">
        <v>1047</v>
      </c>
      <c r="V29" s="58" t="s">
        <v>379</v>
      </c>
      <c r="W29" s="34" t="str">
        <f t="shared" ca="1" si="0"/>
        <v>SI</v>
      </c>
      <c r="X29" s="23" t="str">
        <f t="shared" si="1"/>
        <v>DIANOSOL</v>
      </c>
      <c r="Y29" s="58" t="s">
        <v>994</v>
      </c>
      <c r="Z29" s="121" t="s">
        <v>1018</v>
      </c>
      <c r="AA29" s="121" t="str">
        <f>IF(Z29&lt;&gt;"",VLOOKUP($Z29,Resultados!$A$1:$B$49,2,FALSE),"")</f>
        <v>Recursos Denegados</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0"/>
        <v>SI</v>
      </c>
      <c r="X30" s="23" t="str">
        <f t="shared" si="1"/>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0"/>
        <v>SI</v>
      </c>
      <c r="X31" s="23" t="str">
        <f t="shared" si="1"/>
        <v>DIANOSOL</v>
      </c>
      <c r="Y31" s="58" t="s">
        <v>994</v>
      </c>
      <c r="Z31" s="121" t="s">
        <v>1018</v>
      </c>
      <c r="AA31" s="121" t="str">
        <f>IF(Z31&lt;&gt;"",VLOOKUP($Z31,Resultados!$A$1:$B$49,2,FALSE),"")</f>
        <v>Recursos Denegados</v>
      </c>
    </row>
    <row r="32" spans="1:27" ht="51">
      <c r="A32" s="63">
        <v>36</v>
      </c>
      <c r="B32" s="60">
        <v>45118</v>
      </c>
      <c r="C32" s="183">
        <v>0.54166666666666663</v>
      </c>
      <c r="D32" s="40" t="s">
        <v>226</v>
      </c>
      <c r="E32" s="58" t="s">
        <v>355</v>
      </c>
      <c r="F32" s="58" t="s">
        <v>359</v>
      </c>
      <c r="G32" s="65">
        <v>36280445</v>
      </c>
      <c r="H32" s="58" t="s">
        <v>356</v>
      </c>
      <c r="I32" s="41" t="s">
        <v>357</v>
      </c>
      <c r="J32" s="41" t="s">
        <v>358</v>
      </c>
      <c r="K32" s="67"/>
      <c r="L32" s="41" t="s">
        <v>397</v>
      </c>
      <c r="M32" s="58" t="s">
        <v>360</v>
      </c>
      <c r="N32" s="58" t="s">
        <v>396</v>
      </c>
      <c r="O32" s="40"/>
      <c r="P32" s="40"/>
      <c r="Q32" s="58" t="s">
        <v>354</v>
      </c>
      <c r="R32" s="69">
        <v>45127</v>
      </c>
      <c r="S32" s="182">
        <v>0.5</v>
      </c>
      <c r="T32" s="55" t="s">
        <v>398</v>
      </c>
      <c r="U32" s="214" t="s">
        <v>1102</v>
      </c>
      <c r="V32" s="73" t="s">
        <v>561</v>
      </c>
      <c r="W32" s="34" t="str">
        <f t="shared" ca="1" si="0"/>
        <v>SI</v>
      </c>
      <c r="X32" s="23" t="str">
        <f t="shared" si="1"/>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0"/>
        <v>SI</v>
      </c>
      <c r="X33" s="23" t="str">
        <f t="shared" si="1"/>
        <v>DIANOSOL</v>
      </c>
      <c r="Y33" s="58" t="s">
        <v>994</v>
      </c>
      <c r="Z33" s="121" t="s">
        <v>1019</v>
      </c>
      <c r="AA33" s="121" t="str">
        <f>IF(Z33&lt;&gt;"",VLOOKUP($Z33,Resultados!$A$1:$B$49,2,FALSE),"")</f>
        <v>Recursos donde se hizo lugar</v>
      </c>
    </row>
    <row r="34" spans="1:27" ht="51">
      <c r="A34" s="63">
        <v>30</v>
      </c>
      <c r="B34" s="60">
        <v>45120</v>
      </c>
      <c r="C34" s="183">
        <v>0.54166666666666663</v>
      </c>
      <c r="D34" s="40" t="s">
        <v>230</v>
      </c>
      <c r="E34" s="58" t="s">
        <v>317</v>
      </c>
      <c r="F34" s="58" t="s">
        <v>318</v>
      </c>
      <c r="G34" s="40"/>
      <c r="H34" s="40"/>
      <c r="I34" s="41" t="s">
        <v>319</v>
      </c>
      <c r="J34" s="41" t="s">
        <v>320</v>
      </c>
      <c r="K34" s="67"/>
      <c r="L34" s="41" t="s">
        <v>409</v>
      </c>
      <c r="M34" s="58" t="s">
        <v>321</v>
      </c>
      <c r="N34" s="40"/>
      <c r="O34" s="58" t="s">
        <v>322</v>
      </c>
      <c r="P34" s="40"/>
      <c r="Q34" s="58" t="s">
        <v>133</v>
      </c>
      <c r="R34" s="69">
        <v>45128</v>
      </c>
      <c r="S34" s="182">
        <v>0.4375</v>
      </c>
      <c r="T34" s="55" t="s">
        <v>378</v>
      </c>
      <c r="U34" s="214" t="s">
        <v>1066</v>
      </c>
      <c r="V34" s="72"/>
      <c r="W34" s="34" t="str">
        <f t="shared" ca="1" si="0"/>
        <v>SI</v>
      </c>
      <c r="X34" s="23" t="str">
        <f t="shared" si="1"/>
        <v>DIANOSOL</v>
      </c>
      <c r="Y34" s="58" t="s">
        <v>994</v>
      </c>
      <c r="Z34" s="121" t="s">
        <v>1018</v>
      </c>
      <c r="AA34" s="121" t="str">
        <f>IF(Z34&lt;&gt;"",VLOOKUP($Z34,Resultados!$A$1:$B$49,2,FALSE),"")</f>
        <v>Recursos Denegados</v>
      </c>
    </row>
    <row r="35" spans="1:27" ht="107.25" customHeight="1">
      <c r="A35" s="70">
        <v>37</v>
      </c>
      <c r="B35" s="68">
        <v>45121</v>
      </c>
      <c r="C35" s="186">
        <v>0.54166666666666663</v>
      </c>
      <c r="D35" s="72" t="s">
        <v>242</v>
      </c>
      <c r="E35" s="73" t="s">
        <v>363</v>
      </c>
      <c r="F35" s="73" t="s">
        <v>364</v>
      </c>
      <c r="G35" s="74">
        <v>21516166</v>
      </c>
      <c r="H35" s="73" t="s">
        <v>366</v>
      </c>
      <c r="I35" s="75" t="s">
        <v>365</v>
      </c>
      <c r="J35" s="75" t="s">
        <v>432</v>
      </c>
      <c r="K35" s="76">
        <v>13778236</v>
      </c>
      <c r="L35" s="75" t="s">
        <v>431</v>
      </c>
      <c r="M35" s="73" t="s">
        <v>367</v>
      </c>
      <c r="N35" s="72"/>
      <c r="O35" s="72"/>
      <c r="P35" s="73" t="s">
        <v>368</v>
      </c>
      <c r="Q35" s="73" t="s">
        <v>369</v>
      </c>
      <c r="R35" s="69">
        <v>45132</v>
      </c>
      <c r="S35" s="191">
        <v>0.39583333333333331</v>
      </c>
      <c r="T35" s="55" t="s">
        <v>429</v>
      </c>
      <c r="U35" s="214" t="s">
        <v>1050</v>
      </c>
      <c r="V35" s="73" t="s">
        <v>562</v>
      </c>
      <c r="W35" s="34" t="str">
        <f t="shared" ref="W35:W66" ca="1" si="2">IF(R35&lt;=TODAY(),"SI","NO")</f>
        <v>SI</v>
      </c>
      <c r="X35" s="23" t="str">
        <f t="shared" ref="X35:X66" si="3">IF($X$1=R35,"DIASOL", "DIANOSOL")</f>
        <v>DIANOSOL</v>
      </c>
      <c r="Y35" s="58" t="s">
        <v>994</v>
      </c>
      <c r="Z35" s="121" t="s">
        <v>1018</v>
      </c>
      <c r="AA35" s="121" t="str">
        <f>IF(Z35&lt;&gt;"",VLOOKUP($Z35,Resultados!$A$1:$B$49,2,FALSE),"")</f>
        <v>Recursos Denegados</v>
      </c>
    </row>
    <row r="36" spans="1:27" ht="51">
      <c r="A36" s="70">
        <v>39</v>
      </c>
      <c r="B36" s="68">
        <v>45126</v>
      </c>
      <c r="C36" s="186">
        <v>0.54166666666666663</v>
      </c>
      <c r="D36" s="72" t="s">
        <v>242</v>
      </c>
      <c r="E36" s="73" t="s">
        <v>381</v>
      </c>
      <c r="F36" s="73" t="s">
        <v>382</v>
      </c>
      <c r="G36" s="74">
        <v>28050428</v>
      </c>
      <c r="H36" s="72"/>
      <c r="I36" s="75" t="s">
        <v>383</v>
      </c>
      <c r="J36" s="75" t="s">
        <v>384</v>
      </c>
      <c r="K36" s="76">
        <v>32514401</v>
      </c>
      <c r="L36" s="75" t="s">
        <v>385</v>
      </c>
      <c r="M36" s="73" t="s">
        <v>386</v>
      </c>
      <c r="N36" s="73" t="s">
        <v>443</v>
      </c>
      <c r="O36" s="72"/>
      <c r="P36" s="72"/>
      <c r="Q36" s="73" t="s">
        <v>132</v>
      </c>
      <c r="R36" s="69">
        <v>45133</v>
      </c>
      <c r="S36" s="191">
        <v>0.39583333333333331</v>
      </c>
      <c r="T36" s="69" t="s">
        <v>916</v>
      </c>
      <c r="U36" s="214" t="s">
        <v>1051</v>
      </c>
      <c r="V36" s="73" t="s">
        <v>584</v>
      </c>
      <c r="W36" s="34" t="str">
        <f t="shared" ca="1" si="2"/>
        <v>SI</v>
      </c>
      <c r="X36" s="23" t="str">
        <f t="shared" si="3"/>
        <v>DIANOSOL</v>
      </c>
      <c r="Y36" s="58" t="s">
        <v>994</v>
      </c>
      <c r="Z36" s="121" t="s">
        <v>1019</v>
      </c>
      <c r="AA36" s="121" t="str">
        <f>IF(Z36&lt;&gt;"",VLOOKUP($Z36,Resultados!$A$1:$B$49,2,FALSE),"")</f>
        <v>Recursos donde se hizo lugar</v>
      </c>
    </row>
    <row r="37" spans="1:27" ht="76.5">
      <c r="A37" s="70">
        <v>40</v>
      </c>
      <c r="B37" s="68">
        <v>45125</v>
      </c>
      <c r="C37" s="186">
        <v>0.54166666666666663</v>
      </c>
      <c r="D37" s="72" t="s">
        <v>229</v>
      </c>
      <c r="E37" s="73" t="s">
        <v>453</v>
      </c>
      <c r="F37" s="73" t="s">
        <v>387</v>
      </c>
      <c r="G37" s="74">
        <v>40157666</v>
      </c>
      <c r="H37" s="73" t="s">
        <v>389</v>
      </c>
      <c r="I37" s="75" t="s">
        <v>440</v>
      </c>
      <c r="J37" s="75" t="s">
        <v>391</v>
      </c>
      <c r="K37" s="75" t="s">
        <v>392</v>
      </c>
      <c r="L37" s="75" t="s">
        <v>393</v>
      </c>
      <c r="M37" s="73" t="s">
        <v>462</v>
      </c>
      <c r="N37" s="72"/>
      <c r="O37" s="72"/>
      <c r="P37" s="72"/>
      <c r="Q37" s="73" t="s">
        <v>132</v>
      </c>
      <c r="R37" s="69">
        <v>45134</v>
      </c>
      <c r="S37" s="191">
        <v>0.39583333333333331</v>
      </c>
      <c r="T37" s="69" t="s">
        <v>936</v>
      </c>
      <c r="U37" s="214" t="s">
        <v>1099</v>
      </c>
      <c r="V37" s="73" t="s">
        <v>584</v>
      </c>
      <c r="W37" s="34" t="str">
        <f t="shared" ca="1" si="2"/>
        <v>SI</v>
      </c>
      <c r="X37" s="23" t="str">
        <f t="shared" si="3"/>
        <v>DIANOSOL</v>
      </c>
      <c r="Y37" s="58" t="s">
        <v>994</v>
      </c>
      <c r="Z37" s="121" t="s">
        <v>1019</v>
      </c>
      <c r="AA37" s="121" t="str">
        <f>IF(Z37&lt;&gt;"",VLOOKUP($Z37,Resultados!$A$1:$B$49,2,FALSE),"")</f>
        <v>Recursos donde se hizo lugar</v>
      </c>
    </row>
    <row r="38" spans="1:27" ht="76.5">
      <c r="A38" s="70">
        <v>41</v>
      </c>
      <c r="B38" s="68">
        <v>45125</v>
      </c>
      <c r="C38" s="186">
        <v>0.54166666666666663</v>
      </c>
      <c r="D38" s="72" t="s">
        <v>229</v>
      </c>
      <c r="E38" s="73" t="s">
        <v>453</v>
      </c>
      <c r="F38" s="73" t="s">
        <v>388</v>
      </c>
      <c r="G38" s="74">
        <v>39361481</v>
      </c>
      <c r="H38" s="73" t="s">
        <v>390</v>
      </c>
      <c r="I38" s="75" t="s">
        <v>440</v>
      </c>
      <c r="J38" s="75" t="s">
        <v>391</v>
      </c>
      <c r="K38" s="75" t="s">
        <v>392</v>
      </c>
      <c r="L38" s="75" t="s">
        <v>393</v>
      </c>
      <c r="M38" s="73" t="s">
        <v>463</v>
      </c>
      <c r="N38" s="72"/>
      <c r="O38" s="72"/>
      <c r="P38" s="72"/>
      <c r="Q38" s="73" t="s">
        <v>132</v>
      </c>
      <c r="R38" s="69">
        <v>45134</v>
      </c>
      <c r="S38" s="191">
        <v>0.39583333333333331</v>
      </c>
      <c r="T38" s="69" t="s">
        <v>936</v>
      </c>
      <c r="U38" s="214" t="s">
        <v>1059</v>
      </c>
      <c r="V38" s="73" t="s">
        <v>593</v>
      </c>
      <c r="W38" s="34" t="str">
        <f t="shared" ca="1" si="2"/>
        <v>SI</v>
      </c>
      <c r="X38" s="23" t="str">
        <f t="shared" si="3"/>
        <v>DIANOSOL</v>
      </c>
      <c r="Y38" s="58" t="s">
        <v>994</v>
      </c>
      <c r="Z38" s="121" t="s">
        <v>1019</v>
      </c>
      <c r="AA38" s="121" t="str">
        <f>IF(Z38&lt;&gt;"",VLOOKUP($Z38,Resultados!$A$1:$B$49,2,FALSE),"")</f>
        <v>Recursos donde se hizo lugar</v>
      </c>
    </row>
    <row r="39" spans="1:27" ht="89.25">
      <c r="A39" s="70">
        <v>42</v>
      </c>
      <c r="B39" s="68">
        <v>45131</v>
      </c>
      <c r="C39" s="71">
        <v>0.33333333333333331</v>
      </c>
      <c r="D39" s="72" t="s">
        <v>108</v>
      </c>
      <c r="E39" s="73" t="s">
        <v>401</v>
      </c>
      <c r="F39" s="73" t="s">
        <v>402</v>
      </c>
      <c r="G39" s="74">
        <v>31548327</v>
      </c>
      <c r="H39" s="73" t="s">
        <v>403</v>
      </c>
      <c r="I39" s="75" t="s">
        <v>404</v>
      </c>
      <c r="J39" s="75" t="s">
        <v>444</v>
      </c>
      <c r="K39" s="79"/>
      <c r="L39" s="79"/>
      <c r="M39" s="73" t="s">
        <v>405</v>
      </c>
      <c r="N39" s="73" t="s">
        <v>406</v>
      </c>
      <c r="O39" s="72"/>
      <c r="P39" s="72"/>
      <c r="Q39" s="73" t="s">
        <v>407</v>
      </c>
      <c r="R39" s="69">
        <v>45134</v>
      </c>
      <c r="S39" s="184">
        <v>0.5</v>
      </c>
      <c r="T39" s="69" t="s">
        <v>928</v>
      </c>
      <c r="U39" s="214"/>
      <c r="V39" s="73" t="s">
        <v>593</v>
      </c>
      <c r="W39" s="34" t="str">
        <f t="shared" ca="1" si="2"/>
        <v>SI</v>
      </c>
      <c r="X39" s="23" t="str">
        <f t="shared" si="3"/>
        <v>DIANOSOL</v>
      </c>
      <c r="Y39" s="58" t="s">
        <v>994</v>
      </c>
      <c r="Z39" s="121" t="s">
        <v>1025</v>
      </c>
      <c r="AA39" s="121" t="str">
        <f>IF(Z39&lt;&gt;"",VLOOKUP($Z39,Resultados!$A$1:$B$49,2,FALSE),"")</f>
        <v>Recursos donde se hizo lugar</v>
      </c>
    </row>
    <row r="40" spans="1:27" ht="38.25">
      <c r="A40" s="63">
        <v>43</v>
      </c>
      <c r="B40" s="60">
        <v>45131</v>
      </c>
      <c r="C40" s="183">
        <v>0.54166666666666663</v>
      </c>
      <c r="D40" s="40" t="s">
        <v>106</v>
      </c>
      <c r="E40" s="58" t="s">
        <v>410</v>
      </c>
      <c r="F40" s="58" t="s">
        <v>411</v>
      </c>
      <c r="G40" s="65">
        <v>41051772</v>
      </c>
      <c r="H40" s="40"/>
      <c r="I40" s="41" t="s">
        <v>413</v>
      </c>
      <c r="J40" s="41" t="s">
        <v>414</v>
      </c>
      <c r="K40" s="54">
        <v>26899456</v>
      </c>
      <c r="L40" s="41" t="s">
        <v>415</v>
      </c>
      <c r="M40" s="58" t="s">
        <v>461</v>
      </c>
      <c r="N40" s="40"/>
      <c r="O40" s="40"/>
      <c r="P40" s="40"/>
      <c r="Q40" s="58" t="s">
        <v>133</v>
      </c>
      <c r="R40" s="55">
        <v>45135</v>
      </c>
      <c r="S40" s="182">
        <v>0.39583333333333331</v>
      </c>
      <c r="T40" s="55" t="s">
        <v>493</v>
      </c>
      <c r="U40" s="214"/>
      <c r="V40" s="73" t="s">
        <v>603</v>
      </c>
      <c r="W40" s="34" t="str">
        <f t="shared" ca="1" si="2"/>
        <v>SI</v>
      </c>
      <c r="X40" s="23" t="str">
        <f t="shared" si="3"/>
        <v>DIANOSOL</v>
      </c>
      <c r="Y40" s="58" t="s">
        <v>994</v>
      </c>
      <c r="Z40" s="121" t="s">
        <v>1018</v>
      </c>
      <c r="AA40" s="121" t="str">
        <f>IF(Z40&lt;&gt;"",VLOOKUP($Z40,Resultados!$A$1:$B$49,2,FALSE),"")</f>
        <v>Recursos Denegados</v>
      </c>
    </row>
    <row r="41" spans="1:27" ht="38.25">
      <c r="A41" s="63">
        <v>44</v>
      </c>
      <c r="B41" s="60">
        <v>45131</v>
      </c>
      <c r="C41" s="183">
        <v>0.54166666666666663</v>
      </c>
      <c r="D41" s="40" t="s">
        <v>106</v>
      </c>
      <c r="E41" s="58" t="s">
        <v>410</v>
      </c>
      <c r="F41" s="58" t="s">
        <v>412</v>
      </c>
      <c r="G41" s="65">
        <v>31545817</v>
      </c>
      <c r="H41" s="40"/>
      <c r="I41" s="41" t="s">
        <v>413</v>
      </c>
      <c r="J41" s="41" t="s">
        <v>414</v>
      </c>
      <c r="K41" s="54">
        <v>26899456</v>
      </c>
      <c r="L41" s="41" t="s">
        <v>415</v>
      </c>
      <c r="M41" s="58" t="s">
        <v>461</v>
      </c>
      <c r="N41" s="40"/>
      <c r="O41" s="40"/>
      <c r="P41" s="40"/>
      <c r="Q41" s="58" t="s">
        <v>133</v>
      </c>
      <c r="R41" s="55">
        <v>45135</v>
      </c>
      <c r="S41" s="182">
        <v>0.39583333333333331</v>
      </c>
      <c r="T41" s="55" t="s">
        <v>378</v>
      </c>
      <c r="U41" s="214" t="s">
        <v>1084</v>
      </c>
      <c r="V41" s="73" t="s">
        <v>648</v>
      </c>
      <c r="W41" s="34" t="str">
        <f t="shared" ca="1" si="2"/>
        <v>SI</v>
      </c>
      <c r="X41" s="23" t="str">
        <f t="shared" si="3"/>
        <v>DIANOSOL</v>
      </c>
      <c r="Y41" s="58" t="s">
        <v>994</v>
      </c>
      <c r="Z41" s="121" t="s">
        <v>1018</v>
      </c>
      <c r="AA41" s="121" t="str">
        <f>IF(Z41&lt;&gt;"",VLOOKUP($Z41,Resultados!$A$1:$B$49,2,FALSE),"")</f>
        <v>Recursos Denegados</v>
      </c>
    </row>
    <row r="42" spans="1:27" ht="51">
      <c r="A42" s="70">
        <v>33</v>
      </c>
      <c r="B42" s="68">
        <v>45118</v>
      </c>
      <c r="C42" s="71">
        <v>0.54166666666666663</v>
      </c>
      <c r="D42" s="72" t="s">
        <v>228</v>
      </c>
      <c r="E42" s="73" t="s">
        <v>342</v>
      </c>
      <c r="F42" s="73" t="s">
        <v>343</v>
      </c>
      <c r="G42" s="74">
        <v>38651300</v>
      </c>
      <c r="H42" s="73" t="s">
        <v>346</v>
      </c>
      <c r="I42" s="75" t="s">
        <v>349</v>
      </c>
      <c r="J42" s="75" t="s">
        <v>350</v>
      </c>
      <c r="K42" s="79"/>
      <c r="L42" s="75" t="s">
        <v>351</v>
      </c>
      <c r="M42" s="73" t="s">
        <v>352</v>
      </c>
      <c r="N42" s="72"/>
      <c r="O42" s="72"/>
      <c r="P42" s="72"/>
      <c r="Q42" s="73" t="s">
        <v>354</v>
      </c>
      <c r="R42" s="69">
        <v>45138</v>
      </c>
      <c r="S42" s="184">
        <v>0.33333333333333331</v>
      </c>
      <c r="T42" s="69" t="s">
        <v>914</v>
      </c>
      <c r="U42" s="214" t="s">
        <v>1064</v>
      </c>
      <c r="V42" s="73" t="s">
        <v>561</v>
      </c>
      <c r="W42" s="34" t="str">
        <f t="shared" ca="1" si="2"/>
        <v>SI</v>
      </c>
      <c r="X42" s="23" t="str">
        <f t="shared" si="3"/>
        <v>DIANOSOL</v>
      </c>
      <c r="Y42" s="58" t="s">
        <v>994</v>
      </c>
      <c r="Z42" s="121" t="s">
        <v>1018</v>
      </c>
      <c r="AA42" s="121" t="str">
        <f>IF(Z42&lt;&gt;"",VLOOKUP($Z42,Resultados!$A$1:$B$49,2,FALSE),"")</f>
        <v>Recursos Denegados</v>
      </c>
    </row>
    <row r="43" spans="1:27" ht="51">
      <c r="A43" s="70">
        <v>34</v>
      </c>
      <c r="B43" s="68">
        <v>45118</v>
      </c>
      <c r="C43" s="71">
        <v>0.54166666666666663</v>
      </c>
      <c r="D43" s="72" t="s">
        <v>228</v>
      </c>
      <c r="E43" s="73" t="s">
        <v>342</v>
      </c>
      <c r="F43" s="73" t="s">
        <v>344</v>
      </c>
      <c r="G43" s="74">
        <v>44754912</v>
      </c>
      <c r="H43" s="73" t="s">
        <v>347</v>
      </c>
      <c r="I43" s="75" t="s">
        <v>349</v>
      </c>
      <c r="J43" s="75" t="s">
        <v>350</v>
      </c>
      <c r="K43" s="79"/>
      <c r="L43" s="75" t="s">
        <v>351</v>
      </c>
      <c r="M43" s="73" t="s">
        <v>353</v>
      </c>
      <c r="N43" s="72"/>
      <c r="O43" s="72"/>
      <c r="P43" s="72"/>
      <c r="Q43" s="73" t="s">
        <v>354</v>
      </c>
      <c r="R43" s="69">
        <v>45138</v>
      </c>
      <c r="S43" s="184">
        <v>0.33333333333333331</v>
      </c>
      <c r="T43" s="69" t="s">
        <v>914</v>
      </c>
      <c r="U43" s="214" t="s">
        <v>937</v>
      </c>
      <c r="V43" s="72"/>
      <c r="W43" s="34" t="str">
        <f t="shared" ca="1" si="2"/>
        <v>SI</v>
      </c>
      <c r="X43" s="23" t="str">
        <f t="shared" si="3"/>
        <v>DIANOSOL</v>
      </c>
      <c r="Y43" s="58" t="s">
        <v>994</v>
      </c>
      <c r="Z43" s="121" t="s">
        <v>1018</v>
      </c>
      <c r="AA43" s="121" t="str">
        <f>IF(Z43&lt;&gt;"",VLOOKUP($Z43,Resultados!$A$1:$B$49,2,FALSE),"")</f>
        <v>Recursos Denegados</v>
      </c>
    </row>
    <row r="44" spans="1:27" ht="63.75">
      <c r="A44" s="70">
        <v>35</v>
      </c>
      <c r="B44" s="68">
        <v>45118</v>
      </c>
      <c r="C44" s="71">
        <v>0.54166666666666663</v>
      </c>
      <c r="D44" s="72" t="s">
        <v>228</v>
      </c>
      <c r="E44" s="73" t="s">
        <v>342</v>
      </c>
      <c r="F44" s="73" t="s">
        <v>345</v>
      </c>
      <c r="G44" s="74">
        <v>45850066</v>
      </c>
      <c r="H44" s="73" t="s">
        <v>348</v>
      </c>
      <c r="I44" s="75" t="s">
        <v>349</v>
      </c>
      <c r="J44" s="75" t="s">
        <v>350</v>
      </c>
      <c r="K44" s="79"/>
      <c r="L44" s="75" t="s">
        <v>351</v>
      </c>
      <c r="M44" s="73" t="s">
        <v>353</v>
      </c>
      <c r="N44" s="72"/>
      <c r="O44" s="72"/>
      <c r="P44" s="72"/>
      <c r="Q44" s="73" t="s">
        <v>354</v>
      </c>
      <c r="R44" s="69">
        <v>45138</v>
      </c>
      <c r="S44" s="184">
        <v>0.33333333333333331</v>
      </c>
      <c r="T44" s="69" t="s">
        <v>914</v>
      </c>
      <c r="U44" s="75" t="s">
        <v>1082</v>
      </c>
      <c r="V44" s="73" t="s">
        <v>561</v>
      </c>
      <c r="W44" s="34" t="str">
        <f t="shared" ca="1" si="2"/>
        <v>SI</v>
      </c>
      <c r="X44" s="23" t="str">
        <f t="shared" si="3"/>
        <v>DIANOSOL</v>
      </c>
      <c r="Y44" s="58" t="s">
        <v>994</v>
      </c>
      <c r="Z44" s="121" t="s">
        <v>1018</v>
      </c>
      <c r="AA44" s="121" t="str">
        <f>IF(Z44&lt;&gt;"",VLOOKUP($Z44,Resultados!$A$1:$B$49,2,FALSE),"")</f>
        <v>Recursos Denegados</v>
      </c>
    </row>
    <row r="45" spans="1:27" ht="216.75">
      <c r="A45" s="70">
        <v>32</v>
      </c>
      <c r="B45" s="68">
        <v>45118</v>
      </c>
      <c r="C45" s="186">
        <v>0.54166666666666663</v>
      </c>
      <c r="D45" s="72" t="s">
        <v>108</v>
      </c>
      <c r="E45" s="72" t="s">
        <v>332</v>
      </c>
      <c r="F45" s="73" t="s">
        <v>400</v>
      </c>
      <c r="G45" s="74">
        <v>38342955</v>
      </c>
      <c r="H45" s="72" t="s">
        <v>333</v>
      </c>
      <c r="I45" s="79" t="s">
        <v>334</v>
      </c>
      <c r="J45" s="79" t="s">
        <v>335</v>
      </c>
      <c r="K45" s="79"/>
      <c r="L45" s="79"/>
      <c r="M45" s="72" t="s">
        <v>336</v>
      </c>
      <c r="N45" s="72"/>
      <c r="O45" s="72" t="s">
        <v>337</v>
      </c>
      <c r="P45" s="72"/>
      <c r="Q45" s="72" t="s">
        <v>133</v>
      </c>
      <c r="R45" s="69">
        <v>45138</v>
      </c>
      <c r="S45" s="191">
        <v>0.5</v>
      </c>
      <c r="T45" s="69" t="s">
        <v>502</v>
      </c>
      <c r="U45" s="214" t="s">
        <v>1098</v>
      </c>
      <c r="V45" s="73" t="s">
        <v>561</v>
      </c>
      <c r="W45" s="34" t="str">
        <f t="shared" ca="1" si="2"/>
        <v>SI</v>
      </c>
      <c r="X45" s="23" t="str">
        <f t="shared" si="3"/>
        <v>DIANOSOL</v>
      </c>
      <c r="Y45" s="58" t="s">
        <v>994</v>
      </c>
      <c r="Z45" s="121" t="s">
        <v>1018</v>
      </c>
      <c r="AA45" s="121" t="str">
        <f>IF(Z45&lt;&gt;"",VLOOKUP($Z45,Resultados!$A$1:$B$49,2,FALSE),"")</f>
        <v>Recursos Denegados</v>
      </c>
    </row>
    <row r="46" spans="1:27" ht="38.25">
      <c r="A46" s="70">
        <v>46</v>
      </c>
      <c r="B46" s="68">
        <v>45132</v>
      </c>
      <c r="C46" s="186">
        <v>0.45833333333333331</v>
      </c>
      <c r="D46" s="72" t="s">
        <v>230</v>
      </c>
      <c r="E46" s="73" t="s">
        <v>422</v>
      </c>
      <c r="F46" s="73" t="s">
        <v>423</v>
      </c>
      <c r="G46" s="74">
        <v>44565375</v>
      </c>
      <c r="H46" s="73" t="s">
        <v>424</v>
      </c>
      <c r="I46" s="75" t="s">
        <v>425</v>
      </c>
      <c r="J46" s="75" t="s">
        <v>426</v>
      </c>
      <c r="K46" s="76">
        <v>42916726</v>
      </c>
      <c r="L46" s="75" t="s">
        <v>427</v>
      </c>
      <c r="M46" s="73" t="s">
        <v>428</v>
      </c>
      <c r="N46" s="72"/>
      <c r="O46" s="72"/>
      <c r="P46" s="72"/>
      <c r="Q46" s="73" t="s">
        <v>133</v>
      </c>
      <c r="R46" s="68">
        <v>45138</v>
      </c>
      <c r="S46" s="191" t="s">
        <v>501</v>
      </c>
      <c r="T46" s="69" t="s">
        <v>910</v>
      </c>
      <c r="U46" s="215" t="s">
        <v>917</v>
      </c>
      <c r="V46" s="73" t="s">
        <v>666</v>
      </c>
      <c r="W46" s="34" t="str">
        <f t="shared" ca="1" si="2"/>
        <v>SI</v>
      </c>
      <c r="X46" s="23" t="str">
        <f t="shared" si="3"/>
        <v>DIANOSOL</v>
      </c>
      <c r="Y46" s="58" t="s">
        <v>994</v>
      </c>
      <c r="Z46" s="121" t="s">
        <v>1019</v>
      </c>
      <c r="AA46" s="121" t="str">
        <f>IF(Z46&lt;&gt;"",VLOOKUP($Z46,Resultados!$A$1:$B$49,2,FALSE),"")</f>
        <v>Recursos donde se hizo lugar</v>
      </c>
    </row>
    <row r="47" spans="1:27" ht="51">
      <c r="A47" s="70">
        <v>47</v>
      </c>
      <c r="B47" s="68">
        <v>45133</v>
      </c>
      <c r="C47" s="71">
        <v>0.33333333333333331</v>
      </c>
      <c r="D47" s="72" t="s">
        <v>433</v>
      </c>
      <c r="E47" s="73" t="s">
        <v>434</v>
      </c>
      <c r="F47" s="73" t="s">
        <v>435</v>
      </c>
      <c r="G47" s="74">
        <v>41984586</v>
      </c>
      <c r="H47" s="73" t="s">
        <v>436</v>
      </c>
      <c r="I47" s="75" t="s">
        <v>420</v>
      </c>
      <c r="J47" s="75" t="s">
        <v>437</v>
      </c>
      <c r="K47" s="79"/>
      <c r="L47" s="75" t="s">
        <v>508</v>
      </c>
      <c r="M47" s="73" t="s">
        <v>438</v>
      </c>
      <c r="N47" s="72"/>
      <c r="O47" s="73" t="s">
        <v>439</v>
      </c>
      <c r="P47" s="72"/>
      <c r="Q47" s="73" t="s">
        <v>441</v>
      </c>
      <c r="R47" s="68">
        <v>45140</v>
      </c>
      <c r="S47" s="184">
        <v>0.35416666666666669</v>
      </c>
      <c r="T47" s="69" t="s">
        <v>507</v>
      </c>
      <c r="U47" s="214" t="s">
        <v>1067</v>
      </c>
      <c r="V47" s="73" t="s">
        <v>666</v>
      </c>
      <c r="W47" s="34" t="str">
        <f t="shared" ca="1" si="2"/>
        <v>SI</v>
      </c>
      <c r="X47" s="23" t="str">
        <f t="shared" si="3"/>
        <v>DIANOSOL</v>
      </c>
      <c r="Y47" s="58" t="s">
        <v>994</v>
      </c>
      <c r="Z47" s="121" t="s">
        <v>1018</v>
      </c>
      <c r="AA47" s="121" t="str">
        <f>IF(Z47&lt;&gt;"",VLOOKUP($Z47,Resultados!$A$1:$B$49,2,FALSE),"")</f>
        <v>Recursos Denegados</v>
      </c>
    </row>
    <row r="48" spans="1:27" ht="38.25">
      <c r="A48" s="70">
        <v>52</v>
      </c>
      <c r="B48" s="68">
        <v>45134</v>
      </c>
      <c r="C48" s="71">
        <v>0.5</v>
      </c>
      <c r="D48" s="72" t="s">
        <v>107</v>
      </c>
      <c r="E48" s="73" t="s">
        <v>473</v>
      </c>
      <c r="F48" s="73" t="s">
        <v>474</v>
      </c>
      <c r="G48" s="74">
        <v>12726711</v>
      </c>
      <c r="H48" s="73" t="s">
        <v>476</v>
      </c>
      <c r="I48" s="75" t="s">
        <v>475</v>
      </c>
      <c r="J48" s="75" t="s">
        <v>477</v>
      </c>
      <c r="K48" s="79"/>
      <c r="L48" s="79"/>
      <c r="M48" s="73" t="s">
        <v>459</v>
      </c>
      <c r="N48" s="72"/>
      <c r="O48" s="72"/>
      <c r="P48" s="72"/>
      <c r="Q48" s="73" t="s">
        <v>133</v>
      </c>
      <c r="R48" s="68">
        <v>45140</v>
      </c>
      <c r="S48" s="184">
        <v>0.45833333333333331</v>
      </c>
      <c r="T48" s="69" t="s">
        <v>504</v>
      </c>
      <c r="U48" s="214"/>
      <c r="V48" s="73" t="s">
        <v>700</v>
      </c>
      <c r="W48" s="34" t="str">
        <f t="shared" ca="1" si="2"/>
        <v>SI</v>
      </c>
      <c r="X48" s="23" t="str">
        <f t="shared" si="3"/>
        <v>DIANOSOL</v>
      </c>
      <c r="Y48" s="58" t="s">
        <v>994</v>
      </c>
      <c r="Z48" s="121" t="s">
        <v>1018</v>
      </c>
      <c r="AA48" s="121" t="str">
        <f>IF(Z48&lt;&gt;"",VLOOKUP($Z48,Resultados!$A$1:$B$49,2,FALSE),"")</f>
        <v>Recursos Denegados</v>
      </c>
    </row>
    <row r="49" spans="1:27" ht="76.5">
      <c r="A49" s="70">
        <v>48</v>
      </c>
      <c r="B49" s="68">
        <v>45133</v>
      </c>
      <c r="C49" s="71">
        <v>0.54166666666666663</v>
      </c>
      <c r="D49" s="72" t="s">
        <v>105</v>
      </c>
      <c r="E49" s="73" t="s">
        <v>446</v>
      </c>
      <c r="F49" s="73" t="s">
        <v>442</v>
      </c>
      <c r="G49" s="74">
        <v>12959004</v>
      </c>
      <c r="H49" s="73" t="s">
        <v>470</v>
      </c>
      <c r="I49" s="75" t="s">
        <v>468</v>
      </c>
      <c r="J49" s="75" t="s">
        <v>469</v>
      </c>
      <c r="K49" s="76">
        <v>14488542</v>
      </c>
      <c r="L49" s="75" t="s">
        <v>472</v>
      </c>
      <c r="M49" s="73" t="s">
        <v>471</v>
      </c>
      <c r="N49" s="72"/>
      <c r="O49" s="72"/>
      <c r="P49" s="72"/>
      <c r="Q49" s="73" t="s">
        <v>136</v>
      </c>
      <c r="R49" s="68">
        <v>45140</v>
      </c>
      <c r="S49" s="184">
        <v>0.5</v>
      </c>
      <c r="T49" s="69" t="s">
        <v>918</v>
      </c>
      <c r="U49" s="212"/>
      <c r="V49" s="73" t="s">
        <v>648</v>
      </c>
      <c r="W49" s="34" t="str">
        <f t="shared" ca="1" si="2"/>
        <v>SI</v>
      </c>
      <c r="X49" s="23" t="str">
        <f t="shared" si="3"/>
        <v>DIANOSOL</v>
      </c>
      <c r="Y49" s="58" t="s">
        <v>994</v>
      </c>
      <c r="Z49" s="121" t="s">
        <v>1042</v>
      </c>
      <c r="AA49" s="121" t="str">
        <f>IF(Z49&lt;&gt;"",VLOOKUP($Z49,Resultados!$A$1:$B$49,2,FALSE),"")</f>
        <v>Recursos Abstractos</v>
      </c>
    </row>
    <row r="50" spans="1:27" ht="38.25">
      <c r="A50" s="70">
        <v>50</v>
      </c>
      <c r="B50" s="68">
        <v>45134</v>
      </c>
      <c r="C50" s="71">
        <v>0.41666666666666669</v>
      </c>
      <c r="D50" s="72" t="s">
        <v>230</v>
      </c>
      <c r="E50" s="73" t="s">
        <v>454</v>
      </c>
      <c r="F50" s="73" t="s">
        <v>460</v>
      </c>
      <c r="G50" s="74">
        <v>30235295</v>
      </c>
      <c r="H50" s="73" t="s">
        <v>455</v>
      </c>
      <c r="I50" s="75" t="s">
        <v>456</v>
      </c>
      <c r="J50" s="75" t="s">
        <v>457</v>
      </c>
      <c r="K50" s="76">
        <v>39781915</v>
      </c>
      <c r="L50" s="75" t="s">
        <v>458</v>
      </c>
      <c r="M50" s="73" t="s">
        <v>459</v>
      </c>
      <c r="N50" s="72"/>
      <c r="O50" s="72"/>
      <c r="P50" s="72"/>
      <c r="Q50" s="73" t="s">
        <v>133</v>
      </c>
      <c r="R50" s="68">
        <v>45141</v>
      </c>
      <c r="S50" s="184">
        <v>0.39583333333333331</v>
      </c>
      <c r="T50" s="69" t="s">
        <v>307</v>
      </c>
      <c r="U50" s="214"/>
      <c r="V50" s="73" t="s">
        <v>666</v>
      </c>
      <c r="W50" s="34" t="str">
        <f t="shared" ca="1" si="2"/>
        <v>SI</v>
      </c>
      <c r="X50" s="23" t="str">
        <f t="shared" si="3"/>
        <v>DIANOSOL</v>
      </c>
      <c r="Y50" s="58" t="s">
        <v>994</v>
      </c>
      <c r="Z50" s="121" t="s">
        <v>1018</v>
      </c>
      <c r="AA50" s="121" t="str">
        <f>IF(Z50&lt;&gt;"",VLOOKUP($Z50,Resultados!$A$1:$B$49,2,FALSE),"")</f>
        <v>Recursos Denegados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2"/>
        <v>SI</v>
      </c>
      <c r="X51" s="23" t="str">
        <f t="shared" si="3"/>
        <v>DIANOSOL</v>
      </c>
      <c r="Y51" s="58" t="s">
        <v>994</v>
      </c>
      <c r="Z51" s="121" t="s">
        <v>1018</v>
      </c>
      <c r="AA51" s="121" t="str">
        <f>IF(Z51&lt;&gt;"",VLOOKUP($Z51,Resultados!$A$1:$B$49,2,FALSE),"")</f>
        <v>Recursos Denegados</v>
      </c>
    </row>
    <row r="52" spans="1:27" ht="38.25">
      <c r="A52" s="70">
        <v>51</v>
      </c>
      <c r="B52" s="68">
        <v>45134</v>
      </c>
      <c r="C52" s="71">
        <v>0.45833333333333331</v>
      </c>
      <c r="D52" s="72" t="s">
        <v>105</v>
      </c>
      <c r="E52" s="73" t="s">
        <v>464</v>
      </c>
      <c r="F52" s="73" t="s">
        <v>465</v>
      </c>
      <c r="G52" s="74">
        <v>14276165</v>
      </c>
      <c r="H52" s="72"/>
      <c r="I52" s="75" t="s">
        <v>466</v>
      </c>
      <c r="J52" s="79"/>
      <c r="K52" s="79"/>
      <c r="L52" s="79"/>
      <c r="M52" s="73" t="s">
        <v>467</v>
      </c>
      <c r="N52" s="72"/>
      <c r="O52" s="72"/>
      <c r="P52" s="72"/>
      <c r="Q52" s="73" t="s">
        <v>132</v>
      </c>
      <c r="R52" s="68">
        <v>45142</v>
      </c>
      <c r="S52" s="184">
        <v>0.39583333333333331</v>
      </c>
      <c r="T52" s="69" t="s">
        <v>429</v>
      </c>
      <c r="U52" s="214" t="s">
        <v>1101</v>
      </c>
      <c r="V52" s="58" t="s">
        <v>749</v>
      </c>
      <c r="W52" s="34" t="str">
        <f t="shared" ca="1" si="2"/>
        <v>SI</v>
      </c>
      <c r="X52" s="23" t="str">
        <f t="shared" si="3"/>
        <v>DIANOSOL</v>
      </c>
      <c r="Y52" s="58" t="s">
        <v>994</v>
      </c>
      <c r="Z52" s="121" t="s">
        <v>1018</v>
      </c>
      <c r="AA52" s="121" t="str">
        <f>IF(Z52&lt;&gt;"",VLOOKUP($Z52,Resultados!$A$1:$B$49,2,FALSE),"")</f>
        <v>Recursos Denegados</v>
      </c>
    </row>
    <row r="53" spans="1:27" ht="38.25">
      <c r="A53" s="70">
        <v>63</v>
      </c>
      <c r="B53" s="68">
        <v>45142</v>
      </c>
      <c r="C53" s="72"/>
      <c r="D53" s="72" t="s">
        <v>229</v>
      </c>
      <c r="E53" s="73" t="s">
        <v>535</v>
      </c>
      <c r="F53" s="73" t="s">
        <v>534</v>
      </c>
      <c r="G53" s="74">
        <v>12959004</v>
      </c>
      <c r="H53" s="72"/>
      <c r="I53" s="79"/>
      <c r="J53" s="79"/>
      <c r="K53" s="79"/>
      <c r="L53" s="79"/>
      <c r="M53" s="73" t="s">
        <v>536</v>
      </c>
      <c r="N53" s="72"/>
      <c r="O53" s="72"/>
      <c r="P53" s="72"/>
      <c r="Q53" s="73" t="s">
        <v>136</v>
      </c>
      <c r="R53" s="68">
        <v>45142</v>
      </c>
      <c r="S53" s="184">
        <v>0.4375</v>
      </c>
      <c r="T53" s="69" t="s">
        <v>563</v>
      </c>
      <c r="U53" s="214" t="s">
        <v>1065</v>
      </c>
      <c r="V53" s="73" t="s">
        <v>774</v>
      </c>
      <c r="W53" s="34" t="str">
        <f t="shared" ca="1" si="2"/>
        <v>SI</v>
      </c>
      <c r="X53" s="23" t="str">
        <f t="shared" si="3"/>
        <v>DIANOSOL</v>
      </c>
      <c r="Y53" s="58"/>
      <c r="Z53" s="121" t="s">
        <v>1019</v>
      </c>
      <c r="AA53" s="121" t="str">
        <f>IF(Z53&lt;&gt;"",VLOOKUP($Z53,Resultados!$A$1:$B$49,2,FALSE),"")</f>
        <v>Recursos donde se hizo lugar</v>
      </c>
    </row>
    <row r="54" spans="1:27" ht="89.25">
      <c r="A54" s="70">
        <v>38</v>
      </c>
      <c r="B54" s="68">
        <v>45121</v>
      </c>
      <c r="C54" s="71">
        <v>0.54166666666666663</v>
      </c>
      <c r="D54" s="72" t="s">
        <v>108</v>
      </c>
      <c r="E54" s="73" t="s">
        <v>370</v>
      </c>
      <c r="F54" s="73" t="s">
        <v>371</v>
      </c>
      <c r="G54" s="74">
        <v>11283803</v>
      </c>
      <c r="H54" s="73" t="s">
        <v>372</v>
      </c>
      <c r="I54" s="75" t="s">
        <v>373</v>
      </c>
      <c r="J54" s="75" t="s">
        <v>374</v>
      </c>
      <c r="K54" s="76">
        <v>30222229</v>
      </c>
      <c r="L54" s="75" t="s">
        <v>375</v>
      </c>
      <c r="M54" s="73" t="s">
        <v>376</v>
      </c>
      <c r="N54" s="72"/>
      <c r="O54" s="73" t="s">
        <v>377</v>
      </c>
      <c r="P54" s="72"/>
      <c r="Q54" s="73" t="s">
        <v>133</v>
      </c>
      <c r="R54" s="69">
        <v>45145</v>
      </c>
      <c r="S54" s="184">
        <v>0.39583333333333331</v>
      </c>
      <c r="T54" s="69" t="s">
        <v>914</v>
      </c>
      <c r="U54" s="214"/>
      <c r="V54" s="73" t="s">
        <v>561</v>
      </c>
      <c r="W54" s="34" t="str">
        <f t="shared" ca="1" si="2"/>
        <v>SI</v>
      </c>
      <c r="X54" s="23" t="str">
        <f t="shared" si="3"/>
        <v>DIANOSOL</v>
      </c>
      <c r="Y54" s="58" t="s">
        <v>994</v>
      </c>
      <c r="Z54" s="121" t="s">
        <v>1018</v>
      </c>
      <c r="AA54" s="121" t="str">
        <f>IF(Z54&lt;&gt;"",VLOOKUP($Z54,Resultados!$A$1:$B$49,2,FALSE),"")</f>
        <v>Recursos Denegados</v>
      </c>
    </row>
    <row r="55" spans="1:27" ht="38.25">
      <c r="A55" s="70">
        <v>45</v>
      </c>
      <c r="B55" s="68">
        <v>45132</v>
      </c>
      <c r="C55" s="71">
        <v>0.45833333333333331</v>
      </c>
      <c r="D55" s="72" t="s">
        <v>229</v>
      </c>
      <c r="E55" s="73" t="s">
        <v>417</v>
      </c>
      <c r="F55" s="73" t="s">
        <v>418</v>
      </c>
      <c r="G55" s="74">
        <v>26645070</v>
      </c>
      <c r="H55" s="73" t="s">
        <v>419</v>
      </c>
      <c r="I55" s="75" t="s">
        <v>420</v>
      </c>
      <c r="J55" s="75" t="s">
        <v>421</v>
      </c>
      <c r="K55" s="79"/>
      <c r="L55" s="75" t="s">
        <v>573</v>
      </c>
      <c r="M55" s="73" t="s">
        <v>376</v>
      </c>
      <c r="N55" s="72"/>
      <c r="O55" s="72"/>
      <c r="P55" s="72"/>
      <c r="Q55" s="73" t="s">
        <v>132</v>
      </c>
      <c r="R55" s="68">
        <v>45145</v>
      </c>
      <c r="S55" s="184">
        <v>0.4375</v>
      </c>
      <c r="T55" s="69" t="s">
        <v>914</v>
      </c>
      <c r="U55" s="214" t="s">
        <v>1085</v>
      </c>
      <c r="V55" s="73" t="s">
        <v>648</v>
      </c>
      <c r="W55" s="34" t="str">
        <f t="shared" ca="1" si="2"/>
        <v>SI</v>
      </c>
      <c r="X55" s="23" t="str">
        <f t="shared" si="3"/>
        <v>DIANOSOL</v>
      </c>
      <c r="Y55" s="58" t="s">
        <v>994</v>
      </c>
      <c r="Z55" s="121" t="s">
        <v>1018</v>
      </c>
      <c r="AA55" s="121" t="str">
        <f>IF(Z55&lt;&gt;"",VLOOKUP($Z55,Resultados!$A$1:$B$49,2,FALSE),"")</f>
        <v>Recursos Denegados</v>
      </c>
    </row>
    <row r="56" spans="1:27" ht="38.25">
      <c r="A56" s="70">
        <v>58</v>
      </c>
      <c r="B56" s="68">
        <v>45141</v>
      </c>
      <c r="C56" s="71">
        <v>0.33333333333333331</v>
      </c>
      <c r="D56" s="72" t="s">
        <v>226</v>
      </c>
      <c r="E56" s="73" t="s">
        <v>509</v>
      </c>
      <c r="F56" s="73" t="s">
        <v>510</v>
      </c>
      <c r="G56" s="74">
        <v>31436737</v>
      </c>
      <c r="H56" s="73" t="s">
        <v>512</v>
      </c>
      <c r="I56" s="75" t="s">
        <v>514</v>
      </c>
      <c r="J56" s="75" t="s">
        <v>516</v>
      </c>
      <c r="K56" s="76">
        <v>8174871</v>
      </c>
      <c r="L56" s="75" t="s">
        <v>517</v>
      </c>
      <c r="M56" s="73" t="s">
        <v>518</v>
      </c>
      <c r="N56" s="72"/>
      <c r="O56" s="72"/>
      <c r="P56" s="72"/>
      <c r="Q56" s="73" t="s">
        <v>136</v>
      </c>
      <c r="R56" s="69">
        <v>45145</v>
      </c>
      <c r="S56" s="184">
        <v>0.4375</v>
      </c>
      <c r="T56" s="69" t="s">
        <v>911</v>
      </c>
      <c r="U56" s="214" t="s">
        <v>930</v>
      </c>
      <c r="V56" s="5">
        <v>23082023</v>
      </c>
      <c r="W56" s="34" t="str">
        <f t="shared" ca="1" si="2"/>
        <v>SI</v>
      </c>
      <c r="X56" s="23" t="str">
        <f t="shared" si="3"/>
        <v>DIANOSOL</v>
      </c>
      <c r="Y56" s="58" t="s">
        <v>994</v>
      </c>
      <c r="Z56" s="121" t="s">
        <v>1018</v>
      </c>
      <c r="AA56" s="121" t="str">
        <f>IF(Z56&lt;&gt;"",VLOOKUP($Z56,Resultados!$A$1:$B$49,2,FALSE),"")</f>
        <v>Recursos Denegados</v>
      </c>
    </row>
    <row r="57" spans="1:27" ht="38.25">
      <c r="A57" s="70">
        <v>59</v>
      </c>
      <c r="B57" s="68">
        <v>45141</v>
      </c>
      <c r="C57" s="71">
        <v>0.33333333333333331</v>
      </c>
      <c r="D57" s="72" t="s">
        <v>226</v>
      </c>
      <c r="E57" s="73" t="s">
        <v>509</v>
      </c>
      <c r="F57" s="73" t="s">
        <v>511</v>
      </c>
      <c r="G57" s="74">
        <v>28260958</v>
      </c>
      <c r="H57" s="73" t="s">
        <v>513</v>
      </c>
      <c r="I57" s="75" t="s">
        <v>515</v>
      </c>
      <c r="J57" s="75" t="s">
        <v>516</v>
      </c>
      <c r="K57" s="76">
        <v>8174871</v>
      </c>
      <c r="L57" s="75" t="s">
        <v>517</v>
      </c>
      <c r="M57" s="73" t="s">
        <v>518</v>
      </c>
      <c r="N57" s="72"/>
      <c r="O57" s="72"/>
      <c r="P57" s="72"/>
      <c r="Q57" s="73" t="s">
        <v>136</v>
      </c>
      <c r="R57" s="69">
        <v>45145</v>
      </c>
      <c r="S57" s="184">
        <v>0.4375</v>
      </c>
      <c r="T57" s="69" t="s">
        <v>912</v>
      </c>
      <c r="U57" s="214" t="s">
        <v>930</v>
      </c>
      <c r="V57" s="72"/>
      <c r="W57" s="34" t="str">
        <f t="shared" ca="1" si="2"/>
        <v>SI</v>
      </c>
      <c r="X57" s="23" t="str">
        <f t="shared" si="3"/>
        <v>DIANOSOL</v>
      </c>
      <c r="Y57" s="58" t="s">
        <v>994</v>
      </c>
      <c r="Z57" s="121" t="s">
        <v>1018</v>
      </c>
      <c r="AA57" s="121" t="str">
        <f>IF(Z57&lt;&gt;"",VLOOKUP($Z57,Resultados!$A$1:$B$49,2,FALSE),"")</f>
        <v>Recursos Denegados</v>
      </c>
    </row>
    <row r="58" spans="1:27" ht="76.5">
      <c r="A58" s="70">
        <v>53</v>
      </c>
      <c r="B58" s="68">
        <v>45134</v>
      </c>
      <c r="C58" s="71">
        <v>0.5</v>
      </c>
      <c r="D58" s="72" t="s">
        <v>106</v>
      </c>
      <c r="E58" s="73" t="s">
        <v>478</v>
      </c>
      <c r="F58" s="73" t="s">
        <v>484</v>
      </c>
      <c r="G58" s="74">
        <v>36337610</v>
      </c>
      <c r="H58" s="73" t="s">
        <v>480</v>
      </c>
      <c r="I58" s="75" t="s">
        <v>479</v>
      </c>
      <c r="J58" s="75" t="s">
        <v>481</v>
      </c>
      <c r="K58" s="79"/>
      <c r="L58" s="75" t="s">
        <v>482</v>
      </c>
      <c r="M58" s="73" t="s">
        <v>483</v>
      </c>
      <c r="N58" s="72"/>
      <c r="O58" s="73" t="s">
        <v>574</v>
      </c>
      <c r="P58" s="72"/>
      <c r="Q58" s="73" t="s">
        <v>503</v>
      </c>
      <c r="R58" s="68">
        <v>45147</v>
      </c>
      <c r="S58" s="184">
        <v>0.39583333333333331</v>
      </c>
      <c r="T58" s="69" t="s">
        <v>938</v>
      </c>
      <c r="U58" s="213"/>
      <c r="V58" s="6" t="s">
        <v>700</v>
      </c>
      <c r="W58" s="34" t="str">
        <f t="shared" ca="1" si="2"/>
        <v>SI</v>
      </c>
      <c r="X58" s="23" t="str">
        <f t="shared" si="3"/>
        <v>DIANOSOL</v>
      </c>
      <c r="Y58" s="58" t="s">
        <v>994</v>
      </c>
      <c r="Z58" s="121" t="s">
        <v>1025</v>
      </c>
      <c r="AA58" s="121" t="str">
        <f>IF(Z58&lt;&gt;"",VLOOKUP($Z58,Resultados!$A$1:$B$49,2,FALSE),"")</f>
        <v>Recursos donde se hizo lugar</v>
      </c>
    </row>
    <row r="59" spans="1:27" ht="38.25">
      <c r="A59" s="70">
        <v>54</v>
      </c>
      <c r="B59" s="68">
        <v>45134</v>
      </c>
      <c r="C59" s="71">
        <v>0.54166666666666663</v>
      </c>
      <c r="D59" s="72" t="s">
        <v>229</v>
      </c>
      <c r="E59" s="73" t="s">
        <v>485</v>
      </c>
      <c r="F59" s="73" t="s">
        <v>486</v>
      </c>
      <c r="G59" s="74">
        <v>23749907</v>
      </c>
      <c r="H59" s="73" t="s">
        <v>487</v>
      </c>
      <c r="I59" s="75" t="s">
        <v>420</v>
      </c>
      <c r="J59" s="75" t="s">
        <v>488</v>
      </c>
      <c r="K59" s="75" t="s">
        <v>489</v>
      </c>
      <c r="L59" s="75" t="s">
        <v>490</v>
      </c>
      <c r="M59" s="73" t="s">
        <v>491</v>
      </c>
      <c r="N59" s="73" t="s">
        <v>492</v>
      </c>
      <c r="O59" s="72"/>
      <c r="P59" s="72"/>
      <c r="Q59" s="73" t="s">
        <v>132</v>
      </c>
      <c r="R59" s="68">
        <v>45147</v>
      </c>
      <c r="S59" s="184">
        <v>0.4375</v>
      </c>
      <c r="T59" s="69" t="s">
        <v>883</v>
      </c>
      <c r="U59" s="214" t="s">
        <v>919</v>
      </c>
      <c r="V59" s="5">
        <v>24082023</v>
      </c>
      <c r="W59" s="34" t="str">
        <f t="shared" ca="1" si="2"/>
        <v>SI</v>
      </c>
      <c r="X59" s="23" t="str">
        <f t="shared" si="3"/>
        <v>DIANOSOL</v>
      </c>
      <c r="Y59" s="58" t="s">
        <v>994</v>
      </c>
      <c r="Z59" s="121" t="s">
        <v>1018</v>
      </c>
      <c r="AA59" s="121" t="str">
        <f>IF(Z59&lt;&gt;"",VLOOKUP($Z59,Resultados!$A$1:$B$49,2,FALSE),"")</f>
        <v>Recursos Denegados</v>
      </c>
    </row>
    <row r="60" spans="1:27" ht="38.25">
      <c r="A60" s="70">
        <v>55</v>
      </c>
      <c r="B60" s="68">
        <v>45138</v>
      </c>
      <c r="C60" s="71">
        <v>0.41666666666666669</v>
      </c>
      <c r="D60" s="72" t="s">
        <v>229</v>
      </c>
      <c r="E60" s="73" t="s">
        <v>495</v>
      </c>
      <c r="F60" s="73" t="s">
        <v>496</v>
      </c>
      <c r="G60" s="74">
        <v>31948220</v>
      </c>
      <c r="H60" s="73" t="s">
        <v>497</v>
      </c>
      <c r="I60" s="75" t="s">
        <v>475</v>
      </c>
      <c r="J60" s="75" t="s">
        <v>498</v>
      </c>
      <c r="K60" s="76">
        <v>10493616</v>
      </c>
      <c r="L60" s="75" t="s">
        <v>499</v>
      </c>
      <c r="M60" s="73" t="s">
        <v>459</v>
      </c>
      <c r="N60" s="72"/>
      <c r="O60" s="72"/>
      <c r="P60" s="72"/>
      <c r="Q60" s="73" t="s">
        <v>500</v>
      </c>
      <c r="R60" s="68">
        <v>45148</v>
      </c>
      <c r="S60" s="184">
        <v>0.41666666666666669</v>
      </c>
      <c r="T60" s="69" t="s">
        <v>939</v>
      </c>
      <c r="U60" s="212" t="s">
        <v>1079</v>
      </c>
      <c r="V60" s="6" t="s">
        <v>700</v>
      </c>
      <c r="W60" s="34" t="str">
        <f t="shared" ca="1" si="2"/>
        <v>SI</v>
      </c>
      <c r="X60" s="23" t="str">
        <f t="shared" si="3"/>
        <v>DIANOSOL</v>
      </c>
      <c r="Y60" s="58" t="s">
        <v>994</v>
      </c>
      <c r="Z60" s="121" t="s">
        <v>1018</v>
      </c>
      <c r="AA60" s="121" t="str">
        <f>IF(Z60&lt;&gt;"",VLOOKUP($Z60,Resultados!$A$1:$B$49,2,FALSE),"")</f>
        <v>Recursos Denegados</v>
      </c>
    </row>
    <row r="61" spans="1:27" ht="153">
      <c r="A61" s="70">
        <v>60</v>
      </c>
      <c r="B61" s="68">
        <v>45141</v>
      </c>
      <c r="C61" s="71">
        <v>0.33333333333333331</v>
      </c>
      <c r="D61" s="72" t="s">
        <v>230</v>
      </c>
      <c r="E61" s="73" t="s">
        <v>519</v>
      </c>
      <c r="F61" s="73" t="s">
        <v>520</v>
      </c>
      <c r="G61" s="74">
        <v>42520231</v>
      </c>
      <c r="H61" s="73" t="s">
        <v>521</v>
      </c>
      <c r="I61" s="75" t="s">
        <v>522</v>
      </c>
      <c r="J61" s="75" t="s">
        <v>523</v>
      </c>
      <c r="K61" s="76">
        <v>28473192</v>
      </c>
      <c r="L61" s="75" t="s">
        <v>524</v>
      </c>
      <c r="M61" s="73" t="s">
        <v>459</v>
      </c>
      <c r="N61" s="72"/>
      <c r="O61" s="72"/>
      <c r="P61" s="72"/>
      <c r="Q61" s="73" t="s">
        <v>136</v>
      </c>
      <c r="R61" s="68">
        <v>45148</v>
      </c>
      <c r="S61" s="184">
        <v>0.45833333333333331</v>
      </c>
      <c r="T61" s="69" t="s">
        <v>592</v>
      </c>
      <c r="U61" s="212"/>
      <c r="V61" s="58" t="s">
        <v>733</v>
      </c>
      <c r="W61" s="34" t="str">
        <f t="shared" ca="1" si="2"/>
        <v>SI</v>
      </c>
      <c r="X61" s="23" t="str">
        <f t="shared" si="3"/>
        <v>DIANOSOL</v>
      </c>
      <c r="Y61" s="58" t="s">
        <v>994</v>
      </c>
      <c r="Z61" s="121" t="s">
        <v>1018</v>
      </c>
      <c r="AA61" s="121" t="str">
        <f>IF(Z61&lt;&gt;"",VLOOKUP($Z61,Resultados!$A$1:$B$49,2,FALSE),"")</f>
        <v>Recursos Denegados</v>
      </c>
    </row>
    <row r="62" spans="1:27" ht="38.25">
      <c r="A62" s="70">
        <v>64</v>
      </c>
      <c r="B62" s="68">
        <v>45142</v>
      </c>
      <c r="C62" s="71">
        <v>0.41666666666666669</v>
      </c>
      <c r="D62" s="72" t="s">
        <v>107</v>
      </c>
      <c r="E62" s="73" t="s">
        <v>537</v>
      </c>
      <c r="F62" s="73" t="s">
        <v>538</v>
      </c>
      <c r="G62" s="74">
        <v>27571017</v>
      </c>
      <c r="H62" s="73" t="s">
        <v>539</v>
      </c>
      <c r="I62" s="75" t="s">
        <v>514</v>
      </c>
      <c r="J62" s="75" t="s">
        <v>540</v>
      </c>
      <c r="K62" s="76">
        <v>33753033</v>
      </c>
      <c r="L62" s="75" t="s">
        <v>541</v>
      </c>
      <c r="M62" s="73" t="s">
        <v>428</v>
      </c>
      <c r="N62" s="72"/>
      <c r="O62" s="72"/>
      <c r="P62" s="72"/>
      <c r="Q62" s="73" t="s">
        <v>132</v>
      </c>
      <c r="R62" s="68">
        <v>45149</v>
      </c>
      <c r="S62" s="184">
        <v>0.4375</v>
      </c>
      <c r="T62" s="69" t="s">
        <v>1260</v>
      </c>
      <c r="U62" s="216" t="s">
        <v>816</v>
      </c>
      <c r="V62" s="73" t="s">
        <v>774</v>
      </c>
      <c r="W62" s="34" t="str">
        <f t="shared" ca="1" si="2"/>
        <v>SI</v>
      </c>
      <c r="X62" s="23" t="str">
        <f t="shared" si="3"/>
        <v>DIANOSOL</v>
      </c>
      <c r="Y62" s="58" t="s">
        <v>994</v>
      </c>
      <c r="Z62" s="121" t="s">
        <v>1062</v>
      </c>
      <c r="AA62" s="121" t="str">
        <f>IF(Z62&lt;&gt;"",VLOOKUP($Z62,Resultados!$A$1:$B$49,2,FALSE),"")</f>
        <v>Recursos donde se hizo lugar</v>
      </c>
    </row>
    <row r="63" spans="1:27" ht="89.25">
      <c r="A63" s="70">
        <v>67</v>
      </c>
      <c r="B63" s="68">
        <v>45143</v>
      </c>
      <c r="C63" s="71">
        <v>0.5</v>
      </c>
      <c r="D63" s="72" t="s">
        <v>242</v>
      </c>
      <c r="E63" s="73" t="s">
        <v>557</v>
      </c>
      <c r="F63" s="73" t="s">
        <v>558</v>
      </c>
      <c r="G63" s="74">
        <v>34867746</v>
      </c>
      <c r="H63" s="72"/>
      <c r="I63" s="75" t="s">
        <v>559</v>
      </c>
      <c r="J63" s="75" t="s">
        <v>560</v>
      </c>
      <c r="K63" s="76">
        <v>34190419</v>
      </c>
      <c r="L63" s="75" t="s">
        <v>649</v>
      </c>
      <c r="M63" s="73" t="s">
        <v>463</v>
      </c>
      <c r="N63" s="72"/>
      <c r="O63" s="73" t="s">
        <v>595</v>
      </c>
      <c r="P63" s="72"/>
      <c r="Q63" s="73" t="s">
        <v>556</v>
      </c>
      <c r="R63" s="68">
        <v>45152</v>
      </c>
      <c r="S63" s="184">
        <v>0.4375</v>
      </c>
      <c r="T63" s="69" t="s">
        <v>592</v>
      </c>
      <c r="U63" s="214" t="s">
        <v>1053</v>
      </c>
      <c r="V63" s="73" t="s">
        <v>742</v>
      </c>
      <c r="W63" s="34" t="str">
        <f t="shared" ca="1" si="2"/>
        <v>SI</v>
      </c>
      <c r="X63" s="23" t="str">
        <f t="shared" si="3"/>
        <v>DIANOSOL</v>
      </c>
      <c r="Y63" s="58" t="s">
        <v>994</v>
      </c>
      <c r="Z63" s="121" t="s">
        <v>1018</v>
      </c>
      <c r="AA63" s="121" t="str">
        <f>IF(Z63&lt;&gt;"",VLOOKUP($Z63,Resultados!$A$1:$B$49,2,FALSE),"")</f>
        <v>Recursos Denegados</v>
      </c>
    </row>
    <row r="64" spans="1:27" ht="51">
      <c r="A64" s="70">
        <v>61</v>
      </c>
      <c r="B64" s="68">
        <v>45141</v>
      </c>
      <c r="C64" s="71">
        <v>0.41666666666666669</v>
      </c>
      <c r="D64" s="72" t="s">
        <v>108</v>
      </c>
      <c r="E64" s="73" t="s">
        <v>525</v>
      </c>
      <c r="F64" s="73" t="s">
        <v>526</v>
      </c>
      <c r="G64" s="74">
        <v>34913942</v>
      </c>
      <c r="H64" s="73" t="s">
        <v>527</v>
      </c>
      <c r="I64" s="75" t="s">
        <v>528</v>
      </c>
      <c r="J64" s="75" t="s">
        <v>529</v>
      </c>
      <c r="K64" s="79"/>
      <c r="L64" s="75" t="s">
        <v>530</v>
      </c>
      <c r="M64" s="73" t="s">
        <v>531</v>
      </c>
      <c r="N64" s="72"/>
      <c r="O64" s="72"/>
      <c r="P64" s="72"/>
      <c r="Q64" s="73" t="s">
        <v>599</v>
      </c>
      <c r="R64" s="68">
        <v>45152</v>
      </c>
      <c r="S64" s="184">
        <v>0.47916666666666669</v>
      </c>
      <c r="T64" s="69" t="s">
        <v>378</v>
      </c>
      <c r="U64" s="214"/>
      <c r="V64" s="73" t="s">
        <v>774</v>
      </c>
      <c r="W64" s="34" t="str">
        <f t="shared" ca="1" si="2"/>
        <v>SI</v>
      </c>
      <c r="X64" s="23" t="str">
        <f t="shared" si="3"/>
        <v>DIANOSOL</v>
      </c>
      <c r="Y64" s="58" t="s">
        <v>994</v>
      </c>
      <c r="Z64" s="121" t="s">
        <v>1018</v>
      </c>
      <c r="AA64" s="121" t="str">
        <f>IF(Z64&lt;&gt;"",VLOOKUP($Z64,Resultados!$A$1:$B$49,2,FALSE),"")</f>
        <v>Recursos Denegados</v>
      </c>
    </row>
    <row r="65" spans="1:27" ht="63.75">
      <c r="A65" s="70">
        <v>56</v>
      </c>
      <c r="B65" s="68">
        <v>45139</v>
      </c>
      <c r="C65" s="186">
        <v>0.5</v>
      </c>
      <c r="D65" s="72" t="s">
        <v>227</v>
      </c>
      <c r="E65" s="73" t="s">
        <v>1100</v>
      </c>
      <c r="F65" s="73" t="s">
        <v>564</v>
      </c>
      <c r="G65" s="74">
        <v>32165072</v>
      </c>
      <c r="H65" s="73" t="s">
        <v>567</v>
      </c>
      <c r="I65" s="75" t="s">
        <v>566</v>
      </c>
      <c r="J65" s="79"/>
      <c r="K65" s="79"/>
      <c r="L65" s="79"/>
      <c r="M65" s="73" t="s">
        <v>569</v>
      </c>
      <c r="N65" s="73" t="s">
        <v>608</v>
      </c>
      <c r="O65" s="73" t="s">
        <v>570</v>
      </c>
      <c r="P65" s="72"/>
      <c r="Q65" s="73" t="s">
        <v>572</v>
      </c>
      <c r="R65" s="68">
        <v>45153</v>
      </c>
      <c r="S65" s="184">
        <v>0.39583333333333331</v>
      </c>
      <c r="T65" s="69" t="s">
        <v>939</v>
      </c>
      <c r="U65" s="214"/>
      <c r="V65" s="73" t="s">
        <v>733</v>
      </c>
      <c r="W65" s="34" t="str">
        <f t="shared" ca="1" si="2"/>
        <v>SI</v>
      </c>
      <c r="X65" s="23" t="str">
        <f t="shared" si="3"/>
        <v>DIANOSOL</v>
      </c>
      <c r="Y65" s="58" t="s">
        <v>994</v>
      </c>
      <c r="Z65" s="121" t="s">
        <v>1018</v>
      </c>
      <c r="AA65" s="121" t="str">
        <f>IF(Z65&lt;&gt;"",VLOOKUP($Z65,Resultados!$A$1:$B$49,2,FALSE),"")</f>
        <v>Recursos Denegados</v>
      </c>
    </row>
    <row r="66" spans="1:27" ht="63.75">
      <c r="A66" s="70">
        <v>57</v>
      </c>
      <c r="B66" s="68">
        <v>45139</v>
      </c>
      <c r="C66" s="71">
        <v>0.5</v>
      </c>
      <c r="D66" s="72" t="s">
        <v>227</v>
      </c>
      <c r="E66" s="73" t="s">
        <v>1100</v>
      </c>
      <c r="F66" s="73" t="s">
        <v>565</v>
      </c>
      <c r="G66" s="74">
        <v>35281473</v>
      </c>
      <c r="H66" s="73" t="s">
        <v>568</v>
      </c>
      <c r="I66" s="75" t="s">
        <v>566</v>
      </c>
      <c r="J66" s="79"/>
      <c r="K66" s="79"/>
      <c r="L66" s="79"/>
      <c r="M66" s="73" t="s">
        <v>569</v>
      </c>
      <c r="N66" s="73" t="s">
        <v>608</v>
      </c>
      <c r="O66" s="73" t="s">
        <v>570</v>
      </c>
      <c r="P66" s="72"/>
      <c r="Q66" s="73" t="s">
        <v>571</v>
      </c>
      <c r="R66" s="68">
        <v>45153</v>
      </c>
      <c r="S66" s="184">
        <v>0.39583333333333331</v>
      </c>
      <c r="T66" s="69" t="s">
        <v>940</v>
      </c>
      <c r="U66" s="213"/>
      <c r="V66" s="72"/>
      <c r="W66" s="34" t="str">
        <f t="shared" ca="1" si="2"/>
        <v>SI</v>
      </c>
      <c r="X66" s="23" t="str">
        <f t="shared" si="3"/>
        <v>DIANOSOL</v>
      </c>
      <c r="Y66" s="58" t="s">
        <v>994</v>
      </c>
      <c r="Z66" s="121" t="s">
        <v>1018</v>
      </c>
      <c r="AA66" s="121" t="str">
        <f>IF(Z66&lt;&gt;"",VLOOKUP($Z66,Resultados!$A$1:$B$49,2,FALSE),"")</f>
        <v>Recursos Denegados</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ref="W67:W85" ca="1" si="4">IF(R67&lt;=TODAY(),"SI","NO")</f>
        <v>SI</v>
      </c>
      <c r="X67" s="23" t="str">
        <f t="shared" ref="X67:X85" si="5">IF($X$1=R67,"DIASOL", "DIANOSOL")</f>
        <v>DIANOSOL</v>
      </c>
      <c r="Y67" s="58" t="s">
        <v>994</v>
      </c>
      <c r="Z67" s="121" t="s">
        <v>1018</v>
      </c>
      <c r="AA67" s="121" t="str">
        <f>IF(Z67&lt;&gt;"",VLOOKUP($Z67,Resultados!$A$1:$B$49,2,FALSE),"")</f>
        <v>Recursos Denegados</v>
      </c>
    </row>
    <row r="68" spans="1:27" ht="51">
      <c r="A68" s="70">
        <v>62</v>
      </c>
      <c r="B68" s="68">
        <v>45142</v>
      </c>
      <c r="C68" s="71">
        <v>0.41666666666666669</v>
      </c>
      <c r="D68" s="72" t="s">
        <v>106</v>
      </c>
      <c r="E68" s="73" t="s">
        <v>533</v>
      </c>
      <c r="F68" s="73" t="s">
        <v>168</v>
      </c>
      <c r="G68" s="74">
        <v>43950336</v>
      </c>
      <c r="H68" s="73" t="s">
        <v>169</v>
      </c>
      <c r="I68" s="75" t="s">
        <v>170</v>
      </c>
      <c r="J68" s="75" t="s">
        <v>171</v>
      </c>
      <c r="K68" s="81">
        <v>42503697</v>
      </c>
      <c r="L68" s="75" t="s">
        <v>172</v>
      </c>
      <c r="M68" s="73" t="s">
        <v>594</v>
      </c>
      <c r="N68" s="73" t="s">
        <v>174</v>
      </c>
      <c r="O68" s="73"/>
      <c r="P68" s="73" t="s">
        <v>14</v>
      </c>
      <c r="Q68" s="73" t="s">
        <v>132</v>
      </c>
      <c r="R68" s="69">
        <v>45153</v>
      </c>
      <c r="S68" s="184">
        <v>0.4375</v>
      </c>
      <c r="T68" s="69" t="s">
        <v>165</v>
      </c>
      <c r="U68" s="214" t="s">
        <v>1089</v>
      </c>
      <c r="V68" s="73" t="s">
        <v>774</v>
      </c>
      <c r="W68" s="34" t="str">
        <f t="shared" ca="1" si="4"/>
        <v>SI</v>
      </c>
      <c r="X68" s="23" t="str">
        <f t="shared" si="5"/>
        <v>DIANOSOL</v>
      </c>
      <c r="Y68" s="58" t="s">
        <v>994</v>
      </c>
      <c r="Z68" s="121" t="s">
        <v>1025</v>
      </c>
      <c r="AA68" s="121" t="str">
        <f>IF(Z68&lt;&gt;"",VLOOKUP($Z68,Resultados!$A$1:$B$49,2,FALSE),"")</f>
        <v>Recursos donde se hizo lugar</v>
      </c>
    </row>
    <row r="69" spans="1:27" ht="38.25">
      <c r="A69" s="70">
        <v>75</v>
      </c>
      <c r="B69" s="68">
        <v>45153</v>
      </c>
      <c r="C69" s="191">
        <v>0.45833333333333331</v>
      </c>
      <c r="D69" s="72" t="s">
        <v>226</v>
      </c>
      <c r="E69" s="73" t="s">
        <v>627</v>
      </c>
      <c r="F69" s="73" t="s">
        <v>628</v>
      </c>
      <c r="G69" s="72"/>
      <c r="H69" s="72"/>
      <c r="I69" s="75" t="s">
        <v>629</v>
      </c>
      <c r="J69" s="79"/>
      <c r="K69" s="79"/>
      <c r="L69" s="79"/>
      <c r="M69" s="73" t="s">
        <v>462</v>
      </c>
      <c r="N69" s="72"/>
      <c r="O69" s="72"/>
      <c r="P69" s="72"/>
      <c r="Q69" s="73" t="s">
        <v>626</v>
      </c>
      <c r="R69" s="68">
        <v>45154</v>
      </c>
      <c r="S69" s="184">
        <v>0.4375</v>
      </c>
      <c r="T69" s="69" t="s">
        <v>665</v>
      </c>
      <c r="U69" s="214" t="s">
        <v>991</v>
      </c>
      <c r="V69" s="72"/>
      <c r="W69" s="34" t="str">
        <f t="shared" ca="1" si="4"/>
        <v>SI</v>
      </c>
      <c r="X69" s="23" t="str">
        <f t="shared" si="5"/>
        <v>DIANOSOL</v>
      </c>
      <c r="Y69" s="58"/>
      <c r="Z69" s="121" t="s">
        <v>1040</v>
      </c>
      <c r="AA69" s="121" t="str">
        <f>IF(Z69&lt;&gt;"",VLOOKUP($Z69,Resultados!$A$1:$B$49,2,FALSE),"")</f>
        <v>Audiencias de Visu</v>
      </c>
    </row>
    <row r="70" spans="1:27" ht="76.5">
      <c r="A70" s="63">
        <v>79</v>
      </c>
      <c r="B70" s="60">
        <v>45153</v>
      </c>
      <c r="C70" s="183">
        <v>0.45833333333333331</v>
      </c>
      <c r="D70" s="40" t="s">
        <v>228</v>
      </c>
      <c r="E70" s="58" t="s">
        <v>650</v>
      </c>
      <c r="F70" s="58" t="s">
        <v>651</v>
      </c>
      <c r="G70" s="40"/>
      <c r="H70" s="40"/>
      <c r="I70" s="41" t="s">
        <v>652</v>
      </c>
      <c r="J70" s="41" t="s">
        <v>653</v>
      </c>
      <c r="K70" s="67"/>
      <c r="L70" s="67"/>
      <c r="M70" s="58" t="s">
        <v>635</v>
      </c>
      <c r="N70" s="40"/>
      <c r="O70" s="40"/>
      <c r="P70" s="58" t="s">
        <v>599</v>
      </c>
      <c r="Q70" s="58" t="s">
        <v>599</v>
      </c>
      <c r="R70" s="60">
        <v>45155</v>
      </c>
      <c r="S70" s="182">
        <v>0.47916666666666669</v>
      </c>
      <c r="T70" s="55" t="s">
        <v>750</v>
      </c>
      <c r="U70" s="213" t="s">
        <v>1169</v>
      </c>
      <c r="V70" s="58" t="s">
        <v>408</v>
      </c>
      <c r="W70" s="34" t="str">
        <f t="shared" ca="1" si="4"/>
        <v>SI</v>
      </c>
      <c r="X70" s="23" t="str">
        <f t="shared" si="5"/>
        <v>DIANOSOL</v>
      </c>
      <c r="Y70" s="58"/>
      <c r="Z70" s="121" t="s">
        <v>1040</v>
      </c>
      <c r="AA70" s="121" t="str">
        <f>IF(Z70&lt;&gt;"",VLOOKUP($Z70,Resultados!$A$1:$B$49,2,FALSE),"")</f>
        <v>Audiencias de Visu</v>
      </c>
    </row>
    <row r="71" spans="1:27" ht="89.25">
      <c r="A71" s="70">
        <v>66</v>
      </c>
      <c r="B71" s="68">
        <v>1140869</v>
      </c>
      <c r="C71" s="186">
        <v>0.5</v>
      </c>
      <c r="D71" s="72" t="s">
        <v>433</v>
      </c>
      <c r="E71" s="73" t="s">
        <v>548</v>
      </c>
      <c r="F71" s="73" t="s">
        <v>549</v>
      </c>
      <c r="G71" s="74">
        <v>22146036</v>
      </c>
      <c r="H71" s="73" t="s">
        <v>552</v>
      </c>
      <c r="I71" s="75" t="s">
        <v>550</v>
      </c>
      <c r="J71" s="75" t="s">
        <v>551</v>
      </c>
      <c r="K71" s="76">
        <v>39399277</v>
      </c>
      <c r="L71" s="75" t="s">
        <v>553</v>
      </c>
      <c r="M71" s="73" t="s">
        <v>554</v>
      </c>
      <c r="N71" s="73" t="s">
        <v>555</v>
      </c>
      <c r="O71" s="72"/>
      <c r="P71" s="72"/>
      <c r="Q71" s="73" t="s">
        <v>556</v>
      </c>
      <c r="R71" s="68">
        <v>45160</v>
      </c>
      <c r="S71" s="191">
        <v>0.39583333333333331</v>
      </c>
      <c r="T71" s="69" t="s">
        <v>1052</v>
      </c>
      <c r="U71" s="214" t="s">
        <v>1087</v>
      </c>
      <c r="V71" s="72"/>
      <c r="W71" s="34" t="str">
        <f t="shared" ca="1" si="4"/>
        <v>SI</v>
      </c>
      <c r="X71" s="23" t="str">
        <f t="shared" si="5"/>
        <v>DIANOSOL</v>
      </c>
      <c r="Y71" s="58" t="s">
        <v>1002</v>
      </c>
      <c r="Z71" s="121" t="s">
        <v>1014</v>
      </c>
      <c r="AA71" s="121" t="str">
        <f>IF(Z71&lt;&gt;"",VLOOKUP($Z71,Resultados!$A$1:$B$49,2,FALSE),"")</f>
        <v>Recursos Denegados</v>
      </c>
    </row>
    <row r="72" spans="1:27" ht="102">
      <c r="A72" s="43">
        <v>74</v>
      </c>
      <c r="B72" s="82">
        <v>45153</v>
      </c>
      <c r="C72" s="83">
        <v>0.45833333333333331</v>
      </c>
      <c r="D72" s="5" t="s">
        <v>230</v>
      </c>
      <c r="E72" s="6" t="s">
        <v>619</v>
      </c>
      <c r="F72" s="6" t="s">
        <v>620</v>
      </c>
      <c r="G72" s="85">
        <v>38032530</v>
      </c>
      <c r="H72" s="6" t="s">
        <v>622</v>
      </c>
      <c r="I72" s="37" t="s">
        <v>621</v>
      </c>
      <c r="J72" s="37" t="s">
        <v>623</v>
      </c>
      <c r="K72" s="86">
        <v>46801905</v>
      </c>
      <c r="L72" s="84"/>
      <c r="M72" s="6" t="s">
        <v>624</v>
      </c>
      <c r="N72" s="5"/>
      <c r="O72" s="6" t="s">
        <v>625</v>
      </c>
      <c r="P72" s="5"/>
      <c r="Q72" s="5"/>
      <c r="R72" s="82">
        <v>45160</v>
      </c>
      <c r="S72" s="178">
        <v>0.39583333333333331</v>
      </c>
      <c r="T72" s="36" t="s">
        <v>883</v>
      </c>
      <c r="U72" s="217" t="s">
        <v>1007</v>
      </c>
      <c r="V72" s="72"/>
      <c r="W72" s="34" t="str">
        <f t="shared" ca="1" si="4"/>
        <v>SI</v>
      </c>
      <c r="X72" s="23" t="str">
        <f t="shared" si="5"/>
        <v>DIANOSOL</v>
      </c>
      <c r="Y72" s="58" t="s">
        <v>994</v>
      </c>
      <c r="Z72" s="121" t="s">
        <v>1018</v>
      </c>
      <c r="AA72" s="121" t="str">
        <f>IF(Z72&lt;&gt;"",VLOOKUP($Z72,Resultados!$A$1:$B$49,2,FALSE),"")</f>
        <v>Recursos Denegados</v>
      </c>
    </row>
    <row r="73" spans="1:27" ht="38.25">
      <c r="A73" s="43">
        <v>70</v>
      </c>
      <c r="B73" s="82">
        <v>45148</v>
      </c>
      <c r="C73" s="83">
        <v>0.5</v>
      </c>
      <c r="D73" s="5" t="s">
        <v>227</v>
      </c>
      <c r="E73" s="6" t="s">
        <v>585</v>
      </c>
      <c r="F73" s="6" t="s">
        <v>586</v>
      </c>
      <c r="G73" s="85">
        <v>39365037</v>
      </c>
      <c r="H73" s="6" t="s">
        <v>587</v>
      </c>
      <c r="I73" s="37" t="s">
        <v>588</v>
      </c>
      <c r="J73" s="37" t="s">
        <v>589</v>
      </c>
      <c r="K73" s="86">
        <v>37088009</v>
      </c>
      <c r="L73" s="84"/>
      <c r="M73" s="6" t="s">
        <v>590</v>
      </c>
      <c r="N73" s="5"/>
      <c r="O73" s="6" t="s">
        <v>591</v>
      </c>
      <c r="P73" s="5"/>
      <c r="Q73" s="6" t="s">
        <v>136</v>
      </c>
      <c r="R73" s="82">
        <v>45160</v>
      </c>
      <c r="S73" s="178">
        <v>0.47916666666666669</v>
      </c>
      <c r="T73" s="36" t="s">
        <v>883</v>
      </c>
      <c r="U73" s="214" t="s">
        <v>1071</v>
      </c>
      <c r="V73" s="73" t="s">
        <v>817</v>
      </c>
      <c r="W73" s="34" t="str">
        <f t="shared" ca="1" si="4"/>
        <v>SI</v>
      </c>
      <c r="X73" s="23" t="str">
        <f t="shared" si="5"/>
        <v>DIANOSOL</v>
      </c>
      <c r="Y73" s="58" t="s">
        <v>994</v>
      </c>
      <c r="Z73" s="121" t="s">
        <v>1018</v>
      </c>
      <c r="AA73" s="121" t="str">
        <f>IF(Z73&lt;&gt;"",VLOOKUP($Z73,Resultados!$A$1:$B$49,2,FALSE),"")</f>
        <v>Recursos Denegados</v>
      </c>
    </row>
    <row r="74" spans="1:27" ht="76.5">
      <c r="A74" s="70">
        <v>68</v>
      </c>
      <c r="B74" s="68">
        <v>45147</v>
      </c>
      <c r="C74" s="186">
        <v>0.5</v>
      </c>
      <c r="D74" s="72" t="s">
        <v>228</v>
      </c>
      <c r="E74" s="73" t="s">
        <v>575</v>
      </c>
      <c r="F74" s="73" t="s">
        <v>576</v>
      </c>
      <c r="G74" s="80" t="s">
        <v>578</v>
      </c>
      <c r="H74" s="73" t="s">
        <v>580</v>
      </c>
      <c r="I74" s="75" t="s">
        <v>583</v>
      </c>
      <c r="J74" s="75" t="s">
        <v>582</v>
      </c>
      <c r="K74" s="79"/>
      <c r="L74" s="79"/>
      <c r="M74" s="73" t="s">
        <v>428</v>
      </c>
      <c r="N74" s="72"/>
      <c r="O74" s="72"/>
      <c r="P74" s="72"/>
      <c r="Q74" s="73" t="s">
        <v>626</v>
      </c>
      <c r="R74" s="68">
        <v>45162</v>
      </c>
      <c r="S74" s="191">
        <v>0.39583333333333331</v>
      </c>
      <c r="T74" s="69" t="s">
        <v>307</v>
      </c>
      <c r="U74" s="213" t="s">
        <v>1144</v>
      </c>
      <c r="V74" s="73" t="s">
        <v>804</v>
      </c>
      <c r="W74" s="34" t="str">
        <f t="shared" ca="1" si="4"/>
        <v>SI</v>
      </c>
      <c r="X74" s="23" t="str">
        <f t="shared" si="5"/>
        <v>DIANOSOL</v>
      </c>
      <c r="Y74" s="58" t="s">
        <v>994</v>
      </c>
      <c r="Z74" s="121" t="s">
        <v>1018</v>
      </c>
      <c r="AA74" s="121" t="str">
        <f>IF(Z74&lt;&gt;"",VLOOKUP($Z74,Resultados!$A$1:$B$49,2,FALSE),"")</f>
        <v>Recursos Denegados</v>
      </c>
    </row>
    <row r="75" spans="1:27" ht="76.5">
      <c r="A75" s="43">
        <v>69</v>
      </c>
      <c r="B75" s="82">
        <v>45147</v>
      </c>
      <c r="C75" s="83">
        <v>0.5</v>
      </c>
      <c r="D75" s="5" t="s">
        <v>228</v>
      </c>
      <c r="E75" s="6" t="s">
        <v>575</v>
      </c>
      <c r="F75" s="6" t="s">
        <v>577</v>
      </c>
      <c r="G75" s="57" t="s">
        <v>579</v>
      </c>
      <c r="H75" s="6" t="s">
        <v>581</v>
      </c>
      <c r="I75" s="37" t="s">
        <v>583</v>
      </c>
      <c r="J75" s="37" t="s">
        <v>582</v>
      </c>
      <c r="K75" s="84"/>
      <c r="L75" s="84"/>
      <c r="M75" s="6" t="s">
        <v>698</v>
      </c>
      <c r="N75" s="5"/>
      <c r="O75" s="5"/>
      <c r="P75" s="5"/>
      <c r="Q75" s="6" t="s">
        <v>699</v>
      </c>
      <c r="R75" s="82">
        <v>45162</v>
      </c>
      <c r="S75" s="178">
        <v>0.39583333333333331</v>
      </c>
      <c r="T75" s="36" t="s">
        <v>883</v>
      </c>
      <c r="U75" s="214" t="s">
        <v>1086</v>
      </c>
      <c r="V75" s="73" t="s">
        <v>804</v>
      </c>
      <c r="W75" s="34" t="str">
        <f t="shared" ca="1" si="4"/>
        <v>SI</v>
      </c>
      <c r="X75" s="23" t="str">
        <f t="shared" si="5"/>
        <v>DIANOSOL</v>
      </c>
      <c r="Y75" s="58" t="s">
        <v>994</v>
      </c>
      <c r="Z75" s="121" t="s">
        <v>1014</v>
      </c>
      <c r="AA75" s="121" t="str">
        <f>IF(Z75&lt;&gt;"",VLOOKUP($Z75,Resultados!$A$1:$B$49,2,FALSE),"")</f>
        <v>Recursos Denegados</v>
      </c>
    </row>
    <row r="76" spans="1:27" ht="102">
      <c r="A76" s="43">
        <v>72</v>
      </c>
      <c r="B76" s="82">
        <v>45153</v>
      </c>
      <c r="C76" s="83">
        <v>0.375</v>
      </c>
      <c r="D76" s="5" t="s">
        <v>229</v>
      </c>
      <c r="E76" s="6" t="s">
        <v>604</v>
      </c>
      <c r="F76" s="6" t="s">
        <v>609</v>
      </c>
      <c r="G76" s="85">
        <v>33979335</v>
      </c>
      <c r="H76" s="6" t="s">
        <v>605</v>
      </c>
      <c r="I76" s="37" t="s">
        <v>606</v>
      </c>
      <c r="J76" s="37" t="s">
        <v>607</v>
      </c>
      <c r="K76" s="86">
        <v>33705261</v>
      </c>
      <c r="L76" s="84" t="s">
        <v>610</v>
      </c>
      <c r="M76" s="5" t="s">
        <v>611</v>
      </c>
      <c r="N76" s="5"/>
      <c r="O76" s="5" t="s">
        <v>612</v>
      </c>
      <c r="P76" s="5"/>
      <c r="Q76" s="5" t="s">
        <v>136</v>
      </c>
      <c r="R76" s="82">
        <v>45162</v>
      </c>
      <c r="S76" s="178">
        <v>0.4375</v>
      </c>
      <c r="T76" s="36" t="s">
        <v>914</v>
      </c>
      <c r="U76" s="212" t="s">
        <v>1181</v>
      </c>
      <c r="V76" s="72" t="s">
        <v>817</v>
      </c>
      <c r="W76" s="34" t="str">
        <f t="shared" ca="1" si="4"/>
        <v>SI</v>
      </c>
      <c r="X76" s="23" t="str">
        <f t="shared" si="5"/>
        <v>DIANOSOL</v>
      </c>
      <c r="Y76" s="58" t="s">
        <v>994</v>
      </c>
      <c r="Z76" s="121" t="s">
        <v>1018</v>
      </c>
      <c r="AA76" s="121" t="str">
        <f>IF(Z76&lt;&gt;"",VLOOKUP($Z76,Resultados!$A$1:$B$49,2,FALSE),"")</f>
        <v>Recursos Denegados</v>
      </c>
    </row>
    <row r="77" spans="1:27" ht="51">
      <c r="A77" s="70">
        <v>76</v>
      </c>
      <c r="B77" s="68">
        <v>45153</v>
      </c>
      <c r="C77" s="186">
        <v>0.5</v>
      </c>
      <c r="D77" s="72" t="s">
        <v>105</v>
      </c>
      <c r="E77" s="73" t="s">
        <v>630</v>
      </c>
      <c r="F77" s="73" t="s">
        <v>631</v>
      </c>
      <c r="G77" s="74">
        <v>14994961</v>
      </c>
      <c r="H77" s="73" t="s">
        <v>632</v>
      </c>
      <c r="I77" s="75" t="s">
        <v>633</v>
      </c>
      <c r="J77" s="75" t="s">
        <v>634</v>
      </c>
      <c r="K77" s="79"/>
      <c r="L77" s="79"/>
      <c r="M77" s="73" t="s">
        <v>635</v>
      </c>
      <c r="N77" s="73" t="s">
        <v>636</v>
      </c>
      <c r="O77" s="72"/>
      <c r="P77" s="72"/>
      <c r="Q77" s="73" t="s">
        <v>599</v>
      </c>
      <c r="R77" s="68">
        <v>45162</v>
      </c>
      <c r="S77" s="184">
        <v>0.47916666666666669</v>
      </c>
      <c r="T77" s="69" t="s">
        <v>921</v>
      </c>
      <c r="U77" s="212"/>
      <c r="V77" s="58" t="s">
        <v>380</v>
      </c>
      <c r="W77" s="34" t="str">
        <f t="shared" ca="1" si="4"/>
        <v>SI</v>
      </c>
      <c r="X77" s="23" t="str">
        <f t="shared" si="5"/>
        <v>DIANOSOL</v>
      </c>
      <c r="Y77" s="58" t="s">
        <v>994</v>
      </c>
      <c r="Z77" s="121" t="s">
        <v>1025</v>
      </c>
      <c r="AA77" s="121" t="str">
        <f>IF(Z77&lt;&gt;"",VLOOKUP($Z77,Resultados!$A$1:$B$49,2,FALSE),"")</f>
        <v>Recursos donde se hizo lugar</v>
      </c>
    </row>
    <row r="78" spans="1:27" ht="38.25">
      <c r="A78" s="87">
        <v>77</v>
      </c>
      <c r="B78" s="88">
        <v>45153</v>
      </c>
      <c r="C78" s="89">
        <v>0.5</v>
      </c>
      <c r="D78" s="90" t="s">
        <v>104</v>
      </c>
      <c r="E78" s="91" t="s">
        <v>637</v>
      </c>
      <c r="F78" s="91" t="s">
        <v>638</v>
      </c>
      <c r="G78" s="92">
        <v>39535870</v>
      </c>
      <c r="H78" s="91" t="s">
        <v>639</v>
      </c>
      <c r="I78" s="93" t="s">
        <v>640</v>
      </c>
      <c r="J78" s="94"/>
      <c r="K78" s="94"/>
      <c r="L78" s="94"/>
      <c r="M78" s="91" t="s">
        <v>459</v>
      </c>
      <c r="N78" s="90"/>
      <c r="O78" s="90"/>
      <c r="P78" s="90"/>
      <c r="Q78" s="91" t="s">
        <v>599</v>
      </c>
      <c r="R78" s="95">
        <v>45163</v>
      </c>
      <c r="S78" s="185">
        <v>0.375</v>
      </c>
      <c r="T78" s="95" t="s">
        <v>931</v>
      </c>
      <c r="U78" s="213" t="s">
        <v>1266</v>
      </c>
      <c r="V78" s="91" t="s">
        <v>395</v>
      </c>
      <c r="W78" s="34" t="str">
        <f t="shared" ca="1" si="4"/>
        <v>SI</v>
      </c>
      <c r="X78" s="23" t="str">
        <f t="shared" si="5"/>
        <v>DIANOSOL</v>
      </c>
      <c r="Y78" s="58" t="s">
        <v>994</v>
      </c>
      <c r="Z78" s="121" t="s">
        <v>1044</v>
      </c>
      <c r="AA78" s="121" t="str">
        <f>IF(Z78&lt;&gt;"",VLOOKUP($Z78,Resultados!$A$1:$B$49,2,FALSE),"")</f>
        <v xml:space="preserve">Otros </v>
      </c>
    </row>
    <row r="79" spans="1:27" ht="38.25">
      <c r="A79" s="63">
        <v>80</v>
      </c>
      <c r="B79" s="60">
        <v>45153</v>
      </c>
      <c r="C79" s="183">
        <v>0.54166666666666663</v>
      </c>
      <c r="D79" s="40" t="s">
        <v>226</v>
      </c>
      <c r="E79" s="58" t="s">
        <v>654</v>
      </c>
      <c r="F79" s="58" t="s">
        <v>655</v>
      </c>
      <c r="G79" s="65">
        <v>36805855</v>
      </c>
      <c r="H79" s="58" t="s">
        <v>656</v>
      </c>
      <c r="I79" s="41" t="s">
        <v>657</v>
      </c>
      <c r="J79" s="41" t="s">
        <v>658</v>
      </c>
      <c r="K79" s="54">
        <v>25200848</v>
      </c>
      <c r="L79" s="41" t="s">
        <v>659</v>
      </c>
      <c r="M79" s="58" t="s">
        <v>471</v>
      </c>
      <c r="N79" s="40"/>
      <c r="O79" s="40"/>
      <c r="P79" s="40"/>
      <c r="Q79" s="58" t="s">
        <v>599</v>
      </c>
      <c r="R79" s="60">
        <v>45163</v>
      </c>
      <c r="S79" s="182">
        <v>0.39583333333333331</v>
      </c>
      <c r="T79" s="55" t="s">
        <v>743</v>
      </c>
      <c r="U79" s="219"/>
      <c r="V79" s="58" t="s">
        <v>408</v>
      </c>
      <c r="W79" s="34" t="str">
        <f t="shared" ca="1" si="4"/>
        <v>SI</v>
      </c>
      <c r="X79" s="23" t="str">
        <f t="shared" si="5"/>
        <v>DIANOSOL</v>
      </c>
      <c r="Y79" s="58" t="s">
        <v>994</v>
      </c>
      <c r="Z79" s="121" t="s">
        <v>1018</v>
      </c>
      <c r="AA79" s="121" t="str">
        <f>IF(Z79&lt;&gt;"",VLOOKUP($Z79,Resultados!$A$1:$B$49,2,FALSE),"")</f>
        <v>Recursos Denegados</v>
      </c>
    </row>
    <row r="80" spans="1:27" ht="38.25">
      <c r="A80" s="70">
        <v>91</v>
      </c>
      <c r="B80" s="68">
        <v>45167</v>
      </c>
      <c r="C80" s="186">
        <v>0.41666666666666669</v>
      </c>
      <c r="D80" s="72" t="s">
        <v>107</v>
      </c>
      <c r="E80" s="72" t="s">
        <v>738</v>
      </c>
      <c r="F80" s="72" t="s">
        <v>739</v>
      </c>
      <c r="G80" s="72"/>
      <c r="H80" s="72"/>
      <c r="I80" s="79"/>
      <c r="J80" s="79"/>
      <c r="K80" s="79"/>
      <c r="L80" s="79"/>
      <c r="M80" s="72" t="s">
        <v>740</v>
      </c>
      <c r="N80" s="72"/>
      <c r="O80" s="72" t="s">
        <v>741</v>
      </c>
      <c r="P80" s="72"/>
      <c r="Q80" s="72" t="s">
        <v>133</v>
      </c>
      <c r="R80" s="69">
        <v>45167</v>
      </c>
      <c r="S80" s="186">
        <v>0.45833333333333331</v>
      </c>
      <c r="T80" s="69" t="s">
        <v>776</v>
      </c>
      <c r="U80" s="213" t="s">
        <v>1072</v>
      </c>
      <c r="V80" s="72"/>
      <c r="W80" s="34" t="str">
        <f t="shared" ca="1" si="4"/>
        <v>SI</v>
      </c>
      <c r="X80" s="23" t="str">
        <f t="shared" si="5"/>
        <v>DIANOSOL</v>
      </c>
      <c r="Y80" s="58"/>
      <c r="Z80" s="121" t="s">
        <v>1040</v>
      </c>
      <c r="AA80" s="121" t="str">
        <f>IF(Z80&lt;&gt;"",VLOOKUP($Z80,Resultados!$A$1:$B$49,2,FALSE),"")</f>
        <v>Audiencias de Visu</v>
      </c>
    </row>
    <row r="81" spans="1:27" ht="25.5">
      <c r="A81" s="70">
        <v>90</v>
      </c>
      <c r="B81" s="68">
        <v>45167</v>
      </c>
      <c r="C81" s="186">
        <v>0.41666666666666669</v>
      </c>
      <c r="D81" s="72" t="s">
        <v>108</v>
      </c>
      <c r="E81" s="73" t="s">
        <v>734</v>
      </c>
      <c r="F81" s="73" t="s">
        <v>735</v>
      </c>
      <c r="G81" s="72"/>
      <c r="H81" s="73"/>
      <c r="I81" s="75" t="s">
        <v>736</v>
      </c>
      <c r="J81" s="79"/>
      <c r="K81" s="79"/>
      <c r="L81" s="79"/>
      <c r="M81" s="73" t="s">
        <v>737</v>
      </c>
      <c r="N81" s="72"/>
      <c r="O81" s="72"/>
      <c r="P81" s="72"/>
      <c r="Q81" s="73" t="s">
        <v>133</v>
      </c>
      <c r="R81" s="69">
        <v>45167</v>
      </c>
      <c r="S81" s="191">
        <v>0.47916666666666669</v>
      </c>
      <c r="T81" s="69" t="s">
        <v>776</v>
      </c>
      <c r="U81" s="218"/>
      <c r="V81" s="72"/>
      <c r="W81" s="34" t="str">
        <f t="shared" ca="1" si="4"/>
        <v>SI</v>
      </c>
      <c r="X81" s="23" t="str">
        <f t="shared" si="5"/>
        <v>DIANOSOL</v>
      </c>
      <c r="Y81" s="58"/>
      <c r="Z81" s="121" t="s">
        <v>1040</v>
      </c>
      <c r="AA81" s="121" t="str">
        <f>IF(Z81&lt;&gt;"",VLOOKUP($Z81,Resultados!$A$1:$B$49,2,FALSE),"")</f>
        <v>Audiencias de Visu</v>
      </c>
    </row>
    <row r="82" spans="1:27" ht="51">
      <c r="A82" s="70">
        <v>78</v>
      </c>
      <c r="B82" s="68">
        <v>45153</v>
      </c>
      <c r="C82" s="186">
        <v>0.5</v>
      </c>
      <c r="D82" s="72" t="s">
        <v>108</v>
      </c>
      <c r="E82" s="73" t="s">
        <v>641</v>
      </c>
      <c r="F82" s="73" t="s">
        <v>642</v>
      </c>
      <c r="G82" s="74">
        <v>41422147</v>
      </c>
      <c r="H82" s="73" t="s">
        <v>643</v>
      </c>
      <c r="I82" s="75" t="s">
        <v>644</v>
      </c>
      <c r="J82" s="75" t="s">
        <v>645</v>
      </c>
      <c r="K82" s="76">
        <v>44696273</v>
      </c>
      <c r="L82" s="75" t="s">
        <v>646</v>
      </c>
      <c r="M82" s="73" t="s">
        <v>647</v>
      </c>
      <c r="N82" s="72"/>
      <c r="O82" s="72"/>
      <c r="P82" s="72"/>
      <c r="Q82" s="73" t="s">
        <v>571</v>
      </c>
      <c r="R82" s="68">
        <v>45167</v>
      </c>
      <c r="S82" s="191">
        <v>0.52083333333333337</v>
      </c>
      <c r="T82" s="69" t="s">
        <v>932</v>
      </c>
      <c r="U82" s="218"/>
      <c r="V82" s="58" t="s">
        <v>399</v>
      </c>
      <c r="W82" s="34" t="str">
        <f t="shared" ca="1" si="4"/>
        <v>SI</v>
      </c>
      <c r="X82" s="23" t="str">
        <f t="shared" si="5"/>
        <v>DIANOSOL</v>
      </c>
      <c r="Y82" s="58" t="s">
        <v>994</v>
      </c>
      <c r="Z82" s="121" t="s">
        <v>1025</v>
      </c>
      <c r="AA82" s="121" t="str">
        <f>IF(Z82&lt;&gt;"",VLOOKUP($Z82,Resultados!$A$1:$B$49,2,FALSE),"")</f>
        <v>Recursos donde se hizo lugar</v>
      </c>
    </row>
    <row r="83" spans="1:27" ht="38.25">
      <c r="A83" s="70">
        <v>73</v>
      </c>
      <c r="B83" s="68">
        <v>45153</v>
      </c>
      <c r="C83" s="71">
        <v>0.41666666666666669</v>
      </c>
      <c r="D83" s="72" t="s">
        <v>105</v>
      </c>
      <c r="E83" s="72" t="s">
        <v>613</v>
      </c>
      <c r="F83" s="72" t="s">
        <v>614</v>
      </c>
      <c r="G83" s="74">
        <v>39003460</v>
      </c>
      <c r="H83" s="72" t="s">
        <v>615</v>
      </c>
      <c r="I83" s="79" t="s">
        <v>616</v>
      </c>
      <c r="J83" s="79" t="s">
        <v>617</v>
      </c>
      <c r="K83" s="76">
        <v>34846931</v>
      </c>
      <c r="L83" s="79" t="s">
        <v>618</v>
      </c>
      <c r="M83" s="73" t="s">
        <v>775</v>
      </c>
      <c r="N83" s="72"/>
      <c r="O83" s="72"/>
      <c r="P83" s="72"/>
      <c r="Q83" s="72" t="s">
        <v>136</v>
      </c>
      <c r="R83" s="69">
        <v>45169</v>
      </c>
      <c r="S83" s="184">
        <v>0.39583333333333331</v>
      </c>
      <c r="T83" s="69" t="s">
        <v>920</v>
      </c>
      <c r="U83" s="214"/>
      <c r="V83" s="72" t="s">
        <v>817</v>
      </c>
      <c r="W83" s="34" t="str">
        <f t="shared" ca="1" si="4"/>
        <v>SI</v>
      </c>
      <c r="X83" s="23" t="str">
        <f t="shared" si="5"/>
        <v>DIANOSOL</v>
      </c>
      <c r="Y83" s="58" t="s">
        <v>994</v>
      </c>
      <c r="Z83" s="121" t="s">
        <v>1035</v>
      </c>
      <c r="AA83" s="121" t="str">
        <f>IF(Z83&lt;&gt;"",VLOOKUP($Z83,Resultados!$A$1:$B$49,2,FALSE),"")</f>
        <v>Desestimientos de Recursos</v>
      </c>
    </row>
    <row r="84" spans="1:27" ht="38.25">
      <c r="A84" s="70">
        <v>86</v>
      </c>
      <c r="B84" s="68">
        <v>45154</v>
      </c>
      <c r="C84" s="186">
        <v>0.55555555555555558</v>
      </c>
      <c r="D84" s="72" t="s">
        <v>242</v>
      </c>
      <c r="E84" s="73" t="s">
        <v>701</v>
      </c>
      <c r="F84" s="73" t="s">
        <v>702</v>
      </c>
      <c r="G84" s="80" t="s">
        <v>703</v>
      </c>
      <c r="H84" s="73" t="s">
        <v>704</v>
      </c>
      <c r="I84" s="75" t="s">
        <v>705</v>
      </c>
      <c r="J84" s="75" t="s">
        <v>706</v>
      </c>
      <c r="K84" s="81" t="s">
        <v>707</v>
      </c>
      <c r="L84" s="75" t="s">
        <v>704</v>
      </c>
      <c r="M84" s="73" t="s">
        <v>708</v>
      </c>
      <c r="N84" s="72"/>
      <c r="O84" s="72"/>
      <c r="P84" s="73" t="s">
        <v>709</v>
      </c>
      <c r="Q84" s="73" t="s">
        <v>710</v>
      </c>
      <c r="R84" s="68">
        <v>45169</v>
      </c>
      <c r="S84" s="191">
        <v>0.39583333333333331</v>
      </c>
      <c r="T84" s="69" t="s">
        <v>914</v>
      </c>
      <c r="U84" s="209" t="s">
        <v>1083</v>
      </c>
      <c r="V84" s="58" t="s">
        <v>494</v>
      </c>
      <c r="W84" s="34" t="str">
        <f t="shared" ca="1" si="4"/>
        <v>SI</v>
      </c>
      <c r="X84" s="23" t="str">
        <f t="shared" si="5"/>
        <v>DIANOSOL</v>
      </c>
      <c r="Y84" s="58" t="s">
        <v>994</v>
      </c>
      <c r="Z84" s="121" t="s">
        <v>1018</v>
      </c>
      <c r="AA84" s="121" t="str">
        <f>IF(Z84&lt;&gt;"",VLOOKUP($Z84,Resultados!$A$1:$B$49,2,FALSE),"")</f>
        <v>Recursos Denegados</v>
      </c>
    </row>
    <row r="85" spans="1:27" ht="51">
      <c r="A85" s="70">
        <v>81</v>
      </c>
      <c r="B85" s="68">
        <v>45156</v>
      </c>
      <c r="C85" s="186">
        <v>0.54166666666666663</v>
      </c>
      <c r="D85" s="72" t="s">
        <v>227</v>
      </c>
      <c r="E85" s="73" t="s">
        <v>660</v>
      </c>
      <c r="F85" s="73" t="s">
        <v>661</v>
      </c>
      <c r="G85" s="74">
        <v>27514536</v>
      </c>
      <c r="H85" s="72"/>
      <c r="I85" s="75" t="s">
        <v>662</v>
      </c>
      <c r="J85" s="75" t="s">
        <v>663</v>
      </c>
      <c r="K85" s="79"/>
      <c r="L85" s="79"/>
      <c r="M85" s="73" t="s">
        <v>376</v>
      </c>
      <c r="N85" s="72"/>
      <c r="O85" s="72"/>
      <c r="P85" s="72"/>
      <c r="Q85" s="73" t="s">
        <v>664</v>
      </c>
      <c r="R85" s="69">
        <v>45170</v>
      </c>
      <c r="S85" s="184">
        <v>0.52083333333333337</v>
      </c>
      <c r="T85" s="69" t="s">
        <v>920</v>
      </c>
      <c r="U85" s="214"/>
      <c r="V85" s="58" t="s">
        <v>430</v>
      </c>
      <c r="W85" s="34" t="str">
        <f t="shared" ca="1" si="4"/>
        <v>SI</v>
      </c>
      <c r="X85" s="23" t="str">
        <f t="shared" si="5"/>
        <v>DIANOSOL</v>
      </c>
      <c r="Y85" s="58" t="s">
        <v>994</v>
      </c>
      <c r="Z85" s="121" t="s">
        <v>1035</v>
      </c>
      <c r="AA85" s="121" t="str">
        <f>IF(Z85&lt;&gt;"",VLOOKUP($Z85,Resultados!$A$1:$B$49,2,FALSE),"")</f>
        <v>Desestimientos de Recursos</v>
      </c>
    </row>
    <row r="86" spans="1:27" ht="38.25">
      <c r="A86" s="43">
        <v>141</v>
      </c>
      <c r="B86" s="82"/>
      <c r="C86" s="5"/>
      <c r="D86" s="5" t="s">
        <v>228</v>
      </c>
      <c r="E86" s="6" t="s">
        <v>1261</v>
      </c>
      <c r="F86" s="5"/>
      <c r="G86" s="5"/>
      <c r="H86" s="5"/>
      <c r="I86" s="84"/>
      <c r="J86" s="84"/>
      <c r="K86" s="84"/>
      <c r="L86" s="84"/>
      <c r="M86" s="5"/>
      <c r="N86" s="5"/>
      <c r="O86" s="5"/>
      <c r="P86" s="5"/>
      <c r="Q86" s="5"/>
      <c r="R86" s="82">
        <v>45173</v>
      </c>
      <c r="S86" s="83">
        <v>0.41666666666666669</v>
      </c>
      <c r="T86" s="82"/>
      <c r="U86" s="218"/>
      <c r="V86" s="40"/>
      <c r="W86" s="23" t="s">
        <v>994</v>
      </c>
      <c r="Y86" s="58" t="s">
        <v>994</v>
      </c>
      <c r="Z86" s="121" t="s">
        <v>1040</v>
      </c>
      <c r="AA86" s="121" t="str">
        <f>IF(Z86&lt;&gt;"",VLOOKUP($Z86,Resultados!$A$1:$B$49,2,FALSE),"")</f>
        <v>Audiencias de Visu</v>
      </c>
    </row>
    <row r="87" spans="1:27" ht="89.25">
      <c r="A87" s="70">
        <v>83</v>
      </c>
      <c r="B87" s="68">
        <v>45155</v>
      </c>
      <c r="C87" s="72"/>
      <c r="D87" s="72" t="s">
        <v>226</v>
      </c>
      <c r="E87" s="73" t="s">
        <v>677</v>
      </c>
      <c r="F87" s="73" t="s">
        <v>678</v>
      </c>
      <c r="G87" s="80">
        <v>45327862</v>
      </c>
      <c r="H87" s="73" t="s">
        <v>679</v>
      </c>
      <c r="I87" s="75" t="s">
        <v>680</v>
      </c>
      <c r="J87" s="79" t="s">
        <v>681</v>
      </c>
      <c r="K87" s="76">
        <v>44445327</v>
      </c>
      <c r="L87" s="75" t="s">
        <v>682</v>
      </c>
      <c r="M87" s="73" t="s">
        <v>683</v>
      </c>
      <c r="N87" s="72"/>
      <c r="O87" s="72"/>
      <c r="P87" s="73" t="s">
        <v>684</v>
      </c>
      <c r="Q87" s="73" t="s">
        <v>752</v>
      </c>
      <c r="R87" s="68">
        <v>45173</v>
      </c>
      <c r="S87" s="184">
        <v>0.47916666666666669</v>
      </c>
      <c r="T87" s="69" t="s">
        <v>913</v>
      </c>
      <c r="U87" s="214"/>
      <c r="V87" s="72"/>
      <c r="W87" s="34" t="str">
        <f t="shared" ref="W87:W92" ca="1" si="6">IF(R87&lt;=TODAY(),"SI","NO")</f>
        <v>SI</v>
      </c>
      <c r="X87" s="23" t="str">
        <f t="shared" ref="X87:X92" si="7">IF($X$1=R87,"DIASOL", "DIANOSOL")</f>
        <v>DIANOSOL</v>
      </c>
      <c r="Y87" s="58" t="s">
        <v>994</v>
      </c>
      <c r="Z87" s="121" t="s">
        <v>1018</v>
      </c>
      <c r="AA87" s="121" t="str">
        <f>IF(Z87&lt;&gt;"",VLOOKUP($Z87,Resultados!$A$1:$B$49,2,FALSE),"")</f>
        <v>Recursos Denegados</v>
      </c>
    </row>
    <row r="88" spans="1:27" ht="51">
      <c r="A88" s="70">
        <v>87</v>
      </c>
      <c r="B88" s="68">
        <v>45155</v>
      </c>
      <c r="C88" s="71">
        <v>0.55555555555555558</v>
      </c>
      <c r="D88" s="72" t="s">
        <v>105</v>
      </c>
      <c r="E88" s="73" t="s">
        <v>711</v>
      </c>
      <c r="F88" s="73" t="s">
        <v>766</v>
      </c>
      <c r="G88" s="73" t="s">
        <v>712</v>
      </c>
      <c r="H88" s="73" t="s">
        <v>717</v>
      </c>
      <c r="I88" s="75" t="s">
        <v>714</v>
      </c>
      <c r="J88" s="75" t="s">
        <v>713</v>
      </c>
      <c r="K88" s="75" t="s">
        <v>716</v>
      </c>
      <c r="L88" s="75" t="s">
        <v>715</v>
      </c>
      <c r="M88" s="73" t="s">
        <v>719</v>
      </c>
      <c r="N88" s="72"/>
      <c r="O88" s="72"/>
      <c r="P88" s="73" t="s">
        <v>718</v>
      </c>
      <c r="Q88" s="73" t="s">
        <v>132</v>
      </c>
      <c r="R88" s="68">
        <v>45174</v>
      </c>
      <c r="S88" s="184">
        <v>0.39583333333333331</v>
      </c>
      <c r="T88" s="69" t="s">
        <v>922</v>
      </c>
      <c r="U88" s="214" t="s">
        <v>892</v>
      </c>
      <c r="V88" s="58" t="s">
        <v>494</v>
      </c>
      <c r="W88" s="34" t="str">
        <f t="shared" ca="1" si="6"/>
        <v>SI</v>
      </c>
      <c r="X88" s="23" t="str">
        <f t="shared" si="7"/>
        <v>DIANOSOL</v>
      </c>
      <c r="Y88" s="58" t="s">
        <v>994</v>
      </c>
      <c r="Z88" s="121" t="s">
        <v>1062</v>
      </c>
      <c r="AA88" s="121" t="str">
        <f>IF(Z88&lt;&gt;"",VLOOKUP($Z88,Resultados!$A$1:$B$49,2,FALSE),"")</f>
        <v>Recursos donde se hizo lugar</v>
      </c>
    </row>
    <row r="89" spans="1:27" ht="89.25">
      <c r="A89" s="70">
        <v>96</v>
      </c>
      <c r="B89" s="68">
        <v>45169</v>
      </c>
      <c r="C89" s="71">
        <v>0.47222222222222227</v>
      </c>
      <c r="D89" s="72" t="s">
        <v>229</v>
      </c>
      <c r="E89" s="73" t="s">
        <v>767</v>
      </c>
      <c r="F89" s="73" t="s">
        <v>768</v>
      </c>
      <c r="G89" s="74">
        <v>32543978</v>
      </c>
      <c r="H89" s="73" t="s">
        <v>769</v>
      </c>
      <c r="I89" s="75" t="s">
        <v>770</v>
      </c>
      <c r="J89" s="75" t="s">
        <v>771</v>
      </c>
      <c r="K89" s="79"/>
      <c r="L89" s="79"/>
      <c r="M89" s="73" t="s">
        <v>772</v>
      </c>
      <c r="N89" s="73" t="s">
        <v>773</v>
      </c>
      <c r="O89" s="72"/>
      <c r="P89" s="72"/>
      <c r="Q89" s="73" t="s">
        <v>132</v>
      </c>
      <c r="R89" s="68">
        <v>45176</v>
      </c>
      <c r="S89" s="184">
        <v>0.39583333333333331</v>
      </c>
      <c r="T89" s="69" t="s">
        <v>943</v>
      </c>
      <c r="U89" s="218"/>
      <c r="V89" s="40"/>
      <c r="W89" s="34" t="str">
        <f t="shared" ca="1" si="6"/>
        <v>SI</v>
      </c>
      <c r="X89" s="23" t="str">
        <f t="shared" si="7"/>
        <v>DIANOSOL</v>
      </c>
      <c r="Y89" s="58" t="s">
        <v>994</v>
      </c>
      <c r="Z89" s="121" t="s">
        <v>1018</v>
      </c>
      <c r="AA89" s="121" t="str">
        <f>IF(Z89&lt;&gt;"",VLOOKUP($Z89,Resultados!$A$1:$B$49,2,FALSE),"")</f>
        <v>Recursos Denegados</v>
      </c>
    </row>
    <row r="90" spans="1:27" ht="63.75">
      <c r="A90" s="70">
        <v>89</v>
      </c>
      <c r="B90" s="68">
        <v>45162</v>
      </c>
      <c r="C90" s="71">
        <v>0.55555555555555558</v>
      </c>
      <c r="D90" s="72" t="s">
        <v>242</v>
      </c>
      <c r="E90" s="73" t="s">
        <v>725</v>
      </c>
      <c r="F90" s="73" t="s">
        <v>726</v>
      </c>
      <c r="G90" s="73" t="s">
        <v>729</v>
      </c>
      <c r="H90" s="73" t="s">
        <v>730</v>
      </c>
      <c r="I90" s="75" t="s">
        <v>727</v>
      </c>
      <c r="J90" s="75" t="s">
        <v>728</v>
      </c>
      <c r="K90" s="75" t="s">
        <v>731</v>
      </c>
      <c r="L90" s="75" t="s">
        <v>732</v>
      </c>
      <c r="M90" s="73" t="s">
        <v>778</v>
      </c>
      <c r="N90" s="72"/>
      <c r="O90" s="72"/>
      <c r="P90" s="72"/>
      <c r="Q90" s="73" t="s">
        <v>132</v>
      </c>
      <c r="R90" s="68">
        <v>45176</v>
      </c>
      <c r="S90" s="184">
        <v>0.47916666666666669</v>
      </c>
      <c r="T90" s="69" t="s">
        <v>923</v>
      </c>
      <c r="U90" s="214" t="s">
        <v>1060</v>
      </c>
      <c r="V90" s="6" t="s">
        <v>179</v>
      </c>
      <c r="W90" s="34" t="str">
        <f t="shared" ca="1" si="6"/>
        <v>SI</v>
      </c>
      <c r="X90" s="23" t="str">
        <f t="shared" si="7"/>
        <v>DIANOSOL</v>
      </c>
      <c r="Y90" s="58" t="s">
        <v>994</v>
      </c>
      <c r="Z90" s="174" t="s">
        <v>1062</v>
      </c>
      <c r="AA90" s="121" t="str">
        <f>IF(Z90&lt;&gt;"",VLOOKUP($Z90,Resultados!$A$1:$B$49,2,FALSE),"")</f>
        <v>Recursos donde se hizo lugar</v>
      </c>
    </row>
    <row r="91" spans="1:27" ht="51">
      <c r="A91" s="70">
        <v>95</v>
      </c>
      <c r="B91" s="68">
        <v>45168</v>
      </c>
      <c r="C91" s="186">
        <v>0.53611111111111109</v>
      </c>
      <c r="D91" s="72" t="s">
        <v>105</v>
      </c>
      <c r="E91" s="73" t="s">
        <v>763</v>
      </c>
      <c r="F91" s="73" t="s">
        <v>764</v>
      </c>
      <c r="G91" s="74">
        <v>16662992</v>
      </c>
      <c r="H91" s="72"/>
      <c r="I91" s="75" t="s">
        <v>814</v>
      </c>
      <c r="J91" s="75" t="s">
        <v>815</v>
      </c>
      <c r="K91" s="79"/>
      <c r="L91" s="79"/>
      <c r="M91" s="73" t="s">
        <v>386</v>
      </c>
      <c r="N91" s="72"/>
      <c r="O91" s="72"/>
      <c r="P91" s="72"/>
      <c r="Q91" s="73" t="s">
        <v>133</v>
      </c>
      <c r="R91" s="69">
        <v>45177</v>
      </c>
      <c r="S91" s="184">
        <v>0.33333333333333331</v>
      </c>
      <c r="T91" s="69" t="s">
        <v>924</v>
      </c>
      <c r="U91" s="214"/>
      <c r="V91" s="72"/>
      <c r="W91" s="34" t="str">
        <f t="shared" ca="1" si="6"/>
        <v>SI</v>
      </c>
      <c r="X91" s="23" t="str">
        <f t="shared" si="7"/>
        <v>DIANOSOL</v>
      </c>
      <c r="Y91" s="58" t="s">
        <v>994</v>
      </c>
      <c r="Z91" s="121" t="s">
        <v>1062</v>
      </c>
      <c r="AA91" s="121" t="str">
        <f>IF(Z91&lt;&gt;"",VLOOKUP($Z91,Resultados!$A$1:$B$49,2,FALSE),"")</f>
        <v>Recursos donde se hizo lugar</v>
      </c>
    </row>
    <row r="92" spans="1:27" ht="51">
      <c r="A92" s="70">
        <v>84</v>
      </c>
      <c r="B92" s="68">
        <v>45155</v>
      </c>
      <c r="C92" s="72"/>
      <c r="D92" s="72" t="s">
        <v>227</v>
      </c>
      <c r="E92" s="73" t="s">
        <v>685</v>
      </c>
      <c r="F92" s="73" t="s">
        <v>686</v>
      </c>
      <c r="G92" s="73" t="s">
        <v>687</v>
      </c>
      <c r="H92" s="72"/>
      <c r="I92" s="75" t="s">
        <v>688</v>
      </c>
      <c r="J92" s="79"/>
      <c r="K92" s="79"/>
      <c r="L92" s="79"/>
      <c r="M92" s="73" t="s">
        <v>827</v>
      </c>
      <c r="N92" s="72"/>
      <c r="O92" s="72"/>
      <c r="P92" s="72"/>
      <c r="Q92" s="73" t="s">
        <v>503</v>
      </c>
      <c r="R92" s="68">
        <v>45177</v>
      </c>
      <c r="S92" s="191">
        <v>0.38541666666666669</v>
      </c>
      <c r="T92" s="69" t="s">
        <v>914</v>
      </c>
      <c r="U92" s="214" t="s">
        <v>777</v>
      </c>
      <c r="V92" s="72"/>
      <c r="W92" s="34" t="str">
        <f t="shared" ca="1" si="6"/>
        <v>SI</v>
      </c>
      <c r="X92" s="23" t="str">
        <f t="shared" si="7"/>
        <v>DIANOSOL</v>
      </c>
      <c r="Y92" s="58" t="s">
        <v>994</v>
      </c>
      <c r="Z92" s="121" t="s">
        <v>1018</v>
      </c>
      <c r="AA92" s="121" t="str">
        <f>IF(Z92&lt;&gt;"",VLOOKUP($Z92,Resultados!$A$1:$B$49,2,FALSE),"")</f>
        <v>Recursos Denegados</v>
      </c>
    </row>
    <row r="93" spans="1:27" ht="25.5">
      <c r="A93" s="43">
        <v>142</v>
      </c>
      <c r="B93" s="82"/>
      <c r="C93" s="5"/>
      <c r="D93" s="5" t="s">
        <v>242</v>
      </c>
      <c r="E93" s="6" t="s">
        <v>1262</v>
      </c>
      <c r="F93" s="5"/>
      <c r="G93" s="5"/>
      <c r="H93" s="5"/>
      <c r="I93" s="84"/>
      <c r="J93" s="84"/>
      <c r="K93" s="84"/>
      <c r="L93" s="84"/>
      <c r="M93" s="5"/>
      <c r="N93" s="5"/>
      <c r="O93" s="5"/>
      <c r="P93" s="5"/>
      <c r="Q93" s="5"/>
      <c r="R93" s="82">
        <v>45177</v>
      </c>
      <c r="S93" s="83">
        <v>0.45833333333333331</v>
      </c>
      <c r="T93" s="82"/>
      <c r="U93" s="218"/>
      <c r="V93" s="5"/>
      <c r="W93" s="23" t="s">
        <v>994</v>
      </c>
      <c r="X93" s="22"/>
      <c r="Y93" s="6"/>
      <c r="Z93" s="121" t="s">
        <v>1040</v>
      </c>
      <c r="AA93" s="121" t="str">
        <f>IF(Z93&lt;&gt;"",VLOOKUP($Z93,Resultados!$A$1:$B$49,2,FALSE),"")</f>
        <v>Audiencias de Visu</v>
      </c>
    </row>
    <row r="94" spans="1:27" ht="25.5">
      <c r="A94" s="43">
        <v>143</v>
      </c>
      <c r="B94" s="82"/>
      <c r="C94" s="5"/>
      <c r="D94" s="5" t="s">
        <v>105</v>
      </c>
      <c r="E94" s="6" t="s">
        <v>1263</v>
      </c>
      <c r="F94" s="5"/>
      <c r="G94" s="5"/>
      <c r="H94" s="5"/>
      <c r="I94" s="84"/>
      <c r="J94" s="84"/>
      <c r="K94" s="84"/>
      <c r="L94" s="84"/>
      <c r="M94" s="5"/>
      <c r="N94" s="5"/>
      <c r="O94" s="5"/>
      <c r="P94" s="5"/>
      <c r="Q94" s="5"/>
      <c r="R94" s="82">
        <v>45177</v>
      </c>
      <c r="S94" s="83">
        <v>0.5</v>
      </c>
      <c r="T94" s="82"/>
      <c r="U94" s="218"/>
      <c r="V94" s="5"/>
      <c r="W94" s="23" t="s">
        <v>994</v>
      </c>
      <c r="X94" s="22"/>
      <c r="Y94" s="6"/>
      <c r="Z94" s="121" t="s">
        <v>1040</v>
      </c>
      <c r="AA94" s="121" t="str">
        <f>IF(Z94&lt;&gt;"",VLOOKUP($Z94,Resultados!$A$1:$B$49,2,FALSE),"")</f>
        <v>Audiencias de Visu</v>
      </c>
    </row>
    <row r="95" spans="1:27" ht="38.25">
      <c r="A95" s="70">
        <v>88</v>
      </c>
      <c r="B95" s="68">
        <v>45160</v>
      </c>
      <c r="C95" s="186">
        <v>0.55555555555555558</v>
      </c>
      <c r="D95" s="72" t="s">
        <v>104</v>
      </c>
      <c r="E95" s="73" t="s">
        <v>720</v>
      </c>
      <c r="F95" s="73" t="s">
        <v>845</v>
      </c>
      <c r="G95" s="73" t="s">
        <v>721</v>
      </c>
      <c r="H95" s="73" t="s">
        <v>722</v>
      </c>
      <c r="I95" s="75" t="s">
        <v>723</v>
      </c>
      <c r="J95" s="75" t="s">
        <v>724</v>
      </c>
      <c r="K95" s="79"/>
      <c r="L95" s="79"/>
      <c r="M95" s="73" t="s">
        <v>765</v>
      </c>
      <c r="N95" s="72"/>
      <c r="O95" s="72"/>
      <c r="P95" s="72"/>
      <c r="Q95" s="73" t="s">
        <v>136</v>
      </c>
      <c r="R95" s="68">
        <v>45180</v>
      </c>
      <c r="S95" s="191">
        <v>0.39583333333333331</v>
      </c>
      <c r="T95" s="69" t="s">
        <v>893</v>
      </c>
      <c r="U95" s="218"/>
      <c r="V95" s="73" t="s">
        <v>179</v>
      </c>
      <c r="W95" s="34" t="str">
        <f ca="1">IF(R95&lt;=TODAY(),"SI","NO")</f>
        <v>SI</v>
      </c>
      <c r="X95" s="23" t="str">
        <f>IF($X$1=R95,"DIASOL", "DIANOSOL")</f>
        <v>DIANOSOL</v>
      </c>
      <c r="Y95" s="58" t="s">
        <v>1002</v>
      </c>
      <c r="Z95" s="133" t="s">
        <v>1062</v>
      </c>
      <c r="AA95" s="121" t="str">
        <f>IF(Z95&lt;&gt;"",VLOOKUP($Z95,Resultados!$A$1:$B$49,2,FALSE),"")</f>
        <v>Recursos donde se hizo lugar</v>
      </c>
    </row>
    <row r="96" spans="1:27" ht="38.25">
      <c r="A96" s="70">
        <v>92</v>
      </c>
      <c r="B96" s="69" t="s">
        <v>733</v>
      </c>
      <c r="C96" s="186">
        <v>0.53125</v>
      </c>
      <c r="D96" s="72" t="s">
        <v>227</v>
      </c>
      <c r="E96" s="73" t="s">
        <v>744</v>
      </c>
      <c r="F96" s="73" t="s">
        <v>745</v>
      </c>
      <c r="G96" s="74">
        <v>28634204</v>
      </c>
      <c r="H96" s="73" t="s">
        <v>746</v>
      </c>
      <c r="I96" s="75" t="s">
        <v>747</v>
      </c>
      <c r="J96" s="75" t="s">
        <v>748</v>
      </c>
      <c r="K96" s="79"/>
      <c r="L96" s="79"/>
      <c r="M96" s="73" t="s">
        <v>376</v>
      </c>
      <c r="N96" s="72"/>
      <c r="O96" s="72"/>
      <c r="P96" s="72"/>
      <c r="Q96" s="73" t="s">
        <v>133</v>
      </c>
      <c r="R96" s="69">
        <v>45180</v>
      </c>
      <c r="S96" s="191">
        <v>0.39583333333333331</v>
      </c>
      <c r="T96" s="69" t="s">
        <v>942</v>
      </c>
      <c r="U96" s="220"/>
      <c r="V96" s="73" t="s">
        <v>849</v>
      </c>
      <c r="W96" s="34" t="str">
        <f ca="1">IF(R96&lt;=TODAY(),"SI","NO")</f>
        <v>SI</v>
      </c>
      <c r="X96" s="23" t="str">
        <f>IF($X$1=R96,"DIASOL", "DIANOSOL")</f>
        <v>DIANOSOL</v>
      </c>
      <c r="Y96" s="58" t="s">
        <v>994</v>
      </c>
      <c r="Z96" s="121" t="s">
        <v>1018</v>
      </c>
      <c r="AA96" s="121" t="str">
        <f>IF(Z96&lt;&gt;"",VLOOKUP($Z96,Resultados!$A$1:$B$49,2,FALSE),"")</f>
        <v>Recursos Denegados</v>
      </c>
    </row>
    <row r="97" spans="1:27" ht="89.25">
      <c r="A97" s="70">
        <v>93</v>
      </c>
      <c r="B97" s="69" t="s">
        <v>751</v>
      </c>
      <c r="C97" s="73" t="s">
        <v>753</v>
      </c>
      <c r="D97" s="72" t="s">
        <v>108</v>
      </c>
      <c r="E97" s="73" t="s">
        <v>754</v>
      </c>
      <c r="F97" s="73" t="s">
        <v>755</v>
      </c>
      <c r="G97" s="74">
        <v>11283803</v>
      </c>
      <c r="H97" s="73" t="s">
        <v>372</v>
      </c>
      <c r="I97" s="75" t="s">
        <v>373</v>
      </c>
      <c r="J97" s="75" t="s">
        <v>374</v>
      </c>
      <c r="K97" s="79"/>
      <c r="L97" s="75" t="s">
        <v>375</v>
      </c>
      <c r="M97" s="73" t="s">
        <v>376</v>
      </c>
      <c r="N97" s="72"/>
      <c r="O97" s="73" t="s">
        <v>756</v>
      </c>
      <c r="P97" s="72"/>
      <c r="Q97" s="73" t="s">
        <v>136</v>
      </c>
      <c r="R97" s="68">
        <v>45181</v>
      </c>
      <c r="S97" s="191">
        <v>0.39583333333333331</v>
      </c>
      <c r="T97" s="69" t="s">
        <v>851</v>
      </c>
      <c r="U97" s="214" t="s">
        <v>1060</v>
      </c>
      <c r="V97" s="73" t="s">
        <v>852</v>
      </c>
      <c r="W97" s="34" t="str">
        <f ca="1">IF(R97&lt;=TODAY(),"SI","NO")</f>
        <v>SI</v>
      </c>
      <c r="X97" s="23" t="str">
        <f>IF($X$1=R97,"DIASOL", "DIANOSOL")</f>
        <v>DIANOSOL</v>
      </c>
      <c r="Y97" s="58" t="s">
        <v>994</v>
      </c>
      <c r="Z97" s="121" t="s">
        <v>1018</v>
      </c>
      <c r="AA97" s="121" t="str">
        <f>IF(Z97&lt;&gt;"",VLOOKUP($Z97,Resultados!$A$1:$B$49,2,FALSE),"")</f>
        <v>Recursos Denegados</v>
      </c>
    </row>
    <row r="98" spans="1:27" ht="38.25">
      <c r="A98" s="70">
        <v>97</v>
      </c>
      <c r="B98" s="68">
        <v>45173</v>
      </c>
      <c r="C98" s="186">
        <v>0.51180555555555551</v>
      </c>
      <c r="D98" s="72" t="s">
        <v>104</v>
      </c>
      <c r="E98" s="73" t="s">
        <v>780</v>
      </c>
      <c r="F98" s="73" t="s">
        <v>781</v>
      </c>
      <c r="G98" s="74">
        <v>32630135</v>
      </c>
      <c r="H98" s="72"/>
      <c r="I98" s="75" t="s">
        <v>782</v>
      </c>
      <c r="J98" s="75" t="s">
        <v>783</v>
      </c>
      <c r="K98" s="76">
        <v>26400276</v>
      </c>
      <c r="L98" s="79"/>
      <c r="M98" s="73" t="s">
        <v>386</v>
      </c>
      <c r="N98" s="72"/>
      <c r="O98" s="72"/>
      <c r="P98" s="72"/>
      <c r="Q98" s="73" t="s">
        <v>813</v>
      </c>
      <c r="R98" s="68">
        <v>45181</v>
      </c>
      <c r="S98" s="186">
        <v>0.4375</v>
      </c>
      <c r="T98" s="69" t="s">
        <v>914</v>
      </c>
      <c r="U98" s="214" t="s">
        <v>990</v>
      </c>
      <c r="V98" s="73" t="s">
        <v>852</v>
      </c>
      <c r="W98" s="34" t="str">
        <f ca="1">IF(R98&lt;=TODAY(),"SI","NO")</f>
        <v>SI</v>
      </c>
      <c r="X98" s="23" t="str">
        <f>IF($X$1=R98,"DIASOL", "DIANOSOL")</f>
        <v>DIANOSOL</v>
      </c>
      <c r="Y98" s="58" t="s">
        <v>994</v>
      </c>
      <c r="Z98" s="121" t="s">
        <v>1018</v>
      </c>
      <c r="AA98" s="121" t="str">
        <f>IF(Z98&lt;&gt;"",VLOOKUP($Z98,Resultados!$A$1:$B$49,2,FALSE),"")</f>
        <v>Recursos Denegados</v>
      </c>
    </row>
    <row r="99" spans="1:27" ht="51">
      <c r="A99" s="70">
        <v>135</v>
      </c>
      <c r="B99" s="68">
        <v>45176</v>
      </c>
      <c r="C99" s="186">
        <v>0.5</v>
      </c>
      <c r="D99" s="72" t="s">
        <v>108</v>
      </c>
      <c r="E99" s="73" t="s">
        <v>819</v>
      </c>
      <c r="F99" s="73" t="s">
        <v>820</v>
      </c>
      <c r="G99" s="74">
        <v>29892834</v>
      </c>
      <c r="H99" s="72"/>
      <c r="I99" s="75" t="s">
        <v>821</v>
      </c>
      <c r="J99" s="75" t="s">
        <v>822</v>
      </c>
      <c r="K99" s="79"/>
      <c r="L99" s="79"/>
      <c r="M99" s="73" t="s">
        <v>386</v>
      </c>
      <c r="N99" s="72"/>
      <c r="O99" s="72"/>
      <c r="P99" s="72"/>
      <c r="Q99" s="73" t="s">
        <v>599</v>
      </c>
      <c r="R99" s="68">
        <v>45188</v>
      </c>
      <c r="S99" s="191">
        <v>0.35416666666666669</v>
      </c>
      <c r="T99" s="69" t="s">
        <v>934</v>
      </c>
      <c r="U99" s="214"/>
      <c r="V99" s="40"/>
      <c r="W99" s="23" t="s">
        <v>994</v>
      </c>
      <c r="Y99" s="58" t="s">
        <v>994</v>
      </c>
      <c r="Z99" s="121" t="s">
        <v>1025</v>
      </c>
      <c r="AA99" s="121" t="str">
        <f>IF(Z99&lt;&gt;"",VLOOKUP($Z99,Resultados!$A$1:$B$49,2,FALSE),"")</f>
        <v>Recursos donde se hizo lugar</v>
      </c>
    </row>
    <row r="100" spans="1:27" ht="102">
      <c r="A100" s="70">
        <v>94</v>
      </c>
      <c r="B100" s="69" t="s">
        <v>751</v>
      </c>
      <c r="C100" s="186">
        <v>0.52152777777777781</v>
      </c>
      <c r="D100" s="72" t="s">
        <v>107</v>
      </c>
      <c r="E100" s="73" t="s">
        <v>757</v>
      </c>
      <c r="F100" s="73" t="s">
        <v>758</v>
      </c>
      <c r="G100" s="73" t="s">
        <v>759</v>
      </c>
      <c r="H100" s="73" t="s">
        <v>760</v>
      </c>
      <c r="I100" s="75" t="s">
        <v>761</v>
      </c>
      <c r="J100" s="79"/>
      <c r="K100" s="79"/>
      <c r="L100" s="79"/>
      <c r="M100" s="73" t="s">
        <v>762</v>
      </c>
      <c r="N100" s="72"/>
      <c r="O100" s="72"/>
      <c r="P100" s="72"/>
      <c r="Q100" s="73" t="s">
        <v>779</v>
      </c>
      <c r="R100" s="68">
        <v>45188</v>
      </c>
      <c r="S100" s="191">
        <v>0.39583333333333331</v>
      </c>
      <c r="T100" s="69" t="s">
        <v>914</v>
      </c>
      <c r="U100" s="213" t="s">
        <v>1255</v>
      </c>
      <c r="V100" s="73" t="s">
        <v>962</v>
      </c>
      <c r="W100" s="34" t="str">
        <f t="shared" ref="W100:W108" ca="1" si="8">IF(R100&lt;=TODAY(),"SI","NO")</f>
        <v>SI</v>
      </c>
      <c r="X100" s="23" t="str">
        <f t="shared" ref="X100:X108" si="9">IF($X$1=R100,"DIASOL", "DIANOSOL")</f>
        <v>DIANOSOL</v>
      </c>
      <c r="Y100" s="58" t="s">
        <v>994</v>
      </c>
      <c r="Z100" s="121" t="s">
        <v>1018</v>
      </c>
      <c r="AA100" s="121" t="str">
        <f>IF(Z100&lt;&gt;"",VLOOKUP($Z100,Resultados!$A$1:$B$49,2,FALSE),"")</f>
        <v>Recursos Denegados</v>
      </c>
    </row>
    <row r="101" spans="1:27" ht="89.25">
      <c r="A101" s="70">
        <v>103</v>
      </c>
      <c r="B101" s="68">
        <v>45176</v>
      </c>
      <c r="C101" s="186">
        <v>0.5</v>
      </c>
      <c r="D101" s="72" t="s">
        <v>104</v>
      </c>
      <c r="E101" s="73" t="s">
        <v>823</v>
      </c>
      <c r="F101" s="73" t="s">
        <v>824</v>
      </c>
      <c r="G101" s="74">
        <v>30636137</v>
      </c>
      <c r="H101" s="72"/>
      <c r="I101" s="75" t="s">
        <v>825</v>
      </c>
      <c r="J101" s="75" t="s">
        <v>826</v>
      </c>
      <c r="K101" s="79"/>
      <c r="L101" s="79"/>
      <c r="M101" s="73" t="s">
        <v>828</v>
      </c>
      <c r="N101" s="73" t="s">
        <v>386</v>
      </c>
      <c r="O101" s="73" t="s">
        <v>801</v>
      </c>
      <c r="P101" s="72"/>
      <c r="Q101" s="73" t="s">
        <v>850</v>
      </c>
      <c r="R101" s="68">
        <v>45189</v>
      </c>
      <c r="S101" s="191">
        <v>0.39583333333333331</v>
      </c>
      <c r="T101" s="69" t="s">
        <v>914</v>
      </c>
      <c r="U101" s="216" t="s">
        <v>990</v>
      </c>
      <c r="V101" s="73" t="s">
        <v>884</v>
      </c>
      <c r="W101" s="34" t="str">
        <f t="shared" ca="1" si="8"/>
        <v>SI</v>
      </c>
      <c r="X101" s="23" t="str">
        <f t="shared" si="9"/>
        <v>DIANOSOL</v>
      </c>
      <c r="Y101" s="58" t="s">
        <v>994</v>
      </c>
      <c r="Z101" s="121" t="s">
        <v>1018</v>
      </c>
      <c r="AA101" s="121" t="str">
        <f>IF(Z101&lt;&gt;"",VLOOKUP($Z101,Resultados!$A$1:$B$49,2,FALSE),"")</f>
        <v>Recursos Denegados</v>
      </c>
    </row>
    <row r="102" spans="1:27" ht="51">
      <c r="A102" s="70">
        <v>101</v>
      </c>
      <c r="B102" s="68">
        <v>45176</v>
      </c>
      <c r="C102" s="186">
        <v>0.3840277777777778</v>
      </c>
      <c r="D102" s="72" t="s">
        <v>433</v>
      </c>
      <c r="E102" s="73" t="s">
        <v>805</v>
      </c>
      <c r="F102" s="73" t="s">
        <v>806</v>
      </c>
      <c r="G102" s="74">
        <v>40741379</v>
      </c>
      <c r="H102" s="73" t="s">
        <v>807</v>
      </c>
      <c r="I102" s="75" t="s">
        <v>808</v>
      </c>
      <c r="J102" s="75" t="s">
        <v>809</v>
      </c>
      <c r="K102" s="76">
        <v>43548569</v>
      </c>
      <c r="L102" s="75" t="s">
        <v>810</v>
      </c>
      <c r="M102" s="73" t="s">
        <v>811</v>
      </c>
      <c r="N102" s="73" t="s">
        <v>812</v>
      </c>
      <c r="O102" s="72"/>
      <c r="P102" s="72"/>
      <c r="Q102" s="73" t="s">
        <v>136</v>
      </c>
      <c r="R102" s="68">
        <v>45189</v>
      </c>
      <c r="S102" s="191">
        <v>0.4375</v>
      </c>
      <c r="T102" s="69"/>
      <c r="U102" s="214" t="s">
        <v>1054</v>
      </c>
      <c r="V102" s="73" t="s">
        <v>875</v>
      </c>
      <c r="W102" s="34" t="str">
        <f t="shared" ca="1" si="8"/>
        <v>SI</v>
      </c>
      <c r="X102" s="23" t="str">
        <f t="shared" si="9"/>
        <v>DIANOSOL</v>
      </c>
      <c r="Y102" s="58" t="s">
        <v>994</v>
      </c>
      <c r="Z102" s="121" t="s">
        <v>1019</v>
      </c>
      <c r="AA102" s="121" t="str">
        <f>IF(Z102&lt;&gt;"",VLOOKUP($Z102,Resultados!$A$1:$B$49,2,FALSE),"")</f>
        <v>Recursos donde se hizo lugar</v>
      </c>
    </row>
    <row r="103" spans="1:27" ht="63.75">
      <c r="A103" s="63">
        <v>98</v>
      </c>
      <c r="B103" s="60">
        <v>45174</v>
      </c>
      <c r="C103" s="183">
        <v>0.36180555555555555</v>
      </c>
      <c r="D103" s="40" t="s">
        <v>108</v>
      </c>
      <c r="E103" s="58" t="s">
        <v>784</v>
      </c>
      <c r="F103" s="58" t="s">
        <v>785</v>
      </c>
      <c r="G103" s="65">
        <v>21319295</v>
      </c>
      <c r="H103" s="58" t="s">
        <v>786</v>
      </c>
      <c r="I103" s="41" t="s">
        <v>787</v>
      </c>
      <c r="J103" s="41" t="s">
        <v>788</v>
      </c>
      <c r="K103" s="54">
        <v>22455033</v>
      </c>
      <c r="L103" s="41" t="s">
        <v>786</v>
      </c>
      <c r="M103" s="58" t="s">
        <v>789</v>
      </c>
      <c r="N103" s="58" t="s">
        <v>790</v>
      </c>
      <c r="O103" s="40"/>
      <c r="P103" s="40"/>
      <c r="Q103" s="58" t="s">
        <v>834</v>
      </c>
      <c r="R103" s="60">
        <v>45190</v>
      </c>
      <c r="S103" s="182">
        <v>0.45833333333333331</v>
      </c>
      <c r="T103" s="55" t="s">
        <v>918</v>
      </c>
      <c r="U103" s="213"/>
      <c r="V103" s="40"/>
      <c r="W103" s="34" t="str">
        <f t="shared" ca="1" si="8"/>
        <v>SI</v>
      </c>
      <c r="X103" s="23" t="str">
        <f t="shared" si="9"/>
        <v>DIANOSOL</v>
      </c>
      <c r="Y103" s="58" t="s">
        <v>994</v>
      </c>
      <c r="Z103" s="121" t="s">
        <v>1042</v>
      </c>
      <c r="AA103" s="121" t="str">
        <f>IF(Z103&lt;&gt;"",VLOOKUP($Z103,Resultados!$A$1:$B$49,2,FALSE),"")</f>
        <v>Recursos Abstractos</v>
      </c>
    </row>
    <row r="104" spans="1:27" ht="51">
      <c r="A104" s="63">
        <v>108</v>
      </c>
      <c r="B104" s="60">
        <v>45187</v>
      </c>
      <c r="C104" s="183">
        <v>0.51041666666666663</v>
      </c>
      <c r="D104" s="40" t="s">
        <v>230</v>
      </c>
      <c r="E104" s="58" t="s">
        <v>868</v>
      </c>
      <c r="F104" s="58" t="s">
        <v>869</v>
      </c>
      <c r="G104" s="65">
        <v>39782867</v>
      </c>
      <c r="H104" s="58" t="s">
        <v>870</v>
      </c>
      <c r="I104" s="41" t="s">
        <v>714</v>
      </c>
      <c r="J104" s="41" t="s">
        <v>871</v>
      </c>
      <c r="K104" s="54">
        <v>17134484</v>
      </c>
      <c r="L104" s="41" t="s">
        <v>872</v>
      </c>
      <c r="M104" s="58" t="s">
        <v>873</v>
      </c>
      <c r="N104" s="40"/>
      <c r="O104" s="40"/>
      <c r="P104" s="40"/>
      <c r="Q104" s="58" t="s">
        <v>572</v>
      </c>
      <c r="R104" s="60">
        <v>45191</v>
      </c>
      <c r="S104" s="182">
        <v>0.39583333333333331</v>
      </c>
      <c r="T104" s="55" t="s">
        <v>1055</v>
      </c>
      <c r="U104" s="214" t="s">
        <v>1103</v>
      </c>
      <c r="V104" s="112"/>
      <c r="W104" s="34" t="str">
        <f t="shared" ca="1" si="8"/>
        <v>SI</v>
      </c>
      <c r="X104" s="23" t="str">
        <f t="shared" si="9"/>
        <v>DIANOSOL</v>
      </c>
      <c r="Y104" s="58" t="s">
        <v>1002</v>
      </c>
      <c r="Z104" s="121" t="s">
        <v>1018</v>
      </c>
      <c r="AA104" s="121" t="str">
        <f>IF(Z104&lt;&gt;"",VLOOKUP($Z104,Resultados!$A$1:$B$49,2,FALSE),"")</f>
        <v>Recursos Denegados</v>
      </c>
    </row>
    <row r="105" spans="1:27" ht="63.75">
      <c r="A105" s="70">
        <v>105</v>
      </c>
      <c r="B105" s="68">
        <v>45176</v>
      </c>
      <c r="C105" s="71">
        <v>0.5</v>
      </c>
      <c r="D105" s="72" t="s">
        <v>226</v>
      </c>
      <c r="E105" s="73" t="s">
        <v>838</v>
      </c>
      <c r="F105" s="73" t="s">
        <v>839</v>
      </c>
      <c r="G105" s="74">
        <v>42815518</v>
      </c>
      <c r="H105" s="73" t="s">
        <v>840</v>
      </c>
      <c r="I105" s="75" t="s">
        <v>841</v>
      </c>
      <c r="J105" s="75" t="s">
        <v>842</v>
      </c>
      <c r="K105" s="75"/>
      <c r="L105" s="79" t="s">
        <v>843</v>
      </c>
      <c r="M105" s="73" t="s">
        <v>844</v>
      </c>
      <c r="N105" s="72"/>
      <c r="O105" s="73" t="s">
        <v>859</v>
      </c>
      <c r="P105" s="72"/>
      <c r="Q105" s="73" t="s">
        <v>848</v>
      </c>
      <c r="R105" s="68">
        <v>45191</v>
      </c>
      <c r="S105" s="186"/>
      <c r="T105" s="69" t="s">
        <v>914</v>
      </c>
      <c r="U105" s="212"/>
      <c r="V105" s="72"/>
      <c r="W105" s="34" t="str">
        <f t="shared" ca="1" si="8"/>
        <v>SI</v>
      </c>
      <c r="X105" s="23" t="str">
        <f t="shared" si="9"/>
        <v>DIANOSOL</v>
      </c>
      <c r="Y105" s="73" t="s">
        <v>994</v>
      </c>
      <c r="Z105" s="144" t="s">
        <v>1018</v>
      </c>
      <c r="AA105" s="121" t="str">
        <f>IF(Z105&lt;&gt;"",VLOOKUP($Z105,Resultados!$A$1:$B$49,2,FALSE),"")</f>
        <v>Recursos Denegados</v>
      </c>
    </row>
    <row r="106" spans="1:27" ht="38.25">
      <c r="A106" s="70">
        <v>85</v>
      </c>
      <c r="B106" s="68">
        <v>45153</v>
      </c>
      <c r="C106" s="186">
        <v>0.5541666666666667</v>
      </c>
      <c r="D106" s="72" t="s">
        <v>108</v>
      </c>
      <c r="E106" s="73" t="s">
        <v>689</v>
      </c>
      <c r="F106" s="73" t="s">
        <v>690</v>
      </c>
      <c r="G106" s="74">
        <v>25218008</v>
      </c>
      <c r="H106" s="73" t="s">
        <v>691</v>
      </c>
      <c r="I106" s="75" t="s">
        <v>695</v>
      </c>
      <c r="J106" s="75" t="s">
        <v>696</v>
      </c>
      <c r="K106" s="81">
        <v>23316838</v>
      </c>
      <c r="L106" s="75" t="s">
        <v>697</v>
      </c>
      <c r="M106" s="73" t="s">
        <v>692</v>
      </c>
      <c r="N106" s="73" t="s">
        <v>933</v>
      </c>
      <c r="O106" s="72"/>
      <c r="P106" s="73" t="s">
        <v>693</v>
      </c>
      <c r="Q106" s="73" t="s">
        <v>694</v>
      </c>
      <c r="R106" s="68">
        <v>45194</v>
      </c>
      <c r="S106" s="191">
        <v>0.4375</v>
      </c>
      <c r="T106" s="69" t="s">
        <v>961</v>
      </c>
      <c r="U106" s="213" t="s">
        <v>1088</v>
      </c>
      <c r="V106" s="72"/>
      <c r="W106" s="34" t="str">
        <f t="shared" ca="1" si="8"/>
        <v>SI</v>
      </c>
      <c r="X106" s="23" t="str">
        <f t="shared" si="9"/>
        <v>DIANOSOL</v>
      </c>
      <c r="Y106" s="58" t="s">
        <v>1002</v>
      </c>
      <c r="Z106" s="121" t="s">
        <v>1016</v>
      </c>
      <c r="AA106" s="121" t="str">
        <f>IF(Z106&lt;&gt;"",VLOOKUP($Z106,Resultados!$A$1:$B$49,2,FALSE),"")</f>
        <v>Recursos donde se hizo lugar</v>
      </c>
    </row>
    <row r="107" spans="1:27" ht="38.25">
      <c r="A107" s="70">
        <v>107</v>
      </c>
      <c r="B107" s="68">
        <v>45187</v>
      </c>
      <c r="C107" s="186">
        <v>0.86111111111111116</v>
      </c>
      <c r="D107" s="72" t="s">
        <v>105</v>
      </c>
      <c r="E107" s="73" t="s">
        <v>860</v>
      </c>
      <c r="F107" s="73" t="s">
        <v>867</v>
      </c>
      <c r="G107" s="73" t="s">
        <v>861</v>
      </c>
      <c r="H107" s="73" t="s">
        <v>864</v>
      </c>
      <c r="I107" s="75" t="s">
        <v>862</v>
      </c>
      <c r="J107" s="75" t="s">
        <v>863</v>
      </c>
      <c r="K107" s="76">
        <v>18077790</v>
      </c>
      <c r="L107" s="75" t="s">
        <v>865</v>
      </c>
      <c r="M107" s="73" t="s">
        <v>866</v>
      </c>
      <c r="N107" s="72"/>
      <c r="O107" s="72"/>
      <c r="P107" s="72"/>
      <c r="Q107" s="73" t="s">
        <v>132</v>
      </c>
      <c r="R107" s="68">
        <v>45196</v>
      </c>
      <c r="S107" s="191">
        <v>0.39583333333333331</v>
      </c>
      <c r="T107" s="69" t="s">
        <v>922</v>
      </c>
      <c r="U107" s="75"/>
      <c r="V107" s="40"/>
      <c r="W107" s="34" t="str">
        <f t="shared" ca="1" si="8"/>
        <v>SI</v>
      </c>
      <c r="X107" s="23" t="str">
        <f t="shared" si="9"/>
        <v>DIANOSOL</v>
      </c>
      <c r="Y107" s="58"/>
      <c r="Z107" s="121" t="s">
        <v>1062</v>
      </c>
      <c r="AA107" s="121" t="str">
        <f>IF(Z107&lt;&gt;"",VLOOKUP($Z107,Resultados!$A$1:$B$49,2,FALSE),"")</f>
        <v>Recursos donde se hizo lugar</v>
      </c>
    </row>
    <row r="108" spans="1:27" ht="89.25">
      <c r="A108" s="70">
        <v>109</v>
      </c>
      <c r="B108" s="68">
        <v>45189</v>
      </c>
      <c r="C108" s="186">
        <v>0.35416666666666669</v>
      </c>
      <c r="D108" s="72" t="s">
        <v>229</v>
      </c>
      <c r="E108" s="73" t="s">
        <v>876</v>
      </c>
      <c r="F108" s="73" t="s">
        <v>877</v>
      </c>
      <c r="G108" s="74">
        <v>40934600</v>
      </c>
      <c r="H108" s="73" t="s">
        <v>878</v>
      </c>
      <c r="I108" s="75" t="s">
        <v>879</v>
      </c>
      <c r="J108" s="75" t="s">
        <v>880</v>
      </c>
      <c r="K108" s="79"/>
      <c r="L108" s="79"/>
      <c r="M108" s="73" t="s">
        <v>881</v>
      </c>
      <c r="N108" s="73" t="s">
        <v>882</v>
      </c>
      <c r="O108" s="72"/>
      <c r="P108" s="72"/>
      <c r="Q108" s="73" t="s">
        <v>599</v>
      </c>
      <c r="R108" s="68">
        <v>45196</v>
      </c>
      <c r="S108" s="191">
        <v>0.39583333333333331</v>
      </c>
      <c r="T108" s="69" t="s">
        <v>883</v>
      </c>
      <c r="U108" s="212" t="s">
        <v>1073</v>
      </c>
      <c r="V108" s="40"/>
      <c r="W108" s="34" t="str">
        <f t="shared" ca="1" si="8"/>
        <v>SI</v>
      </c>
      <c r="X108" s="23" t="str">
        <f t="shared" si="9"/>
        <v>DIANOSOL</v>
      </c>
      <c r="Y108" s="58" t="s">
        <v>994</v>
      </c>
      <c r="Z108" s="121" t="s">
        <v>1018</v>
      </c>
      <c r="AA108" s="121" t="str">
        <f>IF(Z108&lt;&gt;"",VLOOKUP($Z108,Resultados!$A$1:$B$49,2,FALSE),"")</f>
        <v>Recursos Denegados</v>
      </c>
    </row>
    <row r="109" spans="1:27" ht="25.5">
      <c r="A109" s="43">
        <v>144</v>
      </c>
      <c r="B109" s="82"/>
      <c r="C109" s="5"/>
      <c r="D109" s="5" t="s">
        <v>230</v>
      </c>
      <c r="E109" s="6" t="s">
        <v>1264</v>
      </c>
      <c r="F109" s="5"/>
      <c r="G109" s="5"/>
      <c r="H109" s="5"/>
      <c r="I109" s="84"/>
      <c r="J109" s="84"/>
      <c r="K109" s="84"/>
      <c r="L109" s="84"/>
      <c r="M109" s="5"/>
      <c r="N109" s="5"/>
      <c r="O109" s="5"/>
      <c r="P109" s="5"/>
      <c r="Q109" s="5"/>
      <c r="R109" s="82">
        <v>45196</v>
      </c>
      <c r="S109" s="83">
        <v>0.45833333333333331</v>
      </c>
      <c r="T109" s="82"/>
      <c r="U109" s="218"/>
      <c r="V109" s="5"/>
      <c r="W109" s="23" t="s">
        <v>994</v>
      </c>
      <c r="X109" s="22"/>
      <c r="Y109" s="6"/>
      <c r="Z109" s="121" t="s">
        <v>1040</v>
      </c>
      <c r="AA109" s="121" t="str">
        <f>IF(Z109&lt;&gt;"",VLOOKUP($Z109,Resultados!$A$1:$B$49,2,FALSE),"")</f>
        <v>Audiencias de Visu</v>
      </c>
    </row>
    <row r="110" spans="1:27" ht="38.25">
      <c r="A110" s="70">
        <v>114</v>
      </c>
      <c r="B110" s="68">
        <v>45194</v>
      </c>
      <c r="C110" s="186">
        <v>0.52083333333333337</v>
      </c>
      <c r="D110" s="72" t="s">
        <v>226</v>
      </c>
      <c r="E110" s="73" t="s">
        <v>963</v>
      </c>
      <c r="F110" s="73" t="s">
        <v>969</v>
      </c>
      <c r="G110" s="74">
        <v>95780581</v>
      </c>
      <c r="H110" s="73" t="s">
        <v>964</v>
      </c>
      <c r="I110" s="75" t="s">
        <v>965</v>
      </c>
      <c r="J110" s="75" t="s">
        <v>966</v>
      </c>
      <c r="K110" s="76">
        <v>95591436</v>
      </c>
      <c r="L110" s="75" t="s">
        <v>968</v>
      </c>
      <c r="M110" s="73" t="s">
        <v>967</v>
      </c>
      <c r="N110" s="72"/>
      <c r="O110" s="72"/>
      <c r="P110" s="72"/>
      <c r="Q110" s="73" t="s">
        <v>556</v>
      </c>
      <c r="R110" s="68">
        <v>45197</v>
      </c>
      <c r="S110" s="191">
        <v>0.39583333333333331</v>
      </c>
      <c r="T110" s="69" t="s">
        <v>997</v>
      </c>
      <c r="U110" s="218"/>
      <c r="V110" s="40"/>
      <c r="W110" s="34" t="str">
        <f t="shared" ref="W110:W116" ca="1" si="10">IF(R110&lt;=TODAY(),"SI","NO")</f>
        <v>SI</v>
      </c>
      <c r="X110" s="23" t="str">
        <f t="shared" ref="X110:X116" si="11">IF($X$1=R110,"DIASOL", "DIANOSOL")</f>
        <v>DIANOSOL</v>
      </c>
      <c r="Y110" s="58" t="s">
        <v>994</v>
      </c>
      <c r="Z110" s="121" t="s">
        <v>1042</v>
      </c>
      <c r="AA110" s="121" t="str">
        <f>IF(Z110&lt;&gt;"",VLOOKUP($Z110,Resultados!$A$1:$B$49,2,FALSE),"")</f>
        <v>Recursos Abstractos</v>
      </c>
    </row>
    <row r="111" spans="1:27" ht="102">
      <c r="A111" s="70">
        <v>100</v>
      </c>
      <c r="B111" s="68">
        <v>45174</v>
      </c>
      <c r="C111" s="186">
        <v>0.5</v>
      </c>
      <c r="D111" s="72" t="s">
        <v>227</v>
      </c>
      <c r="E111" s="73" t="s">
        <v>797</v>
      </c>
      <c r="F111" s="73" t="s">
        <v>798</v>
      </c>
      <c r="G111" s="74">
        <v>96164712</v>
      </c>
      <c r="H111" s="72"/>
      <c r="I111" s="75" t="s">
        <v>799</v>
      </c>
      <c r="J111" s="75" t="s">
        <v>800</v>
      </c>
      <c r="K111" s="79"/>
      <c r="L111" s="75" t="s">
        <v>802</v>
      </c>
      <c r="M111" s="73" t="s">
        <v>975</v>
      </c>
      <c r="N111" s="73" t="s">
        <v>995</v>
      </c>
      <c r="O111" s="73" t="s">
        <v>801</v>
      </c>
      <c r="P111" s="72"/>
      <c r="Q111" s="73" t="s">
        <v>874</v>
      </c>
      <c r="R111" s="68">
        <v>45198</v>
      </c>
      <c r="S111" s="191">
        <v>0.39583333333333331</v>
      </c>
      <c r="T111" s="69" t="s">
        <v>1258</v>
      </c>
      <c r="U111" s="213" t="s">
        <v>1058</v>
      </c>
      <c r="V111" s="112"/>
      <c r="W111" s="34" t="str">
        <f t="shared" ca="1" si="10"/>
        <v>SI</v>
      </c>
      <c r="X111" s="153" t="str">
        <f t="shared" si="11"/>
        <v>DIANOSOL</v>
      </c>
      <c r="Y111" s="152" t="s">
        <v>994</v>
      </c>
      <c r="Z111" s="154"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10"/>
        <v>SI</v>
      </c>
      <c r="X112" s="23" t="str">
        <f t="shared" si="11"/>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10"/>
        <v>SI</v>
      </c>
      <c r="X113" s="23" t="str">
        <f t="shared" si="11"/>
        <v>DIANOSOL</v>
      </c>
      <c r="Y113" s="73" t="s">
        <v>994</v>
      </c>
      <c r="Z113" s="144" t="s">
        <v>1018</v>
      </c>
      <c r="AA113" s="121" t="str">
        <f>IF(Z113&lt;&gt;"",VLOOKUP($Z113,Resultados!$A$1:$B$49,2,FALSE),"")</f>
        <v>Recursos Denegados</v>
      </c>
    </row>
    <row r="114" spans="1:28" ht="51">
      <c r="A114" s="70">
        <v>104</v>
      </c>
      <c r="B114" s="68">
        <v>45176</v>
      </c>
      <c r="C114" s="186">
        <v>0.5</v>
      </c>
      <c r="D114" s="72" t="s">
        <v>242</v>
      </c>
      <c r="E114" s="73" t="s">
        <v>829</v>
      </c>
      <c r="F114" s="73" t="s">
        <v>830</v>
      </c>
      <c r="G114" s="74">
        <v>21576610</v>
      </c>
      <c r="H114" s="73" t="s">
        <v>831</v>
      </c>
      <c r="I114" s="75" t="s">
        <v>832</v>
      </c>
      <c r="J114" s="75" t="s">
        <v>833</v>
      </c>
      <c r="K114" s="81" t="s">
        <v>836</v>
      </c>
      <c r="L114" s="75" t="s">
        <v>835</v>
      </c>
      <c r="M114" s="73" t="s">
        <v>837</v>
      </c>
      <c r="N114" s="72"/>
      <c r="O114" s="73" t="s">
        <v>976</v>
      </c>
      <c r="P114" s="72"/>
      <c r="Q114" s="73" t="s">
        <v>847</v>
      </c>
      <c r="R114" s="68">
        <v>45201</v>
      </c>
      <c r="S114" s="191">
        <v>0.39583333333333331</v>
      </c>
      <c r="T114" s="69" t="s">
        <v>1115</v>
      </c>
      <c r="U114" s="214" t="s">
        <v>935</v>
      </c>
      <c r="V114" s="73" t="s">
        <v>884</v>
      </c>
      <c r="W114" s="34" t="str">
        <f t="shared" ca="1" si="10"/>
        <v>SI</v>
      </c>
      <c r="X114" s="23" t="str">
        <f t="shared" si="11"/>
        <v>DIANOSOL</v>
      </c>
      <c r="Y114" s="58" t="s">
        <v>994</v>
      </c>
      <c r="Z114" s="121" t="s">
        <v>1018</v>
      </c>
      <c r="AA114" s="121" t="str">
        <f>IF(Z114&lt;&gt;"",VLOOKUP($Z114,Resultados!$A$1:$B$49,2,FALSE),"")</f>
        <v>Recursos Denegados</v>
      </c>
    </row>
    <row r="115" spans="1:28" ht="102">
      <c r="A115" s="43">
        <v>117</v>
      </c>
      <c r="B115" s="82">
        <v>45197</v>
      </c>
      <c r="C115" s="83">
        <v>0.52083333333333337</v>
      </c>
      <c r="D115" s="5" t="s">
        <v>104</v>
      </c>
      <c r="E115" s="6" t="s">
        <v>996</v>
      </c>
      <c r="F115" s="6" t="s">
        <v>1106</v>
      </c>
      <c r="G115" s="85">
        <v>29788698</v>
      </c>
      <c r="H115" s="6" t="s">
        <v>1003</v>
      </c>
      <c r="I115" s="37" t="s">
        <v>998</v>
      </c>
      <c r="J115" s="37" t="s">
        <v>999</v>
      </c>
      <c r="K115" s="84"/>
      <c r="L115" s="37" t="s">
        <v>1000</v>
      </c>
      <c r="M115" s="6" t="s">
        <v>1001</v>
      </c>
      <c r="N115" s="5"/>
      <c r="O115" s="5"/>
      <c r="P115" s="5"/>
      <c r="Q115" s="6" t="s">
        <v>132</v>
      </c>
      <c r="R115" s="82">
        <v>45202</v>
      </c>
      <c r="S115" s="178">
        <v>0.39583333333333331</v>
      </c>
      <c r="T115" s="36" t="s">
        <v>307</v>
      </c>
      <c r="U115" s="214"/>
      <c r="V115" s="40"/>
      <c r="W115" s="34" t="str">
        <f t="shared" ca="1" si="10"/>
        <v>SI</v>
      </c>
      <c r="X115" s="23" t="str">
        <f t="shared" si="11"/>
        <v>DIANOSOL</v>
      </c>
      <c r="Y115" s="58" t="s">
        <v>1002</v>
      </c>
      <c r="Z115" s="121" t="s">
        <v>1018</v>
      </c>
      <c r="AA115" s="121" t="str">
        <f>IF(Z115&lt;&gt;"",VLOOKUP($Z115,Resultados!$A$1:$B$49,2,FALSE),"")</f>
        <v>Recursos Denegados</v>
      </c>
    </row>
    <row r="116" spans="1:28" ht="89.25">
      <c r="A116" s="63">
        <v>116</v>
      </c>
      <c r="B116" s="60">
        <v>45196</v>
      </c>
      <c r="C116" s="183">
        <v>0.52083333333333337</v>
      </c>
      <c r="D116" s="40" t="s">
        <v>433</v>
      </c>
      <c r="E116" s="58" t="s">
        <v>977</v>
      </c>
      <c r="F116" s="58" t="s">
        <v>978</v>
      </c>
      <c r="G116" s="65">
        <v>36805093</v>
      </c>
      <c r="H116" s="58" t="s">
        <v>981</v>
      </c>
      <c r="I116" s="41" t="s">
        <v>979</v>
      </c>
      <c r="J116" s="41" t="s">
        <v>980</v>
      </c>
      <c r="K116" s="67"/>
      <c r="L116" s="41" t="s">
        <v>982</v>
      </c>
      <c r="M116" s="58" t="s">
        <v>983</v>
      </c>
      <c r="N116" s="40"/>
      <c r="O116" s="40"/>
      <c r="P116" s="40"/>
      <c r="Q116" s="58" t="s">
        <v>500</v>
      </c>
      <c r="R116" s="60">
        <v>45204</v>
      </c>
      <c r="S116" s="182">
        <v>0.39583333333333331</v>
      </c>
      <c r="T116" s="55" t="s">
        <v>1142</v>
      </c>
      <c r="U116" s="213" t="s">
        <v>1060</v>
      </c>
      <c r="V116" s="40"/>
      <c r="W116" s="34" t="str">
        <f t="shared" ca="1" si="10"/>
        <v>SI</v>
      </c>
      <c r="X116" s="23" t="str">
        <f t="shared" si="11"/>
        <v>DIANOSOL</v>
      </c>
      <c r="Y116" s="58" t="s">
        <v>994</v>
      </c>
      <c r="Z116" s="121" t="s">
        <v>1042</v>
      </c>
      <c r="AA116" s="121" t="str">
        <f>IF(Z116&lt;&gt;"",VLOOKUP($Z116,Resultados!$A$1:$B$49,2,FALSE),"")</f>
        <v>Recursos Abstractos</v>
      </c>
    </row>
    <row r="117" spans="1:28" ht="38.25">
      <c r="A117" s="43">
        <v>145</v>
      </c>
      <c r="B117" s="82"/>
      <c r="C117" s="5"/>
      <c r="D117" s="5" t="s">
        <v>105</v>
      </c>
      <c r="E117" s="6" t="s">
        <v>1265</v>
      </c>
      <c r="F117" s="5"/>
      <c r="G117" s="5"/>
      <c r="H117" s="5"/>
      <c r="I117" s="84"/>
      <c r="J117" s="84"/>
      <c r="K117" s="84"/>
      <c r="L117" s="84"/>
      <c r="M117" s="5"/>
      <c r="N117" s="5"/>
      <c r="O117" s="5"/>
      <c r="P117" s="5"/>
      <c r="Q117" s="5"/>
      <c r="R117" s="82">
        <v>45205</v>
      </c>
      <c r="S117" s="83">
        <v>0.45833333333333331</v>
      </c>
      <c r="T117" s="82"/>
      <c r="U117" s="218"/>
      <c r="V117" s="5"/>
      <c r="W117" s="23" t="s">
        <v>994</v>
      </c>
      <c r="X117" s="22"/>
      <c r="Y117" s="6"/>
      <c r="Z117" s="121" t="s">
        <v>1040</v>
      </c>
      <c r="AA117" s="121" t="str">
        <f>IF(Z117&lt;&gt;"",VLOOKUP($Z117,Resultados!$A$1:$B$49,2,FALSE),"")</f>
        <v>Audiencias de Visu</v>
      </c>
    </row>
    <row r="118" spans="1:28" ht="76.5">
      <c r="A118" s="113">
        <v>113</v>
      </c>
      <c r="B118" s="114">
        <v>45194</v>
      </c>
      <c r="C118" s="115">
        <v>0.42430555555555555</v>
      </c>
      <c r="D118" s="116" t="s">
        <v>230</v>
      </c>
      <c r="E118" s="116" t="s">
        <v>953</v>
      </c>
      <c r="F118" s="116" t="s">
        <v>954</v>
      </c>
      <c r="G118" s="118">
        <v>10579695</v>
      </c>
      <c r="H118" s="116" t="s">
        <v>955</v>
      </c>
      <c r="I118" s="119" t="s">
        <v>956</v>
      </c>
      <c r="J118" s="119" t="s">
        <v>957</v>
      </c>
      <c r="K118" s="119" t="s">
        <v>958</v>
      </c>
      <c r="L118" s="119"/>
      <c r="M118" s="116" t="s">
        <v>959</v>
      </c>
      <c r="N118" s="116" t="s">
        <v>960</v>
      </c>
      <c r="O118" s="116"/>
      <c r="P118" s="116"/>
      <c r="Q118" s="116" t="s">
        <v>136</v>
      </c>
      <c r="R118" s="114">
        <v>45208</v>
      </c>
      <c r="S118" s="189">
        <v>0.39583333333333331</v>
      </c>
      <c r="T118" s="171" t="s">
        <v>307</v>
      </c>
      <c r="U118" s="221"/>
      <c r="V118" s="72"/>
      <c r="W118" s="34" t="str">
        <f ca="1">IF(R118&lt;=TODAY(),"SI","NO")</f>
        <v>SI</v>
      </c>
      <c r="X118" s="23" t="str">
        <f>IF($X$1=R118,"DIASOL", "DIANOSOL")</f>
        <v>DIANOSOL</v>
      </c>
      <c r="Y118" s="73" t="s">
        <v>994</v>
      </c>
      <c r="Z118" s="144" t="s">
        <v>1018</v>
      </c>
      <c r="AA118" s="121" t="str">
        <f>IF(Z118&lt;&gt;"",VLOOKUP($Z118,Resultados!$A$1:$B$49,2,FALSE),"")</f>
        <v>Recursos Denegados</v>
      </c>
    </row>
    <row r="119" spans="1:28" ht="51">
      <c r="A119" s="145">
        <v>123</v>
      </c>
      <c r="B119" s="146">
        <v>45203</v>
      </c>
      <c r="C119" s="188">
        <v>0.51874999999999993</v>
      </c>
      <c r="D119" s="147" t="s">
        <v>227</v>
      </c>
      <c r="E119" s="148" t="s">
        <v>1127</v>
      </c>
      <c r="F119" s="148" t="s">
        <v>1128</v>
      </c>
      <c r="G119" s="148" t="s">
        <v>1129</v>
      </c>
      <c r="H119" s="147"/>
      <c r="I119" s="150" t="s">
        <v>1130</v>
      </c>
      <c r="J119" s="150" t="s">
        <v>1131</v>
      </c>
      <c r="K119" s="170">
        <v>37720452</v>
      </c>
      <c r="L119" s="150" t="s">
        <v>1132</v>
      </c>
      <c r="M119" s="148" t="s">
        <v>1133</v>
      </c>
      <c r="N119" s="147"/>
      <c r="O119" s="147"/>
      <c r="P119" s="147"/>
      <c r="Q119" s="148" t="s">
        <v>136</v>
      </c>
      <c r="R119" s="146">
        <v>45209</v>
      </c>
      <c r="S119" s="188">
        <v>0.39583333333333331</v>
      </c>
      <c r="T119" s="169" t="s">
        <v>1180</v>
      </c>
      <c r="U119" s="224" t="s">
        <v>990</v>
      </c>
      <c r="Y119" s="133" t="s">
        <v>994</v>
      </c>
      <c r="Z119" s="121" t="s">
        <v>1062</v>
      </c>
      <c r="AA119" s="121" t="str">
        <f>IF(Z119&lt;&gt;"",VLOOKUP($Z119,Resultados!$A$1:$B$49,2,FALSE),"")</f>
        <v>Recursos donde se hizo lugar</v>
      </c>
      <c r="AB119" s="8"/>
    </row>
    <row r="120" spans="1:28" ht="39.950000000000003" customHeight="1">
      <c r="A120" s="113">
        <v>124</v>
      </c>
      <c r="B120" s="114">
        <v>45203</v>
      </c>
      <c r="C120" s="115">
        <v>0.41666666666666669</v>
      </c>
      <c r="D120" s="116" t="s">
        <v>226</v>
      </c>
      <c r="E120" s="116" t="s">
        <v>1134</v>
      </c>
      <c r="F120" s="116" t="s">
        <v>1135</v>
      </c>
      <c r="G120" s="118">
        <v>17708885</v>
      </c>
      <c r="H120" s="116" t="s">
        <v>1136</v>
      </c>
      <c r="I120" s="119" t="s">
        <v>1137</v>
      </c>
      <c r="J120" s="119" t="s">
        <v>1138</v>
      </c>
      <c r="K120" s="119"/>
      <c r="L120" s="119" t="s">
        <v>1139</v>
      </c>
      <c r="M120" s="116" t="s">
        <v>1140</v>
      </c>
      <c r="N120" s="116" t="s">
        <v>1141</v>
      </c>
      <c r="O120" s="116"/>
      <c r="P120" s="116"/>
      <c r="Q120" s="117" t="s">
        <v>136</v>
      </c>
      <c r="R120" s="114">
        <v>45211</v>
      </c>
      <c r="S120" s="189">
        <v>0.39583333333333331</v>
      </c>
      <c r="T120" s="171" t="s">
        <v>1190</v>
      </c>
      <c r="U120" s="224" t="s">
        <v>1196</v>
      </c>
      <c r="Y120" s="133" t="s">
        <v>994</v>
      </c>
      <c r="Z120" s="121" t="s">
        <v>1062</v>
      </c>
      <c r="AA120" s="121" t="str">
        <f>IF(Z120&lt;&gt;"",VLOOKUP($Z120,Resultados!$A$1:$B$49,2,FALSE),"")</f>
        <v>Recursos donde se hizo lugar</v>
      </c>
      <c r="AB120" s="8"/>
    </row>
    <row r="121" spans="1:28" ht="39.950000000000003" customHeight="1">
      <c r="A121" s="113">
        <v>115</v>
      </c>
      <c r="B121" s="114">
        <v>45194</v>
      </c>
      <c r="C121" s="115">
        <v>0.52083333333333337</v>
      </c>
      <c r="D121" s="116" t="s">
        <v>108</v>
      </c>
      <c r="E121" s="117" t="s">
        <v>970</v>
      </c>
      <c r="F121" s="117" t="s">
        <v>974</v>
      </c>
      <c r="G121" s="118">
        <v>30905288</v>
      </c>
      <c r="H121" s="117" t="s">
        <v>971</v>
      </c>
      <c r="I121" s="232" t="s">
        <v>972</v>
      </c>
      <c r="J121" s="232" t="s">
        <v>822</v>
      </c>
      <c r="K121" s="119"/>
      <c r="L121" s="119"/>
      <c r="M121" s="117" t="s">
        <v>973</v>
      </c>
      <c r="N121" s="116"/>
      <c r="O121" s="116"/>
      <c r="P121" s="116"/>
      <c r="Q121" s="117" t="s">
        <v>132</v>
      </c>
      <c r="R121" s="114">
        <v>45211</v>
      </c>
      <c r="S121" s="189">
        <v>0.4375</v>
      </c>
      <c r="T121" s="171" t="s">
        <v>1192</v>
      </c>
      <c r="U121" s="224" t="s">
        <v>1073</v>
      </c>
      <c r="V121" s="237"/>
      <c r="W121" s="34" t="str">
        <f ca="1">IF(R121&lt;=TODAY(),"SI","NO")</f>
        <v>SI</v>
      </c>
      <c r="X121" s="23" t="str">
        <f>IF($X$1=R121,"DIASOL", "DIANOSOL")</f>
        <v>DIANOSOL</v>
      </c>
      <c r="Y121" s="240" t="s">
        <v>994</v>
      </c>
      <c r="Z121" s="144" t="s">
        <v>1018</v>
      </c>
      <c r="AA121" s="121" t="str">
        <f>IF(Z121&lt;&gt;"",VLOOKUP($Z121,Resultados!$A$1:$B$49,2,FALSE),"")</f>
        <v>Recursos Denegados</v>
      </c>
      <c r="AB121" s="8"/>
    </row>
    <row r="122" spans="1:28" ht="39.950000000000003" customHeight="1">
      <c r="A122" s="43">
        <v>118</v>
      </c>
      <c r="B122" s="146">
        <v>45197</v>
      </c>
      <c r="C122" s="188">
        <v>0.52083333333333337</v>
      </c>
      <c r="D122" s="147" t="s">
        <v>108</v>
      </c>
      <c r="E122" s="148" t="s">
        <v>1004</v>
      </c>
      <c r="F122" s="148" t="s">
        <v>1005</v>
      </c>
      <c r="G122" s="149">
        <v>19079034</v>
      </c>
      <c r="H122" s="147"/>
      <c r="I122" s="150" t="s">
        <v>972</v>
      </c>
      <c r="J122" s="150" t="s">
        <v>822</v>
      </c>
      <c r="K122" s="151"/>
      <c r="L122" s="150" t="s">
        <v>968</v>
      </c>
      <c r="M122" s="148" t="s">
        <v>1006</v>
      </c>
      <c r="N122" s="147"/>
      <c r="O122" s="147"/>
      <c r="P122" s="147"/>
      <c r="Q122" s="148" t="s">
        <v>132</v>
      </c>
      <c r="R122" s="146">
        <v>45211</v>
      </c>
      <c r="S122" s="187">
        <v>0.4375</v>
      </c>
      <c r="T122" s="169" t="s">
        <v>1195</v>
      </c>
      <c r="U122" s="222"/>
      <c r="W122" s="34" t="str">
        <f ca="1">IF(R122&lt;=TODAY(),"SI","NO")</f>
        <v>SI</v>
      </c>
      <c r="X122" s="23" t="str">
        <f>IF($X$1=R122,"DIASOL", "DIANOSOL")</f>
        <v>DIANOSOL</v>
      </c>
      <c r="Y122" s="172" t="s">
        <v>994</v>
      </c>
      <c r="Z122" s="173" t="s">
        <v>1035</v>
      </c>
      <c r="AA122" s="121" t="str">
        <f>IF(Z122&lt;&gt;"",VLOOKUP($Z122,Resultados!$A$1:$B$49,2,FALSE),"")</f>
        <v>Desestimientos de Recursos</v>
      </c>
      <c r="AB122" s="8"/>
    </row>
    <row r="123" spans="1:28" ht="38.25">
      <c r="A123" s="176">
        <v>130</v>
      </c>
      <c r="B123" s="146">
        <v>45205</v>
      </c>
      <c r="C123" s="188">
        <v>0.5</v>
      </c>
      <c r="D123" s="147" t="s">
        <v>108</v>
      </c>
      <c r="E123" s="148" t="s">
        <v>1178</v>
      </c>
      <c r="F123" s="148" t="s">
        <v>1179</v>
      </c>
      <c r="G123" s="149">
        <v>34993106</v>
      </c>
      <c r="H123" s="147"/>
      <c r="I123" s="150" t="s">
        <v>972</v>
      </c>
      <c r="J123" s="150" t="s">
        <v>822</v>
      </c>
      <c r="K123" s="151"/>
      <c r="L123" s="151"/>
      <c r="M123" s="148" t="s">
        <v>215</v>
      </c>
      <c r="N123" s="147"/>
      <c r="O123" s="147"/>
      <c r="P123" s="147"/>
      <c r="Q123" s="148" t="s">
        <v>132</v>
      </c>
      <c r="R123" s="146">
        <v>45211</v>
      </c>
      <c r="S123" s="187">
        <v>0.4375</v>
      </c>
      <c r="T123" s="169" t="s">
        <v>1194</v>
      </c>
      <c r="U123" s="221" t="s">
        <v>1069</v>
      </c>
      <c r="V123" s="40"/>
      <c r="W123" s="73"/>
      <c r="X123" s="73"/>
      <c r="Y123" s="58" t="s">
        <v>994</v>
      </c>
      <c r="Z123" s="174" t="s">
        <v>1025</v>
      </c>
      <c r="AA123" s="121" t="str">
        <f>IF(Z123&lt;&gt;"",VLOOKUP($Z123,Resultados!$A$1:$B$49,2,FALSE),"")</f>
        <v>Recursos donde se hizo lugar</v>
      </c>
      <c r="AB123" s="8"/>
    </row>
    <row r="124" spans="1:28" ht="38.25">
      <c r="A124" s="145">
        <v>119</v>
      </c>
      <c r="B124" s="146">
        <v>45198</v>
      </c>
      <c r="C124" s="188">
        <v>0.46875</v>
      </c>
      <c r="D124" s="147" t="s">
        <v>230</v>
      </c>
      <c r="E124" s="148" t="s">
        <v>1008</v>
      </c>
      <c r="F124" s="148" t="s">
        <v>1009</v>
      </c>
      <c r="G124" s="149">
        <v>36791896</v>
      </c>
      <c r="H124" s="148" t="s">
        <v>1010</v>
      </c>
      <c r="I124" s="150" t="s">
        <v>420</v>
      </c>
      <c r="J124" s="150" t="s">
        <v>1011</v>
      </c>
      <c r="K124" s="170">
        <v>29251911</v>
      </c>
      <c r="L124" s="150" t="s">
        <v>1012</v>
      </c>
      <c r="M124" s="148" t="s">
        <v>952</v>
      </c>
      <c r="N124" s="147"/>
      <c r="O124" s="148" t="s">
        <v>1013</v>
      </c>
      <c r="P124" s="147"/>
      <c r="Q124" s="148" t="s">
        <v>571</v>
      </c>
      <c r="R124" s="146">
        <v>45216</v>
      </c>
      <c r="S124" s="187">
        <v>0.39583333333333331</v>
      </c>
      <c r="T124" s="169" t="s">
        <v>1256</v>
      </c>
      <c r="U124" s="223"/>
      <c r="W124" s="34" t="str">
        <f ca="1">IF(R124&lt;=TODAY(),"SI","NO")</f>
        <v>SI</v>
      </c>
      <c r="X124" s="23" t="str">
        <f>IF($X$1=R124,"DIASOL", "DIANOSOL")</f>
        <v>DIANOSOL</v>
      </c>
      <c r="Y124" s="133" t="s">
        <v>994</v>
      </c>
      <c r="Z124" s="121" t="s">
        <v>1018</v>
      </c>
      <c r="AA124" s="121" t="str">
        <f>IF(Z124&lt;&gt;"",VLOOKUP($Z124,Resultados!$A$1:$B$49,2,FALSE),"")</f>
        <v>Recursos Denegados</v>
      </c>
      <c r="AB124" s="8"/>
    </row>
    <row r="125" spans="1:28" ht="25.5">
      <c r="A125" s="145">
        <v>126</v>
      </c>
      <c r="B125" s="146">
        <v>45205</v>
      </c>
      <c r="C125" s="188">
        <v>0.45833333333333331</v>
      </c>
      <c r="D125" s="147" t="s">
        <v>433</v>
      </c>
      <c r="E125" s="148" t="s">
        <v>1152</v>
      </c>
      <c r="F125" s="148" t="s">
        <v>1153</v>
      </c>
      <c r="G125" s="149">
        <v>42553616</v>
      </c>
      <c r="H125" s="148" t="s">
        <v>1154</v>
      </c>
      <c r="I125" s="150" t="s">
        <v>420</v>
      </c>
      <c r="J125" s="150" t="s">
        <v>1155</v>
      </c>
      <c r="K125" s="170">
        <v>45362777</v>
      </c>
      <c r="L125" s="150" t="s">
        <v>1156</v>
      </c>
      <c r="M125" s="148" t="s">
        <v>386</v>
      </c>
      <c r="N125" s="148" t="s">
        <v>1182</v>
      </c>
      <c r="O125" s="148"/>
      <c r="P125" s="147"/>
      <c r="Q125" s="148" t="s">
        <v>132</v>
      </c>
      <c r="R125" s="146">
        <v>45216</v>
      </c>
      <c r="S125" s="187">
        <v>0.39583333333333331</v>
      </c>
      <c r="T125" s="169" t="s">
        <v>307</v>
      </c>
      <c r="U125" s="198"/>
      <c r="Y125" s="172" t="s">
        <v>994</v>
      </c>
      <c r="Z125" s="121" t="s">
        <v>1018</v>
      </c>
      <c r="AA125" s="121" t="str">
        <f>IF(Z125&lt;&gt;"",VLOOKUP($Z125,Resultados!$A$1:$B$49,2,FALSE),"")</f>
        <v>Recursos Denegados</v>
      </c>
      <c r="AB125" s="8"/>
    </row>
    <row r="126" spans="1:28" ht="63.75">
      <c r="A126" s="145">
        <v>129</v>
      </c>
      <c r="B126" s="146">
        <v>45209</v>
      </c>
      <c r="C126" s="188">
        <v>0.37708333333333338</v>
      </c>
      <c r="D126" s="147" t="s">
        <v>242</v>
      </c>
      <c r="E126" s="148" t="s">
        <v>1168</v>
      </c>
      <c r="F126" s="148" t="s">
        <v>1170</v>
      </c>
      <c r="G126" s="149">
        <v>43688523</v>
      </c>
      <c r="H126" s="147"/>
      <c r="I126" s="151" t="s">
        <v>1171</v>
      </c>
      <c r="J126" s="151" t="s">
        <v>1172</v>
      </c>
      <c r="K126" s="151" t="s">
        <v>1173</v>
      </c>
      <c r="L126" s="151" t="s">
        <v>1174</v>
      </c>
      <c r="M126" s="147" t="s">
        <v>1175</v>
      </c>
      <c r="N126" s="147"/>
      <c r="O126" s="147" t="s">
        <v>1176</v>
      </c>
      <c r="P126" s="147"/>
      <c r="Q126" s="147" t="s">
        <v>1177</v>
      </c>
      <c r="R126" s="146">
        <v>45217</v>
      </c>
      <c r="S126" s="188">
        <v>0.39583333333333331</v>
      </c>
      <c r="T126" s="169" t="s">
        <v>851</v>
      </c>
      <c r="U126" s="223"/>
      <c r="V126" s="40"/>
      <c r="W126" s="73"/>
      <c r="X126" s="73"/>
      <c r="Y126" s="58" t="s">
        <v>994</v>
      </c>
      <c r="Z126" s="174" t="s">
        <v>1018</v>
      </c>
      <c r="AA126" s="121" t="str">
        <f>IF(Z126&lt;&gt;"",VLOOKUP($Z126,Resultados!$A$1:$B$49,2,FALSE),"")</f>
        <v>Recursos Denegados</v>
      </c>
      <c r="AB126" s="8"/>
    </row>
    <row r="127" spans="1:28" ht="39.950000000000003" customHeight="1">
      <c r="A127" s="113">
        <v>121</v>
      </c>
      <c r="B127" s="114">
        <v>45203</v>
      </c>
      <c r="C127" s="115">
        <v>0.51874999999999993</v>
      </c>
      <c r="D127" s="116" t="s">
        <v>107</v>
      </c>
      <c r="E127" s="116" t="s">
        <v>1116</v>
      </c>
      <c r="F127" s="116" t="s">
        <v>1117</v>
      </c>
      <c r="G127" s="118">
        <v>31853763</v>
      </c>
      <c r="H127" s="116" t="s">
        <v>1118</v>
      </c>
      <c r="I127" s="119" t="s">
        <v>1119</v>
      </c>
      <c r="J127" s="119"/>
      <c r="K127" s="119"/>
      <c r="L127" s="119"/>
      <c r="M127" s="116" t="s">
        <v>1120</v>
      </c>
      <c r="N127" s="116"/>
      <c r="O127" s="116"/>
      <c r="P127" s="116"/>
      <c r="Q127" s="116" t="s">
        <v>132</v>
      </c>
      <c r="R127" s="114">
        <v>45217</v>
      </c>
      <c r="S127" s="189">
        <v>0.45833333333333331</v>
      </c>
      <c r="T127" s="171" t="s">
        <v>941</v>
      </c>
      <c r="U127" s="224" t="s">
        <v>1251</v>
      </c>
      <c r="Y127" s="133" t="s">
        <v>994</v>
      </c>
      <c r="Z127" s="121" t="s">
        <v>1038</v>
      </c>
      <c r="AA127" s="121" t="str">
        <f>IF(Z127&lt;&gt;"",VLOOKUP($Z127,Resultados!$A$1:$B$49,2,FALSE),"")</f>
        <v>Recursos Inadmisibles</v>
      </c>
      <c r="AB127" s="8"/>
    </row>
    <row r="128" spans="1:28" ht="39.950000000000003" customHeight="1">
      <c r="A128" s="145">
        <v>132</v>
      </c>
      <c r="B128" s="146">
        <v>45216</v>
      </c>
      <c r="C128" s="188">
        <v>0.37083333333333335</v>
      </c>
      <c r="D128" s="147" t="s">
        <v>229</v>
      </c>
      <c r="E128" s="148" t="s">
        <v>1186</v>
      </c>
      <c r="F128" s="148" t="s">
        <v>1187</v>
      </c>
      <c r="G128" s="149">
        <v>32857444</v>
      </c>
      <c r="H128" s="148" t="s">
        <v>1188</v>
      </c>
      <c r="I128" s="150" t="s">
        <v>245</v>
      </c>
      <c r="J128" s="151"/>
      <c r="K128" s="151"/>
      <c r="L128" s="151"/>
      <c r="M128" s="148" t="s">
        <v>1189</v>
      </c>
      <c r="N128" s="147"/>
      <c r="O128" s="147"/>
      <c r="P128" s="147"/>
      <c r="Q128" s="148" t="s">
        <v>136</v>
      </c>
      <c r="R128" s="146">
        <v>45218</v>
      </c>
      <c r="S128" s="187">
        <v>0.39583333333333331</v>
      </c>
      <c r="T128" s="169" t="s">
        <v>883</v>
      </c>
      <c r="U128" s="226"/>
      <c r="Y128" s="133" t="s">
        <v>994</v>
      </c>
      <c r="Z128" s="121" t="s">
        <v>1018</v>
      </c>
      <c r="AA128" s="121" t="str">
        <f>IF(Z128&lt;&gt;"",VLOOKUP($Z128,Resultados!$A$1:$B$49,2,FALSE),"")</f>
        <v>Recursos Denegados</v>
      </c>
      <c r="AB128" s="8"/>
    </row>
    <row r="129" spans="1:28" ht="39.950000000000003" customHeight="1">
      <c r="A129" s="145">
        <v>134</v>
      </c>
      <c r="B129" s="146">
        <v>45217</v>
      </c>
      <c r="C129" s="188">
        <v>0.4236111111111111</v>
      </c>
      <c r="D129" s="147" t="s">
        <v>226</v>
      </c>
      <c r="E129" s="148" t="s">
        <v>1200</v>
      </c>
      <c r="F129" s="148" t="s">
        <v>1201</v>
      </c>
      <c r="G129" s="149">
        <v>42606284</v>
      </c>
      <c r="H129" s="148" t="s">
        <v>1203</v>
      </c>
      <c r="I129" s="150" t="s">
        <v>1202</v>
      </c>
      <c r="J129" s="151"/>
      <c r="K129" s="151"/>
      <c r="L129" s="151"/>
      <c r="M129" s="148" t="s">
        <v>1133</v>
      </c>
      <c r="N129" s="147"/>
      <c r="O129" s="147"/>
      <c r="P129" s="147"/>
      <c r="Q129" s="148" t="s">
        <v>136</v>
      </c>
      <c r="R129" s="146">
        <v>45223</v>
      </c>
      <c r="S129" s="188">
        <v>0.39583333333333331</v>
      </c>
      <c r="T129" s="169" t="s">
        <v>1239</v>
      </c>
      <c r="U129" s="222" t="s">
        <v>1250</v>
      </c>
      <c r="W129" s="23" t="s">
        <v>994</v>
      </c>
      <c r="Y129" s="133" t="s">
        <v>994</v>
      </c>
      <c r="Z129" s="121" t="s">
        <v>1018</v>
      </c>
      <c r="AA129" s="121" t="str">
        <f>IF(Z129&lt;&gt;"",VLOOKUP($Z129,Resultados!$A$1:$B$49,2,FALSE),"")</f>
        <v>Recursos Denegados</v>
      </c>
      <c r="AB129" s="8"/>
    </row>
    <row r="130" spans="1:28" ht="39.950000000000003" customHeight="1">
      <c r="A130" s="193">
        <v>138</v>
      </c>
      <c r="B130" s="194">
        <v>45222</v>
      </c>
      <c r="C130" s="195">
        <v>0.47916666666666669</v>
      </c>
      <c r="D130" s="196" t="s">
        <v>105</v>
      </c>
      <c r="E130" s="175" t="s">
        <v>1228</v>
      </c>
      <c r="F130" s="175" t="s">
        <v>1229</v>
      </c>
      <c r="G130" s="175" t="s">
        <v>1230</v>
      </c>
      <c r="H130" s="196"/>
      <c r="I130" s="198" t="s">
        <v>1231</v>
      </c>
      <c r="J130" s="199"/>
      <c r="K130" s="199"/>
      <c r="L130" s="199"/>
      <c r="M130" s="175" t="s">
        <v>1232</v>
      </c>
      <c r="N130" s="196"/>
      <c r="O130" s="196"/>
      <c r="P130" s="196"/>
      <c r="Q130" s="175" t="s">
        <v>133</v>
      </c>
      <c r="R130" s="194">
        <v>45226</v>
      </c>
      <c r="S130" s="195">
        <v>0.41666666666666669</v>
      </c>
      <c r="T130" s="192" t="s">
        <v>1259</v>
      </c>
      <c r="U130" s="224"/>
      <c r="W130" s="23" t="s">
        <v>994</v>
      </c>
      <c r="Y130" s="133" t="s">
        <v>994</v>
      </c>
      <c r="Z130" s="121" t="s">
        <v>1018</v>
      </c>
      <c r="AA130" s="121" t="str">
        <f>IF(Z130&lt;&gt;"",VLOOKUP($Z130,Resultados!$A$1:$B$49,2,FALSE),"")</f>
        <v>Recursos Denegados</v>
      </c>
      <c r="AB130" s="8"/>
    </row>
    <row r="131" spans="1:28" ht="76.5">
      <c r="A131" s="145">
        <v>137</v>
      </c>
      <c r="B131" s="146">
        <v>45219</v>
      </c>
      <c r="C131" s="188">
        <v>0.41666666666666669</v>
      </c>
      <c r="D131" s="147" t="s">
        <v>107</v>
      </c>
      <c r="E131" s="148" t="s">
        <v>1222</v>
      </c>
      <c r="F131" s="148" t="s">
        <v>1223</v>
      </c>
      <c r="G131" s="149">
        <v>32045159</v>
      </c>
      <c r="H131" s="147"/>
      <c r="I131" s="150" t="s">
        <v>1224</v>
      </c>
      <c r="J131" s="150" t="s">
        <v>1225</v>
      </c>
      <c r="K131" s="170">
        <v>22554066</v>
      </c>
      <c r="L131" s="150" t="s">
        <v>1226</v>
      </c>
      <c r="M131" s="148" t="s">
        <v>1227</v>
      </c>
      <c r="N131" s="147"/>
      <c r="O131" s="147"/>
      <c r="P131" s="147"/>
      <c r="Q131" s="148" t="s">
        <v>132</v>
      </c>
      <c r="R131" s="146">
        <v>45229</v>
      </c>
      <c r="S131" s="188">
        <v>0.39583333333333331</v>
      </c>
      <c r="T131" s="169" t="s">
        <v>1258</v>
      </c>
      <c r="U131" s="221"/>
      <c r="W131" s="23" t="s">
        <v>994</v>
      </c>
      <c r="Y131" s="133" t="s">
        <v>994</v>
      </c>
      <c r="Z131" s="121" t="s">
        <v>1018</v>
      </c>
      <c r="AA131" s="121" t="str">
        <f>IF(Z131&lt;&gt;"",VLOOKUP($Z131,Resultados!$A$1:$B$49,2,FALSE),"")</f>
        <v>Recursos Denegados</v>
      </c>
      <c r="AB131" s="8"/>
    </row>
    <row r="132" spans="1:28" ht="39.950000000000003" customHeight="1">
      <c r="A132" s="145">
        <v>128</v>
      </c>
      <c r="B132" s="146">
        <v>45209</v>
      </c>
      <c r="C132" s="188">
        <v>0.37708333333333338</v>
      </c>
      <c r="D132" s="147" t="s">
        <v>106</v>
      </c>
      <c r="E132" s="148" t="s">
        <v>1164</v>
      </c>
      <c r="F132" s="148" t="s">
        <v>1165</v>
      </c>
      <c r="G132" s="147"/>
      <c r="H132" s="148" t="s">
        <v>1166</v>
      </c>
      <c r="I132" s="150" t="s">
        <v>130</v>
      </c>
      <c r="J132" s="151"/>
      <c r="K132" s="151"/>
      <c r="L132" s="151"/>
      <c r="M132" s="148" t="s">
        <v>1167</v>
      </c>
      <c r="N132" s="147"/>
      <c r="O132" s="147"/>
      <c r="P132" s="147"/>
      <c r="Q132" s="148" t="s">
        <v>136</v>
      </c>
      <c r="R132" s="146">
        <v>45230</v>
      </c>
      <c r="S132" s="188">
        <v>0.39583333333333331</v>
      </c>
      <c r="T132" s="169" t="s">
        <v>1267</v>
      </c>
      <c r="U132" s="224"/>
      <c r="Y132" s="133" t="s">
        <v>994</v>
      </c>
      <c r="Z132" s="121" t="s">
        <v>1018</v>
      </c>
      <c r="AA132" s="121" t="str">
        <f>IF(Z132&lt;&gt;"",VLOOKUP($Z132,Resultados!$A$1:$B$49,2,FALSE),"")</f>
        <v>Recursos Denegados</v>
      </c>
      <c r="AB132" s="8"/>
    </row>
    <row r="133" spans="1:28" ht="76.5">
      <c r="A133" s="200">
        <v>135</v>
      </c>
      <c r="B133" s="201">
        <v>45219</v>
      </c>
      <c r="C133" s="202">
        <v>0.40972222222222227</v>
      </c>
      <c r="D133" s="203" t="s">
        <v>242</v>
      </c>
      <c r="E133" s="204" t="s">
        <v>1206</v>
      </c>
      <c r="F133" s="204" t="s">
        <v>1207</v>
      </c>
      <c r="G133" s="204" t="s">
        <v>1208</v>
      </c>
      <c r="H133" s="204" t="s">
        <v>1214</v>
      </c>
      <c r="I133" s="205" t="s">
        <v>1209</v>
      </c>
      <c r="J133" s="205" t="s">
        <v>1210</v>
      </c>
      <c r="K133" s="206">
        <v>11374413</v>
      </c>
      <c r="L133" s="205" t="s">
        <v>1211</v>
      </c>
      <c r="M133" s="204" t="s">
        <v>1212</v>
      </c>
      <c r="N133" s="203"/>
      <c r="O133" s="203"/>
      <c r="P133" s="203"/>
      <c r="Q133" s="204" t="s">
        <v>1213</v>
      </c>
      <c r="R133" s="201">
        <v>45231</v>
      </c>
      <c r="S133" s="202">
        <v>0.375</v>
      </c>
      <c r="T133" s="231" t="s">
        <v>1268</v>
      </c>
      <c r="U133" s="227"/>
      <c r="W133" s="23" t="s">
        <v>994</v>
      </c>
      <c r="Y133" s="133" t="s">
        <v>1002</v>
      </c>
      <c r="Z133" s="121" t="s">
        <v>1014</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1326</v>
      </c>
      <c r="U134" s="222" t="s">
        <v>1327</v>
      </c>
      <c r="Y134" s="133" t="s">
        <v>994</v>
      </c>
      <c r="Z134" s="121" t="s">
        <v>1062</v>
      </c>
      <c r="AA134" s="121" t="str">
        <f>IF(Z134&lt;&gt;"",VLOOKUP($Z134,Resultados!$A$1:$B$49,2,FALSE),"")</f>
        <v>Recursos donde se hizo lugar</v>
      </c>
      <c r="AB134" s="8"/>
    </row>
    <row r="135" spans="1:28" ht="51">
      <c r="A135" s="145">
        <v>136</v>
      </c>
      <c r="B135" s="146">
        <v>45222</v>
      </c>
      <c r="C135" s="188">
        <v>0.375</v>
      </c>
      <c r="D135" s="147" t="s">
        <v>433</v>
      </c>
      <c r="E135" s="148" t="s">
        <v>1215</v>
      </c>
      <c r="F135" s="148" t="s">
        <v>1216</v>
      </c>
      <c r="G135" s="149">
        <v>45261023</v>
      </c>
      <c r="H135" s="148" t="s">
        <v>1217</v>
      </c>
      <c r="I135" s="150" t="s">
        <v>1218</v>
      </c>
      <c r="J135" s="150" t="s">
        <v>1219</v>
      </c>
      <c r="K135" s="170">
        <v>40156929</v>
      </c>
      <c r="L135" s="150" t="s">
        <v>1220</v>
      </c>
      <c r="M135" s="148" t="s">
        <v>1221</v>
      </c>
      <c r="N135" s="147"/>
      <c r="O135" s="147"/>
      <c r="P135" s="147"/>
      <c r="Q135" s="148" t="s">
        <v>136</v>
      </c>
      <c r="R135" s="146">
        <v>45232</v>
      </c>
      <c r="S135" s="188">
        <v>0.39583333333333331</v>
      </c>
      <c r="T135" s="169" t="s">
        <v>961</v>
      </c>
      <c r="U135" s="221"/>
      <c r="W135" s="23" t="s">
        <v>994</v>
      </c>
      <c r="Y135" s="133" t="s">
        <v>994</v>
      </c>
      <c r="Z135" s="121" t="s">
        <v>1019</v>
      </c>
      <c r="AA135" s="121" t="str">
        <f>IF(Z135&lt;&gt;"",VLOOKUP($Z135,Resultados!$A$1:$B$49,2,FALSE),"")</f>
        <v>Recursos donde se hizo lugar</v>
      </c>
      <c r="AB135" s="8"/>
    </row>
    <row r="136" spans="1:28" ht="89.25">
      <c r="A136" s="145">
        <v>148</v>
      </c>
      <c r="B136" s="146"/>
      <c r="C136" s="147"/>
      <c r="D136" s="147" t="s">
        <v>242</v>
      </c>
      <c r="E136" s="148" t="s">
        <v>1285</v>
      </c>
      <c r="F136" s="148" t="s">
        <v>1286</v>
      </c>
      <c r="G136" s="147"/>
      <c r="H136" s="147"/>
      <c r="I136" s="150" t="s">
        <v>1287</v>
      </c>
      <c r="J136" s="150" t="s">
        <v>1288</v>
      </c>
      <c r="K136" s="151"/>
      <c r="L136" s="151"/>
      <c r="M136" s="148" t="s">
        <v>462</v>
      </c>
      <c r="N136" s="147"/>
      <c r="O136" s="147"/>
      <c r="P136" s="147"/>
      <c r="Q136" s="148" t="s">
        <v>133</v>
      </c>
      <c r="R136" s="146">
        <v>45232</v>
      </c>
      <c r="S136" s="188">
        <v>0.41666666666666669</v>
      </c>
      <c r="T136" s="146"/>
      <c r="U136" s="223"/>
      <c r="V136" s="4"/>
      <c r="W136" s="22"/>
      <c r="X136" s="22"/>
      <c r="Y136" s="28" t="s">
        <v>1002</v>
      </c>
      <c r="Z136" s="121" t="s">
        <v>1040</v>
      </c>
      <c r="AA136" s="121" t="str">
        <f>IF(Z136&lt;&gt;"",VLOOKUP($Z136,Resultados!$A$1:$B$49,2,FALSE),"")</f>
        <v>Audiencias de Visu</v>
      </c>
      <c r="AB136" s="8"/>
    </row>
    <row r="137" spans="1:28" ht="63.75">
      <c r="A137" s="145">
        <v>152</v>
      </c>
      <c r="B137" s="146">
        <v>45236</v>
      </c>
      <c r="C137" s="147"/>
      <c r="D137" s="148" t="s">
        <v>1307</v>
      </c>
      <c r="E137" s="148" t="s">
        <v>1308</v>
      </c>
      <c r="F137" s="148" t="s">
        <v>1309</v>
      </c>
      <c r="G137" s="147"/>
      <c r="H137" s="147"/>
      <c r="I137" s="150" t="s">
        <v>1310</v>
      </c>
      <c r="J137" s="150" t="s">
        <v>1311</v>
      </c>
      <c r="K137" s="151"/>
      <c r="L137" s="151"/>
      <c r="M137" s="148" t="s">
        <v>462</v>
      </c>
      <c r="N137" s="148" t="s">
        <v>1312</v>
      </c>
      <c r="O137" s="147"/>
      <c r="P137" s="147"/>
      <c r="Q137" s="148" t="s">
        <v>132</v>
      </c>
      <c r="R137" s="146">
        <v>45236</v>
      </c>
      <c r="S137" s="188">
        <v>0.4375</v>
      </c>
      <c r="T137" s="146"/>
      <c r="U137" s="223"/>
      <c r="V137" s="4"/>
      <c r="W137" s="22"/>
      <c r="X137" s="22"/>
      <c r="Y137" s="28" t="s">
        <v>994</v>
      </c>
      <c r="Z137" s="121" t="s">
        <v>1040</v>
      </c>
      <c r="AA137" s="121" t="str">
        <f>IF(Z137&lt;&gt;"",VLOOKUP($Z137,Resultados!$A$1:$B$49,2,FALSE),"")</f>
        <v>Audiencias de Visu</v>
      </c>
      <c r="AB137" s="8"/>
    </row>
    <row r="138" spans="1:28" ht="76.5">
      <c r="A138" s="145">
        <v>140</v>
      </c>
      <c r="B138" s="146">
        <v>45224</v>
      </c>
      <c r="C138" s="188">
        <v>0.39583333333333331</v>
      </c>
      <c r="D138" s="147" t="s">
        <v>227</v>
      </c>
      <c r="E138" s="148" t="s">
        <v>1242</v>
      </c>
      <c r="F138" s="148" t="s">
        <v>1243</v>
      </c>
      <c r="G138" s="149">
        <v>40150172</v>
      </c>
      <c r="H138" s="148" t="s">
        <v>1244</v>
      </c>
      <c r="I138" s="150" t="s">
        <v>1245</v>
      </c>
      <c r="J138" s="150" t="s">
        <v>1246</v>
      </c>
      <c r="K138" s="170">
        <v>34184752</v>
      </c>
      <c r="L138" s="150" t="s">
        <v>1248</v>
      </c>
      <c r="M138" s="148" t="s">
        <v>1247</v>
      </c>
      <c r="N138" s="147"/>
      <c r="O138" s="147"/>
      <c r="P138" s="147"/>
      <c r="Q138" s="148" t="s">
        <v>132</v>
      </c>
      <c r="R138" s="146">
        <v>45237</v>
      </c>
      <c r="S138" s="188">
        <v>0.35416666666666669</v>
      </c>
      <c r="T138" s="169" t="s">
        <v>1325</v>
      </c>
      <c r="U138" s="224" t="s">
        <v>1321</v>
      </c>
      <c r="W138" s="23" t="s">
        <v>994</v>
      </c>
      <c r="Y138" s="133" t="s">
        <v>994</v>
      </c>
      <c r="Z138" s="121" t="s">
        <v>1019</v>
      </c>
      <c r="AA138" s="121" t="str">
        <f>IF(Z138&lt;&gt;"",VLOOKUP($Z138,Resultados!$A$1:$B$49,2,FALSE),"")</f>
        <v>Recursos donde se hizo lugar</v>
      </c>
      <c r="AB138" s="8"/>
    </row>
    <row r="139" spans="1:28" ht="38.25">
      <c r="A139" s="145">
        <v>139</v>
      </c>
      <c r="B139" s="146">
        <v>45223</v>
      </c>
      <c r="C139" s="188">
        <v>0.53472222222222221</v>
      </c>
      <c r="D139" s="147" t="s">
        <v>230</v>
      </c>
      <c r="E139" s="148" t="s">
        <v>1233</v>
      </c>
      <c r="F139" s="148" t="s">
        <v>1234</v>
      </c>
      <c r="G139" s="149">
        <v>30638483</v>
      </c>
      <c r="H139" s="148" t="s">
        <v>1238</v>
      </c>
      <c r="I139" s="150" t="s">
        <v>897</v>
      </c>
      <c r="J139" s="150" t="s">
        <v>1235</v>
      </c>
      <c r="K139" s="170">
        <v>94051866</v>
      </c>
      <c r="L139" s="150" t="s">
        <v>1236</v>
      </c>
      <c r="M139" s="148" t="s">
        <v>1237</v>
      </c>
      <c r="N139" s="147"/>
      <c r="O139" s="147"/>
      <c r="P139" s="147"/>
      <c r="Q139" s="147" t="s">
        <v>136</v>
      </c>
      <c r="R139" s="146">
        <v>45237</v>
      </c>
      <c r="S139" s="188">
        <v>0.4375</v>
      </c>
      <c r="T139" s="169" t="s">
        <v>1333</v>
      </c>
      <c r="U139" s="224"/>
      <c r="W139" s="23" t="s">
        <v>994</v>
      </c>
      <c r="Y139" s="133" t="s">
        <v>1002</v>
      </c>
      <c r="Z139" s="121" t="s">
        <v>1014</v>
      </c>
      <c r="AA139" s="121" t="str">
        <f>IF(Z139&lt;&gt;"",VLOOKUP($Z139,Resultados!$A$1:$B$49,2,FALSE),"")</f>
        <v>Recursos Denegados</v>
      </c>
      <c r="AB139" s="8"/>
    </row>
    <row r="140" spans="1:28" ht="178.5">
      <c r="A140" s="145">
        <v>149</v>
      </c>
      <c r="B140" s="146">
        <v>45232</v>
      </c>
      <c r="C140" s="147"/>
      <c r="D140" s="147" t="s">
        <v>227</v>
      </c>
      <c r="E140" s="148" t="s">
        <v>1289</v>
      </c>
      <c r="F140" s="148" t="s">
        <v>1290</v>
      </c>
      <c r="G140" s="147"/>
      <c r="H140" s="147"/>
      <c r="I140" s="150" t="s">
        <v>1291</v>
      </c>
      <c r="J140" s="150" t="s">
        <v>1292</v>
      </c>
      <c r="K140" s="151"/>
      <c r="L140" s="151"/>
      <c r="M140" s="148" t="s">
        <v>1293</v>
      </c>
      <c r="N140" s="147"/>
      <c r="O140" s="147"/>
      <c r="P140" s="147"/>
      <c r="Q140" s="148" t="s">
        <v>133</v>
      </c>
      <c r="R140" s="146">
        <v>45237</v>
      </c>
      <c r="S140" s="188">
        <v>0.47916666666666669</v>
      </c>
      <c r="T140" s="146"/>
      <c r="U140" s="223"/>
      <c r="V140" s="4"/>
      <c r="W140" s="22"/>
      <c r="X140" s="22"/>
      <c r="Y140" s="28" t="s">
        <v>994</v>
      </c>
      <c r="Z140" s="121" t="s">
        <v>1040</v>
      </c>
      <c r="AA140" s="121" t="str">
        <f>IF(Z140&lt;&gt;"",VLOOKUP($Z140,Resultados!$A$1:$B$49,2,FALSE),"")</f>
        <v>Audiencias de Visu</v>
      </c>
      <c r="AB140" s="8"/>
    </row>
    <row r="141" spans="1:28" ht="63.75">
      <c r="A141" s="145">
        <v>146</v>
      </c>
      <c r="B141" s="146">
        <v>45231</v>
      </c>
      <c r="C141" s="188">
        <v>0.4375</v>
      </c>
      <c r="D141" s="147" t="s">
        <v>106</v>
      </c>
      <c r="E141" s="148" t="s">
        <v>1269</v>
      </c>
      <c r="F141" s="148" t="s">
        <v>1270</v>
      </c>
      <c r="G141" s="149">
        <v>34287480</v>
      </c>
      <c r="H141" s="148" t="s">
        <v>1271</v>
      </c>
      <c r="I141" s="150" t="s">
        <v>1272</v>
      </c>
      <c r="J141" s="150" t="s">
        <v>1273</v>
      </c>
      <c r="K141" s="150" t="s">
        <v>1274</v>
      </c>
      <c r="L141" s="150" t="s">
        <v>1275</v>
      </c>
      <c r="M141" s="148" t="s">
        <v>386</v>
      </c>
      <c r="N141" s="148" t="s">
        <v>1276</v>
      </c>
      <c r="O141" s="147"/>
      <c r="P141" s="147"/>
      <c r="Q141" s="148" t="s">
        <v>132</v>
      </c>
      <c r="R141" s="146">
        <v>45238</v>
      </c>
      <c r="S141" s="188">
        <v>0.39583333333333331</v>
      </c>
      <c r="T141" s="169" t="s">
        <v>1257</v>
      </c>
      <c r="U141" s="224" t="s">
        <v>1334</v>
      </c>
      <c r="V141" s="4"/>
      <c r="W141" s="22" t="s">
        <v>994</v>
      </c>
      <c r="X141" s="22"/>
      <c r="Y141" s="28" t="s">
        <v>994</v>
      </c>
      <c r="Z141" s="121" t="s">
        <v>1018</v>
      </c>
      <c r="AA141" s="121" t="str">
        <f>IF(Z141&lt;&gt;"",VLOOKUP($Z141,Resultados!$A$1:$B$49,2,FALSE),"")</f>
        <v>Recursos Denegados</v>
      </c>
      <c r="AB141" s="8"/>
    </row>
    <row r="142" spans="1:28" ht="89.25">
      <c r="A142" s="145">
        <v>150</v>
      </c>
      <c r="B142" s="146">
        <v>45232</v>
      </c>
      <c r="C142" s="188">
        <v>0.39583333333333331</v>
      </c>
      <c r="D142" s="147" t="s">
        <v>106</v>
      </c>
      <c r="E142" s="148" t="s">
        <v>1294</v>
      </c>
      <c r="F142" s="148" t="s">
        <v>1295</v>
      </c>
      <c r="G142" s="149">
        <v>38506460</v>
      </c>
      <c r="H142" s="148" t="s">
        <v>1296</v>
      </c>
      <c r="I142" s="150" t="s">
        <v>1297</v>
      </c>
      <c r="J142" s="151"/>
      <c r="K142" s="151"/>
      <c r="L142" s="151"/>
      <c r="M142" s="148" t="s">
        <v>812</v>
      </c>
      <c r="N142" s="147"/>
      <c r="O142" s="148" t="s">
        <v>1298</v>
      </c>
      <c r="P142" s="147"/>
      <c r="Q142" s="148" t="s">
        <v>1299</v>
      </c>
      <c r="R142" s="146">
        <v>45239</v>
      </c>
      <c r="S142" s="188">
        <v>0.39583333333333331</v>
      </c>
      <c r="T142" s="146"/>
      <c r="U142" s="224" t="s">
        <v>1341</v>
      </c>
      <c r="V142" s="4"/>
      <c r="W142" s="22"/>
      <c r="X142" s="22"/>
      <c r="Y142" s="28" t="s">
        <v>994</v>
      </c>
      <c r="Z142" s="121"/>
      <c r="AA142" s="121" t="str">
        <f>IF(Z142&lt;&gt;"",VLOOKUP($Z142,Resultados!$A$1:$B$49,2,FALSE),"")</f>
        <v/>
      </c>
      <c r="AB142" s="8"/>
    </row>
    <row r="143" spans="1:28" ht="165.75">
      <c r="A143" s="145">
        <v>147</v>
      </c>
      <c r="B143" s="146">
        <v>45231</v>
      </c>
      <c r="C143" s="188">
        <v>0.4375</v>
      </c>
      <c r="D143" s="147" t="s">
        <v>242</v>
      </c>
      <c r="E143" s="148" t="s">
        <v>1277</v>
      </c>
      <c r="F143" s="148" t="s">
        <v>1278</v>
      </c>
      <c r="G143" s="149">
        <v>33186876</v>
      </c>
      <c r="H143" s="148" t="s">
        <v>1279</v>
      </c>
      <c r="I143" s="150" t="s">
        <v>1280</v>
      </c>
      <c r="J143" s="150" t="s">
        <v>1281</v>
      </c>
      <c r="K143" s="170">
        <v>35188079</v>
      </c>
      <c r="L143" s="150" t="s">
        <v>1282</v>
      </c>
      <c r="M143" s="148" t="s">
        <v>1283</v>
      </c>
      <c r="N143" s="148" t="s">
        <v>1284</v>
      </c>
      <c r="O143" s="148" t="s">
        <v>1322</v>
      </c>
      <c r="P143" s="147"/>
      <c r="Q143" s="148" t="s">
        <v>136</v>
      </c>
      <c r="R143" s="146">
        <v>45240</v>
      </c>
      <c r="S143" s="188">
        <v>0.39583333333333331</v>
      </c>
      <c r="T143" s="146"/>
      <c r="U143" s="224" t="s">
        <v>1323</v>
      </c>
      <c r="V143" s="4"/>
      <c r="W143" s="22" t="s">
        <v>994</v>
      </c>
      <c r="X143" s="22"/>
      <c r="Y143" s="62" t="s">
        <v>994</v>
      </c>
      <c r="Z143" s="173"/>
      <c r="AA143" s="173" t="str">
        <f>IF(Z143&lt;&gt;"",VLOOKUP($Z143,Resultados!$A$1:$B$49,2,FALSE),"")</f>
        <v/>
      </c>
      <c r="AB143" s="8"/>
    </row>
    <row r="144" spans="1:28" ht="39.950000000000003" customHeight="1">
      <c r="A144" s="113">
        <v>71</v>
      </c>
      <c r="B144" s="114">
        <v>45152</v>
      </c>
      <c r="C144" s="115">
        <v>0.45833333333333331</v>
      </c>
      <c r="D144" s="116" t="s">
        <v>229</v>
      </c>
      <c r="E144" s="117" t="s">
        <v>596</v>
      </c>
      <c r="F144" s="117" t="s">
        <v>597</v>
      </c>
      <c r="G144" s="118">
        <v>18901810</v>
      </c>
      <c r="H144" s="117" t="s">
        <v>598</v>
      </c>
      <c r="I144" s="232" t="s">
        <v>600</v>
      </c>
      <c r="J144" s="119"/>
      <c r="K144" s="119"/>
      <c r="L144" s="119"/>
      <c r="M144" s="117" t="s">
        <v>601</v>
      </c>
      <c r="N144" s="116"/>
      <c r="O144" s="117" t="s">
        <v>602</v>
      </c>
      <c r="P144" s="116"/>
      <c r="Q144" s="117" t="s">
        <v>132</v>
      </c>
      <c r="R144" s="171"/>
      <c r="S144" s="115"/>
      <c r="T144" s="171" t="s">
        <v>941</v>
      </c>
      <c r="U144" s="221" t="s">
        <v>1090</v>
      </c>
      <c r="V144" s="175" t="s">
        <v>818</v>
      </c>
      <c r="W144" s="34" t="str">
        <f t="shared" ref="W144:W149" ca="1" si="12">IF(R144&lt;=TODAY(),"SI","NO")</f>
        <v>SI</v>
      </c>
      <c r="X144" s="175" t="str">
        <f t="shared" ref="X144:X149" si="13">IF($X$1=R144,"DIASOL", "DIANOSOL")</f>
        <v>DIANOSOL</v>
      </c>
      <c r="Y144" s="117" t="s">
        <v>994</v>
      </c>
      <c r="Z144" s="229" t="s">
        <v>1038</v>
      </c>
      <c r="AA144" s="229" t="str">
        <f>IF(Z144&lt;&gt;"",VLOOKUP($Z144,Resultados!$A$1:$B$49,2,FALSE),"")</f>
        <v>Recursos Inadmisibles</v>
      </c>
      <c r="AB144" s="8"/>
    </row>
    <row r="145" spans="1:28" ht="39.950000000000003" customHeight="1">
      <c r="A145" s="113">
        <v>82</v>
      </c>
      <c r="B145" s="114">
        <v>45155</v>
      </c>
      <c r="C145" s="115">
        <v>0.55208333333333337</v>
      </c>
      <c r="D145" s="116" t="s">
        <v>228</v>
      </c>
      <c r="E145" s="116" t="s">
        <v>668</v>
      </c>
      <c r="F145" s="116" t="s">
        <v>669</v>
      </c>
      <c r="G145" s="118">
        <v>30419111</v>
      </c>
      <c r="H145" s="116" t="s">
        <v>670</v>
      </c>
      <c r="I145" s="119" t="s">
        <v>671</v>
      </c>
      <c r="J145" s="119" t="s">
        <v>672</v>
      </c>
      <c r="K145" s="233">
        <v>29733626</v>
      </c>
      <c r="L145" s="119" t="s">
        <v>673</v>
      </c>
      <c r="M145" s="116" t="s">
        <v>674</v>
      </c>
      <c r="N145" s="116"/>
      <c r="O145" s="116"/>
      <c r="P145" s="116" t="s">
        <v>675</v>
      </c>
      <c r="Q145" s="117" t="s">
        <v>676</v>
      </c>
      <c r="R145" s="171"/>
      <c r="S145" s="189"/>
      <c r="T145" s="236" t="s">
        <v>918</v>
      </c>
      <c r="U145" s="221" t="s">
        <v>935</v>
      </c>
      <c r="V145" s="175" t="s">
        <v>416</v>
      </c>
      <c r="W145" s="34" t="str">
        <f t="shared" ca="1" si="12"/>
        <v>SI</v>
      </c>
      <c r="X145" s="175" t="str">
        <f t="shared" si="13"/>
        <v>DIANOSOL</v>
      </c>
      <c r="Y145" s="117" t="s">
        <v>1002</v>
      </c>
      <c r="Z145" s="229" t="s">
        <v>1042</v>
      </c>
      <c r="AA145" s="229" t="str">
        <f>IF(Z145&lt;&gt;"",VLOOKUP($Z145,Resultados!$A$1:$B$49,2,FALSE),"")</f>
        <v>Recursos Abstractos</v>
      </c>
      <c r="AB145" s="8"/>
    </row>
    <row r="146" spans="1:28" ht="39.950000000000003" customHeight="1">
      <c r="A146" s="113">
        <v>99</v>
      </c>
      <c r="B146" s="114">
        <v>45173</v>
      </c>
      <c r="C146" s="115">
        <v>0.37222222222222223</v>
      </c>
      <c r="D146" s="116" t="s">
        <v>242</v>
      </c>
      <c r="E146" s="117" t="s">
        <v>791</v>
      </c>
      <c r="F146" s="117" t="s">
        <v>796</v>
      </c>
      <c r="G146" s="118">
        <v>36129699</v>
      </c>
      <c r="H146" s="117" t="s">
        <v>792</v>
      </c>
      <c r="I146" s="232" t="s">
        <v>365</v>
      </c>
      <c r="J146" s="232" t="s">
        <v>793</v>
      </c>
      <c r="K146" s="233">
        <v>47450455</v>
      </c>
      <c r="L146" s="232" t="s">
        <v>794</v>
      </c>
      <c r="M146" s="117" t="s">
        <v>795</v>
      </c>
      <c r="N146" s="116"/>
      <c r="O146" s="117" t="s">
        <v>803</v>
      </c>
      <c r="P146" s="116"/>
      <c r="Q146" s="117" t="s">
        <v>846</v>
      </c>
      <c r="R146" s="114"/>
      <c r="S146" s="189"/>
      <c r="T146" s="171" t="s">
        <v>1252</v>
      </c>
      <c r="U146" s="224" t="s">
        <v>1193</v>
      </c>
      <c r="V146" s="116"/>
      <c r="W146" s="34" t="str">
        <f t="shared" ca="1" si="12"/>
        <v>SI</v>
      </c>
      <c r="X146" s="175" t="str">
        <f t="shared" si="13"/>
        <v>DIANOSOL</v>
      </c>
      <c r="Y146" s="117"/>
      <c r="Z146" s="229" t="s">
        <v>1018</v>
      </c>
      <c r="AA146" s="229" t="str">
        <f>IF(Z146&lt;&gt;"",VLOOKUP($Z146,Resultados!$A$1:$B$49,2,FALSE),"")</f>
        <v>Recursos Denegados</v>
      </c>
      <c r="AB146" s="8"/>
    </row>
    <row r="147" spans="1:28" ht="39.950000000000003" customHeight="1">
      <c r="A147" s="113">
        <v>106</v>
      </c>
      <c r="B147" s="114">
        <v>45181</v>
      </c>
      <c r="C147" s="115">
        <v>0.53888888888888886</v>
      </c>
      <c r="D147" s="116" t="s">
        <v>242</v>
      </c>
      <c r="E147" s="117" t="s">
        <v>853</v>
      </c>
      <c r="F147" s="117" t="s">
        <v>854</v>
      </c>
      <c r="G147" s="118">
        <v>36552308</v>
      </c>
      <c r="H147" s="117" t="s">
        <v>855</v>
      </c>
      <c r="I147" s="232" t="s">
        <v>856</v>
      </c>
      <c r="J147" s="232" t="s">
        <v>857</v>
      </c>
      <c r="K147" s="119"/>
      <c r="L147" s="119"/>
      <c r="M147" s="117" t="s">
        <v>858</v>
      </c>
      <c r="N147" s="116"/>
      <c r="O147" s="116"/>
      <c r="P147" s="116"/>
      <c r="Q147" s="117" t="s">
        <v>136</v>
      </c>
      <c r="R147" s="235"/>
      <c r="S147" s="115"/>
      <c r="T147" s="171" t="s">
        <v>1253</v>
      </c>
      <c r="U147" s="222" t="s">
        <v>1048</v>
      </c>
      <c r="V147" s="196"/>
      <c r="W147" s="34" t="str">
        <f t="shared" ca="1" si="12"/>
        <v>SI</v>
      </c>
      <c r="X147" s="175" t="str">
        <f t="shared" si="13"/>
        <v>DIANOSOL</v>
      </c>
      <c r="Y147" s="117" t="s">
        <v>994</v>
      </c>
      <c r="Z147" s="229" t="s">
        <v>1062</v>
      </c>
      <c r="AA147" s="229" t="str">
        <f>IF(Z147&lt;&gt;"",VLOOKUP($Z147,Resultados!$A$1:$B$49,2,FALSE),"")</f>
        <v>Recursos donde se hizo lugar</v>
      </c>
      <c r="AB147" s="8"/>
    </row>
    <row r="148" spans="1:28" ht="63.75">
      <c r="A148" s="113">
        <v>110</v>
      </c>
      <c r="B148" s="114">
        <v>45191</v>
      </c>
      <c r="C148" s="115">
        <v>0.38472222222222219</v>
      </c>
      <c r="D148" s="116" t="s">
        <v>230</v>
      </c>
      <c r="E148" s="117" t="s">
        <v>894</v>
      </c>
      <c r="F148" s="117" t="s">
        <v>896</v>
      </c>
      <c r="G148" s="117" t="s">
        <v>895</v>
      </c>
      <c r="H148" s="116"/>
      <c r="I148" s="232" t="s">
        <v>897</v>
      </c>
      <c r="J148" s="232" t="s">
        <v>899</v>
      </c>
      <c r="K148" s="119"/>
      <c r="L148" s="119"/>
      <c r="M148" s="117" t="s">
        <v>898</v>
      </c>
      <c r="N148" s="116"/>
      <c r="O148" s="116"/>
      <c r="P148" s="116"/>
      <c r="Q148" s="117" t="s">
        <v>132</v>
      </c>
      <c r="R148" s="235"/>
      <c r="S148" s="115"/>
      <c r="T148" s="171" t="s">
        <v>307</v>
      </c>
      <c r="U148" s="222" t="s">
        <v>1191</v>
      </c>
      <c r="V148" s="238"/>
      <c r="W148" s="239" t="str">
        <f t="shared" ca="1" si="12"/>
        <v>SI</v>
      </c>
      <c r="X148" s="175" t="str">
        <f t="shared" si="13"/>
        <v>DIANOSOL</v>
      </c>
      <c r="Y148" s="117" t="s">
        <v>994</v>
      </c>
      <c r="Z148" s="229" t="s">
        <v>1018</v>
      </c>
      <c r="AA148" s="229" t="str">
        <f>IF(Z148&lt;&gt;"",VLOOKUP($Z148,Resultados!$A$1:$B$49,2,FALSE),"")</f>
        <v>Recursos Denegados</v>
      </c>
      <c r="AB148" s="8"/>
    </row>
    <row r="149" spans="1:28" ht="38.25">
      <c r="A149" s="145">
        <v>120</v>
      </c>
      <c r="B149" s="146">
        <v>45202</v>
      </c>
      <c r="C149" s="188">
        <v>0.38541666666666669</v>
      </c>
      <c r="D149" s="147" t="s">
        <v>106</v>
      </c>
      <c r="E149" s="148" t="s">
        <v>1108</v>
      </c>
      <c r="F149" s="148" t="s">
        <v>1109</v>
      </c>
      <c r="G149" s="149">
        <v>37004021</v>
      </c>
      <c r="H149" s="148" t="s">
        <v>1114</v>
      </c>
      <c r="I149" s="150" t="s">
        <v>1110</v>
      </c>
      <c r="J149" s="150" t="s">
        <v>1111</v>
      </c>
      <c r="K149" s="170">
        <v>34242062</v>
      </c>
      <c r="L149" s="150" t="s">
        <v>1112</v>
      </c>
      <c r="M149" s="148" t="s">
        <v>1113</v>
      </c>
      <c r="N149" s="147"/>
      <c r="O149" s="147"/>
      <c r="P149" s="147"/>
      <c r="Q149" s="148" t="s">
        <v>136</v>
      </c>
      <c r="R149" s="146"/>
      <c r="S149" s="188"/>
      <c r="T149" s="169" t="s">
        <v>1145</v>
      </c>
      <c r="U149" s="224"/>
      <c r="V149" s="116"/>
      <c r="W149" s="239" t="str">
        <f t="shared" ca="1" si="12"/>
        <v>SI</v>
      </c>
      <c r="X149" s="175" t="str">
        <f t="shared" si="13"/>
        <v>DIANOSOL</v>
      </c>
      <c r="Y149" s="117" t="s">
        <v>994</v>
      </c>
      <c r="Z149" s="229" t="s">
        <v>1042</v>
      </c>
      <c r="AA149" s="229" t="str">
        <f>IF(Z149&lt;&gt;"",VLOOKUP($Z149,Resultados!$A$1:$B$49,2,FALSE),"")</f>
        <v>Recursos Abstractos</v>
      </c>
      <c r="AB149" s="8"/>
    </row>
    <row r="150" spans="1:28" ht="51">
      <c r="A150" s="145">
        <v>122</v>
      </c>
      <c r="B150" s="146">
        <v>45203</v>
      </c>
      <c r="C150" s="188">
        <v>0.51874999999999993</v>
      </c>
      <c r="D150" s="147" t="s">
        <v>228</v>
      </c>
      <c r="E150" s="148" t="s">
        <v>1121</v>
      </c>
      <c r="F150" s="148" t="s">
        <v>1122</v>
      </c>
      <c r="G150" s="149">
        <v>31870270</v>
      </c>
      <c r="H150" s="148" t="s">
        <v>1123</v>
      </c>
      <c r="I150" s="150" t="s">
        <v>1124</v>
      </c>
      <c r="J150" s="150" t="s">
        <v>1125</v>
      </c>
      <c r="K150" s="151"/>
      <c r="L150" s="151"/>
      <c r="M150" s="148" t="s">
        <v>1126</v>
      </c>
      <c r="N150" s="147"/>
      <c r="O150" s="147"/>
      <c r="P150" s="147"/>
      <c r="Q150" s="148" t="s">
        <v>132</v>
      </c>
      <c r="R150" s="146"/>
      <c r="S150" s="188"/>
      <c r="T150" s="169" t="s">
        <v>592</v>
      </c>
      <c r="U150" s="225" t="s">
        <v>990</v>
      </c>
      <c r="V150" s="116"/>
      <c r="W150" s="175" t="s">
        <v>994</v>
      </c>
      <c r="X150" s="175"/>
      <c r="Y150" s="117" t="s">
        <v>994</v>
      </c>
      <c r="Z150" s="229" t="s">
        <v>1018</v>
      </c>
      <c r="AA150" s="229" t="str">
        <f>IF(Z150&lt;&gt;"",VLOOKUP($Z150,Resultados!$A$1:$B$49,2,FALSE),"")</f>
        <v>Recursos Denegados</v>
      </c>
      <c r="AB150" s="8"/>
    </row>
    <row r="151" spans="1:28" ht="51">
      <c r="A151" s="145">
        <v>125</v>
      </c>
      <c r="B151" s="146">
        <v>45205</v>
      </c>
      <c r="C151" s="188">
        <v>0.45833333333333331</v>
      </c>
      <c r="D151" s="147" t="s">
        <v>106</v>
      </c>
      <c r="E151" s="148" t="s">
        <v>1143</v>
      </c>
      <c r="F151" s="148" t="s">
        <v>1147</v>
      </c>
      <c r="G151" s="148" t="s">
        <v>1146</v>
      </c>
      <c r="H151" s="147"/>
      <c r="I151" s="150" t="s">
        <v>832</v>
      </c>
      <c r="J151" s="150" t="s">
        <v>1149</v>
      </c>
      <c r="K151" s="151"/>
      <c r="L151" s="150" t="s">
        <v>1148</v>
      </c>
      <c r="M151" s="148" t="s">
        <v>1150</v>
      </c>
      <c r="N151" s="148" t="s">
        <v>1151</v>
      </c>
      <c r="O151" s="147"/>
      <c r="P151" s="147"/>
      <c r="Q151" s="148" t="s">
        <v>133</v>
      </c>
      <c r="R151" s="146"/>
      <c r="S151" s="188"/>
      <c r="T151" s="169" t="s">
        <v>1190</v>
      </c>
      <c r="U151" s="224"/>
      <c r="V151" s="116"/>
      <c r="W151" s="175" t="s">
        <v>994</v>
      </c>
      <c r="X151" s="175"/>
      <c r="Y151" s="117" t="s">
        <v>994</v>
      </c>
      <c r="Z151" s="229" t="s">
        <v>1062</v>
      </c>
      <c r="AA151" s="229" t="str">
        <f>IF(Z151&lt;&gt;"",VLOOKUP($Z151,Resultados!$A$1:$B$49,2,FALSE),"")</f>
        <v>Recursos donde se hizo lugar</v>
      </c>
      <c r="AB151" s="8"/>
    </row>
    <row r="152" spans="1:28" ht="51">
      <c r="A152" s="145">
        <v>127</v>
      </c>
      <c r="B152" s="146">
        <v>45209</v>
      </c>
      <c r="C152" s="188">
        <v>0.33333333333333331</v>
      </c>
      <c r="D152" s="147" t="s">
        <v>226</v>
      </c>
      <c r="E152" s="148" t="s">
        <v>1157</v>
      </c>
      <c r="F152" s="148" t="s">
        <v>1158</v>
      </c>
      <c r="G152" s="149">
        <v>45179575</v>
      </c>
      <c r="H152" s="148" t="s">
        <v>1159</v>
      </c>
      <c r="I152" s="150" t="s">
        <v>1160</v>
      </c>
      <c r="J152" s="150" t="s">
        <v>1161</v>
      </c>
      <c r="K152" s="170">
        <v>26876117</v>
      </c>
      <c r="L152" s="150" t="s">
        <v>1162</v>
      </c>
      <c r="M152" s="148" t="s">
        <v>1163</v>
      </c>
      <c r="N152" s="147"/>
      <c r="O152" s="147"/>
      <c r="P152" s="147"/>
      <c r="Q152" s="148" t="s">
        <v>136</v>
      </c>
      <c r="R152" s="146"/>
      <c r="S152" s="188"/>
      <c r="T152" s="146"/>
      <c r="U152" s="224" t="s">
        <v>1254</v>
      </c>
      <c r="V152" s="116"/>
      <c r="W152" s="175"/>
      <c r="X152" s="175"/>
      <c r="Y152" s="117" t="s">
        <v>994</v>
      </c>
      <c r="Z152" s="229"/>
      <c r="AA152" s="229" t="str">
        <f>IF(Z152&lt;&gt;"",VLOOKUP($Z152,Resultados!$A$1:$B$49,2,FALSE),"")</f>
        <v/>
      </c>
      <c r="AB152" s="8"/>
    </row>
    <row r="153" spans="1:28" ht="39.950000000000003" customHeight="1">
      <c r="A153" s="145">
        <v>131</v>
      </c>
      <c r="B153" s="146">
        <v>45216</v>
      </c>
      <c r="C153" s="188">
        <v>0.37083333333333335</v>
      </c>
      <c r="D153" s="147" t="s">
        <v>228</v>
      </c>
      <c r="E153" s="148" t="s">
        <v>1183</v>
      </c>
      <c r="F153" s="148" t="s">
        <v>1184</v>
      </c>
      <c r="G153" s="147"/>
      <c r="H153" s="147"/>
      <c r="I153" s="150" t="s">
        <v>1185</v>
      </c>
      <c r="J153" s="151"/>
      <c r="K153" s="151"/>
      <c r="L153" s="151"/>
      <c r="M153" s="148" t="s">
        <v>386</v>
      </c>
      <c r="N153" s="147"/>
      <c r="O153" s="147"/>
      <c r="P153" s="147"/>
      <c r="Q153" s="148" t="s">
        <v>503</v>
      </c>
      <c r="R153" s="146"/>
      <c r="S153" s="188"/>
      <c r="T153" s="169" t="s">
        <v>1257</v>
      </c>
      <c r="U153" s="222" t="s">
        <v>1096</v>
      </c>
      <c r="V153" s="116"/>
      <c r="W153" s="175"/>
      <c r="X153" s="175"/>
      <c r="Y153" s="117" t="s">
        <v>994</v>
      </c>
      <c r="Z153" s="229" t="s">
        <v>1018</v>
      </c>
      <c r="AA153" s="229" t="str">
        <f>IF(Z153&lt;&gt;"",VLOOKUP($Z153,Resultados!$A$1:$B$49,2,FALSE),"")</f>
        <v>Recursos Denegados</v>
      </c>
      <c r="AB153" s="8"/>
    </row>
    <row r="154" spans="1:28" ht="38.25">
      <c r="A154" s="145">
        <v>151</v>
      </c>
      <c r="B154" s="146">
        <v>45233</v>
      </c>
      <c r="C154" s="188">
        <v>0.375</v>
      </c>
      <c r="D154" s="147" t="s">
        <v>242</v>
      </c>
      <c r="E154" s="148" t="s">
        <v>1300</v>
      </c>
      <c r="F154" s="148" t="s">
        <v>1301</v>
      </c>
      <c r="G154" s="149">
        <v>28938229</v>
      </c>
      <c r="H154" s="148" t="s">
        <v>1302</v>
      </c>
      <c r="I154" s="150" t="s">
        <v>1303</v>
      </c>
      <c r="J154" s="150" t="s">
        <v>1304</v>
      </c>
      <c r="K154" s="170">
        <v>23101063</v>
      </c>
      <c r="L154" s="150" t="s">
        <v>1305</v>
      </c>
      <c r="M154" s="148" t="s">
        <v>462</v>
      </c>
      <c r="N154" s="148" t="s">
        <v>1306</v>
      </c>
      <c r="O154" s="147"/>
      <c r="P154" s="147"/>
      <c r="Q154" s="148" t="s">
        <v>136</v>
      </c>
      <c r="R154" s="146"/>
      <c r="S154" s="188"/>
      <c r="T154" s="146"/>
      <c r="U154" s="224" t="s">
        <v>1324</v>
      </c>
      <c r="V154" s="147"/>
      <c r="W154" s="148"/>
      <c r="X154" s="148"/>
      <c r="Y154" s="148" t="s">
        <v>994</v>
      </c>
      <c r="Z154" s="229"/>
      <c r="AA154" s="229" t="str">
        <f>IF(Z154&lt;&gt;"",VLOOKUP($Z154,Resultados!$A$1:$B$49,2,FALSE),"")</f>
        <v/>
      </c>
      <c r="AB154" s="8"/>
    </row>
    <row r="155" spans="1:28" ht="102">
      <c r="A155" s="145">
        <v>153</v>
      </c>
      <c r="B155" s="146">
        <v>45236</v>
      </c>
      <c r="C155" s="188">
        <v>0.51041666666666663</v>
      </c>
      <c r="D155" s="148" t="s">
        <v>105</v>
      </c>
      <c r="E155" s="148" t="s">
        <v>1313</v>
      </c>
      <c r="F155" s="148" t="s">
        <v>1314</v>
      </c>
      <c r="G155" s="148" t="s">
        <v>1315</v>
      </c>
      <c r="H155" s="148" t="s">
        <v>1316</v>
      </c>
      <c r="I155" s="150" t="s">
        <v>1317</v>
      </c>
      <c r="J155" s="150" t="s">
        <v>1318</v>
      </c>
      <c r="K155" s="151"/>
      <c r="L155" s="151"/>
      <c r="M155" s="148" t="s">
        <v>1319</v>
      </c>
      <c r="N155" s="147"/>
      <c r="O155" s="147"/>
      <c r="P155" s="147"/>
      <c r="Q155" s="148" t="s">
        <v>779</v>
      </c>
      <c r="R155" s="146"/>
      <c r="S155" s="188"/>
      <c r="T155" s="146"/>
      <c r="U155" s="224" t="s">
        <v>1320</v>
      </c>
      <c r="V155" s="147"/>
      <c r="W155" s="148"/>
      <c r="X155" s="148"/>
      <c r="Y155" s="148" t="s">
        <v>994</v>
      </c>
      <c r="Z155" s="229"/>
      <c r="AA155" s="229" t="str">
        <f>IF(Z155&lt;&gt;"",VLOOKUP($Z155,Resultados!$A$1:$B$49,2,FALSE),"")</f>
        <v/>
      </c>
      <c r="AB155" s="8"/>
    </row>
    <row r="156" spans="1:28" ht="39.950000000000003" customHeight="1">
      <c r="A156" s="145">
        <v>154</v>
      </c>
      <c r="B156" s="146">
        <v>45238</v>
      </c>
      <c r="C156" s="188">
        <v>0.33333333333333331</v>
      </c>
      <c r="D156" s="148" t="s">
        <v>242</v>
      </c>
      <c r="E156" s="148" t="s">
        <v>1328</v>
      </c>
      <c r="F156" s="148" t="s">
        <v>1330</v>
      </c>
      <c r="G156" s="149">
        <v>33929745</v>
      </c>
      <c r="H156" s="148" t="s">
        <v>1331</v>
      </c>
      <c r="I156" s="150" t="s">
        <v>420</v>
      </c>
      <c r="J156" s="150" t="s">
        <v>1332</v>
      </c>
      <c r="K156" s="151"/>
      <c r="L156" s="151"/>
      <c r="M156" s="148" t="s">
        <v>1329</v>
      </c>
      <c r="N156" s="147"/>
      <c r="O156" s="147"/>
      <c r="P156" s="147"/>
      <c r="Q156" s="148" t="s">
        <v>132</v>
      </c>
      <c r="R156" s="146"/>
      <c r="S156" s="188"/>
      <c r="T156" s="146"/>
      <c r="U156" s="223"/>
      <c r="V156" s="147"/>
      <c r="W156" s="148"/>
      <c r="X156" s="148"/>
      <c r="Y156" s="148" t="s">
        <v>994</v>
      </c>
      <c r="Z156" s="229"/>
      <c r="AA156" s="229" t="str">
        <f>IF(Z156&lt;&gt;"",VLOOKUP($Z156,Resultados!$A$1:$B$49,2,FALSE),"")</f>
        <v/>
      </c>
      <c r="AB156" s="8"/>
    </row>
    <row r="157" spans="1:28" ht="76.5">
      <c r="A157" s="145">
        <v>155</v>
      </c>
      <c r="B157" s="146">
        <v>45239</v>
      </c>
      <c r="C157" s="188">
        <v>0.41666666666666669</v>
      </c>
      <c r="D157" s="148" t="s">
        <v>226</v>
      </c>
      <c r="E157" s="148" t="s">
        <v>1335</v>
      </c>
      <c r="F157" s="148" t="s">
        <v>1336</v>
      </c>
      <c r="G157" s="149">
        <v>26713324</v>
      </c>
      <c r="H157" s="148" t="s">
        <v>1337</v>
      </c>
      <c r="I157" s="150" t="s">
        <v>1338</v>
      </c>
      <c r="J157" s="151"/>
      <c r="K157" s="151"/>
      <c r="L157" s="151"/>
      <c r="M157" s="148" t="s">
        <v>386</v>
      </c>
      <c r="N157" s="147" t="s">
        <v>1339</v>
      </c>
      <c r="O157" s="147"/>
      <c r="P157" s="147"/>
      <c r="Q157" s="148" t="s">
        <v>556</v>
      </c>
      <c r="R157" s="146"/>
      <c r="S157" s="188"/>
      <c r="T157" s="146"/>
      <c r="U157" s="224" t="s">
        <v>1340</v>
      </c>
      <c r="V157" s="147"/>
      <c r="W157" s="148"/>
      <c r="X157" s="148"/>
      <c r="Y157" s="148" t="s">
        <v>994</v>
      </c>
      <c r="Z157" s="229"/>
      <c r="AA157" s="229" t="str">
        <f>IF(Z157&lt;&gt;"",VLOOKUP($Z157,Resultados!$A$1:$B$49,2,FALSE),"")</f>
        <v/>
      </c>
      <c r="AB157" s="8"/>
    </row>
    <row r="158" spans="1:28" ht="39.950000000000003" customHeight="1">
      <c r="A158" s="43">
        <v>156</v>
      </c>
      <c r="B158" s="82">
        <v>45239</v>
      </c>
      <c r="C158" s="83">
        <v>0.41666666666666669</v>
      </c>
      <c r="D158" s="6" t="s">
        <v>242</v>
      </c>
      <c r="E158" s="6" t="s">
        <v>1342</v>
      </c>
      <c r="F158" s="6" t="s">
        <v>1343</v>
      </c>
      <c r="G158" s="5"/>
      <c r="H158" s="5"/>
      <c r="I158" s="84"/>
      <c r="J158" s="84"/>
      <c r="K158" s="84"/>
      <c r="L158" s="84"/>
      <c r="M158" s="6" t="s">
        <v>1344</v>
      </c>
      <c r="N158" s="6" t="s">
        <v>1345</v>
      </c>
      <c r="O158" s="5"/>
      <c r="P158" s="5"/>
      <c r="Q158" s="6" t="s">
        <v>136</v>
      </c>
      <c r="R158" s="82">
        <v>45245</v>
      </c>
      <c r="S158" s="83">
        <v>0.4375</v>
      </c>
      <c r="T158" s="82"/>
      <c r="U158" s="218"/>
      <c r="V158" s="5"/>
      <c r="W158" s="6"/>
      <c r="X158" s="6"/>
      <c r="Y158" s="6" t="s">
        <v>994</v>
      </c>
      <c r="Z158" s="174" t="s">
        <v>1040</v>
      </c>
      <c r="AA158" s="174" t="str">
        <f>IF(Z158&lt;&gt;"",VLOOKUP($Z158,Resultados!$A$1:$B$49,2,FALSE),"")</f>
        <v>Audiencias de Visu</v>
      </c>
      <c r="AB158" s="8"/>
    </row>
    <row r="159" spans="1:28">
      <c r="Z159" s="123"/>
      <c r="AA159" s="123"/>
      <c r="AB159" s="8"/>
    </row>
    <row r="160" spans="1:28">
      <c r="Z160" s="123"/>
      <c r="AA160" s="123"/>
      <c r="AB160" s="8"/>
    </row>
    <row r="161" spans="26:28">
      <c r="Z161" s="123"/>
      <c r="AA161" s="123"/>
      <c r="AB161" s="8"/>
    </row>
    <row r="162" spans="26:28">
      <c r="Z162" s="123"/>
      <c r="AA162" s="123"/>
      <c r="AB162" s="8"/>
    </row>
    <row r="163" spans="26:28">
      <c r="Z163" s="123"/>
      <c r="AA163" s="123"/>
      <c r="AB163" s="8"/>
    </row>
    <row r="164" spans="26:28">
      <c r="Z164" s="123"/>
      <c r="AA164" s="123"/>
      <c r="AB164" s="8"/>
    </row>
    <row r="165" spans="26:28">
      <c r="Z165" s="123"/>
      <c r="AA165" s="123"/>
      <c r="AB165" s="8"/>
    </row>
    <row r="166" spans="26:28">
      <c r="Z166" s="123"/>
      <c r="AA166" s="123"/>
      <c r="AB166" s="8"/>
    </row>
    <row r="167" spans="26:28">
      <c r="Z167" s="123"/>
      <c r="AA167" s="123"/>
      <c r="AB167" s="8"/>
    </row>
    <row r="168" spans="26:28">
      <c r="Z168" s="123"/>
      <c r="AA168" s="123"/>
      <c r="AB168" s="8"/>
    </row>
    <row r="169" spans="26:28">
      <c r="Z169" s="123"/>
      <c r="AA169" s="123"/>
      <c r="AB169" s="8"/>
    </row>
    <row r="170" spans="26:28">
      <c r="Z170" s="123"/>
      <c r="AA170" s="123"/>
      <c r="AB170" s="8"/>
    </row>
    <row r="171" spans="26:28">
      <c r="Z171" s="123"/>
      <c r="AA171" s="123"/>
      <c r="AB171" s="8"/>
    </row>
    <row r="172" spans="26:28">
      <c r="Z172" s="123"/>
      <c r="AA172" s="123"/>
      <c r="AB172" s="8"/>
    </row>
    <row r="173" spans="26:28">
      <c r="Z173" s="123"/>
      <c r="AA173" s="123"/>
      <c r="AB173" s="8"/>
    </row>
    <row r="174" spans="26:28">
      <c r="Z174" s="123"/>
      <c r="AA174" s="123"/>
      <c r="AB174" s="8"/>
    </row>
    <row r="175" spans="26:28">
      <c r="Z175" s="123"/>
      <c r="AA175" s="123"/>
      <c r="AB175" s="8"/>
    </row>
    <row r="176" spans="26: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sortState ref="A3:AA157">
    <sortCondition ref="R3:R157"/>
    <sortCondition ref="S3:S157"/>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58">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45239</v>
      </c>
      <c r="H1" s="26"/>
    </row>
    <row r="2" spans="2:9">
      <c r="H2" s="11"/>
    </row>
    <row r="3" spans="2:9" ht="20.100000000000001" customHeight="1">
      <c r="B3" s="241" t="s">
        <v>109</v>
      </c>
      <c r="C3" s="241"/>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41" t="s">
        <v>110</v>
      </c>
      <c r="C13" s="241"/>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41" t="s">
        <v>111</v>
      </c>
      <c r="C23" s="241"/>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42" t="s">
        <v>42</v>
      </c>
      <c r="C33" s="242"/>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14" sqref="C14"/>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43" t="s">
        <v>1105</v>
      </c>
      <c r="C1" s="243"/>
      <c r="D1" s="243"/>
      <c r="E1" s="243"/>
      <c r="F1" s="243"/>
      <c r="G1" s="243"/>
      <c r="H1" s="243"/>
      <c r="I1" s="243"/>
      <c r="J1" s="243"/>
      <c r="K1" s="243"/>
      <c r="L1" s="243"/>
    </row>
    <row r="2" spans="2:12" ht="12.75" customHeight="1">
      <c r="B2" s="111"/>
      <c r="C2" s="111"/>
      <c r="D2" s="111"/>
      <c r="E2" s="111"/>
      <c r="F2" s="111"/>
      <c r="G2" s="111"/>
      <c r="H2" s="111"/>
      <c r="I2" s="111"/>
      <c r="J2" s="111"/>
      <c r="K2" s="111"/>
      <c r="L2" s="111"/>
    </row>
    <row r="3" spans="2:12" ht="30.75" customHeight="1">
      <c r="B3" s="244" t="s">
        <v>886</v>
      </c>
      <c r="C3" s="244"/>
      <c r="D3" s="244"/>
      <c r="E3" s="244"/>
      <c r="F3" s="244"/>
      <c r="G3" s="244"/>
      <c r="H3" s="244"/>
      <c r="I3" s="244"/>
      <c r="J3" s="244"/>
      <c r="K3" s="244"/>
      <c r="L3" s="244"/>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36</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134</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09/11/2023</v>
      </c>
      <c r="P20" s="160"/>
    </row>
    <row r="21" spans="2:16" ht="28.35" customHeight="1">
      <c r="P21" s="109"/>
    </row>
    <row r="22" spans="2:16" ht="30" customHeight="1">
      <c r="B22" s="243" t="s">
        <v>885</v>
      </c>
      <c r="C22" s="243"/>
      <c r="D22" s="243"/>
      <c r="E22" s="243"/>
      <c r="F22" s="243"/>
      <c r="G22" s="243"/>
      <c r="H22" s="243"/>
      <c r="I22" s="243"/>
      <c r="J22" s="243"/>
      <c r="K22" s="243"/>
    </row>
    <row r="23" spans="2:16" ht="30" customHeight="1">
      <c r="B23" s="244" t="s">
        <v>890</v>
      </c>
      <c r="C23" s="244"/>
      <c r="D23" s="244"/>
      <c r="E23" s="244"/>
      <c r="F23" s="244"/>
      <c r="G23" s="244"/>
      <c r="H23" s="244"/>
      <c r="I23" s="244"/>
      <c r="J23" s="244"/>
      <c r="K23" s="244"/>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16</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100</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2023-10-03T11:07:07Z</cp:lastPrinted>
  <dcterms:created xsi:type="dcterms:W3CDTF">2023-02-23T14:47:20Z</dcterms:created>
  <dcterms:modified xsi:type="dcterms:W3CDTF">2023-11-09T16:23:34Z</dcterms:modified>
</cp:coreProperties>
</file>