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back planillas\"/>
    </mc:Choice>
  </mc:AlternateContent>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builtInGroupCount="18"/>
  <externalReferences>
    <externalReference r:id="rId13"/>
  </externalReferences>
  <definedNames>
    <definedName name="_xlnm._FilterDatabase" localSheetId="0" hidden="1">EXPEDIENTES!$A$2:$T$2</definedName>
    <definedName name="Audiencia_cancelada___inimputabilidad">Resultados!$A$1:$A$49</definedName>
    <definedName name="INTERNOS">[1]Internos!$A$1:$A$11</definedName>
  </definedNames>
  <calcPr calcId="162913"/>
  <fileRecoveryPr autoRecover="0"/>
</workbook>
</file>

<file path=xl/calcChain.xml><?xml version="1.0" encoding="utf-8"?>
<calcChain xmlns="http://schemas.openxmlformats.org/spreadsheetml/2006/main">
  <c r="AA153" i="1" l="1"/>
  <c r="AA152" i="1"/>
  <c r="AA151" i="1"/>
  <c r="AA150" i="1"/>
  <c r="AA149" i="1"/>
  <c r="AA148" i="1"/>
  <c r="AA147" i="1"/>
  <c r="AA146" i="1"/>
  <c r="AA145" i="1"/>
  <c r="AA144" i="1"/>
  <c r="AA78" i="1"/>
  <c r="AA101"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0" i="1"/>
  <c r="AA99" i="1"/>
  <c r="AA98" i="1"/>
  <c r="AA97" i="1"/>
  <c r="AA96" i="1"/>
  <c r="AA95" i="1"/>
  <c r="AA94" i="1"/>
  <c r="AA93" i="1"/>
  <c r="AA92" i="1"/>
  <c r="AA91" i="1"/>
  <c r="AA90" i="1"/>
  <c r="AA89" i="1"/>
  <c r="AA88" i="1"/>
  <c r="AA87" i="1"/>
  <c r="AA86" i="1"/>
  <c r="AA85" i="1"/>
  <c r="AA84" i="1"/>
  <c r="AA83" i="1"/>
  <c r="AA82" i="1"/>
  <c r="AA81" i="1"/>
  <c r="AA80" i="1"/>
  <c r="AA79"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B44" i="14"/>
  <c r="B43" i="14"/>
  <c r="B40" i="14"/>
  <c r="B39" i="14"/>
  <c r="B38" i="14"/>
  <c r="B35" i="14"/>
  <c r="B32" i="14"/>
  <c r="B31" i="14"/>
  <c r="B29" i="14"/>
  <c r="X121" i="1"/>
  <c r="X120" i="1"/>
  <c r="X119" i="1"/>
  <c r="B20" i="14"/>
  <c r="B13" i="14" l="1"/>
  <c r="W121" i="1"/>
  <c r="W120" i="1"/>
  <c r="B30" i="14" s="1"/>
  <c r="W119" i="1"/>
  <c r="W118" i="1"/>
  <c r="W117" i="1"/>
  <c r="W116" i="1"/>
  <c r="W115" i="1"/>
  <c r="W114"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B36" i="14" s="1"/>
  <c r="W86" i="1"/>
  <c r="W85" i="1"/>
  <c r="W84" i="1"/>
  <c r="W83" i="1"/>
  <c r="W82" i="1"/>
  <c r="W81" i="1"/>
  <c r="W80" i="1"/>
  <c r="W79" i="1"/>
  <c r="B51" i="14" s="1"/>
  <c r="W78" i="1"/>
  <c r="W77" i="1"/>
  <c r="W76" i="1"/>
  <c r="W75" i="1"/>
  <c r="W74" i="1"/>
  <c r="W73" i="1"/>
  <c r="B45" i="14" s="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B50" i="14" s="1"/>
  <c r="W13" i="1"/>
  <c r="W12" i="1"/>
  <c r="W11" i="1"/>
  <c r="W10" i="1"/>
  <c r="W9" i="1"/>
  <c r="W8" i="1"/>
  <c r="W7" i="1"/>
  <c r="W6" i="1"/>
  <c r="W3" i="1"/>
  <c r="B46" i="14" l="1"/>
  <c r="B41" i="14"/>
  <c r="B26" i="14"/>
  <c r="B25" i="14"/>
  <c r="B33" i="14"/>
  <c r="B42" i="14"/>
  <c r="B48" i="14"/>
  <c r="B28" i="14"/>
  <c r="B47" i="14"/>
  <c r="B49" i="14"/>
  <c r="B37" i="14"/>
  <c r="B34" i="14"/>
  <c r="B6" i="14"/>
  <c r="B7" i="14"/>
  <c r="B11" i="14"/>
  <c r="B14" i="14"/>
  <c r="B8" i="14"/>
  <c r="B12" i="14"/>
  <c r="B9" i="14"/>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X8" i="1"/>
  <c r="X7" i="1"/>
  <c r="X6" i="1"/>
  <c r="X3" i="1"/>
  <c r="C18" i="5" l="1"/>
  <c r="C5" i="5"/>
  <c r="C7" i="5"/>
  <c r="C9" i="5"/>
  <c r="C8" i="5"/>
  <c r="C6" i="5"/>
  <c r="C28" i="5"/>
  <c r="X5" i="1" l="1"/>
  <c r="X4" i="1"/>
  <c r="W4" i="1"/>
  <c r="C10" i="5" l="1"/>
  <c r="C1" i="5"/>
  <c r="W5" i="1"/>
  <c r="B27" i="14" s="1"/>
  <c r="B52" i="14" s="1"/>
  <c r="B10" i="14" l="1"/>
  <c r="B15" i="14" s="1"/>
  <c r="C17" i="5"/>
  <c r="C15" i="5"/>
  <c r="C19" i="5"/>
  <c r="C16" i="5"/>
  <c r="C27" i="5"/>
  <c r="C29" i="5"/>
  <c r="C26" i="5"/>
  <c r="C25" i="5"/>
  <c r="C34" i="5" l="1"/>
  <c r="C30" i="5"/>
  <c r="C20" i="5"/>
</calcChain>
</file>

<file path=xl/comments1.xml><?xml version="1.0" encoding="utf-8"?>
<comments xmlns="http://schemas.openxmlformats.org/spreadsheetml/2006/main">
  <authors>
    <author>cvaccaro</author>
  </authors>
  <commentList>
    <comment ref="A122" authorId="0" shapeId="0">
      <text>
        <r>
          <rPr>
            <b/>
            <sz val="9"/>
            <color indexed="81"/>
            <rFont val="Tahoma"/>
            <family val="2"/>
          </rPr>
          <t>cvaccaro:</t>
        </r>
        <r>
          <rPr>
            <sz val="9"/>
            <color indexed="81"/>
            <rFont val="Tahoma"/>
            <family val="2"/>
          </rPr>
          <t xml:space="preserve">
</t>
        </r>
      </text>
    </comment>
  </commentList>
</comments>
</file>

<file path=xl/sharedStrings.xml><?xml version="1.0" encoding="utf-8"?>
<sst xmlns="http://schemas.openxmlformats.org/spreadsheetml/2006/main" count="2189" uniqueCount="1310">
  <si>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</si>
  <si>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</si>
  <si>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</si>
  <si>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</si>
  <si>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</si>
  <si>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</si>
  <si>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</si>
  <si>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</si>
  <si>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</si>
  <si>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</si>
  <si>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</si>
  <si>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</si>
  <si>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</si>
  <si>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</si>
  <si>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</si>
  <si>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</si>
  <si>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</si>
  <si>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</si>
  <si>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</si>
  <si>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</si>
  <si>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</si>
  <si>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</si>
  <si>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</si>
  <si>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</si>
  <si>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</si>
  <si>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</si>
  <si>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</si>
  <si>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</si>
  <si>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</si>
  <si>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</si>
  <si>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</si>
  <si>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</si>
  <si>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</si>
  <si>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</si>
  <si>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</si>
  <si>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</si>
  <si>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</si>
  <si>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</si>
  <si>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</si>
  <si>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</si>
  <si>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</si>
  <si>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</si>
  <si>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</si>
  <si>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</si>
  <si>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</si>
  <si>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</si>
  <si>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</si>
  <si>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</si>
  <si>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</si>
  <si>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</si>
  <si>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</si>
  <si>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</si>
  <si>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</si>
  <si>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</si>
  <si>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</si>
  <si>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</si>
  <si>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</si>
  <si>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</si>
  <si>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</si>
  <si>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</si>
  <si>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</si>
  <si>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</si>
  <si>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</si>
  <si>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</si>
  <si>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</si>
  <si>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</si>
  <si>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</si>
  <si>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</si>
  <si>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</si>
  <si>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</si>
  <si>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</si>
  <si>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</si>
  <si>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</si>
  <si>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</si>
  <si>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</si>
  <si>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</si>
  <si>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</si>
  <si>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</si>
  <si>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</si>
  <si>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</si>
  <si>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</si>
  <si>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</si>
  <si>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</si>
  <si>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</si>
  <si>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</si>
  <si>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</si>
  <si>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</si>
  <si>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</si>
  <si>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</si>
  <si>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</si>
  <si>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</si>
  <si>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</si>
  <si>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</si>
  <si>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</si>
  <si>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</si>
  <si>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</si>
  <si>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</si>
  <si>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</si>
  <si>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</si>
  <si>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</si>
  <si>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</si>
  <si>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</si>
  <si>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</si>
  <si>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</si>
  <si>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</si>
  <si>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</si>
  <si>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</si>
  <si>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</si>
  <si>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</si>
  <si>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</si>
  <si>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</si>
  <si>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</si>
  <si>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</si>
  <si>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</si>
  <si>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</si>
  <si>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</si>
  <si>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</si>
  <si>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</si>
  <si>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</si>
  <si>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</si>
  <si>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</si>
  <si>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</si>
  <si>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</si>
  <si>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</si>
  <si>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</si>
  <si>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</si>
  <si>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</si>
  <si>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</si>
  <si>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</si>
  <si>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</si>
  <si>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</si>
  <si>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</si>
  <si>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</si>
  <si>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</si>
  <si>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</si>
  <si>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</si>
  <si>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</si>
  <si>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</si>
  <si>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</si>
  <si>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</si>
  <si>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</si>
  <si>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</si>
  <si>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</si>
  <si>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</si>
  <si>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</si>
  <si>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</si>
  <si>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</si>
  <si>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</si>
  <si>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</si>
  <si>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</si>
  <si>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</si>
  <si>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</si>
  <si>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</si>
  <si>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</si>
  <si>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</si>
  <si>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</si>
  <si>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</si>
  <si>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</si>
  <si>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</si>
  <si>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</si>
  <si>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</si>
  <si>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</si>
  <si>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</si>
  <si>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</si>
  <si>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</si>
  <si>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</si>
  <si>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</si>
  <si>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</si>
  <si>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</si>
  <si>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</si>
  <si>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</si>
  <si>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</si>
  <si>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</si>
  <si>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</si>
  <si>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</si>
  <si>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</si>
  <si>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</si>
  <si>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</si>
  <si>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</si>
  <si>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</si>
  <si>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</si>
  <si>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</si>
  <si>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</si>
  <si>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</si>
  <si>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</si>
  <si>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</si>
  <si>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</si>
  <si>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</si>
  <si>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</si>
  <si>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</si>
  <si>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</si>
  <si>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</si>
  <si>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</si>
  <si>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</si>
  <si>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</si>
  <si>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</si>
  <si>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</si>
  <si>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</si>
  <si>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</si>
  <si>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</si>
  <si>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</si>
  <si>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</si>
  <si>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</si>
  <si>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</si>
  <si>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</si>
  <si>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</si>
  <si>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</si>
  <si>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</si>
  <si>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</si>
  <si>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</si>
  <si>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</si>
  <si>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</si>
  <si>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</si>
  <si>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</si>
  <si>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</si>
  <si>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</si>
  <si>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</si>
  <si>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</si>
  <si>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</si>
  <si>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</si>
  <si>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</si>
  <si>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</si>
  <si>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</si>
  <si>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</si>
  <si>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</si>
  <si>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</si>
  <si>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</si>
  <si>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</si>
  <si>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</si>
  <si>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</si>
  <si>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</si>
  <si>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</si>
  <si>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</si>
  <si>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</si>
  <si>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</si>
  <si>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</si>
  <si>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</si>
  <si>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</si>
  <si>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</si>
  <si>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</si>
  <si>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</si>
  <si>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</si>
  <si>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</si>
  <si>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</si>
  <si>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</si>
  <si>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</si>
  <si>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</si>
  <si>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</si>
  <si>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</si>
  <si>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</si>
  <si>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</si>
  <si>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</si>
  <si>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</si>
  <si>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</si>
  <si>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</si>
  <si>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</si>
  <si>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</si>
  <si>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</si>
  <si>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</si>
  <si>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</si>
  <si>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</si>
  <si>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</si>
  <si>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</si>
  <si>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</si>
  <si>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</si>
  <si>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</si>
  <si>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</si>
  <si>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</si>
  <si>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</si>
  <si>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</si>
  <si>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</si>
  <si>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</si>
  <si>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</si>
  <si>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</si>
  <si>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</si>
  <si>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</si>
  <si>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</si>
  <si>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</si>
  <si>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</si>
  <si>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</si>
  <si>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</si>
  <si>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</si>
  <si>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</si>
  <si>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</si>
  <si>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</si>
  <si>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</si>
  <si>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</si>
  <si>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</si>
  <si>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</si>
  <si>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</si>
  <si>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</si>
  <si>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</si>
  <si>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</si>
  <si>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</si>
  <si>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</si>
  <si>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</si>
  <si>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</si>
  <si>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</si>
  <si>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</si>
  <si>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</si>
  <si>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</si>
  <si>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</si>
  <si>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</si>
  <si>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</si>
  <si>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</si>
  <si>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</si>
  <si>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</si>
  <si>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</si>
  <si>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</si>
  <si>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</si>
  <si>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</si>
  <si>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</si>
  <si>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</si>
  <si>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</si>
  <si>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</si>
  <si>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</si>
  <si>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</si>
  <si>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</si>
  <si>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</si>
  <si>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</si>
  <si>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</si>
  <si>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</si>
  <si>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</si>
  <si>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</si>
  <si>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</si>
  <si>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</si>
  <si>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</si>
  <si>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</si>
  <si>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</si>
  <si>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</si>
  <si>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</si>
  <si>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</si>
  <si>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</si>
  <si>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</si>
  <si>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</si>
  <si>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</si>
  <si>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</si>
  <si>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</si>
  <si>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</si>
  <si>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</si>
  <si>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</si>
  <si>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</si>
  <si>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</si>
  <si>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</si>
  <si>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</si>
  <si>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</si>
  <si>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</si>
  <si>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</si>
  <si>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</si>
  <si>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</si>
  <si>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</si>
  <si>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</si>
  <si>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</si>
  <si>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</si>
  <si>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</si>
  <si>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</si>
  <si>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</si>
  <si>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</si>
  <si>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</si>
  <si>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</si>
  <si>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</si>
  <si>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</si>
  <si>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</si>
  <si>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</si>
  <si>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</si>
  <si>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</si>
  <si>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</si>
  <si>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</si>
  <si>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</si>
  <si>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</si>
  <si>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</si>
  <si>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</si>
  <si>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</si>
  <si>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</si>
  <si>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</si>
  <si>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</si>
  <si>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</si>
  <si>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</si>
  <si>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</si>
  <si>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</si>
  <si>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</si>
  <si>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</si>
  <si>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</si>
  <si>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</si>
  <si>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</si>
  <si>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</si>
  <si>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</si>
  <si>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</si>
  <si>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</si>
  <si>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</si>
  <si>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</si>
  <si>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</si>
  <si>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</si>
  <si>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</si>
  <si>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</si>
  <si>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</si>
  <si>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</si>
  <si>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</si>
  <si>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</si>
  <si>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</si>
  <si>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</si>
  <si>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</si>
  <si>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</si>
  <si>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</si>
  <si>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</si>
  <si>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</si>
  <si>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</si>
  <si>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</si>
  <si>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</si>
  <si>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</si>
  <si>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</si>
  <si>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</si>
  <si>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</si>
  <si>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</si>
  <si>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</si>
  <si>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</si>
  <si>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</si>
  <si>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</si>
  <si>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</si>
  <si>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</si>
  <si>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</si>
  <si>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</si>
  <si>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</si>
  <si>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</si>
  <si>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</si>
  <si>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</si>
  <si>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</si>
  <si>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</si>
  <si>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</si>
  <si>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</si>
  <si>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</si>
  <si>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</si>
  <si>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</si>
  <si>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</si>
  <si>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</si>
  <si>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</si>
  <si>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</si>
  <si>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</si>
  <si>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</si>
  <si>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</si>
  <si>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</si>
  <si>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</si>
  <si>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</si>
  <si>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</si>
  <si>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</si>
  <si>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</si>
  <si>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</si>
  <si>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</si>
  <si>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</si>
  <si>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</si>
  <si>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</si>
  <si>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</si>
  <si>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</si>
  <si>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</si>
  <si>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</si>
  <si>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</si>
  <si>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</si>
  <si>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</si>
  <si>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</si>
  <si>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</si>
  <si>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</si>
  <si>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</si>
  <si>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</si>
  <si>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</si>
  <si>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</si>
  <si>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</si>
  <si>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</si>
  <si>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</si>
  <si>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</si>
  <si>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</si>
  <si>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</si>
  <si>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</si>
  <si>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</si>
  <si>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</si>
  <si>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</si>
  <si>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</si>
  <si>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</si>
  <si>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</si>
  <si>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</si>
  <si>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</si>
  <si>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</si>
  <si>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</si>
  <si>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</si>
  <si>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</si>
  <si>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</si>
  <si>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</si>
  <si>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</si>
  <si>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</si>
  <si>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</si>
  <si>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</si>
  <si>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</si>
  <si>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</si>
  <si>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</si>
  <si>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</si>
  <si>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</si>
  <si>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</si>
  <si>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</si>
  <si>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</si>
  <si>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</si>
  <si>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</si>
  <si>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</si>
  <si>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</si>
  <si>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</si>
  <si>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</si>
  <si>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</si>
  <si>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</si>
  <si>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</si>
  <si>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</si>
  <si>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</si>
  <si>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</si>
  <si>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</si>
  <si>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</si>
  <si>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</si>
  <si>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</si>
  <si>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</si>
  <si>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</si>
  <si>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</si>
  <si>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</si>
  <si>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</si>
  <si>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</si>
  <si>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</si>
  <si>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</si>
  <si>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</si>
  <si>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</si>
  <si>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</si>
  <si>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</si>
  <si>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</si>
  <si>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</si>
  <si>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</si>
  <si>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</si>
  <si>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</si>
  <si>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</si>
  <si>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</si>
  <si>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</si>
  <si>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</si>
  <si>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</si>
  <si>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</si>
  <si>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</si>
  <si>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</si>
  <si>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</si>
  <si>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</si>
  <si>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</si>
  <si>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</si>
  <si>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</si>
  <si>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</si>
  <si>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</si>
  <si>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</si>
  <si>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</si>
  <si>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</si>
  <si>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</si>
  <si>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</si>
  <si>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</si>
  <si>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</si>
  <si>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</si>
  <si>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</si>
  <si>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</si>
  <si>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</si>
  <si>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</si>
  <si>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</si>
  <si>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</si>
  <si>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</si>
  <si>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</si>
  <si>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</si>
  <si>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</si>
  <si>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</si>
  <si>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</si>
  <si>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</si>
  <si>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</si>
  <si>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</si>
  <si>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</si>
  <si>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</si>
  <si>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</si>
  <si>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</si>
  <si>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</si>
  <si>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</si>
  <si>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</si>
  <si>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</si>
  <si>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</si>
  <si>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</si>
  <si>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</si>
  <si>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</si>
  <si>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</si>
  <si>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</si>
  <si>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</si>
  <si>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</si>
  <si>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</si>
  <si>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</si>
  <si>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</si>
  <si>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</si>
  <si>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</si>
  <si>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</si>
  <si>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</si>
  <si>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</si>
  <si>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</si>
  <si>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</si>
  <si>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</si>
  <si>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</si>
  <si>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</si>
  <si>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</si>
  <si>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</si>
  <si>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</si>
  <si>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</si>
  <si>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</si>
  <si>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</si>
  <si>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</si>
  <si>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</si>
  <si>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</si>
  <si>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</si>
  <si>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</si>
  <si>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</si>
  <si>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</si>
  <si>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</si>
  <si>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</si>
  <si>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</si>
  <si>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</si>
  <si>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</si>
  <si>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</si>
  <si>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</si>
  <si>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</si>
  <si>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</si>
  <si>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</si>
  <si>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</si>
  <si>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</si>
  <si>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</si>
  <si>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</si>
  <si>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</si>
  <si>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</si>
  <si>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</si>
  <si>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</si>
  <si>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</si>
  <si>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</si>
  <si>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</si>
  <si>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</si>
  <si>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</si>
  <si>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</si>
  <si>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</si>
  <si>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</si>
  <si>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</si>
  <si>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</si>
  <si>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</si>
  <si>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</si>
  <si>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</si>
  <si>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</si>
  <si>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</si>
  <si>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</si>
  <si>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</si>
  <si>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</si>
  <si>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</si>
  <si>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</si>
  <si>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</si>
  <si>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</si>
  <si>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</si>
  <si>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</si>
  <si>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</si>
  <si>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</si>
  <si>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</si>
  <si>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</si>
  <si>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</si>
  <si>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</si>
  <si>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</si>
  <si>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</si>
  <si>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</si>
  <si>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</si>
  <si>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</si>
  <si>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</si>
  <si>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</si>
  <si>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</si>
  <si>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</si>
  <si>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</si>
  <si>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</si>
  <si>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</si>
  <si>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</si>
  <si>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</si>
  <si>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</si>
  <si>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</si>
  <si>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</si>
  <si>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</si>
  <si>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</si>
  <si>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</si>
  <si>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</si>
  <si>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</si>
  <si>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</si>
  <si>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</si>
  <si>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</si>
  <si>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</si>
  <si>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</si>
  <si>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</si>
  <si>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</si>
  <si>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</si>
  <si>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</si>
  <si>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</si>
  <si>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</si>
  <si>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</si>
  <si>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</si>
  <si>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</si>
  <si>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</si>
  <si>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</si>
  <si>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</si>
  <si>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</si>
  <si>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</si>
  <si>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</si>
  <si>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</si>
  <si>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</si>
  <si>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</si>
  <si>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</si>
  <si>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</si>
  <si>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</si>
  <si>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</si>
  <si>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</si>
  <si>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</si>
  <si>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</si>
  <si>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</si>
  <si>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</si>
  <si>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</si>
  <si>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</si>
  <si>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</si>
  <si>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</si>
  <si>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</si>
  <si>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</si>
  <si>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</si>
  <si>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</si>
  <si>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</si>
  <si>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</si>
  <si>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</si>
  <si>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</si>
  <si>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</si>
  <si>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</si>
  <si>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</si>
  <si>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</si>
  <si>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</si>
  <si>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</si>
  <si>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</si>
  <si>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</si>
  <si>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</si>
  <si>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</si>
  <si>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</si>
  <si>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</si>
  <si>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</si>
  <si>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</si>
  <si>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</si>
  <si>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</si>
  <si>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</si>
  <si>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</si>
  <si>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</si>
  <si>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</si>
  <si>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</si>
  <si>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</si>
  <si>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</si>
  <si>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</si>
  <si>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</si>
  <si>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</si>
  <si>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</si>
  <si>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</si>
  <si>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</si>
  <si>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</si>
  <si>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</si>
  <si>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</si>
  <si>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</si>
  <si>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</si>
  <si>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</si>
  <si>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</si>
  <si>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</si>
  <si>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</si>
  <si>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</si>
  <si>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</si>
  <si>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</si>
  <si>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</si>
  <si>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</si>
  <si>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</si>
  <si>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</si>
  <si>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</si>
  <si>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</si>
  <si>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</si>
  <si>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</si>
  <si>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</si>
  <si>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</si>
  <si>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</si>
  <si>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</si>
  <si>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</si>
  <si>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</si>
  <si>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</si>
  <si>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</si>
  <si>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</si>
  <si>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</si>
  <si>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</si>
  <si>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</si>
  <si>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</si>
  <si>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</si>
  <si>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</si>
  <si>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</si>
  <si>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</si>
  <si>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</si>
  <si>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</si>
  <si>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</si>
  <si>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</si>
  <si>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</si>
  <si>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</si>
  <si>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</si>
  <si>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</si>
  <si>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</si>
  <si>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</si>
  <si>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</si>
  <si>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</si>
  <si>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</si>
  <si>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</si>
  <si>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</si>
  <si>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</si>
  <si>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</si>
  <si>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</si>
  <si>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</si>
  <si>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</si>
  <si>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</si>
  <si>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</si>
  <si>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</si>
  <si>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</si>
  <si>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</si>
  <si>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</si>
  <si>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</si>
  <si>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</si>
  <si>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</si>
  <si>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</si>
  <si>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</si>
  <si>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</si>
  <si>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</si>
  <si>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</si>
  <si>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</si>
  <si>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</si>
  <si>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</si>
  <si>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</si>
  <si>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</si>
  <si>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</si>
  <si>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</si>
  <si>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</si>
  <si>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</si>
  <si>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</si>
  <si>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</si>
  <si>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</si>
  <si>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</si>
  <si>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</si>
  <si>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</si>
  <si>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</si>
  <si>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</si>
  <si>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</si>
  <si>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</si>
  <si>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</si>
  <si>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</si>
  <si>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</si>
  <si>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</si>
  <si>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</si>
  <si>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</si>
  <si>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</si>
  <si>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</si>
  <si>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</si>
  <si>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</si>
  <si>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</si>
  <si>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</si>
  <si>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</si>
  <si>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</si>
  <si>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</si>
  <si>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</si>
  <si>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</si>
  <si>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</si>
  <si>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</si>
  <si>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</si>
  <si>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</si>
  <si>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</si>
  <si>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</si>
  <si>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</si>
  <si>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</si>
  <si>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</si>
  <si>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</si>
  <si>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</si>
  <si>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</si>
  <si>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</si>
  <si>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</si>
  <si>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</si>
  <si>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</si>
  <si>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</si>
  <si>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</si>
  <si>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</si>
  <si>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</si>
  <si>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</si>
  <si>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</si>
  <si>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</si>
  <si>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</si>
  <si>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</si>
  <si>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</si>
  <si>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</si>
  <si>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</si>
  <si>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</si>
  <si>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</si>
  <si>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</si>
  <si>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</si>
  <si>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</si>
  <si>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</si>
  <si>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</si>
  <si>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</si>
  <si>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</si>
  <si>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</si>
  <si>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</si>
  <si>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</si>
  <si>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</si>
  <si>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</si>
  <si>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</si>
  <si>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</si>
  <si>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</si>
  <si>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</si>
  <si>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</si>
  <si>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</si>
  <si>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</si>
  <si>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</si>
  <si>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</si>
  <si>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</si>
  <si>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</si>
  <si>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</si>
  <si>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</si>
  <si>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</si>
  <si>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</si>
  <si>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</si>
  <si>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</si>
  <si>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</si>
  <si>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</si>
  <si>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</si>
  <si>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</si>
  <si>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</si>
  <si>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</si>
  <si>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</si>
  <si>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</si>
  <si>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</si>
  <si>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</si>
  <si>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</si>
  <si>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</si>
  <si>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</si>
  <si>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</si>
  <si>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</si>
  <si>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</si>
  <si>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</si>
  <si>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</si>
  <si>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</si>
  <si>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</si>
  <si>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</si>
  <si>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</si>
  <si>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</si>
  <si>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</si>
  <si>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</si>
  <si>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</si>
  <si>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</si>
  <si>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</si>
  <si>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</si>
  <si>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</si>
  <si>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</si>
  <si>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</si>
  <si>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</si>
  <si>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</si>
  <si>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</si>
  <si>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</si>
  <si>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</si>
  <si>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</si>
  <si>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</si>
  <si>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</si>
  <si>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</si>
  <si>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</si>
  <si>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</si>
  <si>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</si>
  <si>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</si>
  <si>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</si>
  <si>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</si>
  <si>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</si>
  <si>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</si>
  <si>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</si>
  <si>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</si>
  <si>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</si>
  <si>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</si>
  <si>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</si>
  <si>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</si>
  <si>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</si>
  <si>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</si>
  <si>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</si>
  <si>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</si>
  <si>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</si>
  <si>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</si>
  <si>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</si>
  <si>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</si>
  <si>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</si>
  <si>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</si>
  <si>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</si>
  <si>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</si>
  <si>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</si>
  <si>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</si>
  <si>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</si>
  <si>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</si>
  <si>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</si>
  <si>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</si>
  <si>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</si>
  <si>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</si>
  <si>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</si>
  <si>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</si>
  <si>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</si>
  <si>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</si>
  <si>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</si>
  <si>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</si>
  <si>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</si>
  <si>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</si>
  <si>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</si>
  <si>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</si>
  <si>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</si>
  <si>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</si>
  <si>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</si>
  <si>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</si>
  <si>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</si>
  <si>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</si>
  <si>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</si>
  <si>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</si>
  <si>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</si>
  <si>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</si>
  <si>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</si>
  <si>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</si>
  <si>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</si>
  <si>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</si>
  <si>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</si>
  <si>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</si>
  <si>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</si>
  <si>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</si>
  <si>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</si>
  <si>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</si>
  <si>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</si>
  <si>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</si>
  <si>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</si>
  <si>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</si>
  <si>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</si>
  <si>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</si>
  <si>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</si>
  <si>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</si>
  <si>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</si>
  <si>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</si>
  <si>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</si>
  <si>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</si>
  <si>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</si>
  <si>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</si>
  <si>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</si>
  <si>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</si>
  <si>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</si>
  <si>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</si>
  <si>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</si>
  <si>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</si>
  <si>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</si>
  <si>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</si>
  <si>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</si>
  <si>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</si>
  <si>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</si>
  <si>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</si>
  <si>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</si>
  <si>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</si>
  <si>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</si>
  <si>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</si>
  <si>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</si>
  <si>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</si>
  <si>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</si>
  <si>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</si>
  <si>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</si>
  <si>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</si>
  <si>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</si>
  <si>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</si>
  <si>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</si>
  <si>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</si>
  <si>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</si>
  <si>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</si>
  <si>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</si>
  <si>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</si>
  <si>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</si>
  <si>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</si>
  <si>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</si>
  <si>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</si>
  <si>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</si>
  <si>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</si>
  <si>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</si>
  <si>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</si>
  <si>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</si>
  <si>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</si>
  <si>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</si>
  <si>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</si>
  <si>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</si>
  <si>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</si>
  <si>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</si>
  <si>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</si>
  <si>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</si>
  <si>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</si>
  <si>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</si>
  <si>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</si>
  <si>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</si>
  <si>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</si>
  <si>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</si>
  <si>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</si>
  <si>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</si>
  <si>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</si>
  <si>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</si>
  <si>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</si>
  <si>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</si>
  <si>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</si>
  <si>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</si>
  <si>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</si>
  <si>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</si>
  <si>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</si>
  <si>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</si>
  <si>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</si>
  <si>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</si>
  <si>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</si>
  <si>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</si>
  <si>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</si>
  <si>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</si>
  <si>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</si>
  <si>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</si>
  <si>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</si>
  <si>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</si>
  <si>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</si>
  <si>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</si>
  <si>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</si>
  <si>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</si>
  <si>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</si>
  <si>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</si>
  <si>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</si>
  <si>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</si>
  <si>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</si>
  <si>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</si>
  <si>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</si>
  <si>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</si>
  <si>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</si>
  <si>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</si>
  <si>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</si>
  <si>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</si>
  <si>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</si>
  <si>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</si>
  <si>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</si>
  <si>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</si>
  <si>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</si>
  <si>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</si>
  <si>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</si>
  <si>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</si>
  <si>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</si>
  <si>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</si>
  <si>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</si>
  <si>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</si>
  <si>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</si>
  <si>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</si>
  <si>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</si>
  <si>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</si>
  <si>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</si>
  <si>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</si>
  <si>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</si>
  <si>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</si>
  <si>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</si>
  <si>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</si>
  <si>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</si>
  <si>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</si>
  <si>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</si>
  <si>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</si>
  <si>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</si>
  <si>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</si>
  <si>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</si>
  <si>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</si>
  <si>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</si>
  <si>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</si>
  <si>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</si>
  <si>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</si>
  <si>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</si>
  <si>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</si>
  <si>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</si>
  <si>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</si>
  <si>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</si>
  <si>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</si>
  <si>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</si>
  <si>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</si>
  <si>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</si>
  <si>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</si>
  <si>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</si>
  <si>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</si>
  <si>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</si>
  <si>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</si>
  <si>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</si>
  <si>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</si>
  <si>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</si>
  <si>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</si>
  <si>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</si>
  <si>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</si>
  <si>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</si>
  <si>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</si>
  <si>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</si>
  <si>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</si>
  <si>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</si>
  <si>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</si>
  <si>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</si>
  <si>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</si>
  <si>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</si>
  <si>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</si>
  <si>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</si>
  <si>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</si>
  <si>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</si>
  <si>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</si>
  <si>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</si>
  <si>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</si>
  <si>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</si>
  <si>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</si>
  <si>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</si>
  <si>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</si>
  <si>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</si>
  <si>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</si>
  <si>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</si>
  <si>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</si>
  <si>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</si>
  <si>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</si>
  <si>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</si>
  <si>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</si>
  <si>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</si>
  <si>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</si>
  <si>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</si>
  <si>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</si>
  <si>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</si>
  <si>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</si>
  <si>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</si>
  <si>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</si>
  <si>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</si>
  <si>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</si>
  <si>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</si>
  <si>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</si>
  <si>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</si>
  <si>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</si>
  <si>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</si>
  <si>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</si>
  <si>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</si>
  <si>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</si>
  <si>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</si>
  <si>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</si>
  <si>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</si>
  <si>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</si>
  <si>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</si>
  <si>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</si>
  <si>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</si>
  <si>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</si>
  <si>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</si>
  <si>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</si>
  <si>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</si>
  <si>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</si>
  <si>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</si>
  <si>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</si>
  <si>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</si>
  <si>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</si>
  <si>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</si>
  <si>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</si>
  <si>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</si>
  <si>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</si>
  <si>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</si>
  <si>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</si>
  <si>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</si>
  <si>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</si>
  <si>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</si>
  <si>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</si>
  <si>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</si>
  <si>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</si>
  <si>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 xml:space="preserve">Se resuelve por escrito </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</si>
  <si>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</si>
  <si>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</si>
  <si>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</si>
  <si>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</si>
  <si>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</si>
  <si>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</si>
  <si>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</si>
  <si>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</si>
  <si>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</si>
  <si>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</si>
  <si>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</si>
  <si>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</si>
  <si>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</si>
  <si>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</si>
  <si>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</si>
  <si>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</si>
  <si>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</si>
  <si>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</si>
  <si>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</si>
  <si>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</si>
  <si>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</si>
  <si>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</si>
  <si>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</si>
  <si>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</si>
  <si>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</si>
  <si>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Dra. Esther Lourdes Mamaní MP 3093</t>
  </si>
  <si>
    <t xml:space="preserve">Def. de Violencia de Género Nº 1 Dra. Chirife </t>
  </si>
  <si>
    <t>asesoría nº 6 intervino extrajudicialmente consultar con la dra edith si le damos intervención</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</si>
  <si>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</si>
  <si>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</si>
  <si>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</si>
  <si>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</si>
  <si>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</si>
  <si>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</si>
  <si>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</si>
  <si>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</si>
  <si>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</si>
  <si>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</si>
  <si>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</si>
  <si>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</si>
  <si>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</si>
  <si>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</si>
  <si>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</si>
  <si>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</si>
  <si>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</si>
  <si>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</si>
  <si>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</si>
  <si>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</si>
  <si>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</si>
  <si>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</si>
  <si>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Se remite a fiscalía 03/11/2023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</si>
</sst>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39" x14ac:knownFonts="1">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sz val="9"/>
      <color indexed="81"/>
      <name val="Tahoma"/>
      <family val="2"/>
    </font>
    <font>
      <b/>
      <sz val="9"/>
      <color indexed="81"/>
      <name val="Tahoma"/>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8">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8"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o"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ES"/>
              <a:t>Restan Por REALIZAR</a:t>
            </a:r>
          </a:p>
        </c:rich>
      </c:tx>
      <c:overlay val="0"/>
    </c:title>
    <c:autoTitleDeleted val="0"/>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8C77-483D-B0A9-7689A84322B1}"/>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lang="es-AR"/>
          </a:pPr>
          <a:endParaRPr lang="es-ES"/>
        </a:p>
      </c:txPr>
    </c:legend>
    <c:plotVisOnly val="1"/>
    <c:dispBlanksAs val="gap"/>
    <c:showDLblsOverMax val="0"/>
  </c:chart>
  <c:printSettings>
    <c:headerFooter/>
    <c:pageMargins b="0.74803149606311514" l="0.70866141732291565" r="0.70866141732291565" t="0.74803149606311514" header="0.31496062992131252" footer="0.31496062992131252"/>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ES"/>
              <a:t>TOTAL</a:t>
            </a:r>
            <a:r>
              <a:rPr lang="es-ES" baseline="0"/>
              <a:t> ASIGNADAS</a:t>
            </a:r>
            <a:endParaRPr lang="es-ES"/>
          </a:p>
        </c:rich>
      </c:tx>
      <c:overlay val="0"/>
    </c:title>
    <c:autoTitleDeleted val="0"/>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c:ext xmlns:c16="http://schemas.microsoft.com/office/drawing/2014/chart" uri="{C3380CC4-5D6E-409C-BE32-E72D297353CC}">
              <c16:uniqueId val="{00000000-4B55-4B60-BAA0-4D5AABB15F69}"/>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lang="es-AR"/>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ES"/>
              <a:t>RESUELTAS</a:t>
            </a:r>
          </a:p>
        </c:rich>
      </c:tx>
      <c:overlay val="0"/>
    </c:title>
    <c:autoTitleDeleted val="0"/>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2C3-44B5-925C-444E1A4AB89E}"/>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lang="es-AR"/>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8885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787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666E-3"/>
                  <c:y val="-2.685732808598285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08"/>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306"/>
                  <c:y val="0.3511126178195059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ES"/>
              </a:p>
            </c:txPr>
            <c:showLegendKey val="0"/>
            <c:showVal val="1"/>
            <c:showCatName val="1"/>
            <c:showSerName val="0"/>
            <c:showPercent val="0"/>
            <c:showBubbleSize val="0"/>
            <c:showLeaderLines val="1"/>
            <c:extLs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c:ext xmlns:c16="http://schemas.microsoft.com/office/drawing/2014/chart" uri="{C3380CC4-5D6E-409C-BE32-E72D297353CC}">
              <c16:uniqueId val="{0000000A-1108-4BDF-9C12-B9DA18037CE4}"/>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0"/>
      <c:rotY val="200"/>
      <c:rAngAx val="0"/>
      <c:perspective val="60"/>
    </c:view3D>
    <c:floor>
      <c:thickness val="0"/>
    </c:floor>
    <c:sideWall>
      <c:thickness val="0"/>
    </c:sideWall>
    <c:backWall>
      <c:thickness val="0"/>
    </c:backWall>
    <c:plotArea>
      <c:layout>
        <c:manualLayout>
          <c:layoutTarget val="inner"/>
          <c:xMode val="edge"/>
          <c:yMode val="edge"/>
          <c:x val="7.8814330682586524E-3"/>
          <c:y val="1.6666666666666701E-2"/>
          <c:w val="0.99211856693172518"/>
          <c:h val="0.98333333333333328"/>
        </c:manualLayout>
      </c:layout>
      <c:pie3DChart>
        <c:varyColors val="1"/>
        <c:ser>
          <c:idx val="0"/>
          <c:order val="0"/>
          <c:explosion val="25"/>
          <c:dLbls>
            <c:dLbl>
              <c:idx val="0"/>
              <c:layout>
                <c:manualLayout>
                  <c:x val="4.3113992584026754E-2"/>
                  <c:y val="1.537517604133599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343"/>
                  <c:y val="-1.22861267909986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175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72</c:v>
                </c:pt>
                <c:pt idx="5">
                  <c:v>1</c:v>
                </c:pt>
                <c:pt idx="6">
                  <c:v>34</c:v>
                </c:pt>
                <c:pt idx="7">
                  <c:v>2</c:v>
                </c:pt>
                <c:pt idx="8">
                  <c:v>9</c:v>
                </c:pt>
              </c:numCache>
            </c:numRef>
          </c:val>
          <c:extLst>
            <c:ext xmlns:c16="http://schemas.microsoft.com/office/drawing/2014/chart" uri="{C3380CC4-5D6E-409C-BE32-E72D297353CC}">
              <c16:uniqueId val="{00000009-A714-4E58-8F3B-E322A28F50D8}"/>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243" l="0.70000000000000062" r="0.70000000000000062" t="0.7500000000000124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ES"/>
              <a:t>Restan Por REALIZAR</a:t>
            </a:r>
          </a:p>
        </c:rich>
      </c:tx>
      <c:overlay val="0"/>
    </c:title>
    <c:autoTitleDeleted val="0"/>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F023-436B-A95A-00754306A731}"/>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lang="es-AR"/>
          </a:pPr>
          <a:endParaRPr lang="es-ES"/>
        </a:p>
      </c:txPr>
    </c:legend>
    <c:plotVisOnly val="1"/>
    <c:dispBlanksAs val="gap"/>
    <c:showDLblsOverMax val="0"/>
  </c:chart>
  <c:printSettings>
    <c:headerFooter/>
    <c:pageMargins b="0.7480314960631157" l="0.70866141732291565" r="0.70866141732291565" t="0.7480314960631157" header="0.31496062992131263" footer="0.31496062992131263"/>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ES"/>
              <a:t>TOTAL</a:t>
            </a:r>
            <a:r>
              <a:rPr lang="es-ES" baseline="0"/>
              <a:t> ASIGNADAS</a:t>
            </a:r>
            <a:endParaRPr lang="es-ES"/>
          </a:p>
        </c:rich>
      </c:tx>
      <c:overlay val="0"/>
    </c:title>
    <c:autoTitleDeleted val="0"/>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c:ext xmlns:c16="http://schemas.microsoft.com/office/drawing/2014/chart" uri="{C3380CC4-5D6E-409C-BE32-E72D297353CC}">
              <c16:uniqueId val="{00000000-9BB8-49E2-9B1B-80B904D2F491}"/>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lang="es-AR"/>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ES"/>
              <a:t>RESUELTAS</a:t>
            </a:r>
          </a:p>
        </c:rich>
      </c:tx>
      <c:overlay val="0"/>
    </c:title>
    <c:autoTitleDeleted val="0"/>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2F7-4698-8D9C-D1BD8B7FA6F0}"/>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lang="es-AR"/>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0</xdr:row>
          <xdr:rowOff>104775</xdr:rowOff>
        </xdr:from>
        <xdr:to>
          <xdr:col>3</xdr:col>
          <xdr:colOff>876300</xdr:colOff>
          <xdr:row>0</xdr:row>
          <xdr:rowOff>628650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114300</xdr:rowOff>
        </xdr:from>
        <xdr:to>
          <xdr:col>5</xdr:col>
          <xdr:colOff>57150</xdr:colOff>
          <xdr:row>0</xdr:row>
          <xdr:rowOff>638175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0</xdr:row>
          <xdr:rowOff>838200</xdr:rowOff>
        </xdr:from>
        <xdr:to>
          <xdr:col>3</xdr:col>
          <xdr:colOff>876300</xdr:colOff>
          <xdr:row>0</xdr:row>
          <xdr:rowOff>1362075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200025</xdr:colOff>
          <xdr:row>0</xdr:row>
          <xdr:rowOff>809625</xdr:rowOff>
        </xdr:from>
        <xdr:to>
          <xdr:col>5</xdr:col>
          <xdr:colOff>981075</xdr:colOff>
          <xdr:row>0</xdr:row>
          <xdr:rowOff>1333500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0000FF"/>
                  </a:solidFill>
                  <a:latin typeface="Arial"/>
                  <a:cs typeface="Arial"/>
                </a:rPr>
                <a:t>Ver 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0</xdr:row>
          <xdr:rowOff>114300</xdr:rowOff>
        </xdr:from>
        <xdr:to>
          <xdr:col>5</xdr:col>
          <xdr:colOff>981075</xdr:colOff>
          <xdr:row>0</xdr:row>
          <xdr:rowOff>638175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0000FF"/>
                  </a:solidFill>
                  <a:latin typeface="Arial"/>
                  <a:cs typeface="Arial"/>
                </a:rPr>
                <a:t>Ver 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762000</xdr:colOff>
          <xdr:row>0</xdr:row>
          <xdr:rowOff>180975</xdr:rowOff>
        </xdr:from>
        <xdr:to>
          <xdr:col>10</xdr:col>
          <xdr:colOff>295275</xdr:colOff>
          <xdr:row>0</xdr:row>
          <xdr:rowOff>704850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80"/>
                  </a:solidFill>
                  <a:latin typeface="Arial"/>
                  <a:cs typeface="Arial"/>
                </a:rPr>
                <a:t>Dra. Solorzano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0</xdr:row>
          <xdr:rowOff>828675</xdr:rowOff>
        </xdr:from>
        <xdr:to>
          <xdr:col>9</xdr:col>
          <xdr:colOff>457200</xdr:colOff>
          <xdr:row>0</xdr:row>
          <xdr:rowOff>1352550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008080"/>
                  </a:solidFill>
                  <a:latin typeface="Arial"/>
                  <a:cs typeface="Arial"/>
                </a:rPr>
                <a:t>Activar / desactivar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0</xdr:row>
          <xdr:rowOff>152400</xdr:rowOff>
        </xdr:from>
        <xdr:to>
          <xdr:col>7</xdr:col>
          <xdr:colOff>1200150</xdr:colOff>
          <xdr:row>0</xdr:row>
          <xdr:rowOff>676275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FF"/>
                  </a:solidFill>
                  <a:latin typeface="Arial"/>
                  <a:cs typeface="Arial"/>
                </a:rPr>
                <a:t>Buscar</a:t>
              </a:r>
            </a:p>
            <a:p>
              <a:pPr algn="ctr" rtl="0">
                <a:defRPr sz="1000"/>
              </a:pPr>
              <a:r>
                <a:rPr lang="es-ES" sz="700" b="1" i="0" u="none" strike="noStrike" baseline="0">
                  <a:solidFill>
                    <a:srgbClr val="FF00FF"/>
                  </a:solidFill>
                  <a:latin typeface="Arial"/>
                  <a:cs typeface="Arial"/>
                </a:rPr>
                <a:t>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0</xdr:row>
          <xdr:rowOff>828675</xdr:rowOff>
        </xdr:from>
        <xdr:to>
          <xdr:col>7</xdr:col>
          <xdr:colOff>1190625</xdr:colOff>
          <xdr:row>0</xdr:row>
          <xdr:rowOff>1352550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6600"/>
                  </a:solidFill>
                  <a:latin typeface="Arial"/>
                  <a:cs typeface="Arial"/>
                </a:rPr>
                <a:t>Buscar 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428625</xdr:colOff>
          <xdr:row>0</xdr:row>
          <xdr:rowOff>819150</xdr:rowOff>
        </xdr:from>
        <xdr:to>
          <xdr:col>11</xdr:col>
          <xdr:colOff>495300</xdr:colOff>
          <xdr:row>0</xdr:row>
          <xdr:rowOff>1343025</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80"/>
                  </a:solidFill>
                  <a:latin typeface="Arial"/>
                  <a:cs typeface="Arial"/>
                </a:rPr>
                <a:t>Dr. Arias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0</xdr:row>
          <xdr:rowOff>161925</xdr:rowOff>
        </xdr:from>
        <xdr:to>
          <xdr:col>11</xdr:col>
          <xdr:colOff>485775</xdr:colOff>
          <xdr:row>0</xdr:row>
          <xdr:rowOff>685800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80"/>
                  </a:solidFill>
                  <a:latin typeface="Arial"/>
                  <a:cs typeface="Arial"/>
                </a:rPr>
                <a:t>Dr. Arancibia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609600</xdr:colOff>
          <xdr:row>0</xdr:row>
          <xdr:rowOff>800100</xdr:rowOff>
        </xdr:from>
        <xdr:to>
          <xdr:col>12</xdr:col>
          <xdr:colOff>9525</xdr:colOff>
          <xdr:row>0</xdr:row>
          <xdr:rowOff>1323975</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80"/>
                  </a:solidFill>
                  <a:latin typeface="Arial"/>
                  <a:cs typeface="Arial"/>
                </a:rPr>
                <a:t>Dr. Akemeier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619125</xdr:colOff>
          <xdr:row>0</xdr:row>
          <xdr:rowOff>171450</xdr:rowOff>
        </xdr:from>
        <xdr:to>
          <xdr:col>12</xdr:col>
          <xdr:colOff>9525</xdr:colOff>
          <xdr:row>0</xdr:row>
          <xdr:rowOff>695325</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80"/>
                  </a:solidFill>
                  <a:latin typeface="Arial"/>
                  <a:cs typeface="Arial"/>
                </a:rPr>
                <a:t>Dr. Barrionuevo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1171575</xdr:colOff>
          <xdr:row>0</xdr:row>
          <xdr:rowOff>95250</xdr:rowOff>
        </xdr:from>
        <xdr:to>
          <xdr:col>7</xdr:col>
          <xdr:colOff>114300</xdr:colOff>
          <xdr:row>0</xdr:row>
          <xdr:rowOff>619125</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1152525</xdr:colOff>
          <xdr:row>0</xdr:row>
          <xdr:rowOff>857250</xdr:rowOff>
        </xdr:from>
        <xdr:to>
          <xdr:col>7</xdr:col>
          <xdr:colOff>95250</xdr:colOff>
          <xdr:row>0</xdr:row>
          <xdr:rowOff>1381125</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238125</xdr:colOff>
          <xdr:row>0</xdr:row>
          <xdr:rowOff>152400</xdr:rowOff>
        </xdr:from>
        <xdr:to>
          <xdr:col>13</xdr:col>
          <xdr:colOff>1314450</xdr:colOff>
          <xdr:row>0</xdr:row>
          <xdr:rowOff>619125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0</xdr:row>
          <xdr:rowOff>790575</xdr:rowOff>
        </xdr:from>
        <xdr:to>
          <xdr:col>13</xdr:col>
          <xdr:colOff>28575</xdr:colOff>
          <xdr:row>0</xdr:row>
          <xdr:rowOff>1143000</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0</xdr:row>
          <xdr:rowOff>171450</xdr:rowOff>
        </xdr:from>
        <xdr:to>
          <xdr:col>13</xdr:col>
          <xdr:colOff>28575</xdr:colOff>
          <xdr:row>0</xdr:row>
          <xdr:rowOff>638175</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0</xdr:row>
          <xdr:rowOff>266700</xdr:rowOff>
        </xdr:from>
        <xdr:to>
          <xdr:col>9</xdr:col>
          <xdr:colOff>266700</xdr:colOff>
          <xdr:row>0</xdr:row>
          <xdr:rowOff>657225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Generar Backup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F1212"/>
  <sheetViews>
    <sheetView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x14ac:dyDescent="0.2"/>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0.71093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30" customWidth="1"/>
    <col min="22" max="22" width="16.42578125" style="1" customWidth="1"/>
    <col min="23" max="23" width="11.85546875" style="23" hidden="1" customWidth="1"/>
    <col min="24" max="24" width="10.140625" style="23" hidden="1"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x14ac:dyDescent="0.25">
      <c r="A1" s="23">
        <v>151</v>
      </c>
      <c r="B1" s="31"/>
      <c r="C1" s="23"/>
      <c r="D1" s="23"/>
      <c r="E1" s="23"/>
      <c r="F1" s="23"/>
      <c r="G1" s="23"/>
      <c r="H1" s="23"/>
      <c r="I1" s="32"/>
      <c r="J1" s="32"/>
      <c r="K1" s="32"/>
      <c r="L1" s="32"/>
      <c r="M1" s="23"/>
      <c r="N1" s="23"/>
      <c r="O1" s="23"/>
      <c r="P1" s="96">
        <v>45120</v>
      </c>
      <c r="Q1" s="23"/>
      <c r="R1" s="31"/>
      <c r="S1" s="179"/>
      <c r="T1" s="31"/>
      <c r="U1" s="211"/>
      <c r="V1" s="23"/>
      <c r="W1" s="96">
        <v>45202</v>
      </c>
      <c r="X1" s="167">
        <v>45218</v>
      </c>
      <c r="Y1" s="168">
        <v>25</v>
      </c>
      <c r="Z1" s="120">
        <v>45098</v>
      </c>
      <c r="AA1" s="120">
        <v>45100</v>
      </c>
    </row>
    <row r="2" spans="1:32" ht="39.950000000000003" customHeight="1" thickBot="1" x14ac:dyDescent="0.25">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2" t="s">
        <v>891</v>
      </c>
      <c r="V2" s="139" t="s">
        <v>94</v>
      </c>
      <c r="W2" s="140" t="s">
        <v>57</v>
      </c>
      <c r="X2" s="140"/>
      <c r="Y2" s="141" t="s">
        <v>985</v>
      </c>
      <c r="Z2" s="142" t="s">
        <v>986</v>
      </c>
      <c r="AA2" s="143" t="s">
        <v>987</v>
      </c>
    </row>
    <row r="3" spans="1:32" ht="75" x14ac:dyDescent="0.2">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10">
        <v>45034</v>
      </c>
      <c r="S3" s="181">
        <v>0.45833333333333331</v>
      </c>
      <c r="T3" s="130" t="s">
        <v>165</v>
      </c>
      <c r="U3" s="213" t="s">
        <v>1046</v>
      </c>
      <c r="V3" s="47" t="s">
        <v>141</v>
      </c>
      <c r="W3" s="23" t="str">
        <f ca="1">IF(R3&lt;=TODAY(),"SI","NO")</f>
        <v>SI</v>
      </c>
      <c r="X3" s="23" t="str">
        <f>IF($X$1=R3,"DIASOL", "DIANOSOL")</f>
        <v>DIANOSOL</v>
      </c>
      <c r="Y3" s="133" t="s">
        <v>994</v>
      </c>
      <c r="Z3" s="121" t="s">
        <v>1025</v>
      </c>
      <c r="AA3" s="121" t="str">
        <f>IF(Z3&lt;&gt;"",VLOOKUP($Z3,Resultados!$A$1:$B$49,2,FALSE),"")</f>
        <v>Recursos donde se hizo lugar</v>
      </c>
    </row>
    <row r="4" spans="1:32" ht="80.099999999999994" customHeight="1" x14ac:dyDescent="0.2">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ca="1">IF(R4&lt;=TODAY(),"SI","NO")</f>
        <v>SI</v>
      </c>
      <c r="X4" s="23" t="str">
        <f>IF($X$1=R4,"DIASOL", "DIANOSOL")</f>
        <v>DIANOSOL</v>
      </c>
      <c r="Y4" s="58" t="s">
        <v>994</v>
      </c>
      <c r="Z4" s="121" t="s">
        <v>1018</v>
      </c>
      <c r="AA4" s="121" t="str">
        <f>IF(Z4&lt;&gt;"",VLOOKUP($Z4,Resultados!$A$1:$B$49,2,FALSE),"")</f>
        <v>Recursos Denegados</v>
      </c>
    </row>
    <row r="5" spans="1:32" ht="63.75" x14ac:dyDescent="0.2">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ca="1">IF(R5&lt;=TODAY(),"SI","NO")</f>
        <v>SI</v>
      </c>
      <c r="X5" s="23" t="str">
        <f>IF($X$1=R5,"DIASOL", "DIANOSOL")</f>
        <v>DIANOSOL</v>
      </c>
      <c r="Y5" s="58" t="s">
        <v>994</v>
      </c>
      <c r="Z5" s="121" t="s">
        <v>1018</v>
      </c>
      <c r="AA5" s="121" t="str">
        <f>IF(Z5&lt;&gt;"",VLOOKUP($Z5,Resultados!$A$1:$B$49,2,FALSE),"")</f>
        <v>Recursos Denegados</v>
      </c>
    </row>
    <row r="6" spans="1:32" ht="105" x14ac:dyDescent="0.2">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4" t="s">
        <v>1205</v>
      </c>
      <c r="V6" s="56" t="s">
        <v>166</v>
      </c>
      <c r="W6" s="34" t="str">
        <f t="shared" ref="W6:W69" ca="1" si="0">IF(R6&lt;=TODAY(),"SI","NO")</f>
        <v>SI</v>
      </c>
      <c r="X6" s="23" t="str">
        <f t="shared" ref="X6:X69" si="1">IF($X$1=R6,"DIASOL", "DIANOSOL")</f>
        <v>DIANOSOL</v>
      </c>
      <c r="Y6" s="58" t="s">
        <v>994</v>
      </c>
      <c r="Z6" s="121" t="s">
        <v>1028</v>
      </c>
      <c r="AA6" s="121" t="str">
        <f>IF(Z6&lt;&gt;"",VLOOKUP($Z6,Resultados!$A$1:$B$49,2,FALSE),"")</f>
        <v>Recursos rechazados</v>
      </c>
    </row>
    <row r="7" spans="1:32" ht="105" x14ac:dyDescent="0.2">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0"/>
        <v>SI</v>
      </c>
      <c r="X7" s="23" t="str">
        <f t="shared" si="1"/>
        <v>DIANOSOL</v>
      </c>
      <c r="Y7" s="58" t="s">
        <v>994</v>
      </c>
      <c r="Z7" s="121" t="s">
        <v>1028</v>
      </c>
      <c r="AA7" s="121" t="str">
        <f>IF(Z7&lt;&gt;"",VLOOKUP($Z7,Resultados!$A$1:$B$49,2,FALSE),"")</f>
        <v>Recursos rechazados</v>
      </c>
    </row>
    <row r="8" spans="1:32" ht="63.75" x14ac:dyDescent="0.2">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0"/>
        <v>SI</v>
      </c>
      <c r="X8" s="23" t="str">
        <f t="shared" si="1"/>
        <v>DIANOSOL</v>
      </c>
      <c r="Y8" s="58" t="s">
        <v>994</v>
      </c>
      <c r="Z8" s="121" t="s">
        <v>1062</v>
      </c>
      <c r="AA8" s="121" t="str">
        <f>IF(Z8&lt;&gt;"",VLOOKUP($Z8,Resultados!$A$1:$B$49,2,FALSE),"")</f>
        <v>Recursos donde se hizo lugar</v>
      </c>
    </row>
    <row r="9" spans="1:32" ht="39.950000000000003" customHeight="1" x14ac:dyDescent="0.2">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4" t="s">
        <v>1061</v>
      </c>
      <c r="V9" s="6" t="s">
        <v>193</v>
      </c>
      <c r="W9" s="34" t="str">
        <f t="shared" ca="1" si="0"/>
        <v>SI</v>
      </c>
      <c r="X9" s="23" t="str">
        <f t="shared" si="1"/>
        <v>DIANOSOL</v>
      </c>
      <c r="Y9" s="58" t="s">
        <v>994</v>
      </c>
      <c r="Z9" s="121" t="s">
        <v>1018</v>
      </c>
      <c r="AA9" s="121" t="str">
        <f>IF(Z9&lt;&gt;"",VLOOKUP($Z9,Resultados!$A$1:$B$49,2,FALSE),"")</f>
        <v>Recursos Denegados</v>
      </c>
    </row>
    <row r="10" spans="1:32" ht="63.75" x14ac:dyDescent="0.2">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4" t="s">
        <v>1074</v>
      </c>
      <c r="V10" s="6" t="s">
        <v>202</v>
      </c>
      <c r="W10" s="34" t="str">
        <f t="shared" ca="1" si="0"/>
        <v>SI</v>
      </c>
      <c r="X10" s="23" t="str">
        <f t="shared" si="1"/>
        <v>DIANOSOL</v>
      </c>
      <c r="Y10" s="58" t="s">
        <v>994</v>
      </c>
      <c r="Z10" s="121" t="s">
        <v>1019</v>
      </c>
      <c r="AA10" s="121" t="str">
        <f>IF(Z10&lt;&gt;"",VLOOKUP($Z10,Resultados!$A$1:$B$49,2,FALSE),"")</f>
        <v>Recursos donde se hizo lugar</v>
      </c>
    </row>
    <row r="11" spans="1:32" s="4" customFormat="1" ht="89.25" x14ac:dyDescent="0.2">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4" t="s">
        <v>1075</v>
      </c>
      <c r="V11" s="6" t="s">
        <v>218</v>
      </c>
      <c r="W11" s="34" t="str">
        <f t="shared" ca="1" si="0"/>
        <v>SI</v>
      </c>
      <c r="X11" s="23" t="str">
        <f t="shared" si="1"/>
        <v>DIANOSOL</v>
      </c>
      <c r="Y11" s="6" t="s">
        <v>994</v>
      </c>
      <c r="Z11" s="121" t="s">
        <v>1018</v>
      </c>
      <c r="AA11" s="121" t="str">
        <f>IF(Z11&lt;&gt;"",VLOOKUP($Z11,Resultados!$A$1:$B$49,2,FALSE),"")</f>
        <v>Recursos Denegados</v>
      </c>
      <c r="AB11" s="22"/>
      <c r="AC11" s="22"/>
      <c r="AD11" s="22"/>
      <c r="AE11" s="22"/>
      <c r="AF11" s="22"/>
    </row>
    <row r="12" spans="1:32" ht="76.5" x14ac:dyDescent="0.2">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4" t="s">
        <v>1078</v>
      </c>
      <c r="V12" s="56" t="s">
        <v>219</v>
      </c>
      <c r="W12" s="34" t="str">
        <f t="shared" ca="1" si="0"/>
        <v>SI</v>
      </c>
      <c r="X12" s="23" t="str">
        <f t="shared" si="1"/>
        <v>DIANOSOL</v>
      </c>
      <c r="Y12" s="58" t="s">
        <v>994</v>
      </c>
      <c r="Z12" s="121" t="s">
        <v>1018</v>
      </c>
      <c r="AA12" s="121" t="str">
        <f>IF(Z12&lt;&gt;"",VLOOKUP($Z12,Resultados!$A$1:$B$49,2,FALSE),"")</f>
        <v>Recursos Denegados</v>
      </c>
    </row>
    <row r="13" spans="1:32" ht="38.25" x14ac:dyDescent="0.2">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4" t="s">
        <v>926</v>
      </c>
      <c r="V13" s="6"/>
      <c r="W13" s="34" t="str">
        <f t="shared" ca="1" si="0"/>
        <v>SI</v>
      </c>
      <c r="X13" s="23" t="str">
        <f t="shared" si="1"/>
        <v>DIANOSOL</v>
      </c>
      <c r="Y13" s="58" t="s">
        <v>1002</v>
      </c>
      <c r="Z13" s="121" t="s">
        <v>1044</v>
      </c>
      <c r="AA13" s="121" t="str">
        <f>IF(Z13&lt;&gt;"",VLOOKUP($Z13,Resultados!$A$1:$B$49,2,FALSE),"")</f>
        <v xml:space="preserve">Otros </v>
      </c>
    </row>
    <row r="14" spans="1:32" ht="102" x14ac:dyDescent="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4" t="s">
        <v>1047</v>
      </c>
      <c r="V14" s="6"/>
      <c r="W14" s="34" t="str">
        <f t="shared" ca="1" si="0"/>
        <v>SI</v>
      </c>
      <c r="X14" s="23" t="str">
        <f t="shared" si="1"/>
        <v>DIANOSOL</v>
      </c>
      <c r="Y14" s="58" t="s">
        <v>994</v>
      </c>
      <c r="Z14" s="121" t="s">
        <v>1076</v>
      </c>
      <c r="AA14" s="121" t="str">
        <f>IF(Z14&lt;&gt;"",VLOOKUP($Z14,Resultados!$A$1:$B$49,2,FALSE),"")</f>
        <v>Recursos denegados - Mantiene arresto domiciliario</v>
      </c>
    </row>
    <row r="15" spans="1:32" ht="89.25" x14ac:dyDescent="0.2">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4" t="s">
        <v>1080</v>
      </c>
      <c r="V15" s="6"/>
      <c r="W15" s="34" t="str">
        <f t="shared" ca="1" si="0"/>
        <v>SI</v>
      </c>
      <c r="X15" s="23" t="str">
        <f t="shared" si="1"/>
        <v>DIANOSOL</v>
      </c>
      <c r="Y15" s="58" t="s">
        <v>994</v>
      </c>
      <c r="Z15" s="121" t="s">
        <v>1042</v>
      </c>
      <c r="AA15" s="121" t="str">
        <f>IF(Z15&lt;&gt;"",VLOOKUP($Z15,Resultados!$A$1:$B$49,2,FALSE),"")</f>
        <v>Recursos Abstractos</v>
      </c>
    </row>
    <row r="16" spans="1:32" ht="51" x14ac:dyDescent="0.2">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4"/>
      <c r="V16" s="6"/>
      <c r="W16" s="34" t="str">
        <f t="shared" ca="1" si="0"/>
        <v>SI</v>
      </c>
      <c r="X16" s="23" t="str">
        <f t="shared" si="1"/>
        <v>DIANOSOL</v>
      </c>
      <c r="Y16" s="58" t="s">
        <v>994</v>
      </c>
      <c r="Z16" s="121" t="s">
        <v>1018</v>
      </c>
      <c r="AA16" s="121" t="str">
        <f>IF(Z16&lt;&gt;"",VLOOKUP($Z16,Resultados!$A$1:$B$49,2,FALSE),"")</f>
        <v>Recursos Denegados</v>
      </c>
    </row>
    <row r="17" spans="1:27" ht="38.25" x14ac:dyDescent="0.2">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4" t="s">
        <v>1057</v>
      </c>
      <c r="V17" s="6"/>
      <c r="W17" s="34" t="str">
        <f t="shared" ca="1" si="0"/>
        <v>SI</v>
      </c>
      <c r="X17" s="23" t="str">
        <f t="shared" si="1"/>
        <v>DIANOSOL</v>
      </c>
      <c r="Y17" s="58" t="s">
        <v>994</v>
      </c>
      <c r="Z17" s="121" t="s">
        <v>1018</v>
      </c>
      <c r="AA17" s="121" t="str">
        <f>IF(Z17&lt;&gt;"",VLOOKUP($Z17,Resultados!$A$1:$B$49,2,FALSE),"")</f>
        <v>Recursos Denegados</v>
      </c>
    </row>
    <row r="18" spans="1:27" ht="60" x14ac:dyDescent="0.2">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4" t="s">
        <v>1079</v>
      </c>
      <c r="V18" s="56" t="s">
        <v>302</v>
      </c>
      <c r="W18" s="34" t="str">
        <f t="shared" ca="1" si="0"/>
        <v>SI</v>
      </c>
      <c r="X18" s="23" t="str">
        <f t="shared" si="1"/>
        <v>DIANOSOL</v>
      </c>
      <c r="Y18" s="58" t="s">
        <v>994</v>
      </c>
      <c r="Z18" s="121" t="s">
        <v>1019</v>
      </c>
      <c r="AA18" s="121" t="str">
        <f>IF(Z18&lt;&gt;"",VLOOKUP($Z18,Resultados!$A$1:$B$49,2,FALSE),"")</f>
        <v>Recursos donde se hizo lugar</v>
      </c>
    </row>
    <row r="19" spans="1:27" ht="39.950000000000003" customHeight="1" x14ac:dyDescent="0.2">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5"/>
      <c r="V19" s="40"/>
      <c r="W19" s="34" t="str">
        <f t="shared" ca="1" si="0"/>
        <v>SI</v>
      </c>
      <c r="X19" s="23" t="str">
        <f t="shared" si="1"/>
        <v>DIANOSOL</v>
      </c>
      <c r="Y19" s="58" t="s">
        <v>994</v>
      </c>
      <c r="Z19" s="121" t="s">
        <v>1018</v>
      </c>
      <c r="AA19" s="121" t="str">
        <f>IF(Z19&lt;&gt;"",VLOOKUP($Z19,Resultados!$A$1:$B$49,2,FALSE),"")</f>
        <v>Recursos Denegados</v>
      </c>
    </row>
    <row r="20" spans="1:27" ht="63.75" x14ac:dyDescent="0.2">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5" t="s">
        <v>1091</v>
      </c>
      <c r="V20" s="58" t="s">
        <v>330</v>
      </c>
      <c r="W20" s="34" t="str">
        <f t="shared" ca="1" si="0"/>
        <v>SI</v>
      </c>
      <c r="X20" s="23" t="str">
        <f t="shared" si="1"/>
        <v>DIANOSOL</v>
      </c>
      <c r="Y20" s="58" t="s">
        <v>994</v>
      </c>
      <c r="Z20" s="121" t="s">
        <v>1018</v>
      </c>
      <c r="AA20" s="121" t="str">
        <f>IF(Z20&lt;&gt;"",VLOOKUP($Z20,Resultados!$A$1:$B$49,2,FALSE),"")</f>
        <v>Recursos Denegados</v>
      </c>
    </row>
    <row r="21" spans="1:27" ht="39.950000000000003" customHeight="1" x14ac:dyDescent="0.2">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5"/>
      <c r="V21" s="40"/>
      <c r="W21" s="34" t="str">
        <f t="shared" ca="1" si="0"/>
        <v>SI</v>
      </c>
      <c r="X21" s="23" t="str">
        <f t="shared" si="1"/>
        <v>DIANOSOL</v>
      </c>
      <c r="Y21" s="58" t="s">
        <v>994</v>
      </c>
      <c r="Z21" s="121" t="s">
        <v>1019</v>
      </c>
      <c r="AA21" s="121" t="str">
        <f>IF(Z21&lt;&gt;"",VLOOKUP($Z21,Resultados!$A$1:$B$49,2,FALSE),"")</f>
        <v>Recursos donde se hizo lugar</v>
      </c>
    </row>
    <row r="22" spans="1:27" ht="38.25" x14ac:dyDescent="0.2">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5" t="s">
        <v>1047</v>
      </c>
      <c r="V22" s="40"/>
      <c r="W22" s="34" t="str">
        <f t="shared" ca="1" si="0"/>
        <v>SI</v>
      </c>
      <c r="X22" s="23" t="str">
        <f t="shared" si="1"/>
        <v>DIANOSOL</v>
      </c>
      <c r="Y22" s="58" t="s">
        <v>994</v>
      </c>
      <c r="Z22" s="121" t="s">
        <v>1018</v>
      </c>
      <c r="AA22" s="121" t="str">
        <f>IF(Z22&lt;&gt;"",VLOOKUP($Z22,Resultados!$A$1:$B$49,2,FALSE),"")</f>
        <v>Recursos Denegados</v>
      </c>
    </row>
    <row r="23" spans="1:27" ht="89.25" x14ac:dyDescent="0.2">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5" t="s">
        <v>1047</v>
      </c>
      <c r="V23" s="58" t="s">
        <v>338</v>
      </c>
      <c r="W23" s="34" t="str">
        <f t="shared" ca="1" si="0"/>
        <v>SI</v>
      </c>
      <c r="X23" s="23" t="str">
        <f t="shared" si="1"/>
        <v>DIANOSOL</v>
      </c>
      <c r="Y23" s="58" t="s">
        <v>994</v>
      </c>
      <c r="Z23" s="121" t="s">
        <v>1018</v>
      </c>
      <c r="AA23" s="121" t="str">
        <f>IF(Z23&lt;&gt;"",VLOOKUP($Z23,Resultados!$A$1:$B$49,2,FALSE),"")</f>
        <v>Recursos Denegados</v>
      </c>
    </row>
    <row r="24" spans="1:27" ht="51" x14ac:dyDescent="0.2">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5" t="s">
        <v>1092</v>
      </c>
      <c r="V24" s="58" t="s">
        <v>338</v>
      </c>
      <c r="W24" s="34" t="str">
        <f t="shared" ca="1" si="0"/>
        <v>SI</v>
      </c>
      <c r="X24" s="23" t="str">
        <f t="shared" si="1"/>
        <v>DIANOSOL</v>
      </c>
      <c r="Y24" s="58" t="s">
        <v>994</v>
      </c>
      <c r="Z24" s="121" t="s">
        <v>1019</v>
      </c>
      <c r="AA24" s="121" t="str">
        <f>IF(Z24&lt;&gt;"",VLOOKUP($Z24,Resultados!$A$1:$B$49,2,FALSE),"")</f>
        <v>Recursos donde se hizo lugar</v>
      </c>
    </row>
    <row r="25" spans="1:27" ht="51" x14ac:dyDescent="0.2">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5" t="s">
        <v>1092</v>
      </c>
      <c r="V25" s="6" t="s">
        <v>361</v>
      </c>
      <c r="W25" s="34" t="str">
        <f t="shared" ca="1" si="0"/>
        <v>SI</v>
      </c>
      <c r="X25" s="23" t="str">
        <f t="shared" si="1"/>
        <v>DIANOSOL</v>
      </c>
      <c r="Y25" s="58" t="s">
        <v>994</v>
      </c>
      <c r="Z25" s="121" t="s">
        <v>1019</v>
      </c>
      <c r="AA25" s="121" t="str">
        <f>IF(Z25&lt;&gt;"",VLOOKUP($Z25,Resultados!$A$1:$B$49,2,FALSE),"")</f>
        <v>Recursos donde se hizo lugar</v>
      </c>
    </row>
    <row r="26" spans="1:27" ht="51" x14ac:dyDescent="0.2">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6" t="s">
        <v>1047</v>
      </c>
      <c r="V26" s="58" t="s">
        <v>379</v>
      </c>
      <c r="W26" s="34" t="str">
        <f t="shared" ca="1" si="0"/>
        <v>SI</v>
      </c>
      <c r="X26" s="23" t="str">
        <f t="shared" si="1"/>
        <v>DIANOSOL</v>
      </c>
      <c r="Y26" s="58" t="s">
        <v>994</v>
      </c>
      <c r="Z26" s="121" t="s">
        <v>1018</v>
      </c>
      <c r="AA26" s="121" t="str">
        <f>IF(Z26&lt;&gt;"",VLOOKUP($Z26,Resultados!$A$1:$B$49,2,FALSE),"")</f>
        <v>Recursos Denegados</v>
      </c>
    </row>
    <row r="27" spans="1:27" ht="51" x14ac:dyDescent="0.2">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4"/>
      <c r="V27" s="58" t="s">
        <v>379</v>
      </c>
      <c r="W27" s="34" t="str">
        <f t="shared" ca="1" si="0"/>
        <v>SI</v>
      </c>
      <c r="X27" s="23" t="str">
        <f t="shared" si="1"/>
        <v>DIANOSOL</v>
      </c>
      <c r="Y27" s="58" t="s">
        <v>994</v>
      </c>
      <c r="Z27" s="121" t="s">
        <v>1019</v>
      </c>
      <c r="AA27" s="121" t="str">
        <f>IF(Z27&lt;&gt;"",VLOOKUP($Z27,Resultados!$A$1:$B$49,2,FALSE),"")</f>
        <v>Recursos donde se hizo lugar</v>
      </c>
    </row>
    <row r="28" spans="1:27" ht="51" x14ac:dyDescent="0.2">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5" t="s">
        <v>1093</v>
      </c>
      <c r="V28" s="73" t="s">
        <v>506</v>
      </c>
      <c r="W28" s="34" t="str">
        <f t="shared" ca="1" si="0"/>
        <v>SI</v>
      </c>
      <c r="X28" s="23" t="str">
        <f t="shared" si="1"/>
        <v>DIANOSOL</v>
      </c>
      <c r="Y28" s="58" t="s">
        <v>994</v>
      </c>
      <c r="Z28" s="121" t="s">
        <v>1062</v>
      </c>
      <c r="AA28" s="121" t="str">
        <f>IF(Z28&lt;&gt;"",VLOOKUP($Z28,Resultados!$A$1:$B$49,2,FALSE),"")</f>
        <v>Recursos donde se hizo lugar</v>
      </c>
    </row>
    <row r="29" spans="1:27" ht="51" x14ac:dyDescent="0.2">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6" t="s">
        <v>1081</v>
      </c>
      <c r="V29" s="72"/>
      <c r="W29" s="34" t="str">
        <f t="shared" ca="1" si="0"/>
        <v>SI</v>
      </c>
      <c r="X29" s="23" t="str">
        <f t="shared" si="1"/>
        <v>DIANOSOL</v>
      </c>
      <c r="Y29" s="58" t="s">
        <v>994</v>
      </c>
      <c r="Z29" s="121" t="s">
        <v>1062</v>
      </c>
      <c r="AA29" s="121" t="str">
        <f>IF(Z29&lt;&gt;"",VLOOKUP($Z29,Resultados!$A$1:$B$49,2,FALSE),"")</f>
        <v>Recursos donde se hizo lugar</v>
      </c>
    </row>
    <row r="30" spans="1:27" ht="89.25" x14ac:dyDescent="0.2">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6" t="s">
        <v>1063</v>
      </c>
      <c r="V30" s="73" t="s">
        <v>505</v>
      </c>
      <c r="W30" s="34" t="str">
        <f t="shared" ca="1" si="0"/>
        <v>SI</v>
      </c>
      <c r="X30" s="23" t="str">
        <f t="shared" si="1"/>
        <v>DIANOSOL</v>
      </c>
      <c r="Y30" s="58" t="s">
        <v>994</v>
      </c>
      <c r="Z30" s="121" t="s">
        <v>1019</v>
      </c>
      <c r="AA30" s="121" t="str">
        <f>IF(Z30&lt;&gt;"",VLOOKUP($Z30,Resultados!$A$1:$B$49,2,FALSE),"")</f>
        <v>Recursos donde se hizo lugar</v>
      </c>
    </row>
    <row r="31" spans="1:27" ht="76.5" x14ac:dyDescent="0.2">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6" t="s">
        <v>1049</v>
      </c>
      <c r="V31" s="73" t="s">
        <v>505</v>
      </c>
      <c r="W31" s="34" t="str">
        <f t="shared" ca="1" si="0"/>
        <v>SI</v>
      </c>
      <c r="X31" s="23" t="str">
        <f t="shared" si="1"/>
        <v>DIANOSOL</v>
      </c>
      <c r="Y31" s="58" t="s">
        <v>994</v>
      </c>
      <c r="Z31" s="121" t="s">
        <v>1018</v>
      </c>
      <c r="AA31" s="121" t="str">
        <f>IF(Z31&lt;&gt;"",VLOOKUP($Z31,Resultados!$A$1:$B$49,2,FALSE),"")</f>
        <v>Recursos Denegados</v>
      </c>
    </row>
    <row r="32" spans="1:27" ht="51" x14ac:dyDescent="0.2">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6" t="s">
        <v>1066</v>
      </c>
      <c r="V32" s="72"/>
      <c r="W32" s="34" t="str">
        <f t="shared" ca="1" si="0"/>
        <v>SI</v>
      </c>
      <c r="X32" s="23" t="str">
        <f t="shared" si="1"/>
        <v>DIANOSOL</v>
      </c>
      <c r="Y32" s="58" t="s">
        <v>994</v>
      </c>
      <c r="Z32" s="121" t="s">
        <v>1018</v>
      </c>
      <c r="AA32" s="121" t="str">
        <f>IF(Z32&lt;&gt;"",VLOOKUP($Z32,Resultados!$A$1:$B$49,2,FALSE),"")</f>
        <v>Recursos Denegados</v>
      </c>
    </row>
    <row r="33" spans="1:27" ht="51" x14ac:dyDescent="0.2">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6"/>
      <c r="V33" s="72"/>
      <c r="W33" s="34" t="str">
        <f t="shared" ca="1" si="0"/>
        <v>SI</v>
      </c>
      <c r="X33" s="23" t="str">
        <f t="shared" si="1"/>
        <v>DIANOSOL</v>
      </c>
      <c r="Y33" s="58" t="s">
        <v>994</v>
      </c>
      <c r="Z33" s="121" t="s">
        <v>1019</v>
      </c>
      <c r="AA33" s="121" t="str">
        <f>IF(Z33&lt;&gt;"",VLOOKUP($Z33,Resultados!$A$1:$B$49,2,FALSE),"")</f>
        <v>Recursos donde se hizo lugar</v>
      </c>
    </row>
    <row r="34" spans="1:27" ht="216.75" x14ac:dyDescent="0.2">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6" t="s">
        <v>1098</v>
      </c>
      <c r="V34" s="73" t="s">
        <v>561</v>
      </c>
      <c r="W34" s="34" t="str">
        <f t="shared" ca="1" si="0"/>
        <v>SI</v>
      </c>
      <c r="X34" s="23" t="str">
        <f t="shared" si="1"/>
        <v>DIANOSOL</v>
      </c>
      <c r="Y34" s="58" t="s">
        <v>994</v>
      </c>
      <c r="Z34" s="121" t="s">
        <v>1018</v>
      </c>
      <c r="AA34" s="121" t="str">
        <f>IF(Z34&lt;&gt;"",VLOOKUP($Z34,Resultados!$A$1:$B$49,2,FALSE),"")</f>
        <v>Recursos Denegados</v>
      </c>
    </row>
    <row r="35" spans="1:27" ht="107.25" customHeight="1" x14ac:dyDescent="0.2">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6" t="s">
        <v>1064</v>
      </c>
      <c r="V35" s="73" t="s">
        <v>561</v>
      </c>
      <c r="W35" s="34" t="str">
        <f t="shared" ca="1" si="0"/>
        <v>SI</v>
      </c>
      <c r="X35" s="23" t="str">
        <f t="shared" si="1"/>
        <v>DIANOSOL</v>
      </c>
      <c r="Y35" s="58" t="s">
        <v>994</v>
      </c>
      <c r="Z35" s="121" t="s">
        <v>1018</v>
      </c>
      <c r="AA35" s="121" t="str">
        <f>IF(Z35&lt;&gt;"",VLOOKUP($Z35,Resultados!$A$1:$B$49,2,FALSE),"")</f>
        <v>Recursos Denegados</v>
      </c>
    </row>
    <row r="36" spans="1:27" ht="51" x14ac:dyDescent="0.2">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6" t="s">
        <v>937</v>
      </c>
      <c r="V36" s="72"/>
      <c r="W36" s="34" t="str">
        <f t="shared" ca="1" si="0"/>
        <v>SI</v>
      </c>
      <c r="X36" s="23" t="str">
        <f t="shared" si="1"/>
        <v>DIANOSOL</v>
      </c>
      <c r="Y36" s="58" t="s">
        <v>994</v>
      </c>
      <c r="Z36" s="121" t="s">
        <v>1018</v>
      </c>
      <c r="AA36" s="121" t="str">
        <f>IF(Z36&lt;&gt;"",VLOOKUP($Z36,Resultados!$A$1:$B$49,2,FALSE),"")</f>
        <v>Recursos Denegados</v>
      </c>
    </row>
    <row r="37" spans="1:27" ht="63.75" x14ac:dyDescent="0.2">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0"/>
        <v>SI</v>
      </c>
      <c r="X37" s="23" t="str">
        <f t="shared" si="1"/>
        <v>DIANOSOL</v>
      </c>
      <c r="Y37" s="58" t="s">
        <v>994</v>
      </c>
      <c r="Z37" s="121" t="s">
        <v>1018</v>
      </c>
      <c r="AA37" s="121" t="str">
        <f>IF(Z37&lt;&gt;"",VLOOKUP($Z37,Resultados!$A$1:$B$49,2,FALSE),"")</f>
        <v>Recursos Denegados</v>
      </c>
    </row>
    <row r="38" spans="1:27" ht="51" x14ac:dyDescent="0.2">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6" t="s">
        <v>1102</v>
      </c>
      <c r="V38" s="73" t="s">
        <v>561</v>
      </c>
      <c r="W38" s="34" t="str">
        <f t="shared" ca="1" si="0"/>
        <v>SI</v>
      </c>
      <c r="X38" s="23" t="str">
        <f t="shared" si="1"/>
        <v>DIANOSOL</v>
      </c>
      <c r="Y38" s="58" t="s">
        <v>994</v>
      </c>
      <c r="Z38" s="121" t="s">
        <v>1018</v>
      </c>
      <c r="AA38" s="121" t="str">
        <f>IF(Z38&lt;&gt;"",VLOOKUP($Z38,Resultados!$A$1:$B$49,2,FALSE),"")</f>
        <v>Recursos Denegados</v>
      </c>
    </row>
    <row r="39" spans="1:27" ht="63.75" x14ac:dyDescent="0.2">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6" t="s">
        <v>1050</v>
      </c>
      <c r="V39" s="73" t="s">
        <v>562</v>
      </c>
      <c r="W39" s="34" t="str">
        <f t="shared" ca="1" si="0"/>
        <v>SI</v>
      </c>
      <c r="X39" s="23" t="str">
        <f t="shared" si="1"/>
        <v>DIANOSOL</v>
      </c>
      <c r="Y39" s="58" t="s">
        <v>994</v>
      </c>
      <c r="Z39" s="121" t="s">
        <v>1018</v>
      </c>
      <c r="AA39" s="121" t="str">
        <f>IF(Z39&lt;&gt;"",VLOOKUP($Z39,Resultados!$A$1:$B$49,2,FALSE),"")</f>
        <v>Recursos Denegados</v>
      </c>
    </row>
    <row r="40" spans="1:27" ht="89.25" x14ac:dyDescent="0.2">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6"/>
      <c r="V40" s="73" t="s">
        <v>561</v>
      </c>
      <c r="W40" s="34" t="str">
        <f t="shared" ca="1" si="0"/>
        <v>SI</v>
      </c>
      <c r="X40" s="23" t="str">
        <f t="shared" si="1"/>
        <v>DIANOSOL</v>
      </c>
      <c r="Y40" s="58" t="s">
        <v>994</v>
      </c>
      <c r="Z40" s="121" t="s">
        <v>1018</v>
      </c>
      <c r="AA40" s="121" t="str">
        <f>IF(Z40&lt;&gt;"",VLOOKUP($Z40,Resultados!$A$1:$B$49,2,FALSE),"")</f>
        <v>Recursos Denegados</v>
      </c>
    </row>
    <row r="41" spans="1:27" ht="51" x14ac:dyDescent="0.2">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6" t="s">
        <v>1051</v>
      </c>
      <c r="V41" s="73" t="s">
        <v>584</v>
      </c>
      <c r="W41" s="34" t="str">
        <f t="shared" ca="1" si="0"/>
        <v>SI</v>
      </c>
      <c r="X41" s="23" t="str">
        <f t="shared" si="1"/>
        <v>DIANOSOL</v>
      </c>
      <c r="Y41" s="58" t="s">
        <v>994</v>
      </c>
      <c r="Z41" s="121" t="s">
        <v>1019</v>
      </c>
      <c r="AA41" s="121" t="str">
        <f>IF(Z41&lt;&gt;"",VLOOKUP($Z41,Resultados!$A$1:$B$49,2,FALSE),"")</f>
        <v>Recursos donde se hizo lugar</v>
      </c>
    </row>
    <row r="42" spans="1:27" ht="76.5" x14ac:dyDescent="0.2">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6" t="s">
        <v>1099</v>
      </c>
      <c r="V42" s="73" t="s">
        <v>584</v>
      </c>
      <c r="W42" s="34" t="str">
        <f t="shared" ca="1" si="0"/>
        <v>SI</v>
      </c>
      <c r="X42" s="23" t="str">
        <f t="shared" si="1"/>
        <v>DIANOSOL</v>
      </c>
      <c r="Y42" s="58" t="s">
        <v>994</v>
      </c>
      <c r="Z42" s="121" t="s">
        <v>1019</v>
      </c>
      <c r="AA42" s="121" t="str">
        <f>IF(Z42&lt;&gt;"",VLOOKUP($Z42,Resultados!$A$1:$B$49,2,FALSE),"")</f>
        <v>Recursos donde se hizo lugar</v>
      </c>
    </row>
    <row r="43" spans="1:27" ht="76.5" x14ac:dyDescent="0.2">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6" t="s">
        <v>1059</v>
      </c>
      <c r="V43" s="73" t="s">
        <v>593</v>
      </c>
      <c r="W43" s="34" t="str">
        <f t="shared" ca="1" si="0"/>
        <v>SI</v>
      </c>
      <c r="X43" s="23" t="str">
        <f t="shared" si="1"/>
        <v>DIANOSOL</v>
      </c>
      <c r="Y43" s="58" t="s">
        <v>994</v>
      </c>
      <c r="Z43" s="121" t="s">
        <v>1019</v>
      </c>
      <c r="AA43" s="121" t="str">
        <f>IF(Z43&lt;&gt;"",VLOOKUP($Z43,Resultados!$A$1:$B$49,2,FALSE),"")</f>
        <v>Recursos donde se hizo lugar</v>
      </c>
    </row>
    <row r="44" spans="1:27" ht="89.25" x14ac:dyDescent="0.2">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6"/>
      <c r="V44" s="73" t="s">
        <v>593</v>
      </c>
      <c r="W44" s="34" t="str">
        <f t="shared" ca="1" si="0"/>
        <v>SI</v>
      </c>
      <c r="X44" s="23" t="str">
        <f t="shared" si="1"/>
        <v>DIANOSOL</v>
      </c>
      <c r="Y44" s="58" t="s">
        <v>994</v>
      </c>
      <c r="Z44" s="121" t="s">
        <v>1025</v>
      </c>
      <c r="AA44" s="121" t="str">
        <f>IF(Z44&lt;&gt;"",VLOOKUP($Z44,Resultados!$A$1:$B$49,2,FALSE),"")</f>
        <v>Recursos donde se hizo lugar</v>
      </c>
    </row>
    <row r="45" spans="1:27" ht="38.25" x14ac:dyDescent="0.2">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6"/>
      <c r="V45" s="73" t="s">
        <v>603</v>
      </c>
      <c r="W45" s="34" t="str">
        <f t="shared" ca="1" si="0"/>
        <v>SI</v>
      </c>
      <c r="X45" s="23" t="str">
        <f t="shared" si="1"/>
        <v>DIANOSOL</v>
      </c>
      <c r="Y45" s="58" t="s">
        <v>994</v>
      </c>
      <c r="Z45" s="121" t="s">
        <v>1018</v>
      </c>
      <c r="AA45" s="121" t="str">
        <f>IF(Z45&lt;&gt;"",VLOOKUP($Z45,Resultados!$A$1:$B$49,2,FALSE),"")</f>
        <v>Recursos Denegados</v>
      </c>
    </row>
    <row r="46" spans="1:27" ht="38.25" x14ac:dyDescent="0.2">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6" t="s">
        <v>1084</v>
      </c>
      <c r="V46" s="73" t="s">
        <v>648</v>
      </c>
      <c r="W46" s="34" t="str">
        <f t="shared" ca="1" si="0"/>
        <v>SI</v>
      </c>
      <c r="X46" s="23" t="str">
        <f t="shared" si="1"/>
        <v>DIANOSOL</v>
      </c>
      <c r="Y46" s="58" t="s">
        <v>994</v>
      </c>
      <c r="Z46" s="121" t="s">
        <v>1018</v>
      </c>
      <c r="AA46" s="121" t="str">
        <f>IF(Z46&lt;&gt;"",VLOOKUP($Z46,Resultados!$A$1:$B$49,2,FALSE),"")</f>
        <v>Recursos Denegados</v>
      </c>
    </row>
    <row r="47" spans="1:27" ht="38.25" x14ac:dyDescent="0.2">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6" t="s">
        <v>1085</v>
      </c>
      <c r="V47" s="73" t="s">
        <v>648</v>
      </c>
      <c r="W47" s="34" t="str">
        <f t="shared" ca="1" si="0"/>
        <v>SI</v>
      </c>
      <c r="X47" s="23" t="str">
        <f t="shared" si="1"/>
        <v>DIANOSOL</v>
      </c>
      <c r="Y47" s="58" t="s">
        <v>994</v>
      </c>
      <c r="Z47" s="121" t="s">
        <v>1018</v>
      </c>
      <c r="AA47" s="121" t="str">
        <f>IF(Z47&lt;&gt;"",VLOOKUP($Z47,Resultados!$A$1:$B$49,2,FALSE),"")</f>
        <v>Recursos Denegados</v>
      </c>
    </row>
    <row r="48" spans="1:27" ht="38.25" x14ac:dyDescent="0.2">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7" t="s">
        <v>917</v>
      </c>
      <c r="V48" s="73" t="s">
        <v>666</v>
      </c>
      <c r="W48" s="34" t="str">
        <f t="shared" ca="1" si="0"/>
        <v>SI</v>
      </c>
      <c r="X48" s="23" t="str">
        <f t="shared" si="1"/>
        <v>DIANOSOL</v>
      </c>
      <c r="Y48" s="58" t="s">
        <v>994</v>
      </c>
      <c r="Z48" s="121" t="s">
        <v>1019</v>
      </c>
      <c r="AA48" s="121" t="str">
        <f>IF(Z48&lt;&gt;"",VLOOKUP($Z48,Resultados!$A$1:$B$49,2,FALSE),"")</f>
        <v>Recursos donde se hizo lugar</v>
      </c>
    </row>
    <row r="49" spans="1:27" ht="51" x14ac:dyDescent="0.2">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6" t="s">
        <v>1067</v>
      </c>
      <c r="V49" s="73" t="s">
        <v>666</v>
      </c>
      <c r="W49" s="34" t="str">
        <f t="shared" ca="1" si="0"/>
        <v>SI</v>
      </c>
      <c r="X49" s="23" t="str">
        <f t="shared" si="1"/>
        <v>DIANOSOL</v>
      </c>
      <c r="Y49" s="58" t="s">
        <v>994</v>
      </c>
      <c r="Z49" s="121" t="s">
        <v>1018</v>
      </c>
      <c r="AA49" s="121" t="str">
        <f>IF(Z49&lt;&gt;"",VLOOKUP($Z49,Resultados!$A$1:$B$49,2,FALSE),"")</f>
        <v>Recursos Denegados</v>
      </c>
    </row>
    <row r="50" spans="1:27" ht="76.5" x14ac:dyDescent="0.2">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4"/>
      <c r="V50" s="73" t="s">
        <v>648</v>
      </c>
      <c r="W50" s="34" t="str">
        <f t="shared" ca="1" si="0"/>
        <v>SI</v>
      </c>
      <c r="X50" s="23" t="str">
        <f t="shared" si="1"/>
        <v>DIANOSOL</v>
      </c>
      <c r="Y50" s="58" t="s">
        <v>994</v>
      </c>
      <c r="Z50" s="121" t="s">
        <v>1042</v>
      </c>
      <c r="AA50" s="121" t="str">
        <f>IF(Z50&lt;&gt;"",VLOOKUP($Z50,Resultados!$A$1:$B$49,2,FALSE),"")</f>
        <v>Recursos Abstractos</v>
      </c>
    </row>
    <row r="51" spans="1:27" ht="114.75" x14ac:dyDescent="0.2">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6"/>
      <c r="V51" s="73" t="s">
        <v>667</v>
      </c>
      <c r="W51" s="34" t="str">
        <f t="shared" ca="1" si="0"/>
        <v>SI</v>
      </c>
      <c r="X51" s="23" t="str">
        <f t="shared" si="1"/>
        <v>DIANOSOL</v>
      </c>
      <c r="Y51" s="58" t="s">
        <v>994</v>
      </c>
      <c r="Z51" s="121" t="s">
        <v>1018</v>
      </c>
      <c r="AA51" s="121" t="str">
        <f>IF(Z51&lt;&gt;"",VLOOKUP($Z51,Resultados!$A$1:$B$49,2,FALSE),"")</f>
        <v>Recursos Denegados</v>
      </c>
    </row>
    <row r="52" spans="1:27" ht="38.25" x14ac:dyDescent="0.2">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6"/>
      <c r="V52" s="73" t="s">
        <v>666</v>
      </c>
      <c r="W52" s="34" t="str">
        <f t="shared" ca="1" si="0"/>
        <v>SI</v>
      </c>
      <c r="X52" s="23" t="str">
        <f t="shared" si="1"/>
        <v>DIANOSOL</v>
      </c>
      <c r="Y52" s="58" t="s">
        <v>994</v>
      </c>
      <c r="Z52" s="121" t="s">
        <v>1018</v>
      </c>
      <c r="AA52" s="121" t="str">
        <f>IF(Z52&lt;&gt;"",VLOOKUP($Z52,Resultados!$A$1:$B$49,2,FALSE),"")</f>
        <v>Recursos Denegados</v>
      </c>
    </row>
    <row r="53" spans="1:27" ht="38.25" x14ac:dyDescent="0.2">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6" t="s">
        <v>1101</v>
      </c>
      <c r="V53" s="58" t="s">
        <v>749</v>
      </c>
      <c r="W53" s="34" t="str">
        <f t="shared" ca="1" si="0"/>
        <v>SI</v>
      </c>
      <c r="X53" s="23" t="str">
        <f t="shared" si="1"/>
        <v>DIANOSOL</v>
      </c>
      <c r="Y53" s="58" t="s">
        <v>994</v>
      </c>
      <c r="Z53" s="121" t="s">
        <v>1018</v>
      </c>
      <c r="AA53" s="121" t="str">
        <f>IF(Z53&lt;&gt;"",VLOOKUP($Z53,Resultados!$A$1:$B$49,2,FALSE),"")</f>
        <v>Recursos Denegados</v>
      </c>
    </row>
    <row r="54" spans="1:27" ht="38.25" x14ac:dyDescent="0.2">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6"/>
      <c r="V54" s="73" t="s">
        <v>700</v>
      </c>
      <c r="W54" s="34" t="str">
        <f t="shared" ca="1" si="0"/>
        <v>SI</v>
      </c>
      <c r="X54" s="23" t="str">
        <f t="shared" si="1"/>
        <v>DIANOSOL</v>
      </c>
      <c r="Y54" s="58" t="s">
        <v>994</v>
      </c>
      <c r="Z54" s="121" t="s">
        <v>1018</v>
      </c>
      <c r="AA54" s="121" t="str">
        <f>IF(Z54&lt;&gt;"",VLOOKUP($Z54,Resultados!$A$1:$B$49,2,FALSE),"")</f>
        <v>Recursos Denegados</v>
      </c>
    </row>
    <row r="55" spans="1:27" ht="76.5" x14ac:dyDescent="0.2">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5"/>
      <c r="V55" s="6" t="s">
        <v>700</v>
      </c>
      <c r="W55" s="34" t="str">
        <f t="shared" ca="1" si="0"/>
        <v>SI</v>
      </c>
      <c r="X55" s="23" t="str">
        <f t="shared" si="1"/>
        <v>DIANOSOL</v>
      </c>
      <c r="Y55" s="58" t="s">
        <v>994</v>
      </c>
      <c r="Z55" s="121" t="s">
        <v>1025</v>
      </c>
      <c r="AA55" s="121" t="str">
        <f>IF(Z55&lt;&gt;"",VLOOKUP($Z55,Resultados!$A$1:$B$49,2,FALSE),"")</f>
        <v>Recursos donde se hizo lugar</v>
      </c>
    </row>
    <row r="56" spans="1:27" ht="38.25" x14ac:dyDescent="0.2">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6" t="s">
        <v>919</v>
      </c>
      <c r="V56" s="5">
        <v>24082023</v>
      </c>
      <c r="W56" s="34" t="str">
        <f t="shared" ca="1" si="0"/>
        <v>SI</v>
      </c>
      <c r="X56" s="23" t="str">
        <f t="shared" si="1"/>
        <v>DIANOSOL</v>
      </c>
      <c r="Y56" s="58" t="s">
        <v>994</v>
      </c>
      <c r="Z56" s="121" t="s">
        <v>1018</v>
      </c>
      <c r="AA56" s="121" t="str">
        <f>IF(Z56&lt;&gt;"",VLOOKUP($Z56,Resultados!$A$1:$B$49,2,FALSE),"")</f>
        <v>Recursos Denegados</v>
      </c>
    </row>
    <row r="57" spans="1:27" ht="38.25" x14ac:dyDescent="0.2">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4" t="s">
        <v>1079</v>
      </c>
      <c r="V57" s="6" t="s">
        <v>700</v>
      </c>
      <c r="W57" s="34" t="str">
        <f t="shared" ca="1" si="0"/>
        <v>SI</v>
      </c>
      <c r="X57" s="23" t="str">
        <f t="shared" si="1"/>
        <v>DIANOSOL</v>
      </c>
      <c r="Y57" s="58" t="s">
        <v>994</v>
      </c>
      <c r="Z57" s="121" t="s">
        <v>1018</v>
      </c>
      <c r="AA57" s="121" t="str">
        <f>IF(Z57&lt;&gt;"",VLOOKUP($Z57,Resultados!$A$1:$B$49,2,FALSE),"")</f>
        <v>Recursos Denegados</v>
      </c>
    </row>
    <row r="58" spans="1:27" ht="63.75" x14ac:dyDescent="0.2">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6"/>
      <c r="V58" s="73" t="s">
        <v>733</v>
      </c>
      <c r="W58" s="34" t="str">
        <f t="shared" ca="1" si="0"/>
        <v>SI</v>
      </c>
      <c r="X58" s="23" t="str">
        <f t="shared" si="1"/>
        <v>DIANOSOL</v>
      </c>
      <c r="Y58" s="58" t="s">
        <v>994</v>
      </c>
      <c r="Z58" s="121" t="s">
        <v>1018</v>
      </c>
      <c r="AA58" s="121" t="str">
        <f>IF(Z58&lt;&gt;"",VLOOKUP($Z58,Resultados!$A$1:$B$49,2,FALSE),"")</f>
        <v>Recursos Denegados</v>
      </c>
    </row>
    <row r="59" spans="1:27" ht="63.75" x14ac:dyDescent="0.2">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5"/>
      <c r="V59" s="72"/>
      <c r="W59" s="34" t="str">
        <f t="shared" ca="1" si="0"/>
        <v>SI</v>
      </c>
      <c r="X59" s="23" t="str">
        <f t="shared" si="1"/>
        <v>DIANOSOL</v>
      </c>
      <c r="Y59" s="58" t="s">
        <v>994</v>
      </c>
      <c r="Z59" s="121" t="s">
        <v>1018</v>
      </c>
      <c r="AA59" s="121" t="str">
        <f>IF(Z59&lt;&gt;"",VLOOKUP($Z59,Resultados!$A$1:$B$49,2,FALSE),"")</f>
        <v>Recursos Denegados</v>
      </c>
    </row>
    <row r="60" spans="1:27" ht="38.25" x14ac:dyDescent="0.2">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6" t="s">
        <v>930</v>
      </c>
      <c r="V60" s="5">
        <v>23082023</v>
      </c>
      <c r="W60" s="34" t="str">
        <f t="shared" ca="1" si="0"/>
        <v>SI</v>
      </c>
      <c r="X60" s="23" t="str">
        <f t="shared" si="1"/>
        <v>DIANOSOL</v>
      </c>
      <c r="Y60" s="58" t="s">
        <v>994</v>
      </c>
      <c r="Z60" s="121" t="s">
        <v>1018</v>
      </c>
      <c r="AA60" s="121" t="str">
        <f>IF(Z60&lt;&gt;"",VLOOKUP($Z60,Resultados!$A$1:$B$49,2,FALSE),"")</f>
        <v>Recursos Denegados</v>
      </c>
    </row>
    <row r="61" spans="1:27" ht="38.25" x14ac:dyDescent="0.2">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6" t="s">
        <v>930</v>
      </c>
      <c r="V61" s="72"/>
      <c r="W61" s="34" t="str">
        <f t="shared" ca="1" si="0"/>
        <v>SI</v>
      </c>
      <c r="X61" s="23" t="str">
        <f t="shared" si="1"/>
        <v>DIANOSOL</v>
      </c>
      <c r="Y61" s="58" t="s">
        <v>994</v>
      </c>
      <c r="Z61" s="121" t="s">
        <v>1018</v>
      </c>
      <c r="AA61" s="121" t="str">
        <f>IF(Z61&lt;&gt;"",VLOOKUP($Z61,Resultados!$A$1:$B$49,2,FALSE),"")</f>
        <v>Recursos Denegados</v>
      </c>
    </row>
    <row r="62" spans="1:27" ht="153" x14ac:dyDescent="0.2">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4"/>
      <c r="V62" s="58" t="s">
        <v>733</v>
      </c>
      <c r="W62" s="34" t="str">
        <f t="shared" ca="1" si="0"/>
        <v>SI</v>
      </c>
      <c r="X62" s="23" t="str">
        <f t="shared" si="1"/>
        <v>DIANOSOL</v>
      </c>
      <c r="Y62" s="58" t="s">
        <v>994</v>
      </c>
      <c r="Z62" s="121" t="s">
        <v>1018</v>
      </c>
      <c r="AA62" s="121" t="str">
        <f>IF(Z62&lt;&gt;"",VLOOKUP($Z62,Resultados!$A$1:$B$49,2,FALSE),"")</f>
        <v>Recursos Denegados</v>
      </c>
    </row>
    <row r="63" spans="1:27" ht="51" x14ac:dyDescent="0.2">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6"/>
      <c r="V63" s="73" t="s">
        <v>774</v>
      </c>
      <c r="W63" s="34" t="str">
        <f t="shared" ca="1" si="0"/>
        <v>SI</v>
      </c>
      <c r="X63" s="23" t="str">
        <f t="shared" si="1"/>
        <v>DIANOSOL</v>
      </c>
      <c r="Y63" s="58" t="s">
        <v>994</v>
      </c>
      <c r="Z63" s="121" t="s">
        <v>1018</v>
      </c>
      <c r="AA63" s="121" t="str">
        <f>IF(Z63&lt;&gt;"",VLOOKUP($Z63,Resultados!$A$1:$B$49,2,FALSE),"")</f>
        <v>Recursos Denegados</v>
      </c>
    </row>
    <row r="64" spans="1:27" ht="51" x14ac:dyDescent="0.2">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6" t="s">
        <v>1089</v>
      </c>
      <c r="V64" s="73" t="s">
        <v>774</v>
      </c>
      <c r="W64" s="34" t="str">
        <f t="shared" ca="1" si="0"/>
        <v>SI</v>
      </c>
      <c r="X64" s="23" t="str">
        <f t="shared" si="1"/>
        <v>DIANOSOL</v>
      </c>
      <c r="Y64" s="58" t="s">
        <v>994</v>
      </c>
      <c r="Z64" s="121" t="s">
        <v>1025</v>
      </c>
      <c r="AA64" s="121" t="str">
        <f>IF(Z64&lt;&gt;"",VLOOKUP($Z64,Resultados!$A$1:$B$49,2,FALSE),"")</f>
        <v>Recursos donde se hizo lugar</v>
      </c>
    </row>
    <row r="65" spans="1:27" ht="38.25" x14ac:dyDescent="0.2">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6" t="s">
        <v>1065</v>
      </c>
      <c r="V65" s="73" t="s">
        <v>774</v>
      </c>
      <c r="W65" s="34" t="str">
        <f t="shared" ca="1" si="0"/>
        <v>SI</v>
      </c>
      <c r="X65" s="23" t="str">
        <f t="shared" si="1"/>
        <v>DIANOSOL</v>
      </c>
      <c r="Y65" s="58"/>
      <c r="Z65" s="121" t="s">
        <v>1019</v>
      </c>
      <c r="AA65" s="121" t="str">
        <f>IF(Z65&lt;&gt;"",VLOOKUP($Z65,Resultados!$A$1:$B$49,2,FALSE),"")</f>
        <v>Recursos donde se hizo lugar</v>
      </c>
    </row>
    <row r="66" spans="1:27" ht="38.25" x14ac:dyDescent="0.2">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1261</v>
      </c>
      <c r="U66" s="218" t="s">
        <v>816</v>
      </c>
      <c r="V66" s="73" t="s">
        <v>774</v>
      </c>
      <c r="W66" s="34" t="str">
        <f t="shared" ca="1" si="0"/>
        <v>SI</v>
      </c>
      <c r="X66" s="23" t="str">
        <f t="shared" si="1"/>
        <v>DIANOSOL</v>
      </c>
      <c r="Y66" s="58" t="s">
        <v>994</v>
      </c>
      <c r="Z66" s="121" t="s">
        <v>1062</v>
      </c>
      <c r="AA66" s="121" t="str">
        <f>IF(Z66&lt;&gt;"",VLOOKUP($Z66,Resultados!$A$1:$B$49,2,FALSE),"")</f>
        <v>Recursos donde se hizo lugar</v>
      </c>
    </row>
    <row r="67" spans="1:27" ht="51" x14ac:dyDescent="0.2">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6" t="s">
        <v>1068</v>
      </c>
      <c r="V67" s="73" t="s">
        <v>804</v>
      </c>
      <c r="W67" s="34" t="str">
        <f t="shared" ca="1" si="0"/>
        <v>SI</v>
      </c>
      <c r="X67" s="23" t="str">
        <f t="shared" si="1"/>
        <v>DIANOSOL</v>
      </c>
      <c r="Y67" s="58" t="s">
        <v>994</v>
      </c>
      <c r="Z67" s="121" t="s">
        <v>1018</v>
      </c>
      <c r="AA67" s="121" t="str">
        <f>IF(Z67&lt;&gt;"",VLOOKUP($Z67,Resultados!$A$1:$B$49,2,FALSE),"")</f>
        <v>Recursos Denegados</v>
      </c>
    </row>
    <row r="68" spans="1:27" ht="89.25" x14ac:dyDescent="0.2">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6" t="s">
        <v>1087</v>
      </c>
      <c r="V68" s="72"/>
      <c r="W68" s="34" t="str">
        <f t="shared" ca="1" si="0"/>
        <v>SI</v>
      </c>
      <c r="X68" s="23" t="str">
        <f t="shared" si="1"/>
        <v>DIANOSOL</v>
      </c>
      <c r="Y68" s="58" t="s">
        <v>1002</v>
      </c>
      <c r="Z68" s="121" t="s">
        <v>1014</v>
      </c>
      <c r="AA68" s="121" t="str">
        <f>IF(Z68&lt;&gt;"",VLOOKUP($Z68,Resultados!$A$1:$B$49,2,FALSE),"")</f>
        <v>Recursos Denegados</v>
      </c>
    </row>
    <row r="69" spans="1:27" ht="89.25" x14ac:dyDescent="0.2">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6" t="s">
        <v>1053</v>
      </c>
      <c r="V69" s="73" t="s">
        <v>742</v>
      </c>
      <c r="W69" s="34" t="str">
        <f t="shared" ca="1" si="0"/>
        <v>SI</v>
      </c>
      <c r="X69" s="23" t="str">
        <f t="shared" si="1"/>
        <v>DIANOSOL</v>
      </c>
      <c r="Y69" s="58" t="s">
        <v>994</v>
      </c>
      <c r="Z69" s="121" t="s">
        <v>1018</v>
      </c>
      <c r="AA69" s="121" t="str">
        <f>IF(Z69&lt;&gt;"",VLOOKUP($Z69,Resultados!$A$1:$B$49,2,FALSE),"")</f>
        <v>Recursos Denegados</v>
      </c>
    </row>
    <row r="70" spans="1:27" ht="76.5" x14ac:dyDescent="0.2">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5" t="s">
        <v>1144</v>
      </c>
      <c r="V70" s="73" t="s">
        <v>804</v>
      </c>
      <c r="W70" s="34" t="str">
        <f t="shared" ref="W70:W121" ca="1" si="2">IF(R70&lt;=TODAY(),"SI","NO")</f>
        <v>SI</v>
      </c>
      <c r="X70" s="23" t="str">
        <f t="shared" ref="X70:X121" si="3">IF($X$1=R70,"DIASOL", "DIANOSOL")</f>
        <v>DIANOSOL</v>
      </c>
      <c r="Y70" s="58" t="s">
        <v>994</v>
      </c>
      <c r="Z70" s="121" t="s">
        <v>1018</v>
      </c>
      <c r="AA70" s="121" t="str">
        <f>IF(Z70&lt;&gt;"",VLOOKUP($Z70,Resultados!$A$1:$B$49,2,FALSE),"")</f>
        <v>Recursos Denegados</v>
      </c>
    </row>
    <row r="71" spans="1:27" ht="76.5" x14ac:dyDescent="0.2">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6" t="s">
        <v>1086</v>
      </c>
      <c r="V71" s="73" t="s">
        <v>804</v>
      </c>
      <c r="W71" s="34" t="str">
        <f t="shared" ca="1" si="2"/>
        <v>SI</v>
      </c>
      <c r="X71" s="23" t="str">
        <f t="shared" si="3"/>
        <v>DIANOSOL</v>
      </c>
      <c r="Y71" s="58" t="s">
        <v>994</v>
      </c>
      <c r="Z71" s="121" t="s">
        <v>1014</v>
      </c>
      <c r="AA71" s="121" t="str">
        <f>IF(Z71&lt;&gt;"",VLOOKUP($Z71,Resultados!$A$1:$B$49,2,FALSE),"")</f>
        <v>Recursos Denegados</v>
      </c>
    </row>
    <row r="72" spans="1:27" ht="38.25" x14ac:dyDescent="0.2">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6" t="s">
        <v>1071</v>
      </c>
      <c r="V72" s="73" t="s">
        <v>817</v>
      </c>
      <c r="W72" s="34" t="str">
        <f t="shared" ca="1" si="2"/>
        <v>SI</v>
      </c>
      <c r="X72" s="23" t="str">
        <f t="shared" si="3"/>
        <v>DIANOSOL</v>
      </c>
      <c r="Y72" s="58" t="s">
        <v>994</v>
      </c>
      <c r="Z72" s="121" t="s">
        <v>1018</v>
      </c>
      <c r="AA72" s="121" t="str">
        <f>IF(Z72&lt;&gt;"",VLOOKUP($Z72,Resultados!$A$1:$B$49,2,FALSE),"")</f>
        <v>Recursos Denegados</v>
      </c>
    </row>
    <row r="73" spans="1:27" ht="102" x14ac:dyDescent="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6" t="s">
        <v>1090</v>
      </c>
      <c r="V73" s="73" t="s">
        <v>818</v>
      </c>
      <c r="W73" s="34" t="str">
        <f t="shared" ca="1" si="2"/>
        <v>SI</v>
      </c>
      <c r="X73" s="23" t="str">
        <f t="shared" si="3"/>
        <v>DIANOSOL</v>
      </c>
      <c r="Y73" s="58" t="s">
        <v>994</v>
      </c>
      <c r="Z73" s="121" t="s">
        <v>1038</v>
      </c>
      <c r="AA73" s="121" t="str">
        <f>IF(Z73&lt;&gt;"",VLOOKUP($Z73,Resultados!$A$1:$B$49,2,FALSE),"")</f>
        <v>Recursos Inadmisibles</v>
      </c>
    </row>
    <row r="74" spans="1:27" ht="102" x14ac:dyDescent="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4" t="s">
        <v>1181</v>
      </c>
      <c r="V74" s="72" t="s">
        <v>817</v>
      </c>
      <c r="W74" s="34" t="str">
        <f t="shared" ca="1" si="2"/>
        <v>SI</v>
      </c>
      <c r="X74" s="23" t="str">
        <f t="shared" si="3"/>
        <v>DIANOSOL</v>
      </c>
      <c r="Y74" s="58" t="s">
        <v>994</v>
      </c>
      <c r="Z74" s="121" t="s">
        <v>1018</v>
      </c>
      <c r="AA74" s="121" t="str">
        <f>IF(Z74&lt;&gt;"",VLOOKUP($Z74,Resultados!$A$1:$B$49,2,FALSE),"")</f>
        <v>Recursos Denegados</v>
      </c>
    </row>
    <row r="75" spans="1:27" ht="38.25" x14ac:dyDescent="0.2">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6"/>
      <c r="V75" s="72" t="s">
        <v>817</v>
      </c>
      <c r="W75" s="34" t="str">
        <f t="shared" ca="1" si="2"/>
        <v>SI</v>
      </c>
      <c r="X75" s="23" t="str">
        <f t="shared" si="3"/>
        <v>DIANOSOL</v>
      </c>
      <c r="Y75" s="58" t="s">
        <v>994</v>
      </c>
      <c r="Z75" s="121" t="s">
        <v>1035</v>
      </c>
      <c r="AA75" s="121" t="str">
        <f>IF(Z75&lt;&gt;"",VLOOKUP($Z75,Resultados!$A$1:$B$49,2,FALSE),"")</f>
        <v>Desestimientos de Recursos</v>
      </c>
    </row>
    <row r="76" spans="1:27" ht="102" x14ac:dyDescent="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9" t="s">
        <v>1007</v>
      </c>
      <c r="V76" s="72"/>
      <c r="W76" s="34" t="str">
        <f t="shared" ca="1" si="2"/>
        <v>SI</v>
      </c>
      <c r="X76" s="23" t="str">
        <f t="shared" si="3"/>
        <v>DIANOSOL</v>
      </c>
      <c r="Y76" s="58" t="s">
        <v>994</v>
      </c>
      <c r="Z76" s="121" t="s">
        <v>1018</v>
      </c>
      <c r="AA76" s="121" t="str">
        <f>IF(Z76&lt;&gt;"",VLOOKUP($Z76,Resultados!$A$1:$B$49,2,FALSE),"")</f>
        <v>Recursos Denegados</v>
      </c>
    </row>
    <row r="77" spans="1:27" ht="38.25" x14ac:dyDescent="0.2">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6" t="s">
        <v>991</v>
      </c>
      <c r="V77" s="72"/>
      <c r="W77" s="34" t="str">
        <f t="shared" ca="1" si="2"/>
        <v>SI</v>
      </c>
      <c r="X77" s="23" t="str">
        <f t="shared" si="3"/>
        <v>DIANOSOL</v>
      </c>
      <c r="Y77" s="58"/>
      <c r="Z77" s="121" t="s">
        <v>1040</v>
      </c>
      <c r="AA77" s="121" t="str">
        <f>IF(Z77&lt;&gt;"",VLOOKUP($Z77,Resultados!$A$1:$B$49,2,FALSE),"")</f>
        <v>Audiencias de Visu</v>
      </c>
    </row>
    <row r="78" spans="1:27" ht="51" x14ac:dyDescent="0.2">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4"/>
      <c r="V78" s="58" t="s">
        <v>380</v>
      </c>
      <c r="W78" s="34" t="str">
        <f t="shared" ca="1" si="2"/>
        <v>SI</v>
      </c>
      <c r="X78" s="23" t="str">
        <f t="shared" si="3"/>
        <v>DIANOSOL</v>
      </c>
      <c r="Y78" s="58" t="s">
        <v>994</v>
      </c>
      <c r="Z78" s="121" t="s">
        <v>1025</v>
      </c>
      <c r="AA78" s="121" t="str">
        <f>IF(Z78&lt;&gt;"",VLOOKUP($Z78,Resultados!$A$1:$B$49,2,FALSE),"")</f>
        <v>Recursos donde se hizo lugar</v>
      </c>
    </row>
    <row r="79" spans="1:27" ht="38.25" x14ac:dyDescent="0.2">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5" t="s">
        <v>1267</v>
      </c>
      <c r="V79" s="91" t="s">
        <v>395</v>
      </c>
      <c r="W79" s="34" t="str">
        <f t="shared" ca="1" si="2"/>
        <v>SI</v>
      </c>
      <c r="X79" s="23" t="str">
        <f t="shared" si="3"/>
        <v>DIANOSOL</v>
      </c>
      <c r="Y79" s="58" t="s">
        <v>994</v>
      </c>
      <c r="Z79" s="121" t="s">
        <v>1044</v>
      </c>
      <c r="AA79" s="121" t="str">
        <f>IF(Z79&lt;&gt;"",VLOOKUP($Z79,Resultados!$A$1:$B$49,2,FALSE),"")</f>
        <v xml:space="preserve">Otros </v>
      </c>
    </row>
    <row r="80" spans="1:27" ht="51" x14ac:dyDescent="0.2">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20"/>
      <c r="V80" s="58" t="s">
        <v>399</v>
      </c>
      <c r="W80" s="34" t="str">
        <f t="shared" ca="1" si="2"/>
        <v>SI</v>
      </c>
      <c r="X80" s="23" t="str">
        <f t="shared" si="3"/>
        <v>DIANOSOL</v>
      </c>
      <c r="Y80" s="58" t="s">
        <v>994</v>
      </c>
      <c r="Z80" s="121" t="s">
        <v>1025</v>
      </c>
      <c r="AA80" s="121" t="str">
        <f>IF(Z80&lt;&gt;"",VLOOKUP($Z80,Resultados!$A$1:$B$49,2,FALSE),"")</f>
        <v>Recursos donde se hizo lugar</v>
      </c>
    </row>
    <row r="81" spans="1:27" ht="76.5" x14ac:dyDescent="0.2">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5" t="s">
        <v>1169</v>
      </c>
      <c r="V81" s="58" t="s">
        <v>408</v>
      </c>
      <c r="W81" s="34" t="str">
        <f t="shared" ca="1" si="2"/>
        <v>SI</v>
      </c>
      <c r="X81" s="23" t="str">
        <f t="shared" si="3"/>
        <v>DIANOSOL</v>
      </c>
      <c r="Y81" s="58"/>
      <c r="Z81" s="121" t="s">
        <v>1040</v>
      </c>
      <c r="AA81" s="121" t="str">
        <f>IF(Z81&lt;&gt;"",VLOOKUP($Z81,Resultados!$A$1:$B$49,2,FALSE),"")</f>
        <v>Audiencias de Visu</v>
      </c>
    </row>
    <row r="82" spans="1:27" ht="38.25" x14ac:dyDescent="0.2">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21"/>
      <c r="V82" s="58" t="s">
        <v>408</v>
      </c>
      <c r="W82" s="34" t="str">
        <f t="shared" ca="1" si="2"/>
        <v>SI</v>
      </c>
      <c r="X82" s="23" t="str">
        <f t="shared" si="3"/>
        <v>DIANOSOL</v>
      </c>
      <c r="Y82" s="58" t="s">
        <v>994</v>
      </c>
      <c r="Z82" s="121" t="s">
        <v>1018</v>
      </c>
      <c r="AA82" s="121" t="str">
        <f>IF(Z82&lt;&gt;"",VLOOKUP($Z82,Resultados!$A$1:$B$49,2,FALSE),"")</f>
        <v>Recursos Denegados</v>
      </c>
    </row>
    <row r="83" spans="1:27" ht="51" x14ac:dyDescent="0.2">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6"/>
      <c r="V83" s="58" t="s">
        <v>430</v>
      </c>
      <c r="W83" s="34" t="str">
        <f t="shared" ca="1" si="2"/>
        <v>SI</v>
      </c>
      <c r="X83" s="23" t="str">
        <f t="shared" si="3"/>
        <v>DIANOSOL</v>
      </c>
      <c r="Y83" s="58" t="s">
        <v>994</v>
      </c>
      <c r="Z83" s="121" t="s">
        <v>1035</v>
      </c>
      <c r="AA83" s="121" t="str">
        <f>IF(Z83&lt;&gt;"",VLOOKUP($Z83,Resultados!$A$1:$B$49,2,FALSE),"")</f>
        <v>Desestimientos de Recursos</v>
      </c>
    </row>
    <row r="84" spans="1:27" ht="89.25" x14ac:dyDescent="0.2">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01" t="s">
        <v>918</v>
      </c>
      <c r="U84" s="211" t="s">
        <v>935</v>
      </c>
      <c r="V84" s="73" t="s">
        <v>416</v>
      </c>
      <c r="W84" s="34" t="str">
        <f t="shared" ca="1" si="2"/>
        <v>SI</v>
      </c>
      <c r="X84" s="23" t="str">
        <f t="shared" si="3"/>
        <v>DIANOSOL</v>
      </c>
      <c r="Y84" s="58" t="s">
        <v>1002</v>
      </c>
      <c r="Z84" s="121" t="s">
        <v>1042</v>
      </c>
      <c r="AA84" s="121" t="str">
        <f>IF(Z84&lt;&gt;"",VLOOKUP($Z84,Resultados!$A$1:$B$49,2,FALSE),"")</f>
        <v>Recursos Abstractos</v>
      </c>
    </row>
    <row r="85" spans="1:27" ht="89.25" x14ac:dyDescent="0.2">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6"/>
      <c r="V85" s="72"/>
      <c r="W85" s="34" t="str">
        <f t="shared" ca="1" si="2"/>
        <v>SI</v>
      </c>
      <c r="X85" s="23" t="str">
        <f t="shared" si="3"/>
        <v>DIANOSOL</v>
      </c>
      <c r="Y85" s="58" t="s">
        <v>994</v>
      </c>
      <c r="Z85" s="121" t="s">
        <v>1018</v>
      </c>
      <c r="AA85" s="121" t="str">
        <f>IF(Z85&lt;&gt;"",VLOOKUP($Z85,Resultados!$A$1:$B$49,2,FALSE),"")</f>
        <v>Recursos Denegados</v>
      </c>
    </row>
    <row r="86" spans="1:27" ht="51" x14ac:dyDescent="0.2">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84">
        <v>0.38541666666666669</v>
      </c>
      <c r="T86" s="69" t="s">
        <v>914</v>
      </c>
      <c r="U86" s="216" t="s">
        <v>777</v>
      </c>
      <c r="V86" s="72"/>
      <c r="W86" s="34" t="str">
        <f t="shared" ca="1" si="2"/>
        <v>SI</v>
      </c>
      <c r="X86" s="23" t="str">
        <f t="shared" si="3"/>
        <v>DIANOSOL</v>
      </c>
      <c r="Y86" s="58" t="s">
        <v>994</v>
      </c>
      <c r="Z86" s="121" t="s">
        <v>1018</v>
      </c>
      <c r="AA86" s="121" t="str">
        <f>IF(Z86&lt;&gt;"",VLOOKUP($Z86,Resultados!$A$1:$B$49,2,FALSE),"")</f>
        <v>Recursos Denegados</v>
      </c>
    </row>
    <row r="87" spans="1:27" ht="38.25" x14ac:dyDescent="0.2">
      <c r="A87" s="70">
        <v>85</v>
      </c>
      <c r="B87" s="68">
        <v>45153</v>
      </c>
      <c r="C87" s="71">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5" t="s">
        <v>1088</v>
      </c>
      <c r="V87" s="72"/>
      <c r="W87" s="34" t="str">
        <f t="shared" ca="1" si="2"/>
        <v>SI</v>
      </c>
      <c r="X87" s="23" t="str">
        <f t="shared" si="3"/>
        <v>DIANOSOL</v>
      </c>
      <c r="Y87" s="58" t="s">
        <v>1002</v>
      </c>
      <c r="Z87" s="121" t="s">
        <v>1016</v>
      </c>
      <c r="AA87" s="121" t="str">
        <f>IF(Z87&lt;&gt;"",VLOOKUP($Z87,Resultados!$A$1:$B$49,2,FALSE),"")</f>
        <v>Recursos donde se hizo lugar</v>
      </c>
    </row>
    <row r="88" spans="1:27" ht="38.25" x14ac:dyDescent="0.2">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6" t="s">
        <v>1083</v>
      </c>
      <c r="V88" s="58" t="s">
        <v>494</v>
      </c>
      <c r="W88" s="34" t="str">
        <f t="shared" ca="1" si="2"/>
        <v>SI</v>
      </c>
      <c r="X88" s="23" t="str">
        <f t="shared" si="3"/>
        <v>DIANOSOL</v>
      </c>
      <c r="Y88" s="58" t="s">
        <v>994</v>
      </c>
      <c r="Z88" s="121" t="s">
        <v>1018</v>
      </c>
      <c r="AA88" s="121" t="str">
        <f>IF(Z88&lt;&gt;"",VLOOKUP($Z88,Resultados!$A$1:$B$49,2,FALSE),"")</f>
        <v>Recursos Denegados</v>
      </c>
    </row>
    <row r="89" spans="1:27" ht="51" x14ac:dyDescent="0.2">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6" t="s">
        <v>892</v>
      </c>
      <c r="V89" s="58" t="s">
        <v>494</v>
      </c>
      <c r="W89" s="34" t="str">
        <f t="shared" ca="1" si="2"/>
        <v>SI</v>
      </c>
      <c r="X89" s="23" t="str">
        <f t="shared" si="3"/>
        <v>DIANOSOL</v>
      </c>
      <c r="Y89" s="58" t="s">
        <v>994</v>
      </c>
      <c r="Z89" s="121" t="s">
        <v>1062</v>
      </c>
      <c r="AA89" s="121" t="str">
        <f>IF(Z89&lt;&gt;"",VLOOKUP($Z89,Resultados!$A$1:$B$49,2,FALSE),"")</f>
        <v>Recursos donde se hizo lugar</v>
      </c>
    </row>
    <row r="90" spans="1:27" ht="38.25" x14ac:dyDescent="0.2">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20"/>
      <c r="V90" s="73" t="s">
        <v>179</v>
      </c>
      <c r="W90" s="34" t="str">
        <f t="shared" ca="1" si="2"/>
        <v>SI</v>
      </c>
      <c r="X90" s="23" t="str">
        <f t="shared" si="3"/>
        <v>DIANOSOL</v>
      </c>
      <c r="Y90" s="58" t="s">
        <v>1002</v>
      </c>
      <c r="Z90" s="58" t="s">
        <v>1062</v>
      </c>
      <c r="AA90" s="121" t="str">
        <f>IF(Z90&lt;&gt;"",VLOOKUP($Z90,Resultados!$A$1:$B$49,2,FALSE),"")</f>
        <v>Recursos donde se hizo lugar</v>
      </c>
    </row>
    <row r="91" spans="1:27" ht="63.75" x14ac:dyDescent="0.2">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6" t="s">
        <v>1060</v>
      </c>
      <c r="V91" s="6" t="s">
        <v>179</v>
      </c>
      <c r="W91" s="34" t="str">
        <f t="shared" ca="1" si="2"/>
        <v>SI</v>
      </c>
      <c r="X91" s="23" t="str">
        <f t="shared" si="3"/>
        <v>DIANOSOL</v>
      </c>
      <c r="Y91" s="58" t="s">
        <v>994</v>
      </c>
      <c r="Z91" s="121" t="s">
        <v>1062</v>
      </c>
      <c r="AA91" s="121" t="str">
        <f>IF(Z91&lt;&gt;"",VLOOKUP($Z91,Resultados!$A$1:$B$49,2,FALSE),"")</f>
        <v>Recursos donde se hizo lugar</v>
      </c>
    </row>
    <row r="92" spans="1:27" ht="25.5" x14ac:dyDescent="0.2">
      <c r="A92" s="70">
        <v>90</v>
      </c>
      <c r="B92" s="68">
        <v>45167</v>
      </c>
      <c r="C92" s="71">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20"/>
      <c r="V92" s="72"/>
      <c r="W92" s="34" t="str">
        <f t="shared" ca="1" si="2"/>
        <v>SI</v>
      </c>
      <c r="X92" s="23" t="str">
        <f t="shared" si="3"/>
        <v>DIANOSOL</v>
      </c>
      <c r="Y92" s="58"/>
      <c r="Z92" s="121" t="s">
        <v>1040</v>
      </c>
      <c r="AA92" s="121" t="str">
        <f>IF(Z92&lt;&gt;"",VLOOKUP($Z92,Resultados!$A$1:$B$49,2,FALSE),"")</f>
        <v>Audiencias de Visu</v>
      </c>
    </row>
    <row r="93" spans="1:27" ht="38.25" x14ac:dyDescent="0.2">
      <c r="A93" s="70">
        <v>91</v>
      </c>
      <c r="B93" s="68">
        <v>45167</v>
      </c>
      <c r="C93" s="71">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5" t="s">
        <v>1072</v>
      </c>
      <c r="V93" s="72"/>
      <c r="W93" s="34" t="str">
        <f t="shared" ca="1" si="2"/>
        <v>SI</v>
      </c>
      <c r="X93" s="23" t="str">
        <f t="shared" si="3"/>
        <v>DIANOSOL</v>
      </c>
      <c r="Y93" s="58"/>
      <c r="Z93" s="121" t="s">
        <v>1040</v>
      </c>
      <c r="AA93" s="121" t="str">
        <f>IF(Z93&lt;&gt;"",VLOOKUP($Z93,Resultados!$A$1:$B$49,2,FALSE),"")</f>
        <v>Audiencias de Visu</v>
      </c>
    </row>
    <row r="94" spans="1:27" ht="38.25" x14ac:dyDescent="0.2">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84">
        <v>0.39583333333333331</v>
      </c>
      <c r="T94" s="69" t="s">
        <v>942</v>
      </c>
      <c r="U94" s="222"/>
      <c r="V94" s="73" t="s">
        <v>849</v>
      </c>
      <c r="W94" s="34" t="str">
        <f t="shared" ca="1" si="2"/>
        <v>SI</v>
      </c>
      <c r="X94" s="23" t="str">
        <f t="shared" si="3"/>
        <v>DIANOSOL</v>
      </c>
      <c r="Y94" s="58" t="s">
        <v>994</v>
      </c>
      <c r="Z94" s="121" t="s">
        <v>1018</v>
      </c>
      <c r="AA94" s="121" t="str">
        <f>IF(Z94&lt;&gt;"",VLOOKUP($Z94,Resultados!$A$1:$B$49,2,FALSE),"")</f>
        <v>Recursos Denegados</v>
      </c>
    </row>
    <row r="95" spans="1:27" ht="89.25" x14ac:dyDescent="0.2">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6" t="s">
        <v>1060</v>
      </c>
      <c r="V95" s="73" t="s">
        <v>852</v>
      </c>
      <c r="W95" s="34" t="str">
        <f t="shared" ca="1" si="2"/>
        <v>SI</v>
      </c>
      <c r="X95" s="23" t="str">
        <f t="shared" si="3"/>
        <v>DIANOSOL</v>
      </c>
      <c r="Y95" s="58" t="s">
        <v>994</v>
      </c>
      <c r="Z95" s="121" t="s">
        <v>1018</v>
      </c>
      <c r="AA95" s="121" t="str">
        <f>IF(Z95&lt;&gt;"",VLOOKUP($Z95,Resultados!$A$1:$B$49,2,FALSE),"")</f>
        <v>Recursos Denegados</v>
      </c>
    </row>
    <row r="96" spans="1:27" ht="102" x14ac:dyDescent="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5" t="s">
        <v>1255</v>
      </c>
      <c r="V96" s="73" t="s">
        <v>962</v>
      </c>
      <c r="W96" s="34" t="str">
        <f t="shared" ca="1" si="2"/>
        <v>SI</v>
      </c>
      <c r="X96" s="23" t="str">
        <f t="shared" si="3"/>
        <v>DIANOSOL</v>
      </c>
      <c r="Y96" s="58" t="s">
        <v>994</v>
      </c>
      <c r="Z96" s="121" t="s">
        <v>1018</v>
      </c>
      <c r="AA96" s="121" t="str">
        <f>IF(Z96&lt;&gt;"",VLOOKUP($Z96,Resultados!$A$1:$B$49,2,FALSE),"")</f>
        <v>Recursos Denegados</v>
      </c>
    </row>
    <row r="97" spans="1:27" ht="51" x14ac:dyDescent="0.2">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6"/>
      <c r="V97" s="72"/>
      <c r="W97" s="34" t="str">
        <f t="shared" ca="1" si="2"/>
        <v>SI</v>
      </c>
      <c r="X97" s="23" t="str">
        <f t="shared" si="3"/>
        <v>DIANOSOL</v>
      </c>
      <c r="Y97" s="58" t="s">
        <v>994</v>
      </c>
      <c r="Z97" s="121" t="s">
        <v>1062</v>
      </c>
      <c r="AA97" s="121" t="str">
        <f>IF(Z97&lt;&gt;"",VLOOKUP($Z97,Resultados!$A$1:$B$49,2,FALSE),"")</f>
        <v>Recursos donde se hizo lugar</v>
      </c>
    </row>
    <row r="98" spans="1:27" ht="89.25" x14ac:dyDescent="0.2">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20"/>
      <c r="V98" s="40"/>
      <c r="W98" s="34" t="str">
        <f t="shared" ca="1" si="2"/>
        <v>SI</v>
      </c>
      <c r="X98" s="23" t="str">
        <f t="shared" si="3"/>
        <v>DIANOSOL</v>
      </c>
      <c r="Y98" s="58" t="s">
        <v>994</v>
      </c>
      <c r="Z98" s="121" t="s">
        <v>1018</v>
      </c>
      <c r="AA98" s="121" t="str">
        <f>IF(Z98&lt;&gt;"",VLOOKUP($Z98,Resultados!$A$1:$B$49,2,FALSE),"")</f>
        <v>Recursos Denegados</v>
      </c>
    </row>
    <row r="99" spans="1:27" ht="38.25" x14ac:dyDescent="0.2">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6" t="s">
        <v>990</v>
      </c>
      <c r="V99" s="73" t="s">
        <v>852</v>
      </c>
      <c r="W99" s="34" t="str">
        <f t="shared" ca="1" si="2"/>
        <v>SI</v>
      </c>
      <c r="X99" s="23" t="str">
        <f t="shared" si="3"/>
        <v>DIANOSOL</v>
      </c>
      <c r="Y99" s="58" t="s">
        <v>994</v>
      </c>
      <c r="Z99" s="121" t="s">
        <v>1018</v>
      </c>
      <c r="AA99" s="121" t="str">
        <f>IF(Z99&lt;&gt;"",VLOOKUP($Z99,Resultados!$A$1:$B$49,2,FALSE),"")</f>
        <v>Recursos Denegados</v>
      </c>
    </row>
    <row r="100" spans="1:27" ht="63.75" x14ac:dyDescent="0.2">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5"/>
      <c r="V100" s="40"/>
      <c r="W100" s="34" t="str">
        <f t="shared" ca="1" si="2"/>
        <v>SI</v>
      </c>
      <c r="X100" s="23" t="str">
        <f t="shared" si="3"/>
        <v>DIANOSOL</v>
      </c>
      <c r="Y100" s="58" t="s">
        <v>994</v>
      </c>
      <c r="Z100" s="121" t="s">
        <v>1042</v>
      </c>
      <c r="AA100" s="121" t="str">
        <f>IF(Z100&lt;&gt;"",VLOOKUP($Z100,Resultados!$A$1:$B$49,2,FALSE),"")</f>
        <v>Recursos Abstractos</v>
      </c>
    </row>
    <row r="101" spans="1:27" ht="76.5" x14ac:dyDescent="0.2">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4" t="s">
        <v>1193</v>
      </c>
      <c r="V101" s="40"/>
      <c r="W101" s="34" t="str">
        <f t="shared" ca="1" si="2"/>
        <v>SI</v>
      </c>
      <c r="X101" s="23" t="str">
        <f t="shared" si="3"/>
        <v>DIANOSOL</v>
      </c>
      <c r="Y101" s="58"/>
      <c r="Z101" s="121" t="s">
        <v>1018</v>
      </c>
      <c r="AA101" s="121" t="str">
        <f>IF(Z101&lt;&gt;"",VLOOKUP($Z101,Resultados!$A$1:$B$49,2,FALSE),"")</f>
        <v>Recursos Denegados</v>
      </c>
    </row>
    <row r="102" spans="1:27" ht="102" x14ac:dyDescent="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1259</v>
      </c>
      <c r="U102" s="215" t="s">
        <v>1058</v>
      </c>
      <c r="V102" s="112"/>
      <c r="W102" s="34" t="str">
        <f t="shared" ca="1" si="2"/>
        <v>SI</v>
      </c>
      <c r="X102" s="153" t="str">
        <f t="shared" si="3"/>
        <v>DIANOSOL</v>
      </c>
      <c r="Y102" s="152" t="s">
        <v>994</v>
      </c>
      <c r="Z102" s="154" t="s">
        <v>1018</v>
      </c>
      <c r="AA102" s="121" t="str">
        <f>IF(Z102&lt;&gt;"",VLOOKUP($Z102,Resultados!$A$1:$B$49,2,FALSE),"")</f>
        <v>Recursos Denegados</v>
      </c>
    </row>
    <row r="103" spans="1:27" ht="51" x14ac:dyDescent="0.2">
      <c r="A103" s="70">
        <v>101</v>
      </c>
      <c r="B103" s="68">
        <v>45176</v>
      </c>
      <c r="C103" s="71">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84">
        <v>0.4375</v>
      </c>
      <c r="T103" s="69"/>
      <c r="U103" s="216" t="s">
        <v>1054</v>
      </c>
      <c r="V103" s="73" t="s">
        <v>875</v>
      </c>
      <c r="W103" s="34" t="str">
        <f t="shared" ca="1" si="2"/>
        <v>SI</v>
      </c>
      <c r="X103" s="23" t="str">
        <f t="shared" si="3"/>
        <v>DIANOSOL</v>
      </c>
      <c r="Y103" s="58" t="s">
        <v>994</v>
      </c>
      <c r="Z103" s="121" t="s">
        <v>1019</v>
      </c>
      <c r="AA103" s="121" t="str">
        <f>IF(Z103&lt;&gt;"",VLOOKUP($Z103,Resultados!$A$1:$B$49,2,FALSE),"")</f>
        <v>Recursos donde se hizo lugar</v>
      </c>
    </row>
    <row r="104" spans="1:27" ht="89.25" x14ac:dyDescent="0.2">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8" t="s">
        <v>990</v>
      </c>
      <c r="V104" s="73" t="s">
        <v>884</v>
      </c>
      <c r="W104" s="34" t="str">
        <f t="shared" ca="1" si="2"/>
        <v>SI</v>
      </c>
      <c r="X104" s="23" t="str">
        <f t="shared" si="3"/>
        <v>DIANOSOL</v>
      </c>
      <c r="Y104" s="58" t="s">
        <v>994</v>
      </c>
      <c r="Z104" s="121" t="s">
        <v>1018</v>
      </c>
      <c r="AA104" s="121" t="str">
        <f>IF(Z104&lt;&gt;"",VLOOKUP($Z104,Resultados!$A$1:$B$49,2,FALSE),"")</f>
        <v>Recursos Denegados</v>
      </c>
    </row>
    <row r="105" spans="1:27" ht="51" x14ac:dyDescent="0.2">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84">
        <v>0.39583333333333331</v>
      </c>
      <c r="T105" s="69" t="s">
        <v>1115</v>
      </c>
      <c r="U105" s="216" t="s">
        <v>935</v>
      </c>
      <c r="V105" s="73" t="s">
        <v>884</v>
      </c>
      <c r="W105" s="34" t="str">
        <f t="shared" ca="1" si="2"/>
        <v>SI</v>
      </c>
      <c r="X105" s="23" t="str">
        <f t="shared" si="3"/>
        <v>DIANOSOL</v>
      </c>
      <c r="Y105" s="58" t="s">
        <v>994</v>
      </c>
      <c r="Z105" s="121" t="s">
        <v>1018</v>
      </c>
      <c r="AA105" s="121" t="str">
        <f>IF(Z105&lt;&gt;"",VLOOKUP($Z105,Resultados!$A$1:$B$49,2,FALSE),"")</f>
        <v>Recursos Denegados</v>
      </c>
    </row>
    <row r="106" spans="1:27" ht="63.75" x14ac:dyDescent="0.2">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4"/>
      <c r="V106" s="72"/>
      <c r="W106" s="34" t="str">
        <f t="shared" ca="1" si="2"/>
        <v>SI</v>
      </c>
      <c r="X106" s="23" t="str">
        <f t="shared" si="3"/>
        <v>DIANOSOL</v>
      </c>
      <c r="Y106" s="73" t="s">
        <v>994</v>
      </c>
      <c r="Z106" s="144" t="s">
        <v>1018</v>
      </c>
      <c r="AA106" s="121" t="str">
        <f>IF(Z106&lt;&gt;"",VLOOKUP($Z106,Resultados!$A$1:$B$49,2,FALSE),"")</f>
        <v>Recursos Denegados</v>
      </c>
    </row>
    <row r="107" spans="1:27" ht="63.75" x14ac:dyDescent="0.2">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5" t="s">
        <v>1048</v>
      </c>
      <c r="V107" s="72"/>
      <c r="W107" s="34" t="str">
        <f t="shared" ca="1" si="2"/>
        <v>SI</v>
      </c>
      <c r="X107" s="23" t="str">
        <f t="shared" si="3"/>
        <v>DIANOSOL</v>
      </c>
      <c r="Y107" s="58" t="s">
        <v>994</v>
      </c>
      <c r="Z107" s="121" t="s">
        <v>1062</v>
      </c>
      <c r="AA107" s="121" t="str">
        <f>IF(Z107&lt;&gt;"",VLOOKUP($Z107,Resultados!$A$1:$B$49,2,FALSE),"")</f>
        <v>Recursos donde se hizo lugar</v>
      </c>
    </row>
    <row r="108" spans="1:27" ht="38.25" x14ac:dyDescent="0.2">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2"/>
        <v>SI</v>
      </c>
      <c r="X108" s="23" t="str">
        <f t="shared" si="3"/>
        <v>DIANOSOL</v>
      </c>
      <c r="Y108" s="58"/>
      <c r="Z108" s="121" t="s">
        <v>1062</v>
      </c>
      <c r="AA108" s="121" t="str">
        <f>IF(Z108&lt;&gt;"",VLOOKUP($Z108,Resultados!$A$1:$B$49,2,FALSE),"")</f>
        <v>Recursos donde se hizo lugar</v>
      </c>
    </row>
    <row r="109" spans="1:27" ht="51" x14ac:dyDescent="0.2">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6" t="s">
        <v>1103</v>
      </c>
      <c r="V109" s="112"/>
      <c r="W109" s="34" t="str">
        <f t="shared" ca="1" si="2"/>
        <v>SI</v>
      </c>
      <c r="X109" s="23" t="str">
        <f t="shared" si="3"/>
        <v>DIANOSOL</v>
      </c>
      <c r="Y109" s="58" t="s">
        <v>1002</v>
      </c>
      <c r="Z109" s="121" t="s">
        <v>1018</v>
      </c>
      <c r="AA109" s="121" t="str">
        <f>IF(Z109&lt;&gt;"",VLOOKUP($Z109,Resultados!$A$1:$B$49,2,FALSE),"")</f>
        <v>Recursos Denegados</v>
      </c>
    </row>
    <row r="110" spans="1:27" ht="89.25" x14ac:dyDescent="0.2">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4" t="s">
        <v>1073</v>
      </c>
      <c r="V110" s="40"/>
      <c r="W110" s="34" t="str">
        <f t="shared" ca="1" si="2"/>
        <v>SI</v>
      </c>
      <c r="X110" s="23" t="str">
        <f t="shared" si="3"/>
        <v>DIANOSOL</v>
      </c>
      <c r="Y110" s="58" t="s">
        <v>994</v>
      </c>
      <c r="Z110" s="121" t="s">
        <v>1018</v>
      </c>
      <c r="AA110" s="121" t="str">
        <f>IF(Z110&lt;&gt;"",VLOOKUP($Z110,Resultados!$A$1:$B$49,2,FALSE),"")</f>
        <v>Recursos Denegados</v>
      </c>
    </row>
    <row r="111" spans="1:27" ht="63.75" x14ac:dyDescent="0.2">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5" t="s">
        <v>1191</v>
      </c>
      <c r="V111" s="112"/>
      <c r="W111" s="34" t="str">
        <f t="shared" ca="1" si="2"/>
        <v>SI</v>
      </c>
      <c r="X111" s="23" t="str">
        <f t="shared" si="3"/>
        <v>DIANOSOL</v>
      </c>
      <c r="Y111" s="58" t="s">
        <v>994</v>
      </c>
      <c r="Z111" s="121" t="s">
        <v>1018</v>
      </c>
      <c r="AA111" s="121" t="str">
        <f>IF(Z111&lt;&gt;"",VLOOKUP($Z111,Resultados!$A$1:$B$49,2,FALSE),"")</f>
        <v>Recursos Denegados</v>
      </c>
    </row>
    <row r="112" spans="1:27" ht="51" x14ac:dyDescent="0.2">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2"/>
        <v>SI</v>
      </c>
      <c r="X112" s="23" t="str">
        <f t="shared" si="3"/>
        <v>DIANOSOL</v>
      </c>
      <c r="Y112" s="58" t="s">
        <v>994</v>
      </c>
      <c r="Z112" s="121" t="s">
        <v>1062</v>
      </c>
      <c r="AA112" s="121" t="str">
        <f>IF(Z112&lt;&gt;"",VLOOKUP($Z112,Resultados!$A$1:$B$49,2,FALSE),"")</f>
        <v>Recursos donde se hizo lugar</v>
      </c>
    </row>
    <row r="113" spans="1:28" ht="127.5" x14ac:dyDescent="0.2">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4" t="s">
        <v>1240</v>
      </c>
      <c r="V113" s="72"/>
      <c r="W113" s="34" t="str">
        <f t="shared" ca="1" si="2"/>
        <v>SI</v>
      </c>
      <c r="X113" s="23" t="str">
        <f t="shared" si="3"/>
        <v>DIANOSOL</v>
      </c>
      <c r="Y113" s="73" t="s">
        <v>994</v>
      </c>
      <c r="Z113" s="144" t="s">
        <v>1018</v>
      </c>
      <c r="AA113" s="121" t="str">
        <f>IF(Z113&lt;&gt;"",VLOOKUP($Z113,Resultados!$A$1:$B$49,2,FALSE),"")</f>
        <v>Recursos Denegados</v>
      </c>
    </row>
    <row r="114" spans="1:28" ht="76.5" x14ac:dyDescent="0.2">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6"/>
      <c r="V114" s="72"/>
      <c r="W114" s="34" t="str">
        <f t="shared" ca="1" si="2"/>
        <v>SI</v>
      </c>
      <c r="X114" s="23" t="str">
        <f t="shared" si="3"/>
        <v>DIANOSOL</v>
      </c>
      <c r="Y114" s="73" t="s">
        <v>994</v>
      </c>
      <c r="Z114" s="144" t="s">
        <v>1018</v>
      </c>
      <c r="AA114" s="121" t="str">
        <f>IF(Z114&lt;&gt;"",VLOOKUP($Z114,Resultados!$A$1:$B$49,2,FALSE),"")</f>
        <v>Recursos Denegados</v>
      </c>
    </row>
    <row r="115" spans="1:28" ht="38.25" x14ac:dyDescent="0.2">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20"/>
      <c r="V115" s="40"/>
      <c r="W115" s="34" t="str">
        <f t="shared" ca="1" si="2"/>
        <v>SI</v>
      </c>
      <c r="X115" s="23" t="str">
        <f t="shared" si="3"/>
        <v>DIANOSOL</v>
      </c>
      <c r="Y115" s="58" t="s">
        <v>994</v>
      </c>
      <c r="Z115" s="121" t="s">
        <v>1042</v>
      </c>
      <c r="AA115" s="121" t="str">
        <f>IF(Z115&lt;&gt;"",VLOOKUP($Z115,Resultados!$A$1:$B$49,2,FALSE),"")</f>
        <v>Recursos Abstractos</v>
      </c>
    </row>
    <row r="116" spans="1:28" ht="38.25" x14ac:dyDescent="0.2">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4" t="s">
        <v>1073</v>
      </c>
      <c r="V116" s="72"/>
      <c r="W116" s="34" t="str">
        <f t="shared" ca="1" si="2"/>
        <v>SI</v>
      </c>
      <c r="X116" s="23" t="str">
        <f t="shared" si="3"/>
        <v>DIANOSOL</v>
      </c>
      <c r="Y116" s="73" t="s">
        <v>994</v>
      </c>
      <c r="Z116" s="144" t="s">
        <v>1018</v>
      </c>
      <c r="AA116" s="121" t="str">
        <f>IF(Z116&lt;&gt;"",VLOOKUP($Z116,Resultados!$A$1:$B$49,2,FALSE),"")</f>
        <v>Recursos Denegados</v>
      </c>
    </row>
    <row r="117" spans="1:28" ht="89.25" x14ac:dyDescent="0.2">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5" t="s">
        <v>1060</v>
      </c>
      <c r="V117" s="40"/>
      <c r="W117" s="34" t="str">
        <f t="shared" ca="1" si="2"/>
        <v>SI</v>
      </c>
      <c r="X117" s="23" t="str">
        <f t="shared" si="3"/>
        <v>DIANOSOL</v>
      </c>
      <c r="Y117" s="58" t="s">
        <v>994</v>
      </c>
      <c r="Z117" s="121" t="s">
        <v>1042</v>
      </c>
      <c r="AA117" s="121" t="str">
        <f>IF(Z117&lt;&gt;"",VLOOKUP($Z117,Resultados!$A$1:$B$49,2,FALSE),"")</f>
        <v>Recursos Abstractos</v>
      </c>
    </row>
    <row r="118" spans="1:28" ht="102" x14ac:dyDescent="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3"/>
      <c r="V118" s="40"/>
      <c r="W118" s="34" t="str">
        <f t="shared" ca="1" si="2"/>
        <v>SI</v>
      </c>
      <c r="X118" s="23" t="str">
        <f t="shared" si="3"/>
        <v>DIANOSOL</v>
      </c>
      <c r="Y118" s="58" t="s">
        <v>1002</v>
      </c>
      <c r="Z118" s="121" t="s">
        <v>1018</v>
      </c>
      <c r="AA118" s="121" t="str">
        <f>IF(Z118&lt;&gt;"",VLOOKUP($Z118,Resultados!$A$1:$B$49,2,FALSE),"")</f>
        <v>Recursos Denegados</v>
      </c>
    </row>
    <row r="119" spans="1:28" ht="38.25" x14ac:dyDescent="0.2">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4"/>
      <c r="W119" s="34" t="str">
        <f t="shared" ca="1" si="2"/>
        <v>SI</v>
      </c>
      <c r="X119" s="23" t="str">
        <f t="shared" si="3"/>
        <v>DIANOSOL</v>
      </c>
      <c r="Y119" s="133" t="s">
        <v>994</v>
      </c>
      <c r="Z119" s="121" t="s">
        <v>1035</v>
      </c>
      <c r="AA119" s="121" t="str">
        <f>IF(Z119&lt;&gt;"",VLOOKUP($Z119,Resultados!$A$1:$B$49,2,FALSE),"")</f>
        <v>Desestimientos de Recursos</v>
      </c>
      <c r="AB119" s="8"/>
    </row>
    <row r="120" spans="1:28" ht="39.950000000000003" customHeight="1" x14ac:dyDescent="0.2">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5"/>
      <c r="W120" s="34" t="str">
        <f t="shared" ca="1" si="2"/>
        <v>SI</v>
      </c>
      <c r="X120" s="23" t="str">
        <f t="shared" si="3"/>
        <v>DIANOSOL</v>
      </c>
      <c r="Y120" s="133" t="s">
        <v>994</v>
      </c>
      <c r="Z120" s="121" t="s">
        <v>1018</v>
      </c>
      <c r="AA120" s="121" t="str">
        <f>IF(Z120&lt;&gt;"",VLOOKUP($Z120,Resultados!$A$1:$B$49,2,FALSE),"")</f>
        <v>Recursos Denegados</v>
      </c>
      <c r="AB120" s="8"/>
    </row>
    <row r="121" spans="1:28" ht="39.950000000000003" customHeight="1" x14ac:dyDescent="0.2">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6"/>
      <c r="W121" s="34" t="str">
        <f t="shared" ca="1" si="2"/>
        <v>SI</v>
      </c>
      <c r="X121" s="23" t="str">
        <f t="shared" si="3"/>
        <v>DIANOSOL</v>
      </c>
      <c r="Y121" s="133" t="s">
        <v>994</v>
      </c>
      <c r="Z121" s="121" t="s">
        <v>1042</v>
      </c>
      <c r="AA121" s="121" t="str">
        <f>IF(Z121&lt;&gt;"",VLOOKUP($Z121,Resultados!$A$1:$B$49,2,FALSE),"")</f>
        <v>Recursos Abstractos</v>
      </c>
      <c r="AB121" s="8"/>
    </row>
    <row r="122" spans="1:28" ht="39.950000000000003" customHeight="1" x14ac:dyDescent="0.2">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6" t="s">
        <v>1251</v>
      </c>
      <c r="Y122" s="172" t="s">
        <v>994</v>
      </c>
      <c r="Z122" s="173" t="s">
        <v>1038</v>
      </c>
      <c r="AA122" s="121" t="str">
        <f>IF(Z122&lt;&gt;"",VLOOKUP($Z122,Resultados!$A$1:$B$49,2,FALSE),"")</f>
        <v>Recursos Inadmisibles</v>
      </c>
      <c r="AB122" s="8"/>
    </row>
    <row r="123" spans="1:28" ht="51" x14ac:dyDescent="0.2">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7" t="s">
        <v>990</v>
      </c>
      <c r="V123" s="40"/>
      <c r="W123" s="73" t="s">
        <v>994</v>
      </c>
      <c r="X123" s="73"/>
      <c r="Y123" s="58" t="s">
        <v>994</v>
      </c>
      <c r="Z123" s="174" t="s">
        <v>1018</v>
      </c>
      <c r="AA123" s="121" t="str">
        <f>IF(Z123&lt;&gt;"",VLOOKUP($Z123,Resultados!$A$1:$B$49,2,FALSE),"")</f>
        <v>Recursos Denegados</v>
      </c>
      <c r="AB123" s="8"/>
    </row>
    <row r="124" spans="1:28" ht="51" x14ac:dyDescent="0.2">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6" t="s">
        <v>990</v>
      </c>
      <c r="Y124" s="133" t="s">
        <v>994</v>
      </c>
      <c r="Z124" s="121" t="s">
        <v>1062</v>
      </c>
      <c r="AA124" s="121" t="str">
        <f>IF(Z124&lt;&gt;"",VLOOKUP($Z124,Resultados!$A$1:$B$49,2,FALSE),"")</f>
        <v>Recursos donde se hizo lugar</v>
      </c>
      <c r="AB124" s="8"/>
    </row>
    <row r="125" spans="1:28" ht="38.25" x14ac:dyDescent="0.2">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6" t="s">
        <v>1196</v>
      </c>
      <c r="Y125" s="172" t="s">
        <v>994</v>
      </c>
      <c r="Z125" s="121" t="s">
        <v>1062</v>
      </c>
      <c r="AA125" s="121" t="str">
        <f>IF(Z125&lt;&gt;"",VLOOKUP($Z125,Resultados!$A$1:$B$49,2,FALSE),"")</f>
        <v>Recursos donde se hizo lugar</v>
      </c>
      <c r="AB125" s="8"/>
    </row>
    <row r="126" spans="1:28" ht="51" x14ac:dyDescent="0.2">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6"/>
      <c r="V126" s="40"/>
      <c r="W126" s="73" t="s">
        <v>994</v>
      </c>
      <c r="X126" s="73"/>
      <c r="Y126" s="58" t="s">
        <v>994</v>
      </c>
      <c r="Z126" s="174" t="s">
        <v>1062</v>
      </c>
      <c r="AA126" s="121" t="str">
        <f>IF(Z126&lt;&gt;"",VLOOKUP($Z126,Resultados!$A$1:$B$49,2,FALSE),"")</f>
        <v>Recursos donde se hizo lugar</v>
      </c>
      <c r="AB126" s="8"/>
    </row>
    <row r="127" spans="1:28" ht="39.950000000000003" customHeight="1" x14ac:dyDescent="0.2">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x14ac:dyDescent="0.2">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6" t="s">
        <v>1254</v>
      </c>
      <c r="Y128" s="133" t="s">
        <v>994</v>
      </c>
      <c r="Z128" s="121"/>
      <c r="AA128" s="121" t="str">
        <f>IF(Z128&lt;&gt;"",VLOOKUP($Z128,Resultados!$A$1:$B$49,2,FALSE),"")</f>
        <v/>
      </c>
      <c r="AB128" s="8"/>
    </row>
    <row r="129" spans="1:28" ht="39.950000000000003" customHeight="1" x14ac:dyDescent="0.2">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1268</v>
      </c>
      <c r="U129" s="226"/>
      <c r="Y129" s="133" t="s">
        <v>994</v>
      </c>
      <c r="Z129" s="121" t="s">
        <v>1018</v>
      </c>
      <c r="AA129" s="121" t="str">
        <f>IF(Z129&lt;&gt;"",VLOOKUP($Z129,Resultados!$A$1:$B$49,2,FALSE),"")</f>
        <v>Recursos Denegados</v>
      </c>
      <c r="AB129" s="8"/>
    </row>
    <row r="130" spans="1:28" ht="39.950000000000003" customHeight="1" x14ac:dyDescent="0.2">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5"/>
      <c r="Y130" s="133" t="s">
        <v>994</v>
      </c>
      <c r="Z130" s="121" t="s">
        <v>1018</v>
      </c>
      <c r="AA130" s="121" t="str">
        <f>IF(Z130&lt;&gt;"",VLOOKUP($Z130,Resultados!$A$1:$B$49,2,FALSE),"")</f>
        <v>Recursos Denegados</v>
      </c>
      <c r="AB130" s="8"/>
    </row>
    <row r="131" spans="1:28" ht="38.25" x14ac:dyDescent="0.2">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3" t="s">
        <v>1069</v>
      </c>
      <c r="Y131" s="133" t="s">
        <v>994</v>
      </c>
      <c r="Z131" s="121" t="s">
        <v>1025</v>
      </c>
      <c r="AA131" s="121" t="str">
        <f>IF(Z131&lt;&gt;"",VLOOKUP($Z131,Resultados!$A$1:$B$49,2,FALSE),"")</f>
        <v>Recursos donde se hizo lugar</v>
      </c>
      <c r="AB131" s="8"/>
    </row>
    <row r="132" spans="1:28" ht="39.950000000000003" customHeight="1" x14ac:dyDescent="0.2">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4" t="s">
        <v>1096</v>
      </c>
      <c r="Y132" s="133" t="s">
        <v>994</v>
      </c>
      <c r="Z132" s="121" t="s">
        <v>1018</v>
      </c>
      <c r="AA132" s="121" t="str">
        <f>IF(Z132&lt;&gt;"",VLOOKUP($Z132,Resultados!$A$1:$B$49,2,FALSE),"")</f>
        <v>Recursos Denegados</v>
      </c>
      <c r="AB132" s="8"/>
    </row>
    <row r="133" spans="1:28" ht="51" x14ac:dyDescent="0.2">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8"/>
      <c r="Y133" s="133" t="s">
        <v>994</v>
      </c>
      <c r="Z133" s="121" t="s">
        <v>1018</v>
      </c>
      <c r="AA133" s="121" t="str">
        <f>IF(Z133&lt;&gt;"",VLOOKUP($Z133,Resultados!$A$1:$B$49,2,FALSE),"")</f>
        <v>Recursos Denegados</v>
      </c>
      <c r="AB133" s="8"/>
    </row>
    <row r="134" spans="1:28" ht="38.25" x14ac:dyDescent="0.2">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4"/>
      <c r="U134" s="224" t="s">
        <v>1258</v>
      </c>
      <c r="Y134" s="133" t="s">
        <v>994</v>
      </c>
      <c r="Z134" s="121"/>
      <c r="AA134" s="121" t="str">
        <f>IF(Z134&lt;&gt;"",VLOOKUP($Z134,Resultados!$A$1:$B$49,2,FALSE),"")</f>
        <v/>
      </c>
      <c r="AB134" s="8"/>
    </row>
    <row r="135" spans="1:28" ht="51" x14ac:dyDescent="0.2">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4" t="s">
        <v>1250</v>
      </c>
      <c r="W135" s="23" t="s">
        <v>994</v>
      </c>
      <c r="Y135" s="133" t="s">
        <v>994</v>
      </c>
      <c r="Z135" s="121" t="s">
        <v>1018</v>
      </c>
      <c r="AA135" s="121" t="str">
        <f>IF(Z135&lt;&gt;"",VLOOKUP($Z135,Resultados!$A$1:$B$49,2,FALSE),"")</f>
        <v>Recursos Denegados</v>
      </c>
      <c r="AB135" s="8"/>
    </row>
    <row r="136" spans="1:28" ht="51" x14ac:dyDescent="0.2">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00">
        <v>0.35416666666666669</v>
      </c>
      <c r="T136" s="192" t="s">
        <v>934</v>
      </c>
      <c r="U136" s="223"/>
      <c r="W136" s="23" t="s">
        <v>994</v>
      </c>
      <c r="Y136" s="133" t="s">
        <v>994</v>
      </c>
      <c r="Z136" s="121" t="s">
        <v>1025</v>
      </c>
      <c r="AA136" s="121" t="str">
        <f>IF(Z136&lt;&gt;"",VLOOKUP($Z136,Resultados!$A$1:$B$49,2,FALSE),"")</f>
        <v>Recursos donde se hizo lugar</v>
      </c>
      <c r="AB136" s="8"/>
    </row>
    <row r="137" spans="1:28" ht="76.5" x14ac:dyDescent="0.2">
      <c r="A137" s="202">
        <v>135</v>
      </c>
      <c r="B137" s="203">
        <v>45219</v>
      </c>
      <c r="C137" s="204">
        <v>0.40972222222222227</v>
      </c>
      <c r="D137" s="205" t="s">
        <v>242</v>
      </c>
      <c r="E137" s="206" t="s">
        <v>1206</v>
      </c>
      <c r="F137" s="206" t="s">
        <v>1207</v>
      </c>
      <c r="G137" s="206" t="s">
        <v>1208</v>
      </c>
      <c r="H137" s="206" t="s">
        <v>1214</v>
      </c>
      <c r="I137" s="207" t="s">
        <v>1209</v>
      </c>
      <c r="J137" s="207" t="s">
        <v>1210</v>
      </c>
      <c r="K137" s="208">
        <v>11374413</v>
      </c>
      <c r="L137" s="207" t="s">
        <v>1211</v>
      </c>
      <c r="M137" s="206" t="s">
        <v>1212</v>
      </c>
      <c r="N137" s="205"/>
      <c r="O137" s="205"/>
      <c r="P137" s="205"/>
      <c r="Q137" s="206" t="s">
        <v>1213</v>
      </c>
      <c r="R137" s="203">
        <v>45231</v>
      </c>
      <c r="S137" s="204">
        <v>0.375</v>
      </c>
      <c r="T137" s="233" t="s">
        <v>1269</v>
      </c>
      <c r="U137" s="229"/>
      <c r="W137" s="23" t="s">
        <v>994</v>
      </c>
      <c r="Y137" s="133" t="s">
        <v>1002</v>
      </c>
      <c r="Z137" s="121" t="s">
        <v>1014</v>
      </c>
      <c r="AA137" s="121" t="str">
        <f>IF(Z137&lt;&gt;"",VLOOKUP($Z137,Resultados!$A$1:$B$49,2,FALSE),"")</f>
        <v>Recursos Denegados</v>
      </c>
      <c r="AB137" s="8"/>
    </row>
    <row r="138" spans="1:28" ht="51" x14ac:dyDescent="0.2">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46"/>
      <c r="U138" s="223"/>
      <c r="W138" s="23" t="s">
        <v>994</v>
      </c>
      <c r="Y138" s="133" t="s">
        <v>994</v>
      </c>
      <c r="Z138" s="121"/>
      <c r="AA138" s="121" t="str">
        <f>IF(Z138&lt;&gt;"",VLOOKUP($Z138,Resultados!$A$1:$B$49,2,FALSE),"")</f>
        <v/>
      </c>
      <c r="AB138" s="8"/>
    </row>
    <row r="139" spans="1:28" ht="76.5" x14ac:dyDescent="0.2">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1259</v>
      </c>
      <c r="U139" s="223"/>
      <c r="W139" s="23" t="s">
        <v>994</v>
      </c>
      <c r="Y139" s="133" t="s">
        <v>994</v>
      </c>
      <c r="Z139" s="121" t="s">
        <v>1018</v>
      </c>
      <c r="AA139" s="121" t="str">
        <f>IF(Z139&lt;&gt;"",VLOOKUP($Z139,Resultados!$A$1:$B$49,2,FALSE),"")</f>
        <v>Recursos Denegados</v>
      </c>
      <c r="AB139" s="8"/>
    </row>
    <row r="140" spans="1:28" ht="140.25" x14ac:dyDescent="0.2">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1260</v>
      </c>
      <c r="U140" s="226"/>
      <c r="W140" s="23" t="s">
        <v>994</v>
      </c>
      <c r="Y140" s="133" t="s">
        <v>994</v>
      </c>
      <c r="Z140" s="121" t="s">
        <v>1018</v>
      </c>
      <c r="AA140" s="121" t="str">
        <f>IF(Z140&lt;&gt;"",VLOOKUP($Z140,Resultados!$A$1:$B$49,2,FALSE),"")</f>
        <v>Recursos Denegados</v>
      </c>
      <c r="AB140" s="8"/>
    </row>
    <row r="141" spans="1:28" ht="38.25" x14ac:dyDescent="0.2">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c r="R141" s="146">
        <v>45237</v>
      </c>
      <c r="S141" s="188">
        <v>0.4375</v>
      </c>
      <c r="T141" s="146"/>
      <c r="U141" s="226"/>
      <c r="W141" s="23" t="s">
        <v>994</v>
      </c>
      <c r="Y141" s="133" t="s">
        <v>994</v>
      </c>
      <c r="Z141" s="121"/>
      <c r="AA141" s="121" t="str">
        <f>IF(Z141&lt;&gt;"",VLOOKUP($Z141,Resultados!$A$1:$B$49,2,FALSE),"")</f>
        <v/>
      </c>
      <c r="AB141" s="8"/>
    </row>
    <row r="142" spans="1:28" ht="76.5" x14ac:dyDescent="0.2">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45236</v>
      </c>
      <c r="S142" s="188">
        <v>0.5</v>
      </c>
      <c r="T142" s="146"/>
      <c r="U142" s="226"/>
      <c r="W142" s="23" t="s">
        <v>994</v>
      </c>
      <c r="Y142" s="133" t="s">
        <v>994</v>
      </c>
      <c r="Z142" s="121"/>
      <c r="AA142" s="121" t="str">
        <f>IF(Z142&lt;&gt;"",VLOOKUP($Z142,Resultados!$A$1:$B$49,2,FALSE),"")</f>
        <v/>
      </c>
      <c r="AB142" s="8"/>
    </row>
    <row r="143" spans="1:28" ht="39.950000000000003" customHeight="1" x14ac:dyDescent="0.2">
      <c r="A143" s="145">
        <v>141</v>
      </c>
      <c r="B143" s="146"/>
      <c r="C143" s="147"/>
      <c r="D143" s="147" t="s">
        <v>228</v>
      </c>
      <c r="E143" s="148" t="s">
        <v>1262</v>
      </c>
      <c r="F143" s="147"/>
      <c r="G143" s="147"/>
      <c r="H143" s="147"/>
      <c r="I143" s="151"/>
      <c r="J143" s="151"/>
      <c r="K143" s="151"/>
      <c r="L143" s="151"/>
      <c r="M143" s="147"/>
      <c r="N143" s="147"/>
      <c r="O143" s="147"/>
      <c r="P143" s="147"/>
      <c r="Q143" s="147"/>
      <c r="R143" s="146">
        <v>45173</v>
      </c>
      <c r="S143" s="188">
        <v>0.41666666666666669</v>
      </c>
      <c r="T143" s="146"/>
      <c r="U143" s="225"/>
      <c r="W143" s="23" t="s">
        <v>994</v>
      </c>
      <c r="Y143" s="172" t="s">
        <v>994</v>
      </c>
      <c r="Z143" s="173" t="s">
        <v>1040</v>
      </c>
      <c r="AA143" s="173" t="str">
        <f>IF(Z143&lt;&gt;"",VLOOKUP($Z143,Resultados!$A$1:$B$49,2,FALSE),"")</f>
        <v>Audiencias de Visu</v>
      </c>
      <c r="AB143" s="8"/>
    </row>
    <row r="144" spans="1:28" ht="39.950000000000003" customHeight="1" x14ac:dyDescent="0.2">
      <c r="A144" s="145">
        <v>142</v>
      </c>
      <c r="B144" s="146"/>
      <c r="C144" s="147"/>
      <c r="D144" s="147" t="s">
        <v>242</v>
      </c>
      <c r="E144" s="148" t="s">
        <v>1263</v>
      </c>
      <c r="F144" s="147"/>
      <c r="G144" s="147"/>
      <c r="H144" s="147"/>
      <c r="I144" s="151"/>
      <c r="J144" s="151"/>
      <c r="K144" s="151"/>
      <c r="L144" s="151"/>
      <c r="M144" s="147"/>
      <c r="N144" s="147"/>
      <c r="O144" s="147"/>
      <c r="P144" s="147"/>
      <c r="Q144" s="147"/>
      <c r="R144" s="146">
        <v>45177</v>
      </c>
      <c r="S144" s="188">
        <v>0.45833333333333331</v>
      </c>
      <c r="T144" s="146"/>
      <c r="U144" s="225"/>
      <c r="V144" s="147"/>
      <c r="W144" s="23" t="s">
        <v>994</v>
      </c>
      <c r="X144" s="148"/>
      <c r="Y144" s="148"/>
      <c r="Z144" s="231" t="s">
        <v>1040</v>
      </c>
      <c r="AA144" s="231" t="str">
        <f>IF(Z144&lt;&gt;"",VLOOKUP($Z144,Resultados!$A$1:$B$49,2,FALSE),"")</f>
        <v>Audiencias de Visu</v>
      </c>
      <c r="AB144" s="8"/>
    </row>
    <row r="145" spans="1:28" ht="39.950000000000003" customHeight="1" x14ac:dyDescent="0.2">
      <c r="A145" s="145">
        <v>143</v>
      </c>
      <c r="B145" s="146"/>
      <c r="C145" s="147"/>
      <c r="D145" s="147" t="s">
        <v>105</v>
      </c>
      <c r="E145" s="148" t="s">
        <v>1264</v>
      </c>
      <c r="F145" s="147"/>
      <c r="G145" s="147"/>
      <c r="H145" s="147"/>
      <c r="I145" s="151"/>
      <c r="J145" s="151"/>
      <c r="K145" s="151"/>
      <c r="L145" s="151"/>
      <c r="M145" s="147"/>
      <c r="N145" s="147"/>
      <c r="O145" s="147"/>
      <c r="P145" s="147"/>
      <c r="Q145" s="147"/>
      <c r="R145" s="146">
        <v>45177</v>
      </c>
      <c r="S145" s="188">
        <v>0.5</v>
      </c>
      <c r="T145" s="146"/>
      <c r="U145" s="225"/>
      <c r="V145" s="147"/>
      <c r="W145" s="23" t="s">
        <v>994</v>
      </c>
      <c r="X145" s="148"/>
      <c r="Y145" s="148"/>
      <c r="Z145" s="231" t="s">
        <v>1040</v>
      </c>
      <c r="AA145" s="231" t="str">
        <f>IF(Z145&lt;&gt;"",VLOOKUP($Z145,Resultados!$A$1:$B$49,2,FALSE),"")</f>
        <v>Audiencias de Visu</v>
      </c>
      <c r="AB145" s="8"/>
    </row>
    <row r="146" spans="1:28" ht="39.950000000000003" customHeight="1" x14ac:dyDescent="0.2">
      <c r="A146" s="145">
        <v>144</v>
      </c>
      <c r="B146" s="146"/>
      <c r="C146" s="147"/>
      <c r="D146" s="147" t="s">
        <v>230</v>
      </c>
      <c r="E146" s="148" t="s">
        <v>1265</v>
      </c>
      <c r="F146" s="147"/>
      <c r="G146" s="147"/>
      <c r="H146" s="147"/>
      <c r="I146" s="151"/>
      <c r="J146" s="151"/>
      <c r="K146" s="151"/>
      <c r="L146" s="151"/>
      <c r="M146" s="147"/>
      <c r="N146" s="147"/>
      <c r="O146" s="147"/>
      <c r="P146" s="147"/>
      <c r="Q146" s="147"/>
      <c r="R146" s="146">
        <v>45196</v>
      </c>
      <c r="S146" s="188">
        <v>0.45833333333333331</v>
      </c>
      <c r="T146" s="146"/>
      <c r="U146" s="225"/>
      <c r="V146" s="147"/>
      <c r="W146" s="23" t="s">
        <v>994</v>
      </c>
      <c r="X146" s="148"/>
      <c r="Y146" s="148"/>
      <c r="Z146" s="231" t="s">
        <v>1040</v>
      </c>
      <c r="AA146" s="231" t="str">
        <f>IF(Z146&lt;&gt;"",VLOOKUP($Z146,Resultados!$A$1:$B$49,2,FALSE),"")</f>
        <v>Audiencias de Visu</v>
      </c>
      <c r="AB146" s="8"/>
    </row>
    <row r="147" spans="1:28" ht="39.950000000000003" customHeight="1" x14ac:dyDescent="0.2">
      <c r="A147" s="145">
        <v>145</v>
      </c>
      <c r="B147" s="146"/>
      <c r="C147" s="147"/>
      <c r="D147" s="147" t="s">
        <v>105</v>
      </c>
      <c r="E147" s="148" t="s">
        <v>1266</v>
      </c>
      <c r="F147" s="147"/>
      <c r="G147" s="147"/>
      <c r="H147" s="147"/>
      <c r="I147" s="151"/>
      <c r="J147" s="151"/>
      <c r="K147" s="151"/>
      <c r="L147" s="151"/>
      <c r="M147" s="147"/>
      <c r="N147" s="147"/>
      <c r="O147" s="147"/>
      <c r="P147" s="147"/>
      <c r="Q147" s="147"/>
      <c r="R147" s="146">
        <v>45205</v>
      </c>
      <c r="S147" s="188">
        <v>0.45833333333333331</v>
      </c>
      <c r="T147" s="146"/>
      <c r="U147" s="225"/>
      <c r="V147" s="147"/>
      <c r="W147" s="23" t="s">
        <v>994</v>
      </c>
      <c r="X147" s="148"/>
      <c r="Y147" s="148"/>
      <c r="Z147" s="231" t="s">
        <v>1040</v>
      </c>
      <c r="AA147" s="231" t="str">
        <f>IF(Z147&lt;&gt;"",VLOOKUP($Z147,Resultados!$A$1:$B$49,2,FALSE),"")</f>
        <v>Audiencias de Visu</v>
      </c>
      <c r="AB147" s="8"/>
    </row>
    <row r="148" spans="1:28" ht="63.75" x14ac:dyDescent="0.2">
      <c r="A148" s="145">
        <v>146</v>
      </c>
      <c r="B148" s="146">
        <v>45231</v>
      </c>
      <c r="C148" s="188">
        <v>0.4375</v>
      </c>
      <c r="D148" s="147" t="s">
        <v>106</v>
      </c>
      <c r="E148" s="148" t="s">
        <v>1270</v>
      </c>
      <c r="F148" s="148" t="s">
        <v>1271</v>
      </c>
      <c r="G148" s="149">
        <v>34287480</v>
      </c>
      <c r="H148" s="148" t="s">
        <v>1272</v>
      </c>
      <c r="I148" s="150" t="s">
        <v>1273</v>
      </c>
      <c r="J148" s="150" t="s">
        <v>1274</v>
      </c>
      <c r="K148" s="150" t="s">
        <v>1275</v>
      </c>
      <c r="L148" s="150" t="s">
        <v>1276</v>
      </c>
      <c r="M148" s="148" t="s">
        <v>386</v>
      </c>
      <c r="N148" s="148" t="s">
        <v>1277</v>
      </c>
      <c r="O148" s="147"/>
      <c r="P148" s="147"/>
      <c r="Q148" s="148" t="s">
        <v>132</v>
      </c>
      <c r="R148" s="146">
        <v>45238</v>
      </c>
      <c r="S148" s="188">
        <v>0.39583333333333331</v>
      </c>
      <c r="T148" s="146"/>
      <c r="U148" s="225"/>
      <c r="V148" s="147"/>
      <c r="W148" s="148" t="s">
        <v>994</v>
      </c>
      <c r="X148" s="148"/>
      <c r="Y148" s="148"/>
      <c r="Z148" s="231"/>
      <c r="AA148" s="231" t="str">
        <f>IF(Z148&lt;&gt;"",VLOOKUP($Z148,Resultados!$A$1:$B$49,2,FALSE),"")</f>
        <v/>
      </c>
      <c r="AB148" s="8"/>
    </row>
    <row r="149" spans="1:28" ht="165.75" x14ac:dyDescent="0.2">
      <c r="A149" s="145">
        <v>147</v>
      </c>
      <c r="B149" s="146">
        <v>45231</v>
      </c>
      <c r="C149" s="188">
        <v>0.4375</v>
      </c>
      <c r="D149" s="147" t="s">
        <v>242</v>
      </c>
      <c r="E149" s="148" t="s">
        <v>1278</v>
      </c>
      <c r="F149" s="148" t="s">
        <v>1279</v>
      </c>
      <c r="G149" s="149">
        <v>33186876</v>
      </c>
      <c r="H149" s="148" t="s">
        <v>1280</v>
      </c>
      <c r="I149" s="150" t="s">
        <v>1281</v>
      </c>
      <c r="J149" s="150" t="s">
        <v>1282</v>
      </c>
      <c r="K149" s="170">
        <v>35188079</v>
      </c>
      <c r="L149" s="150" t="s">
        <v>1283</v>
      </c>
      <c r="M149" s="148" t="s">
        <v>1284</v>
      </c>
      <c r="N149" s="148" t="s">
        <v>1285</v>
      </c>
      <c r="O149" s="148" t="s">
        <v>1286</v>
      </c>
      <c r="P149" s="147"/>
      <c r="Q149" s="148" t="s">
        <v>136</v>
      </c>
      <c r="R149" s="146"/>
      <c r="S149" s="188"/>
      <c r="T149" s="146"/>
      <c r="U149" s="225"/>
      <c r="V149" s="147"/>
      <c r="W149" s="148" t="s">
        <v>994</v>
      </c>
      <c r="X149" s="148"/>
      <c r="Y149" s="148"/>
      <c r="Z149" s="231"/>
      <c r="AA149" s="231" t="str">
        <f>IF(Z149&lt;&gt;"",VLOOKUP($Z149,Resultados!$A$1:$B$49,2,FALSE),"")</f>
        <v/>
      </c>
      <c r="AB149" s="8"/>
    </row>
    <row r="150" spans="1:28" ht="89.25" x14ac:dyDescent="0.2">
      <c r="A150" s="145">
        <v>148</v>
      </c>
      <c r="B150" s="146"/>
      <c r="C150" s="147"/>
      <c r="D150" s="147" t="s">
        <v>242</v>
      </c>
      <c r="E150" s="148" t="s">
        <v>1287</v>
      </c>
      <c r="F150" s="148" t="s">
        <v>1288</v>
      </c>
      <c r="G150" s="147"/>
      <c r="H150" s="147"/>
      <c r="I150" s="150" t="s">
        <v>1289</v>
      </c>
      <c r="J150" s="150" t="s">
        <v>1290</v>
      </c>
      <c r="K150" s="151"/>
      <c r="L150" s="151"/>
      <c r="M150" s="148" t="s">
        <v>462</v>
      </c>
      <c r="N150" s="147"/>
      <c r="O150" s="147"/>
      <c r="P150" s="147"/>
      <c r="Q150" s="148" t="s">
        <v>133</v>
      </c>
      <c r="R150" s="146">
        <v>45232</v>
      </c>
      <c r="S150" s="188">
        <v>0.41666666666666669</v>
      </c>
      <c r="T150" s="146"/>
      <c r="U150" s="225"/>
      <c r="V150" s="147"/>
      <c r="W150" s="148"/>
      <c r="X150" s="148"/>
      <c r="Y150" s="148" t="s">
        <v>1002</v>
      </c>
      <c r="Z150" s="231" t="s">
        <v>1040</v>
      </c>
      <c r="AA150" s="231" t="str">
        <f>IF(Z150&lt;&gt;"",VLOOKUP($Z150,Resultados!$A$1:$B$49,2,FALSE),"")</f>
        <v>Audiencias de Visu</v>
      </c>
      <c r="AB150" s="8"/>
    </row>
    <row r="151" spans="1:28" ht="178.5" x14ac:dyDescent="0.2">
      <c r="A151" s="145">
        <v>149</v>
      </c>
      <c r="B151" s="146">
        <v>45232</v>
      </c>
      <c r="C151" s="147"/>
      <c r="D151" s="147" t="s">
        <v>227</v>
      </c>
      <c r="E151" s="148" t="s">
        <v>1291</v>
      </c>
      <c r="F151" s="148" t="s">
        <v>1292</v>
      </c>
      <c r="G151" s="147"/>
      <c r="H151" s="147"/>
      <c r="I151" s="150" t="s">
        <v>1293</v>
      </c>
      <c r="J151" s="150" t="s">
        <v>1294</v>
      </c>
      <c r="K151" s="151"/>
      <c r="L151" s="151"/>
      <c r="M151" s="148" t="s">
        <v>1295</v>
      </c>
      <c r="N151" s="147"/>
      <c r="O151" s="147"/>
      <c r="P151" s="147"/>
      <c r="Q151" s="148" t="s">
        <v>133</v>
      </c>
      <c r="R151" s="146">
        <v>45237</v>
      </c>
      <c r="S151" s="188">
        <v>0.47916666666666669</v>
      </c>
      <c r="T151" s="146"/>
      <c r="U151" s="225"/>
      <c r="V151" s="147"/>
      <c r="W151" s="148"/>
      <c r="X151" s="148"/>
      <c r="Y151" s="148" t="s">
        <v>994</v>
      </c>
      <c r="Z151" s="231" t="s">
        <v>1040</v>
      </c>
      <c r="AA151" s="231" t="str">
        <f>IF(Z151&lt;&gt;"",VLOOKUP($Z151,Resultados!$A$1:$B$49,2,FALSE),"")</f>
        <v>Audiencias de Visu</v>
      </c>
      <c r="AB151" s="8"/>
    </row>
    <row r="152" spans="1:28" ht="89.25" x14ac:dyDescent="0.2">
      <c r="A152" s="145">
        <v>150</v>
      </c>
      <c r="B152" s="146">
        <v>45232</v>
      </c>
      <c r="C152" s="188">
        <v>0.39583333333333331</v>
      </c>
      <c r="D152" s="147" t="s">
        <v>106</v>
      </c>
      <c r="E152" s="148" t="s">
        <v>1296</v>
      </c>
      <c r="F152" s="148" t="s">
        <v>1297</v>
      </c>
      <c r="G152" s="149">
        <v>38506460</v>
      </c>
      <c r="H152" s="148" t="s">
        <v>1298</v>
      </c>
      <c r="I152" s="150" t="s">
        <v>1299</v>
      </c>
      <c r="J152" s="151"/>
      <c r="K152" s="151"/>
      <c r="L152" s="151"/>
      <c r="M152" s="148" t="s">
        <v>812</v>
      </c>
      <c r="N152" s="147"/>
      <c r="O152" s="148" t="s">
        <v>1300</v>
      </c>
      <c r="P152" s="147"/>
      <c r="Q152" s="148" t="s">
        <v>1301</v>
      </c>
      <c r="R152" s="146"/>
      <c r="S152" s="188"/>
      <c r="T152" s="146"/>
      <c r="U152" s="225"/>
      <c r="V152" s="147"/>
      <c r="W152" s="148"/>
      <c r="X152" s="148"/>
      <c r="Y152" s="148" t="s">
        <v>994</v>
      </c>
      <c r="Z152" s="231"/>
      <c r="AA152" s="231" t="str">
        <f>IF(Z152&lt;&gt;"",VLOOKUP($Z152,Resultados!$A$1:$B$49,2,FALSE),"")</f>
        <v/>
      </c>
      <c r="AB152" s="8"/>
    </row>
    <row r="153" spans="1:28" ht="39.950000000000003" customHeight="1" x14ac:dyDescent="0.2">
      <c r="A153" s="43">
        <v>151</v>
      </c>
      <c r="B153" s="82">
        <v>45233</v>
      </c>
      <c r="C153" s="83">
        <v>0.375</v>
      </c>
      <c r="D153" s="5" t="s">
        <v>242</v>
      </c>
      <c r="E153" s="6" t="s">
        <v>1302</v>
      </c>
      <c r="F153" s="6" t="s">
        <v>1303</v>
      </c>
      <c r="G153" s="85">
        <v>28938229</v>
      </c>
      <c r="H153" s="6" t="s">
        <v>1304</v>
      </c>
      <c r="I153" s="37" t="s">
        <v>1305</v>
      </c>
      <c r="J153" s="37" t="s">
        <v>1306</v>
      </c>
      <c r="K153" s="86">
        <v>23101063</v>
      </c>
      <c r="L153" s="37" t="s">
        <v>1307</v>
      </c>
      <c r="M153" s="6" t="s">
        <v>462</v>
      </c>
      <c r="N153" s="6" t="s">
        <v>1308</v>
      </c>
      <c r="O153" s="5"/>
      <c r="P153" s="5"/>
      <c r="Q153" s="6" t="s">
        <v>1309</v>
      </c>
      <c r="R153" s="82"/>
      <c r="S153" s="83"/>
      <c r="T153" s="82"/>
      <c r="U153" s="220"/>
      <c r="V153" s="5"/>
      <c r="W153" s="6"/>
      <c r="X153" s="6"/>
      <c r="Y153" s="6" t="s">
        <v>994</v>
      </c>
      <c r="Z153" s="174"/>
      <c r="AA153" s="174" t="str">
        <f>IF(Z153&lt;&gt;"",VLOOKUP($Z153,Resultados!$A$1:$B$49,2,FALSE),"")</f>
        <v/>
      </c>
      <c r="AB153" s="8"/>
    </row>
    <row r="154" spans="1:28" x14ac:dyDescent="0.2">
      <c r="Z154" s="123"/>
      <c r="AA154" s="123"/>
      <c r="AB154" s="8"/>
    </row>
    <row r="155" spans="1:28" x14ac:dyDescent="0.2">
      <c r="Z155" s="123"/>
      <c r="AA155" s="123"/>
      <c r="AB155" s="8"/>
    </row>
    <row r="156" spans="1:28" x14ac:dyDescent="0.2">
      <c r="Z156" s="123"/>
      <c r="AA156" s="123"/>
      <c r="AB156" s="8"/>
    </row>
    <row r="157" spans="1:28" x14ac:dyDescent="0.2">
      <c r="Z157" s="123"/>
      <c r="AA157" s="123"/>
      <c r="AB157" s="8"/>
    </row>
    <row r="158" spans="1:28" x14ac:dyDescent="0.2">
      <c r="Z158" s="123"/>
      <c r="AA158" s="123"/>
      <c r="AB158" s="8"/>
    </row>
    <row r="159" spans="1:28" x14ac:dyDescent="0.2">
      <c r="Z159" s="123"/>
      <c r="AA159" s="123"/>
      <c r="AB159" s="8"/>
    </row>
    <row r="160" spans="1:28" x14ac:dyDescent="0.2">
      <c r="Z160" s="123"/>
      <c r="AA160" s="123"/>
      <c r="AB160" s="8"/>
    </row>
    <row r="161" spans="26:28" x14ac:dyDescent="0.2">
      <c r="Z161" s="123"/>
      <c r="AA161" s="123"/>
      <c r="AB161" s="8"/>
    </row>
    <row r="162" spans="26:28" x14ac:dyDescent="0.2">
      <c r="Z162" s="123"/>
      <c r="AA162" s="123"/>
      <c r="AB162" s="8"/>
    </row>
    <row r="163" spans="26:28" x14ac:dyDescent="0.2">
      <c r="Z163" s="123"/>
      <c r="AA163" s="123"/>
      <c r="AB163" s="8"/>
    </row>
    <row r="164" spans="26:28" x14ac:dyDescent="0.2">
      <c r="Z164" s="123"/>
      <c r="AA164" s="123"/>
      <c r="AB164" s="8"/>
    </row>
    <row r="165" spans="26:28" x14ac:dyDescent="0.2">
      <c r="Z165" s="123"/>
      <c r="AA165" s="123"/>
      <c r="AB165" s="8"/>
    </row>
    <row r="166" spans="26:28" x14ac:dyDescent="0.2">
      <c r="Z166" s="123"/>
      <c r="AA166" s="123"/>
      <c r="AB166" s="8"/>
    </row>
    <row r="167" spans="26:28" x14ac:dyDescent="0.2">
      <c r="Z167" s="123"/>
      <c r="AA167" s="123"/>
      <c r="AB167" s="8"/>
    </row>
    <row r="168" spans="26:28" x14ac:dyDescent="0.2">
      <c r="Z168" s="123"/>
      <c r="AA168" s="123"/>
      <c r="AB168" s="8"/>
    </row>
    <row r="169" spans="26:28" x14ac:dyDescent="0.2">
      <c r="Z169" s="123"/>
      <c r="AA169" s="123"/>
      <c r="AB169" s="8"/>
    </row>
    <row r="170" spans="26:28" x14ac:dyDescent="0.2">
      <c r="Z170" s="123"/>
      <c r="AA170" s="123"/>
      <c r="AB170" s="8"/>
    </row>
    <row r="171" spans="26:28" x14ac:dyDescent="0.2">
      <c r="Z171" s="123"/>
      <c r="AA171" s="123"/>
      <c r="AB171" s="8"/>
    </row>
    <row r="172" spans="26:28" x14ac:dyDescent="0.2">
      <c r="Z172" s="123"/>
      <c r="AA172" s="123"/>
      <c r="AB172" s="8"/>
    </row>
    <row r="173" spans="26:28" x14ac:dyDescent="0.2">
      <c r="Z173" s="123"/>
      <c r="AA173" s="123"/>
      <c r="AB173" s="8"/>
    </row>
    <row r="174" spans="26:28" x14ac:dyDescent="0.2">
      <c r="Z174" s="123"/>
      <c r="AA174" s="123"/>
      <c r="AB174" s="8"/>
    </row>
    <row r="175" spans="26:28" x14ac:dyDescent="0.2">
      <c r="Z175" s="123"/>
      <c r="AA175" s="123"/>
      <c r="AB175" s="8"/>
    </row>
    <row r="176" spans="26:28" x14ac:dyDescent="0.2">
      <c r="Z176" s="123"/>
      <c r="AA176" s="123"/>
      <c r="AB176" s="8"/>
    </row>
    <row r="177" spans="26:28" x14ac:dyDescent="0.2">
      <c r="Z177" s="123"/>
      <c r="AA177" s="123"/>
      <c r="AB177" s="8"/>
    </row>
    <row r="178" spans="26:28" x14ac:dyDescent="0.2">
      <c r="Z178" s="123"/>
      <c r="AA178" s="123"/>
      <c r="AB178" s="8"/>
    </row>
    <row r="179" spans="26:28" x14ac:dyDescent="0.2">
      <c r="Z179" s="123"/>
      <c r="AA179" s="123"/>
      <c r="AB179" s="8"/>
    </row>
    <row r="180" spans="26:28" x14ac:dyDescent="0.2">
      <c r="Z180" s="123"/>
      <c r="AA180" s="123"/>
      <c r="AB180" s="8"/>
    </row>
    <row r="181" spans="26:28" x14ac:dyDescent="0.2">
      <c r="Z181" s="123"/>
      <c r="AA181" s="123"/>
      <c r="AB181" s="8"/>
    </row>
    <row r="182" spans="26:28" x14ac:dyDescent="0.2">
      <c r="Z182" s="123"/>
      <c r="AA182" s="123"/>
      <c r="AB182" s="8"/>
    </row>
    <row r="183" spans="26:28" x14ac:dyDescent="0.2">
      <c r="Z183" s="123"/>
      <c r="AA183" s="123"/>
      <c r="AB183" s="8"/>
    </row>
    <row r="184" spans="26:28" x14ac:dyDescent="0.2">
      <c r="Z184" s="123"/>
      <c r="AA184" s="123"/>
      <c r="AB184" s="8"/>
    </row>
    <row r="185" spans="26:28" x14ac:dyDescent="0.2">
      <c r="Z185" s="123"/>
      <c r="AA185" s="123"/>
      <c r="AB185" s="8"/>
    </row>
    <row r="186" spans="26:28" x14ac:dyDescent="0.2">
      <c r="Z186" s="123"/>
      <c r="AA186" s="123"/>
      <c r="AB186" s="8"/>
    </row>
    <row r="187" spans="26:28" x14ac:dyDescent="0.2">
      <c r="Z187" s="123"/>
      <c r="AA187" s="123"/>
      <c r="AB187" s="8"/>
    </row>
    <row r="188" spans="26:28" x14ac:dyDescent="0.2">
      <c r="Z188" s="123"/>
      <c r="AA188" s="123"/>
      <c r="AB188" s="8"/>
    </row>
    <row r="189" spans="26:28" x14ac:dyDescent="0.2">
      <c r="Z189" s="123"/>
      <c r="AA189" s="123"/>
      <c r="AB189" s="8"/>
    </row>
    <row r="190" spans="26:28" x14ac:dyDescent="0.2">
      <c r="Z190" s="123"/>
      <c r="AA190" s="123"/>
      <c r="AB190" s="8"/>
    </row>
    <row r="191" spans="26:28" x14ac:dyDescent="0.2">
      <c r="Z191" s="123"/>
      <c r="AA191" s="123"/>
      <c r="AB191" s="8"/>
    </row>
    <row r="192" spans="26:28" x14ac:dyDescent="0.2">
      <c r="Z192" s="123"/>
      <c r="AA192" s="123"/>
      <c r="AB192" s="8"/>
    </row>
    <row r="193" spans="26:28" x14ac:dyDescent="0.2">
      <c r="Z193" s="123"/>
      <c r="AA193" s="123"/>
      <c r="AB193" s="8"/>
    </row>
    <row r="194" spans="26:28" x14ac:dyDescent="0.2">
      <c r="Z194" s="123"/>
      <c r="AA194" s="123"/>
      <c r="AB194" s="8"/>
    </row>
    <row r="195" spans="26:28" x14ac:dyDescent="0.2">
      <c r="Z195" s="123"/>
      <c r="AA195" s="123"/>
      <c r="AB195" s="8"/>
    </row>
    <row r="196" spans="26:28" x14ac:dyDescent="0.2">
      <c r="Z196" s="123"/>
      <c r="AA196" s="123"/>
      <c r="AB196" s="8"/>
    </row>
    <row r="197" spans="26:28" x14ac:dyDescent="0.2">
      <c r="Z197" s="123"/>
      <c r="AA197" s="123"/>
      <c r="AB197" s="8"/>
    </row>
    <row r="198" spans="26:28" x14ac:dyDescent="0.2">
      <c r="Z198" s="123"/>
      <c r="AA198" s="123"/>
      <c r="AB198" s="8"/>
    </row>
    <row r="199" spans="26:28" x14ac:dyDescent="0.2">
      <c r="Z199" s="123"/>
      <c r="AA199" s="123"/>
      <c r="AB199" s="8"/>
    </row>
    <row r="200" spans="26:28" x14ac:dyDescent="0.2">
      <c r="Z200" s="123"/>
      <c r="AA200" s="123"/>
      <c r="AB200" s="8"/>
    </row>
    <row r="201" spans="26:28" x14ac:dyDescent="0.2">
      <c r="Z201" s="123"/>
      <c r="AA201" s="123"/>
      <c r="AB201" s="8"/>
    </row>
    <row r="202" spans="26:28" x14ac:dyDescent="0.2">
      <c r="Z202" s="123"/>
      <c r="AA202" s="123"/>
      <c r="AB202" s="8"/>
    </row>
    <row r="203" spans="26:28" x14ac:dyDescent="0.2">
      <c r="Z203" s="123"/>
      <c r="AA203" s="123"/>
      <c r="AB203" s="8"/>
    </row>
    <row r="204" spans="26:28" x14ac:dyDescent="0.2">
      <c r="Z204" s="123"/>
      <c r="AA204" s="123"/>
      <c r="AB204" s="8"/>
    </row>
    <row r="205" spans="26:28" x14ac:dyDescent="0.2">
      <c r="Z205" s="123"/>
      <c r="AA205" s="123"/>
      <c r="AB205" s="8"/>
    </row>
    <row r="206" spans="26:28" x14ac:dyDescent="0.2">
      <c r="Z206" s="123"/>
      <c r="AA206" s="123"/>
      <c r="AB206" s="8"/>
    </row>
    <row r="207" spans="26:28" x14ac:dyDescent="0.2">
      <c r="Z207" s="123"/>
      <c r="AA207" s="123"/>
      <c r="AB207" s="8"/>
    </row>
    <row r="208" spans="26:28" x14ac:dyDescent="0.2">
      <c r="Z208" s="123"/>
      <c r="AA208" s="123"/>
      <c r="AB208" s="8"/>
    </row>
    <row r="209" spans="26:28" x14ac:dyDescent="0.2">
      <c r="Z209" s="123"/>
      <c r="AA209" s="123"/>
      <c r="AB209" s="8"/>
    </row>
    <row r="210" spans="26:28" x14ac:dyDescent="0.2">
      <c r="Z210" s="123"/>
      <c r="AA210" s="123"/>
      <c r="AB210" s="8"/>
    </row>
    <row r="211" spans="26:28" x14ac:dyDescent="0.2">
      <c r="Z211" s="123"/>
      <c r="AA211" s="123"/>
      <c r="AB211" s="8"/>
    </row>
    <row r="212" spans="26:28" x14ac:dyDescent="0.2">
      <c r="Z212" s="123"/>
      <c r="AA212" s="123"/>
      <c r="AB212" s="8"/>
    </row>
    <row r="213" spans="26:28" x14ac:dyDescent="0.2">
      <c r="Z213" s="123"/>
      <c r="AA213" s="123"/>
      <c r="AB213" s="8"/>
    </row>
    <row r="214" spans="26:28" x14ac:dyDescent="0.2">
      <c r="Z214" s="123"/>
      <c r="AA214" s="123"/>
      <c r="AB214" s="8"/>
    </row>
    <row r="215" spans="26:28" x14ac:dyDescent="0.2">
      <c r="Z215" s="123"/>
      <c r="AA215" s="123"/>
      <c r="AB215" s="8"/>
    </row>
    <row r="216" spans="26:28" x14ac:dyDescent="0.2">
      <c r="Z216" s="123"/>
      <c r="AA216" s="123"/>
      <c r="AB216" s="8"/>
    </row>
    <row r="217" spans="26:28" x14ac:dyDescent="0.2">
      <c r="Z217" s="123"/>
      <c r="AA217" s="123"/>
      <c r="AB217" s="8"/>
    </row>
    <row r="218" spans="26:28" x14ac:dyDescent="0.2">
      <c r="Z218" s="123"/>
      <c r="AA218" s="123"/>
      <c r="AB218" s="8"/>
    </row>
    <row r="219" spans="26:28" x14ac:dyDescent="0.2">
      <c r="Z219" s="123"/>
      <c r="AA219" s="123"/>
      <c r="AB219" s="8"/>
    </row>
    <row r="220" spans="26:28" x14ac:dyDescent="0.2">
      <c r="Z220" s="123"/>
      <c r="AA220" s="123"/>
      <c r="AB220" s="8"/>
    </row>
    <row r="221" spans="26:28" x14ac:dyDescent="0.2">
      <c r="Z221" s="123"/>
      <c r="AA221" s="123"/>
      <c r="AB221" s="8"/>
    </row>
    <row r="222" spans="26:28" x14ac:dyDescent="0.2">
      <c r="Z222" s="123"/>
      <c r="AA222" s="123"/>
      <c r="AB222" s="8"/>
    </row>
    <row r="223" spans="26:28" x14ac:dyDescent="0.2">
      <c r="Z223" s="123"/>
      <c r="AA223" s="123"/>
      <c r="AB223" s="8"/>
    </row>
    <row r="224" spans="26:28" x14ac:dyDescent="0.2">
      <c r="Z224" s="123"/>
      <c r="AA224" s="123"/>
      <c r="AB224" s="8"/>
    </row>
    <row r="225" spans="26:28" x14ac:dyDescent="0.2">
      <c r="Z225" s="123"/>
      <c r="AA225" s="123"/>
      <c r="AB225" s="8"/>
    </row>
    <row r="226" spans="26:28" x14ac:dyDescent="0.2">
      <c r="Z226" s="123"/>
      <c r="AA226" s="123"/>
      <c r="AB226" s="8"/>
    </row>
    <row r="227" spans="26:28" x14ac:dyDescent="0.2">
      <c r="Z227" s="123"/>
      <c r="AA227" s="123"/>
      <c r="AB227" s="8"/>
    </row>
    <row r="228" spans="26:28" x14ac:dyDescent="0.2">
      <c r="Z228" s="123"/>
      <c r="AA228" s="123"/>
      <c r="AB228" s="8"/>
    </row>
    <row r="229" spans="26:28" x14ac:dyDescent="0.2">
      <c r="Z229" s="123"/>
      <c r="AA229" s="123"/>
      <c r="AB229" s="8"/>
    </row>
    <row r="230" spans="26:28" x14ac:dyDescent="0.2">
      <c r="Z230" s="123"/>
      <c r="AA230" s="123"/>
      <c r="AB230" s="8"/>
    </row>
    <row r="231" spans="26:28" x14ac:dyDescent="0.2">
      <c r="Z231" s="123"/>
      <c r="AA231" s="123"/>
      <c r="AB231" s="8"/>
    </row>
    <row r="232" spans="26:28" x14ac:dyDescent="0.2">
      <c r="Z232" s="123"/>
      <c r="AA232" s="123"/>
      <c r="AB232" s="8"/>
    </row>
    <row r="233" spans="26:28" x14ac:dyDescent="0.2">
      <c r="Z233" s="123"/>
      <c r="AA233" s="123"/>
      <c r="AB233" s="8"/>
    </row>
    <row r="234" spans="26:28" x14ac:dyDescent="0.2">
      <c r="Z234" s="123"/>
      <c r="AA234" s="123"/>
      <c r="AB234" s="8"/>
    </row>
    <row r="235" spans="26:28" x14ac:dyDescent="0.2">
      <c r="Z235" s="123"/>
      <c r="AA235" s="123"/>
      <c r="AB235" s="8"/>
    </row>
    <row r="236" spans="26:28" x14ac:dyDescent="0.2">
      <c r="Z236" s="123"/>
      <c r="AA236" s="123"/>
      <c r="AB236" s="8"/>
    </row>
    <row r="237" spans="26:28" x14ac:dyDescent="0.2">
      <c r="Z237" s="123"/>
      <c r="AA237" s="123"/>
      <c r="AB237" s="8"/>
    </row>
    <row r="238" spans="26:28" x14ac:dyDescent="0.2">
      <c r="Z238" s="123"/>
      <c r="AA238" s="123"/>
      <c r="AB238" s="8"/>
    </row>
    <row r="239" spans="26:28" x14ac:dyDescent="0.2">
      <c r="Z239" s="123"/>
      <c r="AA239" s="123"/>
      <c r="AB239" s="8"/>
    </row>
    <row r="240" spans="26:28" x14ac:dyDescent="0.2">
      <c r="Z240" s="123"/>
      <c r="AA240" s="123"/>
      <c r="AB240" s="8"/>
    </row>
    <row r="241" spans="26:28" x14ac:dyDescent="0.2">
      <c r="Z241" s="123"/>
      <c r="AA241" s="123"/>
      <c r="AB241" s="8"/>
    </row>
    <row r="242" spans="26:28" x14ac:dyDescent="0.2">
      <c r="Z242" s="123"/>
      <c r="AA242" s="123"/>
      <c r="AB242" s="8"/>
    </row>
    <row r="243" spans="26:28" x14ac:dyDescent="0.2">
      <c r="Z243" s="123"/>
      <c r="AA243" s="123"/>
      <c r="AB243" s="8"/>
    </row>
    <row r="244" spans="26:28" x14ac:dyDescent="0.2">
      <c r="Z244" s="123"/>
      <c r="AA244" s="123"/>
      <c r="AB244" s="8"/>
    </row>
    <row r="245" spans="26:28" x14ac:dyDescent="0.2">
      <c r="Z245" s="123"/>
      <c r="AA245" s="123"/>
      <c r="AB245" s="8"/>
    </row>
    <row r="246" spans="26:28" x14ac:dyDescent="0.2">
      <c r="Z246" s="123"/>
      <c r="AA246" s="123"/>
      <c r="AB246" s="8"/>
    </row>
    <row r="247" spans="26:28" x14ac:dyDescent="0.2">
      <c r="Z247" s="123"/>
      <c r="AA247" s="123"/>
      <c r="AB247" s="8"/>
    </row>
    <row r="248" spans="26:28" x14ac:dyDescent="0.2">
      <c r="Z248" s="123"/>
      <c r="AA248" s="123"/>
      <c r="AB248" s="8"/>
    </row>
    <row r="249" spans="26:28" x14ac:dyDescent="0.2">
      <c r="Z249" s="123"/>
      <c r="AA249" s="123"/>
      <c r="AB249" s="8"/>
    </row>
    <row r="250" spans="26:28" x14ac:dyDescent="0.2">
      <c r="Z250" s="123"/>
      <c r="AA250" s="123"/>
      <c r="AB250" s="8"/>
    </row>
    <row r="251" spans="26:28" x14ac:dyDescent="0.2">
      <c r="Z251" s="123"/>
      <c r="AA251" s="123"/>
      <c r="AB251" s="8"/>
    </row>
    <row r="252" spans="26:28" x14ac:dyDescent="0.2">
      <c r="Z252" s="123"/>
      <c r="AA252" s="123"/>
      <c r="AB252" s="8"/>
    </row>
    <row r="253" spans="26:28" x14ac:dyDescent="0.2">
      <c r="Z253" s="123"/>
      <c r="AA253" s="123"/>
      <c r="AB253" s="8"/>
    </row>
    <row r="254" spans="26:28" x14ac:dyDescent="0.2">
      <c r="Z254" s="123"/>
      <c r="AA254" s="123"/>
      <c r="AB254" s="8"/>
    </row>
    <row r="255" spans="26:28" x14ac:dyDescent="0.2">
      <c r="Z255" s="123"/>
      <c r="AA255" s="123"/>
      <c r="AB255" s="8"/>
    </row>
    <row r="256" spans="26:28" x14ac:dyDescent="0.2">
      <c r="Z256" s="123"/>
      <c r="AA256" s="123"/>
      <c r="AB256" s="8"/>
    </row>
    <row r="257" spans="26:28" x14ac:dyDescent="0.2">
      <c r="Z257" s="123"/>
      <c r="AA257" s="123"/>
      <c r="AB257" s="8"/>
    </row>
    <row r="258" spans="26:28" x14ac:dyDescent="0.2">
      <c r="Z258" s="123"/>
      <c r="AA258" s="123"/>
      <c r="AB258" s="8"/>
    </row>
    <row r="259" spans="26:28" x14ac:dyDescent="0.2">
      <c r="Z259" s="123"/>
      <c r="AA259" s="123"/>
      <c r="AB259" s="8"/>
    </row>
    <row r="260" spans="26:28" x14ac:dyDescent="0.2">
      <c r="Z260" s="123"/>
      <c r="AA260" s="123"/>
      <c r="AB260" s="8"/>
    </row>
    <row r="261" spans="26:28" x14ac:dyDescent="0.2">
      <c r="Z261" s="123"/>
      <c r="AA261" s="123"/>
      <c r="AB261" s="8"/>
    </row>
    <row r="262" spans="26:28" x14ac:dyDescent="0.2">
      <c r="Z262" s="123"/>
      <c r="AA262" s="123"/>
      <c r="AB262" s="8"/>
    </row>
    <row r="263" spans="26:28" x14ac:dyDescent="0.2">
      <c r="Z263" s="123"/>
      <c r="AA263" s="123"/>
      <c r="AB263" s="8"/>
    </row>
    <row r="264" spans="26:28" x14ac:dyDescent="0.2">
      <c r="Z264" s="123"/>
      <c r="AA264" s="123"/>
      <c r="AB264" s="8"/>
    </row>
    <row r="265" spans="26:28" x14ac:dyDescent="0.2">
      <c r="Z265" s="123"/>
      <c r="AA265" s="123"/>
      <c r="AB265" s="8"/>
    </row>
    <row r="266" spans="26:28" x14ac:dyDescent="0.2">
      <c r="Z266" s="123"/>
      <c r="AA266" s="123"/>
      <c r="AB266" s="8"/>
    </row>
    <row r="267" spans="26:28" x14ac:dyDescent="0.2">
      <c r="Z267" s="123"/>
      <c r="AA267" s="123"/>
      <c r="AB267" s="8"/>
    </row>
    <row r="268" spans="26:28" x14ac:dyDescent="0.2">
      <c r="Z268" s="123"/>
      <c r="AA268" s="123"/>
      <c r="AB268" s="8"/>
    </row>
    <row r="269" spans="26:28" x14ac:dyDescent="0.2">
      <c r="Z269" s="123"/>
      <c r="AA269" s="123"/>
      <c r="AB269" s="8"/>
    </row>
    <row r="270" spans="26:28" x14ac:dyDescent="0.2">
      <c r="Z270" s="123"/>
      <c r="AA270" s="123"/>
      <c r="AB270" s="8"/>
    </row>
    <row r="271" spans="26:28" x14ac:dyDescent="0.2">
      <c r="Z271" s="124"/>
      <c r="AA271" s="123"/>
      <c r="AB271" s="8"/>
    </row>
    <row r="272" spans="26:28" x14ac:dyDescent="0.2">
      <c r="Z272" s="123"/>
      <c r="AA272" s="123"/>
      <c r="AB272" s="8"/>
    </row>
    <row r="273" spans="26:28" x14ac:dyDescent="0.2">
      <c r="Z273" s="123"/>
      <c r="AA273" s="123"/>
      <c r="AB273" s="8"/>
    </row>
    <row r="274" spans="26:28" x14ac:dyDescent="0.2">
      <c r="Z274" s="123"/>
      <c r="AA274" s="123"/>
      <c r="AB274" s="8"/>
    </row>
    <row r="275" spans="26:28" x14ac:dyDescent="0.2">
      <c r="Z275" s="123"/>
      <c r="AA275" s="123"/>
      <c r="AB275" s="8"/>
    </row>
    <row r="276" spans="26:28" x14ac:dyDescent="0.2">
      <c r="Z276" s="123"/>
      <c r="AA276" s="123"/>
      <c r="AB276" s="8"/>
    </row>
    <row r="277" spans="26:28" x14ac:dyDescent="0.2">
      <c r="Z277" s="123"/>
      <c r="AA277" s="123"/>
      <c r="AB277" s="8"/>
    </row>
    <row r="278" spans="26:28" x14ac:dyDescent="0.2">
      <c r="Z278" s="123"/>
      <c r="AA278" s="123"/>
      <c r="AB278" s="8"/>
    </row>
    <row r="279" spans="26:28" x14ac:dyDescent="0.2">
      <c r="Z279" s="123"/>
      <c r="AA279" s="123"/>
      <c r="AB279" s="8"/>
    </row>
    <row r="280" spans="26:28" x14ac:dyDescent="0.2">
      <c r="Z280" s="123"/>
      <c r="AA280" s="123"/>
      <c r="AB280" s="8"/>
    </row>
    <row r="281" spans="26:28" x14ac:dyDescent="0.2">
      <c r="Z281" s="123"/>
      <c r="AA281" s="123"/>
      <c r="AB281" s="8"/>
    </row>
    <row r="282" spans="26:28" x14ac:dyDescent="0.2">
      <c r="Z282" s="123"/>
      <c r="AA282" s="123"/>
      <c r="AB282" s="8"/>
    </row>
    <row r="283" spans="26:28" x14ac:dyDescent="0.2">
      <c r="Z283" s="123"/>
      <c r="AA283" s="123"/>
      <c r="AB283" s="8"/>
    </row>
    <row r="284" spans="26:28" x14ac:dyDescent="0.2">
      <c r="Z284" s="123"/>
      <c r="AA284" s="123"/>
      <c r="AB284" s="8"/>
    </row>
    <row r="285" spans="26:28" x14ac:dyDescent="0.2">
      <c r="Z285" s="123"/>
      <c r="AA285" s="123"/>
      <c r="AB285" s="8"/>
    </row>
    <row r="286" spans="26:28" x14ac:dyDescent="0.2">
      <c r="Z286" s="123"/>
      <c r="AA286" s="123"/>
      <c r="AB286" s="8"/>
    </row>
    <row r="287" spans="26:28" x14ac:dyDescent="0.2">
      <c r="Z287" s="123"/>
      <c r="AA287" s="123"/>
      <c r="AB287" s="8"/>
    </row>
    <row r="288" spans="26:28" x14ac:dyDescent="0.2">
      <c r="Z288" s="123"/>
      <c r="AA288" s="123"/>
      <c r="AB288" s="8"/>
    </row>
    <row r="289" spans="26:28" x14ac:dyDescent="0.2">
      <c r="Z289" s="123"/>
      <c r="AA289" s="123"/>
      <c r="AB289" s="8"/>
    </row>
    <row r="290" spans="26:28" x14ac:dyDescent="0.2">
      <c r="Z290" s="123"/>
      <c r="AA290" s="123"/>
      <c r="AB290" s="8"/>
    </row>
    <row r="291" spans="26:28" x14ac:dyDescent="0.2">
      <c r="Z291" s="123"/>
      <c r="AA291" s="123"/>
      <c r="AB291" s="8"/>
    </row>
    <row r="292" spans="26:28" x14ac:dyDescent="0.2">
      <c r="Z292" s="123"/>
      <c r="AA292" s="123"/>
      <c r="AB292" s="8"/>
    </row>
    <row r="293" spans="26:28" x14ac:dyDescent="0.2">
      <c r="Z293" s="123"/>
      <c r="AA293" s="123"/>
      <c r="AB293" s="8"/>
    </row>
    <row r="294" spans="26:28" x14ac:dyDescent="0.2">
      <c r="Z294" s="123"/>
      <c r="AA294" s="123"/>
      <c r="AB294" s="8"/>
    </row>
    <row r="295" spans="26:28" x14ac:dyDescent="0.2">
      <c r="Z295" s="123"/>
      <c r="AA295" s="123"/>
      <c r="AB295" s="8"/>
    </row>
    <row r="296" spans="26:28" x14ac:dyDescent="0.2">
      <c r="Z296" s="123"/>
      <c r="AA296" s="123"/>
      <c r="AB296" s="8"/>
    </row>
    <row r="297" spans="26:28" x14ac:dyDescent="0.2">
      <c r="Z297" s="123"/>
      <c r="AA297" s="123"/>
      <c r="AB297" s="8"/>
    </row>
    <row r="298" spans="26:28" x14ac:dyDescent="0.2">
      <c r="Z298" s="123"/>
      <c r="AA298" s="123"/>
      <c r="AB298" s="8"/>
    </row>
    <row r="299" spans="26:28" x14ac:dyDescent="0.2">
      <c r="Z299" s="123"/>
      <c r="AA299" s="123"/>
      <c r="AB299" s="8"/>
    </row>
    <row r="300" spans="26:28" x14ac:dyDescent="0.2">
      <c r="Z300" s="123"/>
      <c r="AA300" s="123"/>
      <c r="AB300" s="8"/>
    </row>
    <row r="301" spans="26:28" x14ac:dyDescent="0.2">
      <c r="Z301" s="123"/>
      <c r="AA301" s="123"/>
      <c r="AB301" s="8"/>
    </row>
    <row r="302" spans="26:28" x14ac:dyDescent="0.2">
      <c r="Z302" s="123"/>
      <c r="AA302" s="123"/>
      <c r="AB302" s="8"/>
    </row>
    <row r="303" spans="26:28" x14ac:dyDescent="0.2">
      <c r="Z303" s="123"/>
      <c r="AA303" s="123"/>
      <c r="AB303" s="8"/>
    </row>
    <row r="304" spans="26:28" x14ac:dyDescent="0.2">
      <c r="Z304" s="123"/>
      <c r="AA304" s="123"/>
      <c r="AB304" s="8"/>
    </row>
    <row r="305" spans="26:28" x14ac:dyDescent="0.2">
      <c r="Z305" s="123"/>
      <c r="AA305" s="123"/>
      <c r="AB305" s="8"/>
    </row>
    <row r="306" spans="26:28" x14ac:dyDescent="0.2">
      <c r="Z306" s="123"/>
      <c r="AA306" s="123"/>
      <c r="AB306" s="8"/>
    </row>
    <row r="307" spans="26:28" x14ac:dyDescent="0.2">
      <c r="Z307" s="123"/>
      <c r="AA307" s="123"/>
      <c r="AB307" s="8"/>
    </row>
    <row r="308" spans="26:28" x14ac:dyDescent="0.2">
      <c r="Z308" s="123"/>
      <c r="AA308" s="123"/>
      <c r="AB308" s="8"/>
    </row>
    <row r="309" spans="26:28" x14ac:dyDescent="0.2">
      <c r="Z309" s="123"/>
      <c r="AA309" s="123"/>
      <c r="AB309" s="8"/>
    </row>
    <row r="310" spans="26:28" x14ac:dyDescent="0.2">
      <c r="Z310" s="123"/>
      <c r="AA310" s="123"/>
      <c r="AB310" s="8"/>
    </row>
    <row r="311" spans="26:28" x14ac:dyDescent="0.2">
      <c r="Z311" s="123"/>
      <c r="AA311" s="123"/>
      <c r="AB311" s="8"/>
    </row>
    <row r="312" spans="26:28" x14ac:dyDescent="0.2">
      <c r="Z312" s="123"/>
      <c r="AA312" s="123"/>
      <c r="AB312" s="8"/>
    </row>
    <row r="313" spans="26:28" x14ac:dyDescent="0.2">
      <c r="Z313" s="123"/>
      <c r="AA313" s="123"/>
      <c r="AB313" s="8"/>
    </row>
    <row r="314" spans="26:28" x14ac:dyDescent="0.2">
      <c r="Z314" s="123"/>
      <c r="AA314" s="123"/>
      <c r="AB314" s="8"/>
    </row>
    <row r="315" spans="26:28" x14ac:dyDescent="0.2">
      <c r="Z315" s="123"/>
      <c r="AA315" s="123"/>
      <c r="AB315" s="8"/>
    </row>
    <row r="316" spans="26:28" x14ac:dyDescent="0.2">
      <c r="Z316" s="123"/>
      <c r="AA316" s="123"/>
      <c r="AB316" s="8"/>
    </row>
    <row r="317" spans="26:28" x14ac:dyDescent="0.2">
      <c r="Z317" s="123"/>
      <c r="AA317" s="123"/>
      <c r="AB317" s="8"/>
    </row>
    <row r="318" spans="26:28" x14ac:dyDescent="0.2">
      <c r="Z318" s="123"/>
      <c r="AA318" s="123"/>
      <c r="AB318" s="8"/>
    </row>
    <row r="319" spans="26:28" x14ac:dyDescent="0.2">
      <c r="Z319" s="123"/>
      <c r="AA319" s="123"/>
      <c r="AB319" s="8"/>
    </row>
    <row r="320" spans="26:28" x14ac:dyDescent="0.2">
      <c r="Z320" s="123"/>
      <c r="AA320" s="123"/>
      <c r="AB320" s="8"/>
    </row>
    <row r="321" spans="26:28" x14ac:dyDescent="0.2">
      <c r="Z321" s="123"/>
      <c r="AA321" s="123"/>
      <c r="AB321" s="8"/>
    </row>
    <row r="322" spans="26:28" x14ac:dyDescent="0.2">
      <c r="Z322" s="123"/>
      <c r="AA322" s="123"/>
      <c r="AB322" s="8"/>
    </row>
    <row r="323" spans="26:28" x14ac:dyDescent="0.2">
      <c r="Z323" s="123"/>
      <c r="AA323" s="123"/>
      <c r="AB323" s="8"/>
    </row>
    <row r="324" spans="26:28" x14ac:dyDescent="0.2">
      <c r="Z324" s="123"/>
      <c r="AA324" s="123"/>
      <c r="AB324" s="8"/>
    </row>
    <row r="325" spans="26:28" x14ac:dyDescent="0.2">
      <c r="Z325" s="123"/>
      <c r="AA325" s="123"/>
      <c r="AB325" s="8"/>
    </row>
    <row r="326" spans="26:28" x14ac:dyDescent="0.2">
      <c r="Z326" s="123"/>
      <c r="AA326" s="123"/>
      <c r="AB326" s="8"/>
    </row>
    <row r="327" spans="26:28" x14ac:dyDescent="0.2">
      <c r="Z327" s="123"/>
      <c r="AA327" s="123"/>
      <c r="AB327" s="8"/>
    </row>
    <row r="328" spans="26:28" x14ac:dyDescent="0.2">
      <c r="Z328" s="123"/>
      <c r="AA328" s="123"/>
      <c r="AB328" s="8"/>
    </row>
    <row r="329" spans="26:28" x14ac:dyDescent="0.2">
      <c r="Z329" s="123"/>
      <c r="AA329" s="123"/>
      <c r="AB329" s="8"/>
    </row>
    <row r="330" spans="26:28" x14ac:dyDescent="0.2">
      <c r="Z330" s="123"/>
      <c r="AA330" s="123"/>
      <c r="AB330" s="8"/>
    </row>
    <row r="331" spans="26:28" x14ac:dyDescent="0.2">
      <c r="Z331" s="123"/>
      <c r="AA331" s="123"/>
      <c r="AB331" s="8"/>
    </row>
    <row r="332" spans="26:28" x14ac:dyDescent="0.2">
      <c r="Z332" s="123"/>
      <c r="AA332" s="123"/>
      <c r="AB332" s="8"/>
    </row>
    <row r="333" spans="26:28" x14ac:dyDescent="0.2">
      <c r="Z333" s="123"/>
      <c r="AA333" s="123"/>
      <c r="AB333" s="8"/>
    </row>
    <row r="334" spans="26:28" x14ac:dyDescent="0.2">
      <c r="Z334" s="123"/>
      <c r="AA334" s="123"/>
      <c r="AB334" s="8"/>
    </row>
    <row r="335" spans="26:28" x14ac:dyDescent="0.2">
      <c r="Z335" s="123"/>
      <c r="AA335" s="123"/>
      <c r="AB335" s="8"/>
    </row>
    <row r="336" spans="26:28" x14ac:dyDescent="0.2">
      <c r="Z336" s="123"/>
      <c r="AA336" s="123"/>
      <c r="AB336" s="8"/>
    </row>
    <row r="337" spans="26:28" x14ac:dyDescent="0.2">
      <c r="Z337" s="123"/>
      <c r="AA337" s="123"/>
      <c r="AB337" s="8"/>
    </row>
    <row r="338" spans="26:28" x14ac:dyDescent="0.2">
      <c r="Z338" s="123"/>
      <c r="AA338" s="123"/>
      <c r="AB338" s="8"/>
    </row>
    <row r="339" spans="26:28" x14ac:dyDescent="0.2">
      <c r="Z339" s="123"/>
      <c r="AA339" s="123"/>
      <c r="AB339" s="8"/>
    </row>
    <row r="340" spans="26:28" x14ac:dyDescent="0.2">
      <c r="Z340" s="123"/>
      <c r="AA340" s="123"/>
      <c r="AB340" s="8"/>
    </row>
    <row r="341" spans="26:28" x14ac:dyDescent="0.2">
      <c r="Z341" s="123"/>
      <c r="AA341" s="123"/>
      <c r="AB341" s="8"/>
    </row>
    <row r="342" spans="26:28" x14ac:dyDescent="0.2">
      <c r="Z342" s="123"/>
      <c r="AA342" s="123"/>
      <c r="AB342" s="8"/>
    </row>
    <row r="343" spans="26:28" x14ac:dyDescent="0.2">
      <c r="Z343" s="123"/>
      <c r="AA343" s="123"/>
      <c r="AB343" s="8"/>
    </row>
    <row r="344" spans="26:28" x14ac:dyDescent="0.2">
      <c r="Z344" s="123"/>
      <c r="AA344" s="123"/>
      <c r="AB344" s="8"/>
    </row>
    <row r="345" spans="26:28" x14ac:dyDescent="0.2">
      <c r="Z345" s="123"/>
      <c r="AA345" s="123"/>
      <c r="AB345" s="8"/>
    </row>
    <row r="346" spans="26:28" x14ac:dyDescent="0.2">
      <c r="Z346" s="123"/>
      <c r="AA346" s="123"/>
      <c r="AB346" s="8"/>
    </row>
    <row r="347" spans="26:28" x14ac:dyDescent="0.2">
      <c r="Z347" s="123"/>
      <c r="AA347" s="123"/>
      <c r="AB347" s="8"/>
    </row>
    <row r="348" spans="26:28" x14ac:dyDescent="0.2">
      <c r="Z348" s="123"/>
      <c r="AA348" s="123"/>
      <c r="AB348" s="8"/>
    </row>
    <row r="349" spans="26:28" x14ac:dyDescent="0.2">
      <c r="Z349" s="123"/>
      <c r="AA349" s="123"/>
      <c r="AB349" s="8"/>
    </row>
    <row r="350" spans="26:28" x14ac:dyDescent="0.2">
      <c r="Z350" s="123"/>
      <c r="AA350" s="123"/>
      <c r="AB350" s="8"/>
    </row>
    <row r="351" spans="26:28" x14ac:dyDescent="0.2">
      <c r="Z351" s="123"/>
      <c r="AA351" s="123"/>
      <c r="AB351" s="8"/>
    </row>
    <row r="352" spans="26:28" x14ac:dyDescent="0.2">
      <c r="Z352" s="123"/>
      <c r="AA352" s="123"/>
      <c r="AB352" s="8"/>
    </row>
    <row r="353" spans="26:28" x14ac:dyDescent="0.2">
      <c r="Z353" s="123"/>
      <c r="AA353" s="123"/>
      <c r="AB353" s="8"/>
    </row>
    <row r="354" spans="26:28" x14ac:dyDescent="0.2">
      <c r="Z354" s="123"/>
      <c r="AA354" s="123"/>
      <c r="AB354" s="8"/>
    </row>
    <row r="355" spans="26:28" x14ac:dyDescent="0.2">
      <c r="Z355" s="123"/>
      <c r="AA355" s="123"/>
      <c r="AB355" s="8"/>
    </row>
    <row r="356" spans="26:28" x14ac:dyDescent="0.2">
      <c r="Z356" s="123"/>
      <c r="AA356" s="123"/>
      <c r="AB356" s="8"/>
    </row>
    <row r="357" spans="26:28" x14ac:dyDescent="0.2">
      <c r="Z357" s="123"/>
      <c r="AA357" s="123"/>
      <c r="AB357" s="8"/>
    </row>
    <row r="358" spans="26:28" x14ac:dyDescent="0.2">
      <c r="Z358" s="123"/>
      <c r="AA358" s="123"/>
      <c r="AB358" s="8"/>
    </row>
    <row r="359" spans="26:28" x14ac:dyDescent="0.2">
      <c r="Z359" s="123"/>
      <c r="AA359" s="123"/>
      <c r="AB359" s="8"/>
    </row>
    <row r="360" spans="26:28" x14ac:dyDescent="0.2">
      <c r="Z360" s="123"/>
      <c r="AA360" s="123"/>
      <c r="AB360" s="8"/>
    </row>
    <row r="361" spans="26:28" x14ac:dyDescent="0.2">
      <c r="Z361" s="123"/>
      <c r="AA361" s="123"/>
      <c r="AB361" s="8"/>
    </row>
    <row r="362" spans="26:28" x14ac:dyDescent="0.2">
      <c r="Z362" s="123"/>
      <c r="AA362" s="123"/>
      <c r="AB362" s="8"/>
    </row>
    <row r="363" spans="26:28" x14ac:dyDescent="0.2">
      <c r="Z363" s="123"/>
      <c r="AA363" s="123"/>
      <c r="AB363" s="8"/>
    </row>
    <row r="364" spans="26:28" x14ac:dyDescent="0.2">
      <c r="Z364" s="123"/>
      <c r="AA364" s="123"/>
      <c r="AB364" s="8"/>
    </row>
    <row r="365" spans="26:28" x14ac:dyDescent="0.2">
      <c r="Z365" s="123"/>
      <c r="AA365" s="123"/>
      <c r="AB365" s="8"/>
    </row>
    <row r="366" spans="26:28" x14ac:dyDescent="0.2">
      <c r="Z366" s="123"/>
      <c r="AA366" s="123"/>
      <c r="AB366" s="8"/>
    </row>
    <row r="367" spans="26:28" x14ac:dyDescent="0.2">
      <c r="Z367" s="123"/>
      <c r="AA367" s="123"/>
      <c r="AB367" s="8"/>
    </row>
    <row r="368" spans="26:28" x14ac:dyDescent="0.2">
      <c r="Z368" s="123"/>
      <c r="AA368" s="123"/>
      <c r="AB368" s="8"/>
    </row>
    <row r="369" spans="26:28" x14ac:dyDescent="0.2">
      <c r="Z369" s="123"/>
      <c r="AA369" s="123"/>
      <c r="AB369" s="8"/>
    </row>
    <row r="370" spans="26:28" x14ac:dyDescent="0.2">
      <c r="Z370" s="123"/>
      <c r="AA370" s="123"/>
      <c r="AB370" s="8"/>
    </row>
    <row r="371" spans="26:28" x14ac:dyDescent="0.2">
      <c r="Z371" s="123"/>
      <c r="AA371" s="123"/>
      <c r="AB371" s="8"/>
    </row>
    <row r="372" spans="26:28" x14ac:dyDescent="0.2">
      <c r="Z372" s="123"/>
      <c r="AA372" s="123"/>
      <c r="AB372" s="8"/>
    </row>
    <row r="373" spans="26:28" x14ac:dyDescent="0.2">
      <c r="Z373" s="123"/>
      <c r="AA373" s="123"/>
      <c r="AB373" s="8"/>
    </row>
    <row r="374" spans="26:28" x14ac:dyDescent="0.2">
      <c r="Z374" s="123"/>
      <c r="AA374" s="123"/>
      <c r="AB374" s="8"/>
    </row>
    <row r="375" spans="26:28" x14ac:dyDescent="0.2">
      <c r="Z375" s="123"/>
      <c r="AA375" s="123"/>
      <c r="AB375" s="8"/>
    </row>
    <row r="376" spans="26:28" x14ac:dyDescent="0.2">
      <c r="Z376" s="123"/>
      <c r="AA376" s="123"/>
      <c r="AB376" s="8"/>
    </row>
    <row r="377" spans="26:28" x14ac:dyDescent="0.2">
      <c r="Z377" s="123"/>
      <c r="AA377" s="123"/>
      <c r="AB377" s="8"/>
    </row>
    <row r="378" spans="26:28" x14ac:dyDescent="0.2">
      <c r="Z378" s="123"/>
      <c r="AA378" s="123"/>
      <c r="AB378" s="8"/>
    </row>
    <row r="379" spans="26:28" x14ac:dyDescent="0.2">
      <c r="Z379" s="123"/>
      <c r="AA379" s="123"/>
      <c r="AB379" s="8"/>
    </row>
    <row r="380" spans="26:28" x14ac:dyDescent="0.2">
      <c r="Z380" s="123"/>
      <c r="AA380" s="123"/>
      <c r="AB380" s="8"/>
    </row>
    <row r="381" spans="26:28" x14ac:dyDescent="0.2">
      <c r="Z381" s="123"/>
      <c r="AA381" s="123"/>
      <c r="AB381" s="8"/>
    </row>
    <row r="382" spans="26:28" x14ac:dyDescent="0.2">
      <c r="Z382" s="123"/>
      <c r="AA382" s="123"/>
      <c r="AB382" s="8"/>
    </row>
    <row r="383" spans="26:28" x14ac:dyDescent="0.2">
      <c r="Z383" s="123"/>
      <c r="AA383" s="123"/>
      <c r="AB383" s="8"/>
    </row>
    <row r="384" spans="26:28" x14ac:dyDescent="0.2">
      <c r="Z384" s="123"/>
      <c r="AA384" s="123"/>
      <c r="AB384" s="8"/>
    </row>
    <row r="385" spans="26:28" x14ac:dyDescent="0.2">
      <c r="Z385" s="123"/>
      <c r="AA385" s="123"/>
      <c r="AB385" s="8"/>
    </row>
    <row r="386" spans="26:28" x14ac:dyDescent="0.2">
      <c r="Z386" s="123"/>
      <c r="AA386" s="123"/>
      <c r="AB386" s="8"/>
    </row>
    <row r="387" spans="26:28" x14ac:dyDescent="0.2">
      <c r="Z387" s="123"/>
      <c r="AA387" s="123"/>
      <c r="AB387" s="8"/>
    </row>
    <row r="388" spans="26:28" x14ac:dyDescent="0.2">
      <c r="Z388" s="123"/>
      <c r="AA388" s="123"/>
      <c r="AB388" s="8"/>
    </row>
    <row r="389" spans="26:28" x14ac:dyDescent="0.2">
      <c r="Z389" s="123"/>
      <c r="AA389" s="123"/>
      <c r="AB389" s="8"/>
    </row>
    <row r="390" spans="26:28" x14ac:dyDescent="0.2">
      <c r="Z390" s="123"/>
      <c r="AA390" s="123"/>
      <c r="AB390" s="8"/>
    </row>
    <row r="391" spans="26:28" x14ac:dyDescent="0.2">
      <c r="Z391" s="123"/>
      <c r="AA391" s="123"/>
      <c r="AB391" s="8"/>
    </row>
    <row r="392" spans="26:28" x14ac:dyDescent="0.2">
      <c r="Z392" s="123"/>
      <c r="AA392" s="123"/>
      <c r="AB392" s="8"/>
    </row>
    <row r="393" spans="26:28" x14ac:dyDescent="0.2">
      <c r="Z393" s="123"/>
      <c r="AA393" s="123"/>
      <c r="AB393" s="8"/>
    </row>
    <row r="394" spans="26:28" x14ac:dyDescent="0.2">
      <c r="Z394" s="123"/>
      <c r="AA394" s="123"/>
      <c r="AB394" s="8"/>
    </row>
    <row r="395" spans="26:28" x14ac:dyDescent="0.2">
      <c r="Z395" s="123"/>
      <c r="AA395" s="123"/>
      <c r="AB395" s="8"/>
    </row>
    <row r="396" spans="26:28" x14ac:dyDescent="0.2">
      <c r="Z396" s="123"/>
      <c r="AA396" s="123"/>
      <c r="AB396" s="8"/>
    </row>
    <row r="397" spans="26:28" x14ac:dyDescent="0.2">
      <c r="Z397" s="123"/>
      <c r="AA397" s="123"/>
      <c r="AB397" s="8"/>
    </row>
    <row r="398" spans="26:28" x14ac:dyDescent="0.2">
      <c r="Z398" s="123"/>
      <c r="AA398" s="123"/>
      <c r="AB398" s="8"/>
    </row>
    <row r="399" spans="26:28" x14ac:dyDescent="0.2">
      <c r="Z399" s="123"/>
      <c r="AA399" s="123"/>
      <c r="AB399" s="8"/>
    </row>
    <row r="400" spans="26:28" x14ac:dyDescent="0.2">
      <c r="Z400" s="123"/>
      <c r="AA400" s="123"/>
      <c r="AB400" s="8"/>
    </row>
    <row r="401" spans="26:28" x14ac:dyDescent="0.2">
      <c r="Z401" s="123"/>
      <c r="AA401" s="123"/>
      <c r="AB401" s="8"/>
    </row>
    <row r="402" spans="26:28" x14ac:dyDescent="0.2">
      <c r="Z402" s="123"/>
      <c r="AA402" s="123"/>
      <c r="AB402" s="8"/>
    </row>
    <row r="403" spans="26:28" x14ac:dyDescent="0.2">
      <c r="Z403" s="123"/>
      <c r="AA403" s="123"/>
      <c r="AB403" s="8"/>
    </row>
    <row r="404" spans="26:28" x14ac:dyDescent="0.2">
      <c r="Z404" s="123"/>
      <c r="AA404" s="123"/>
      <c r="AB404" s="8"/>
    </row>
    <row r="405" spans="26:28" x14ac:dyDescent="0.2">
      <c r="Z405" s="123"/>
      <c r="AA405" s="123"/>
      <c r="AB405" s="8"/>
    </row>
    <row r="406" spans="26:28" x14ac:dyDescent="0.2">
      <c r="Z406" s="123"/>
      <c r="AA406" s="123"/>
      <c r="AB406" s="8"/>
    </row>
    <row r="407" spans="26:28" x14ac:dyDescent="0.2">
      <c r="Z407" s="123"/>
      <c r="AA407" s="123"/>
      <c r="AB407" s="8"/>
    </row>
    <row r="408" spans="26:28" x14ac:dyDescent="0.2">
      <c r="Z408" s="123"/>
      <c r="AA408" s="123"/>
      <c r="AB408" s="8"/>
    </row>
    <row r="409" spans="26:28" x14ac:dyDescent="0.2">
      <c r="Z409" s="123"/>
      <c r="AA409" s="123"/>
      <c r="AB409" s="8"/>
    </row>
    <row r="410" spans="26:28" x14ac:dyDescent="0.2">
      <c r="Z410" s="123"/>
      <c r="AA410" s="123"/>
      <c r="AB410" s="8"/>
    </row>
    <row r="411" spans="26:28" x14ac:dyDescent="0.2">
      <c r="Z411" s="123"/>
      <c r="AA411" s="123"/>
      <c r="AB411" s="8"/>
    </row>
    <row r="412" spans="26:28" x14ac:dyDescent="0.2">
      <c r="Z412" s="123"/>
      <c r="AA412" s="123"/>
      <c r="AB412" s="8"/>
    </row>
    <row r="413" spans="26:28" x14ac:dyDescent="0.2">
      <c r="Z413" s="123"/>
      <c r="AA413" s="123"/>
      <c r="AB413" s="8"/>
    </row>
    <row r="414" spans="26:28" x14ac:dyDescent="0.2">
      <c r="Z414" s="123"/>
      <c r="AA414" s="123"/>
      <c r="AB414" s="8"/>
    </row>
    <row r="415" spans="26:28" x14ac:dyDescent="0.2">
      <c r="Z415" s="123"/>
      <c r="AA415" s="123"/>
      <c r="AB415" s="8"/>
    </row>
    <row r="416" spans="26:28" x14ac:dyDescent="0.2">
      <c r="Z416" s="123"/>
      <c r="AA416" s="123"/>
      <c r="AB416" s="8"/>
    </row>
    <row r="417" spans="26:28" x14ac:dyDescent="0.2">
      <c r="Z417" s="123"/>
      <c r="AA417" s="123"/>
      <c r="AB417" s="8"/>
    </row>
    <row r="418" spans="26:28" x14ac:dyDescent="0.2">
      <c r="Z418" s="123"/>
      <c r="AA418" s="123"/>
      <c r="AB418" s="8"/>
    </row>
    <row r="419" spans="26:28" x14ac:dyDescent="0.2">
      <c r="Z419" s="123"/>
      <c r="AA419" s="123"/>
      <c r="AB419" s="8"/>
    </row>
    <row r="420" spans="26:28" x14ac:dyDescent="0.2">
      <c r="Z420" s="123"/>
      <c r="AA420" s="123"/>
      <c r="AB420" s="8"/>
    </row>
    <row r="421" spans="26:28" x14ac:dyDescent="0.2">
      <c r="Z421" s="123"/>
      <c r="AA421" s="123"/>
      <c r="AB421" s="8"/>
    </row>
    <row r="422" spans="26:28" x14ac:dyDescent="0.2">
      <c r="Z422" s="123"/>
      <c r="AA422" s="123"/>
      <c r="AB422" s="8"/>
    </row>
    <row r="423" spans="26:28" x14ac:dyDescent="0.2">
      <c r="Z423" s="123"/>
      <c r="AA423" s="123"/>
      <c r="AB423" s="8"/>
    </row>
    <row r="424" spans="26:28" x14ac:dyDescent="0.2">
      <c r="Z424" s="123"/>
      <c r="AA424" s="123"/>
      <c r="AB424" s="8"/>
    </row>
    <row r="425" spans="26:28" x14ac:dyDescent="0.2">
      <c r="Z425" s="123"/>
      <c r="AA425" s="123"/>
      <c r="AB425" s="8"/>
    </row>
    <row r="426" spans="26:28" x14ac:dyDescent="0.2">
      <c r="Z426" s="123"/>
      <c r="AA426" s="123"/>
      <c r="AB426" s="8"/>
    </row>
    <row r="427" spans="26:28" x14ac:dyDescent="0.2">
      <c r="Z427" s="123"/>
      <c r="AA427" s="123"/>
      <c r="AB427" s="8"/>
    </row>
    <row r="428" spans="26:28" x14ac:dyDescent="0.2">
      <c r="Z428" s="123"/>
      <c r="AA428" s="123"/>
      <c r="AB428" s="8"/>
    </row>
    <row r="429" spans="26:28" x14ac:dyDescent="0.2">
      <c r="Z429" s="123"/>
      <c r="AA429" s="123"/>
      <c r="AB429" s="8"/>
    </row>
    <row r="430" spans="26:28" x14ac:dyDescent="0.2">
      <c r="Z430" s="123"/>
      <c r="AA430" s="123"/>
      <c r="AB430" s="8"/>
    </row>
    <row r="431" spans="26:28" x14ac:dyDescent="0.2">
      <c r="Z431" s="123"/>
      <c r="AA431" s="123"/>
      <c r="AB431" s="8"/>
    </row>
    <row r="432" spans="26:28" x14ac:dyDescent="0.2">
      <c r="Z432" s="123"/>
      <c r="AA432" s="123"/>
      <c r="AB432" s="8"/>
    </row>
    <row r="433" spans="26:28" x14ac:dyDescent="0.2">
      <c r="Z433" s="123"/>
      <c r="AA433" s="123"/>
      <c r="AB433" s="8"/>
    </row>
    <row r="434" spans="26:28" x14ac:dyDescent="0.2">
      <c r="Z434" s="123"/>
      <c r="AA434" s="123"/>
      <c r="AB434" s="8"/>
    </row>
    <row r="435" spans="26:28" x14ac:dyDescent="0.2">
      <c r="Z435" s="123"/>
      <c r="AA435" s="123"/>
      <c r="AB435" s="8"/>
    </row>
    <row r="436" spans="26:28" x14ac:dyDescent="0.2">
      <c r="Z436" s="123"/>
      <c r="AA436" s="123"/>
      <c r="AB436" s="8"/>
    </row>
    <row r="437" spans="26:28" x14ac:dyDescent="0.2">
      <c r="Z437" s="123"/>
      <c r="AA437" s="123"/>
      <c r="AB437" s="8"/>
    </row>
    <row r="438" spans="26:28" x14ac:dyDescent="0.2">
      <c r="Z438" s="123"/>
      <c r="AA438" s="123"/>
      <c r="AB438" s="8"/>
    </row>
    <row r="439" spans="26:28" x14ac:dyDescent="0.2">
      <c r="Z439" s="123"/>
      <c r="AA439" s="123"/>
      <c r="AB439" s="8"/>
    </row>
    <row r="440" spans="26:28" x14ac:dyDescent="0.2">
      <c r="Z440" s="123"/>
      <c r="AA440" s="123"/>
      <c r="AB440" s="8"/>
    </row>
    <row r="441" spans="26:28" x14ac:dyDescent="0.2">
      <c r="Z441" s="123"/>
      <c r="AA441" s="123"/>
      <c r="AB441" s="8"/>
    </row>
    <row r="442" spans="26:28" x14ac:dyDescent="0.2">
      <c r="Z442" s="123"/>
      <c r="AA442" s="123"/>
      <c r="AB442" s="8"/>
    </row>
    <row r="443" spans="26:28" x14ac:dyDescent="0.2">
      <c r="Z443" s="123"/>
      <c r="AA443" s="123"/>
      <c r="AB443" s="8"/>
    </row>
    <row r="444" spans="26:28" x14ac:dyDescent="0.2">
      <c r="Z444" s="123"/>
      <c r="AA444" s="123"/>
      <c r="AB444" s="8"/>
    </row>
    <row r="445" spans="26:28" x14ac:dyDescent="0.2">
      <c r="Z445" s="123"/>
      <c r="AA445" s="123"/>
      <c r="AB445" s="8"/>
    </row>
    <row r="446" spans="26:28" x14ac:dyDescent="0.2">
      <c r="Z446" s="123"/>
      <c r="AA446" s="123"/>
      <c r="AB446" s="8"/>
    </row>
    <row r="447" spans="26:28" x14ac:dyDescent="0.2">
      <c r="Z447" s="123"/>
      <c r="AA447" s="123"/>
      <c r="AB447" s="8"/>
    </row>
    <row r="448" spans="26:28" x14ac:dyDescent="0.2">
      <c r="Z448" s="123"/>
      <c r="AA448" s="123"/>
      <c r="AB448" s="8"/>
    </row>
    <row r="449" spans="26:28" x14ac:dyDescent="0.2">
      <c r="Z449" s="123"/>
      <c r="AA449" s="123"/>
      <c r="AB449" s="8"/>
    </row>
    <row r="450" spans="26:28" x14ac:dyDescent="0.2">
      <c r="Z450" s="123"/>
      <c r="AA450" s="123"/>
      <c r="AB450" s="8"/>
    </row>
    <row r="451" spans="26:28" x14ac:dyDescent="0.2">
      <c r="Z451" s="123"/>
      <c r="AA451" s="123"/>
      <c r="AB451" s="8"/>
    </row>
    <row r="452" spans="26:28" x14ac:dyDescent="0.2">
      <c r="Z452" s="123"/>
      <c r="AA452" s="123"/>
      <c r="AB452" s="8"/>
    </row>
    <row r="453" spans="26:28" x14ac:dyDescent="0.2">
      <c r="Z453" s="123"/>
      <c r="AA453" s="123"/>
      <c r="AB453" s="8"/>
    </row>
    <row r="454" spans="26:28" x14ac:dyDescent="0.2">
      <c r="Z454" s="123"/>
      <c r="AA454" s="123"/>
      <c r="AB454" s="8"/>
    </row>
    <row r="455" spans="26:28" x14ac:dyDescent="0.2">
      <c r="Z455" s="123"/>
      <c r="AA455" s="123"/>
      <c r="AB455" s="8"/>
    </row>
    <row r="456" spans="26:28" x14ac:dyDescent="0.2">
      <c r="Z456" s="123"/>
      <c r="AA456" s="123"/>
      <c r="AB456" s="8"/>
    </row>
    <row r="457" spans="26:28" x14ac:dyDescent="0.2">
      <c r="Z457" s="123"/>
      <c r="AA457" s="123"/>
      <c r="AB457" s="8"/>
    </row>
    <row r="458" spans="26:28" x14ac:dyDescent="0.2">
      <c r="Z458" s="123"/>
      <c r="AA458" s="123"/>
      <c r="AB458" s="8"/>
    </row>
    <row r="459" spans="26:28" x14ac:dyDescent="0.2">
      <c r="Z459" s="123"/>
      <c r="AA459" s="123"/>
      <c r="AB459" s="8"/>
    </row>
    <row r="460" spans="26:28" x14ac:dyDescent="0.2">
      <c r="Z460" s="123"/>
      <c r="AA460" s="123"/>
      <c r="AB460" s="8"/>
    </row>
    <row r="461" spans="26:28" x14ac:dyDescent="0.2">
      <c r="Z461" s="123"/>
      <c r="AA461" s="123"/>
      <c r="AB461" s="8"/>
    </row>
    <row r="462" spans="26:28" x14ac:dyDescent="0.2">
      <c r="Z462" s="123"/>
      <c r="AA462" s="123"/>
      <c r="AB462" s="8"/>
    </row>
    <row r="463" spans="26:28" x14ac:dyDescent="0.2">
      <c r="Z463" s="123"/>
      <c r="AA463" s="123"/>
      <c r="AB463" s="8"/>
    </row>
    <row r="464" spans="26:28" x14ac:dyDescent="0.2">
      <c r="Z464" s="123"/>
      <c r="AA464" s="123"/>
      <c r="AB464" s="8"/>
    </row>
    <row r="465" spans="26:28" x14ac:dyDescent="0.2">
      <c r="Z465" s="123"/>
      <c r="AA465" s="123"/>
      <c r="AB465" s="8"/>
    </row>
    <row r="466" spans="26:28" x14ac:dyDescent="0.2">
      <c r="Z466" s="123"/>
      <c r="AA466" s="123"/>
      <c r="AB466" s="8"/>
    </row>
    <row r="467" spans="26:28" x14ac:dyDescent="0.2">
      <c r="Z467" s="123"/>
      <c r="AA467" s="123"/>
      <c r="AB467" s="8"/>
    </row>
    <row r="468" spans="26:28" x14ac:dyDescent="0.2">
      <c r="Z468" s="123"/>
      <c r="AA468" s="123"/>
      <c r="AB468" s="8"/>
    </row>
    <row r="469" spans="26:28" x14ac:dyDescent="0.2">
      <c r="Z469" s="123"/>
      <c r="AA469" s="123"/>
      <c r="AB469" s="8"/>
    </row>
    <row r="470" spans="26:28" x14ac:dyDescent="0.2">
      <c r="Z470" s="123"/>
      <c r="AA470" s="123"/>
      <c r="AB470" s="8"/>
    </row>
    <row r="471" spans="26:28" x14ac:dyDescent="0.2">
      <c r="Z471" s="123"/>
      <c r="AA471" s="123"/>
      <c r="AB471" s="8"/>
    </row>
    <row r="472" spans="26:28" x14ac:dyDescent="0.2">
      <c r="Z472" s="123"/>
      <c r="AA472" s="123"/>
      <c r="AB472" s="8"/>
    </row>
    <row r="473" spans="26:28" x14ac:dyDescent="0.2">
      <c r="Z473" s="123"/>
      <c r="AA473" s="123"/>
      <c r="AB473" s="8"/>
    </row>
    <row r="474" spans="26:28" x14ac:dyDescent="0.2">
      <c r="Z474" s="123"/>
      <c r="AA474" s="123"/>
      <c r="AB474" s="8"/>
    </row>
    <row r="475" spans="26:28" x14ac:dyDescent="0.2">
      <c r="Z475" s="123"/>
      <c r="AA475" s="123"/>
      <c r="AB475" s="8"/>
    </row>
    <row r="476" spans="26:28" x14ac:dyDescent="0.2">
      <c r="Z476" s="123"/>
      <c r="AA476" s="123"/>
      <c r="AB476" s="8"/>
    </row>
    <row r="477" spans="26:28" x14ac:dyDescent="0.2">
      <c r="Z477" s="123"/>
      <c r="AA477" s="123"/>
      <c r="AB477" s="8"/>
    </row>
    <row r="478" spans="26:28" x14ac:dyDescent="0.2">
      <c r="Z478" s="123"/>
      <c r="AA478" s="123"/>
      <c r="AB478" s="8"/>
    </row>
    <row r="479" spans="26:28" x14ac:dyDescent="0.2">
      <c r="Z479" s="123"/>
      <c r="AA479" s="123"/>
      <c r="AB479" s="8"/>
    </row>
    <row r="480" spans="26:28" x14ac:dyDescent="0.2">
      <c r="Z480" s="123"/>
      <c r="AA480" s="123"/>
      <c r="AB480" s="8"/>
    </row>
    <row r="481" spans="26:28" x14ac:dyDescent="0.2">
      <c r="Z481" s="123"/>
      <c r="AA481" s="123"/>
      <c r="AB481" s="8"/>
    </row>
    <row r="482" spans="26:28" x14ac:dyDescent="0.2">
      <c r="Z482" s="123"/>
      <c r="AA482" s="123"/>
      <c r="AB482" s="8"/>
    </row>
    <row r="483" spans="26:28" x14ac:dyDescent="0.2">
      <c r="Z483" s="123"/>
      <c r="AA483" s="123"/>
      <c r="AB483" s="8"/>
    </row>
    <row r="484" spans="26:28" x14ac:dyDescent="0.2">
      <c r="Z484" s="123"/>
      <c r="AA484" s="123"/>
      <c r="AB484" s="8"/>
    </row>
    <row r="485" spans="26:28" x14ac:dyDescent="0.2">
      <c r="Z485" s="123"/>
      <c r="AA485" s="123"/>
      <c r="AB485" s="8"/>
    </row>
    <row r="486" spans="26:28" x14ac:dyDescent="0.2">
      <c r="Z486" s="123"/>
      <c r="AA486" s="123"/>
      <c r="AB486" s="8"/>
    </row>
    <row r="487" spans="26:28" x14ac:dyDescent="0.2">
      <c r="Z487" s="123"/>
      <c r="AA487" s="123"/>
      <c r="AB487" s="8"/>
    </row>
    <row r="488" spans="26:28" x14ac:dyDescent="0.2">
      <c r="Z488" s="123"/>
      <c r="AA488" s="123"/>
      <c r="AB488" s="8"/>
    </row>
    <row r="489" spans="26:28" x14ac:dyDescent="0.2">
      <c r="Z489" s="123"/>
      <c r="AA489" s="123"/>
      <c r="AB489" s="8"/>
    </row>
    <row r="490" spans="26:28" x14ac:dyDescent="0.2">
      <c r="Z490" s="123"/>
      <c r="AA490" s="123"/>
      <c r="AB490" s="8"/>
    </row>
    <row r="491" spans="26:28" x14ac:dyDescent="0.2">
      <c r="Z491" s="123"/>
      <c r="AA491" s="123"/>
      <c r="AB491" s="8"/>
    </row>
    <row r="492" spans="26:28" x14ac:dyDescent="0.2">
      <c r="Z492" s="123"/>
      <c r="AA492" s="123"/>
      <c r="AB492" s="8"/>
    </row>
    <row r="493" spans="26:28" x14ac:dyDescent="0.2">
      <c r="Z493" s="123"/>
      <c r="AA493" s="123"/>
      <c r="AB493" s="8"/>
    </row>
    <row r="494" spans="26:28" x14ac:dyDescent="0.2">
      <c r="Z494" s="123"/>
      <c r="AA494" s="123"/>
      <c r="AB494" s="8"/>
    </row>
    <row r="495" spans="26:28" x14ac:dyDescent="0.2">
      <c r="Z495" s="123"/>
      <c r="AA495" s="123"/>
      <c r="AB495" s="8"/>
    </row>
    <row r="496" spans="26:28" x14ac:dyDescent="0.2">
      <c r="Z496" s="123"/>
      <c r="AA496" s="123"/>
      <c r="AB496" s="8"/>
    </row>
    <row r="497" spans="26:28" x14ac:dyDescent="0.2">
      <c r="Z497" s="123"/>
      <c r="AA497" s="123"/>
      <c r="AB497" s="8"/>
    </row>
    <row r="498" spans="26:28" x14ac:dyDescent="0.2">
      <c r="Z498" s="123"/>
      <c r="AA498" s="123"/>
      <c r="AB498" s="8"/>
    </row>
    <row r="499" spans="26:28" x14ac:dyDescent="0.2">
      <c r="Z499" s="123"/>
      <c r="AA499" s="123"/>
      <c r="AB499" s="8"/>
    </row>
    <row r="500" spans="26:28" x14ac:dyDescent="0.2">
      <c r="Z500" s="123"/>
      <c r="AA500" s="123"/>
      <c r="AB500" s="8"/>
    </row>
    <row r="501" spans="26:28" x14ac:dyDescent="0.2">
      <c r="Z501" s="123"/>
      <c r="AA501" s="123"/>
      <c r="AB501" s="8"/>
    </row>
    <row r="502" spans="26:28" x14ac:dyDescent="0.2">
      <c r="Z502" s="123"/>
      <c r="AA502" s="123"/>
      <c r="AB502" s="8"/>
    </row>
    <row r="503" spans="26:28" x14ac:dyDescent="0.2">
      <c r="Z503" s="123"/>
      <c r="AA503" s="123"/>
      <c r="AB503" s="8"/>
    </row>
    <row r="504" spans="26:28" x14ac:dyDescent="0.2">
      <c r="Z504" s="123"/>
      <c r="AA504" s="123"/>
      <c r="AB504" s="8"/>
    </row>
    <row r="505" spans="26:28" x14ac:dyDescent="0.2">
      <c r="Z505" s="123"/>
      <c r="AA505" s="123"/>
      <c r="AB505" s="8"/>
    </row>
    <row r="506" spans="26:28" x14ac:dyDescent="0.2">
      <c r="Z506" s="123"/>
      <c r="AA506" s="123"/>
      <c r="AB506" s="8"/>
    </row>
    <row r="507" spans="26:28" x14ac:dyDescent="0.2">
      <c r="Z507" s="123"/>
      <c r="AA507" s="123"/>
      <c r="AB507" s="8"/>
    </row>
    <row r="508" spans="26:28" x14ac:dyDescent="0.2">
      <c r="Z508" s="123"/>
      <c r="AA508" s="123"/>
      <c r="AB508" s="8"/>
    </row>
    <row r="509" spans="26:28" x14ac:dyDescent="0.2">
      <c r="Z509" s="123"/>
      <c r="AA509" s="123"/>
      <c r="AB509" s="8"/>
    </row>
    <row r="510" spans="26:28" x14ac:dyDescent="0.2">
      <c r="Z510" s="123"/>
      <c r="AA510" s="123"/>
      <c r="AB510" s="8"/>
    </row>
    <row r="511" spans="26:28" x14ac:dyDescent="0.2">
      <c r="Z511" s="123"/>
      <c r="AA511" s="123"/>
      <c r="AB511" s="8"/>
    </row>
    <row r="512" spans="26:28" x14ac:dyDescent="0.2">
      <c r="Z512" s="123"/>
      <c r="AA512" s="123"/>
      <c r="AB512" s="8"/>
    </row>
    <row r="513" spans="26:28" x14ac:dyDescent="0.2">
      <c r="Z513" s="123"/>
      <c r="AA513" s="123"/>
      <c r="AB513" s="8"/>
    </row>
    <row r="514" spans="26:28" x14ac:dyDescent="0.2">
      <c r="Z514" s="123"/>
      <c r="AA514" s="123"/>
      <c r="AB514" s="8"/>
    </row>
    <row r="515" spans="26:28" x14ac:dyDescent="0.2">
      <c r="Z515" s="123"/>
      <c r="AA515" s="123"/>
      <c r="AB515" s="8"/>
    </row>
    <row r="516" spans="26:28" x14ac:dyDescent="0.2">
      <c r="Z516" s="123"/>
      <c r="AA516" s="123"/>
      <c r="AB516" s="8"/>
    </row>
    <row r="517" spans="26:28" x14ac:dyDescent="0.2">
      <c r="Z517" s="123"/>
      <c r="AA517" s="123"/>
      <c r="AB517" s="8"/>
    </row>
    <row r="518" spans="26:28" x14ac:dyDescent="0.2">
      <c r="Z518" s="123"/>
      <c r="AA518" s="123"/>
      <c r="AB518" s="8"/>
    </row>
    <row r="519" spans="26:28" x14ac:dyDescent="0.2">
      <c r="Z519" s="123"/>
      <c r="AA519" s="123"/>
      <c r="AB519" s="8"/>
    </row>
    <row r="520" spans="26:28" x14ac:dyDescent="0.2">
      <c r="Z520" s="123"/>
      <c r="AA520" s="123"/>
      <c r="AB520" s="8"/>
    </row>
    <row r="521" spans="26:28" x14ac:dyDescent="0.2">
      <c r="Z521" s="123"/>
      <c r="AA521" s="123"/>
      <c r="AB521" s="8"/>
    </row>
    <row r="522" spans="26:28" x14ac:dyDescent="0.2">
      <c r="Z522" s="123"/>
      <c r="AA522" s="123"/>
      <c r="AB522" s="8"/>
    </row>
    <row r="523" spans="26:28" x14ac:dyDescent="0.2">
      <c r="Z523" s="123"/>
      <c r="AA523" s="123"/>
      <c r="AB523" s="8"/>
    </row>
    <row r="524" spans="26:28" x14ac:dyDescent="0.2">
      <c r="Z524" s="123"/>
      <c r="AA524" s="123"/>
      <c r="AB524" s="8"/>
    </row>
    <row r="525" spans="26:28" x14ac:dyDescent="0.2">
      <c r="Z525" s="123"/>
      <c r="AA525" s="123"/>
      <c r="AB525" s="8"/>
    </row>
    <row r="526" spans="26:28" x14ac:dyDescent="0.2">
      <c r="Z526" s="123"/>
      <c r="AA526" s="123"/>
      <c r="AB526" s="8"/>
    </row>
    <row r="527" spans="26:28" x14ac:dyDescent="0.2">
      <c r="Z527" s="123"/>
      <c r="AA527" s="123"/>
      <c r="AB527" s="8"/>
    </row>
    <row r="528" spans="26:28" x14ac:dyDescent="0.2">
      <c r="Z528" s="123"/>
      <c r="AA528" s="123"/>
      <c r="AB528" s="8"/>
    </row>
    <row r="529" spans="26:28" x14ac:dyDescent="0.2">
      <c r="Z529" s="123"/>
      <c r="AA529" s="123"/>
      <c r="AB529" s="8"/>
    </row>
    <row r="530" spans="26:28" x14ac:dyDescent="0.2">
      <c r="Z530" s="123"/>
      <c r="AA530" s="123"/>
      <c r="AB530" s="8"/>
    </row>
    <row r="531" spans="26:28" x14ac:dyDescent="0.2">
      <c r="Z531" s="123"/>
      <c r="AA531" s="123"/>
      <c r="AB531" s="8"/>
    </row>
    <row r="532" spans="26:28" x14ac:dyDescent="0.2">
      <c r="Z532" s="123"/>
      <c r="AA532" s="123"/>
      <c r="AB532" s="8"/>
    </row>
    <row r="533" spans="26:28" x14ac:dyDescent="0.2">
      <c r="Z533" s="123"/>
      <c r="AA533" s="123"/>
      <c r="AB533" s="8"/>
    </row>
    <row r="534" spans="26:28" x14ac:dyDescent="0.2">
      <c r="Z534" s="123"/>
      <c r="AA534" s="123"/>
      <c r="AB534" s="8"/>
    </row>
    <row r="535" spans="26:28" x14ac:dyDescent="0.2">
      <c r="Z535" s="123"/>
      <c r="AA535" s="123"/>
      <c r="AB535" s="8"/>
    </row>
    <row r="536" spans="26:28" x14ac:dyDescent="0.2">
      <c r="Z536" s="123"/>
      <c r="AA536" s="123"/>
      <c r="AB536" s="8"/>
    </row>
    <row r="537" spans="26:28" x14ac:dyDescent="0.2">
      <c r="Z537" s="123"/>
      <c r="AA537" s="123"/>
      <c r="AB537" s="8"/>
    </row>
    <row r="538" spans="26:28" x14ac:dyDescent="0.2">
      <c r="Z538" s="123"/>
      <c r="AA538" s="123"/>
      <c r="AB538" s="8"/>
    </row>
    <row r="539" spans="26:28" x14ac:dyDescent="0.2">
      <c r="Z539" s="123"/>
      <c r="AA539" s="123"/>
      <c r="AB539" s="8"/>
    </row>
    <row r="540" spans="26:28" x14ac:dyDescent="0.2">
      <c r="Z540" s="123"/>
      <c r="AA540" s="123"/>
      <c r="AB540" s="8"/>
    </row>
    <row r="541" spans="26:28" x14ac:dyDescent="0.2">
      <c r="Z541" s="123"/>
      <c r="AA541" s="123"/>
      <c r="AB541" s="8"/>
    </row>
    <row r="542" spans="26:28" x14ac:dyDescent="0.2">
      <c r="Z542" s="123"/>
      <c r="AA542" s="123"/>
      <c r="AB542" s="8"/>
    </row>
    <row r="543" spans="26:28" x14ac:dyDescent="0.2">
      <c r="Z543" s="123"/>
      <c r="AA543" s="123"/>
      <c r="AB543" s="8"/>
    </row>
    <row r="544" spans="26:28" x14ac:dyDescent="0.2">
      <c r="Z544" s="123"/>
      <c r="AA544" s="123"/>
      <c r="AB544" s="8"/>
    </row>
    <row r="545" spans="26:28" x14ac:dyDescent="0.2">
      <c r="Z545" s="123"/>
      <c r="AA545" s="123"/>
      <c r="AB545" s="8"/>
    </row>
    <row r="546" spans="26:28" x14ac:dyDescent="0.2">
      <c r="Z546" s="123"/>
      <c r="AA546" s="123"/>
      <c r="AB546" s="8"/>
    </row>
    <row r="547" spans="26:28" x14ac:dyDescent="0.2">
      <c r="Z547" s="123"/>
      <c r="AA547" s="123"/>
      <c r="AB547" s="8"/>
    </row>
    <row r="548" spans="26:28" x14ac:dyDescent="0.2">
      <c r="Z548" s="123"/>
      <c r="AA548" s="123"/>
      <c r="AB548" s="8"/>
    </row>
    <row r="549" spans="26:28" x14ac:dyDescent="0.2">
      <c r="Z549" s="123"/>
      <c r="AA549" s="123"/>
      <c r="AB549" s="8"/>
    </row>
    <row r="550" spans="26:28" x14ac:dyDescent="0.2">
      <c r="Z550" s="123"/>
      <c r="AA550" s="123"/>
      <c r="AB550" s="8"/>
    </row>
    <row r="551" spans="26:28" x14ac:dyDescent="0.2">
      <c r="Z551" s="123"/>
      <c r="AA551" s="123"/>
      <c r="AB551" s="8"/>
    </row>
    <row r="552" spans="26:28" x14ac:dyDescent="0.2">
      <c r="Z552" s="123"/>
      <c r="AA552" s="123"/>
      <c r="AB552" s="8"/>
    </row>
    <row r="553" spans="26:28" x14ac:dyDescent="0.2">
      <c r="Z553" s="123"/>
      <c r="AA553" s="123"/>
      <c r="AB553" s="8"/>
    </row>
    <row r="554" spans="26:28" x14ac:dyDescent="0.2">
      <c r="Z554" s="123"/>
      <c r="AA554" s="123"/>
      <c r="AB554" s="8"/>
    </row>
    <row r="555" spans="26:28" x14ac:dyDescent="0.2">
      <c r="Z555" s="123"/>
      <c r="AA555" s="123"/>
      <c r="AB555" s="8"/>
    </row>
    <row r="556" spans="26:28" x14ac:dyDescent="0.2">
      <c r="Z556" s="123"/>
      <c r="AA556" s="123"/>
      <c r="AB556" s="8"/>
    </row>
    <row r="557" spans="26:28" x14ac:dyDescent="0.2">
      <c r="Z557" s="123"/>
      <c r="AA557" s="123"/>
      <c r="AB557" s="8"/>
    </row>
    <row r="558" spans="26:28" x14ac:dyDescent="0.2">
      <c r="Z558" s="123"/>
      <c r="AA558" s="123"/>
      <c r="AB558" s="8"/>
    </row>
    <row r="559" spans="26:28" x14ac:dyDescent="0.2">
      <c r="Z559" s="123"/>
      <c r="AA559" s="123"/>
      <c r="AB559" s="8"/>
    </row>
    <row r="560" spans="26:28" x14ac:dyDescent="0.2">
      <c r="Z560" s="123"/>
      <c r="AA560" s="123"/>
      <c r="AB560" s="8"/>
    </row>
    <row r="561" spans="26:28" x14ac:dyDescent="0.2">
      <c r="Z561" s="123"/>
      <c r="AA561" s="123"/>
      <c r="AB561" s="8"/>
    </row>
    <row r="562" spans="26:28" x14ac:dyDescent="0.2">
      <c r="Z562" s="123"/>
      <c r="AA562" s="123"/>
      <c r="AB562" s="8"/>
    </row>
    <row r="563" spans="26:28" x14ac:dyDescent="0.2">
      <c r="Z563" s="123"/>
      <c r="AA563" s="123"/>
      <c r="AB563" s="8"/>
    </row>
    <row r="564" spans="26:28" x14ac:dyDescent="0.2">
      <c r="Z564" s="123"/>
      <c r="AA564" s="123"/>
      <c r="AB564" s="8"/>
    </row>
    <row r="565" spans="26:28" x14ac:dyDescent="0.2">
      <c r="Z565" s="123"/>
      <c r="AA565" s="123"/>
      <c r="AB565" s="8"/>
    </row>
    <row r="566" spans="26:28" x14ac:dyDescent="0.2">
      <c r="Z566" s="123"/>
      <c r="AA566" s="123"/>
      <c r="AB566" s="8"/>
    </row>
    <row r="567" spans="26:28" x14ac:dyDescent="0.2">
      <c r="Z567" s="123"/>
      <c r="AA567" s="123"/>
      <c r="AB567" s="8"/>
    </row>
    <row r="568" spans="26:28" x14ac:dyDescent="0.2">
      <c r="Z568" s="123"/>
      <c r="AA568" s="123"/>
      <c r="AB568" s="8"/>
    </row>
    <row r="569" spans="26:28" x14ac:dyDescent="0.2">
      <c r="Z569" s="123"/>
      <c r="AA569" s="123"/>
      <c r="AB569" s="8"/>
    </row>
    <row r="570" spans="26:28" x14ac:dyDescent="0.2">
      <c r="Z570" s="123"/>
      <c r="AA570" s="123"/>
      <c r="AB570" s="8"/>
    </row>
    <row r="571" spans="26:28" x14ac:dyDescent="0.2">
      <c r="Z571" s="123"/>
      <c r="AA571" s="123"/>
      <c r="AB571" s="8"/>
    </row>
    <row r="572" spans="26:28" x14ac:dyDescent="0.2">
      <c r="Z572" s="123"/>
      <c r="AA572" s="123"/>
      <c r="AB572" s="8"/>
    </row>
    <row r="573" spans="26:28" x14ac:dyDescent="0.2">
      <c r="Z573" s="123"/>
      <c r="AA573" s="123"/>
      <c r="AB573" s="8"/>
    </row>
    <row r="574" spans="26:28" x14ac:dyDescent="0.2">
      <c r="Z574" s="123"/>
      <c r="AA574" s="123"/>
      <c r="AB574" s="8"/>
    </row>
    <row r="575" spans="26:28" x14ac:dyDescent="0.2">
      <c r="Z575" s="123"/>
      <c r="AA575" s="123"/>
      <c r="AB575" s="8"/>
    </row>
    <row r="576" spans="26:28" x14ac:dyDescent="0.2">
      <c r="Z576" s="123"/>
      <c r="AA576" s="123"/>
      <c r="AB576" s="8"/>
    </row>
    <row r="577" spans="26:28" x14ac:dyDescent="0.2">
      <c r="Z577" s="123"/>
      <c r="AA577" s="123"/>
      <c r="AB577" s="8"/>
    </row>
    <row r="578" spans="26:28" x14ac:dyDescent="0.2">
      <c r="Z578" s="123"/>
      <c r="AA578" s="123"/>
      <c r="AB578" s="8"/>
    </row>
    <row r="579" spans="26:28" x14ac:dyDescent="0.2">
      <c r="Z579" s="123"/>
      <c r="AA579" s="123"/>
      <c r="AB579" s="8"/>
    </row>
    <row r="580" spans="26:28" x14ac:dyDescent="0.2">
      <c r="Z580" s="123"/>
      <c r="AA580" s="123"/>
      <c r="AB580" s="8"/>
    </row>
    <row r="581" spans="26:28" x14ac:dyDescent="0.2">
      <c r="Z581" s="123"/>
      <c r="AA581" s="123"/>
      <c r="AB581" s="8"/>
    </row>
    <row r="582" spans="26:28" x14ac:dyDescent="0.2">
      <c r="Z582" s="123"/>
      <c r="AA582" s="123"/>
      <c r="AB582" s="8"/>
    </row>
    <row r="583" spans="26:28" x14ac:dyDescent="0.2">
      <c r="Z583" s="123"/>
      <c r="AA583" s="123"/>
      <c r="AB583" s="8"/>
    </row>
    <row r="584" spans="26:28" x14ac:dyDescent="0.2">
      <c r="Z584" s="123"/>
      <c r="AA584" s="123"/>
      <c r="AB584" s="8"/>
    </row>
    <row r="585" spans="26:28" x14ac:dyDescent="0.2">
      <c r="Z585" s="123"/>
      <c r="AA585" s="123"/>
      <c r="AB585" s="8"/>
    </row>
    <row r="586" spans="26:28" x14ac:dyDescent="0.2">
      <c r="Z586" s="123"/>
      <c r="AA586" s="123"/>
      <c r="AB586" s="8"/>
    </row>
    <row r="587" spans="26:28" x14ac:dyDescent="0.2">
      <c r="Z587" s="123"/>
      <c r="AA587" s="123"/>
      <c r="AB587" s="8"/>
    </row>
    <row r="588" spans="26:28" x14ac:dyDescent="0.2">
      <c r="Z588" s="123"/>
      <c r="AA588" s="123"/>
      <c r="AB588" s="8"/>
    </row>
    <row r="589" spans="26:28" x14ac:dyDescent="0.2">
      <c r="Z589" s="123"/>
      <c r="AA589" s="123"/>
      <c r="AB589" s="8"/>
    </row>
    <row r="590" spans="26:28" x14ac:dyDescent="0.2">
      <c r="Z590" s="123"/>
      <c r="AA590" s="123"/>
      <c r="AB590" s="8"/>
    </row>
    <row r="591" spans="26:28" x14ac:dyDescent="0.2">
      <c r="Z591" s="123"/>
      <c r="AA591" s="123"/>
      <c r="AB591" s="8"/>
    </row>
    <row r="592" spans="26:28" x14ac:dyDescent="0.2">
      <c r="Z592" s="123"/>
      <c r="AA592" s="123"/>
      <c r="AB592" s="8"/>
    </row>
    <row r="593" spans="26:28" x14ac:dyDescent="0.2">
      <c r="Z593" s="123"/>
      <c r="AA593" s="123"/>
      <c r="AB593" s="8"/>
    </row>
    <row r="594" spans="26:28" x14ac:dyDescent="0.2">
      <c r="Z594" s="123"/>
      <c r="AA594" s="123"/>
      <c r="AB594" s="8"/>
    </row>
    <row r="595" spans="26:28" x14ac:dyDescent="0.2">
      <c r="Z595" s="123"/>
      <c r="AA595" s="123"/>
      <c r="AB595" s="8"/>
    </row>
    <row r="596" spans="26:28" x14ac:dyDescent="0.2">
      <c r="Z596" s="123"/>
      <c r="AA596" s="123"/>
      <c r="AB596" s="8"/>
    </row>
    <row r="597" spans="26:28" x14ac:dyDescent="0.2">
      <c r="Z597" s="123"/>
      <c r="AA597" s="123"/>
      <c r="AB597" s="8"/>
    </row>
    <row r="598" spans="26:28" x14ac:dyDescent="0.2">
      <c r="Z598" s="123"/>
      <c r="AA598" s="123"/>
      <c r="AB598" s="8"/>
    </row>
    <row r="599" spans="26:28" x14ac:dyDescent="0.2">
      <c r="Z599" s="123"/>
      <c r="AA599" s="123"/>
      <c r="AB599" s="8"/>
    </row>
    <row r="600" spans="26:28" x14ac:dyDescent="0.2">
      <c r="Z600" s="123"/>
      <c r="AA600" s="123"/>
      <c r="AB600" s="8"/>
    </row>
    <row r="601" spans="26:28" x14ac:dyDescent="0.2">
      <c r="Z601" s="123"/>
      <c r="AA601" s="123"/>
      <c r="AB601" s="8"/>
    </row>
    <row r="602" spans="26:28" x14ac:dyDescent="0.2">
      <c r="Z602" s="123"/>
      <c r="AA602" s="123"/>
      <c r="AB602" s="8"/>
    </row>
    <row r="603" spans="26:28" x14ac:dyDescent="0.2">
      <c r="Z603" s="123"/>
      <c r="AA603" s="123"/>
      <c r="AB603" s="8"/>
    </row>
    <row r="604" spans="26:28" x14ac:dyDescent="0.2">
      <c r="Z604" s="123"/>
      <c r="AA604" s="123"/>
      <c r="AB604" s="8"/>
    </row>
    <row r="605" spans="26:28" x14ac:dyDescent="0.2">
      <c r="Z605" s="123"/>
      <c r="AA605" s="123"/>
      <c r="AB605" s="8"/>
    </row>
    <row r="606" spans="26:28" x14ac:dyDescent="0.2">
      <c r="Z606" s="123"/>
      <c r="AA606" s="123"/>
      <c r="AB606" s="8"/>
    </row>
    <row r="607" spans="26:28" x14ac:dyDescent="0.2">
      <c r="Z607" s="123"/>
      <c r="AA607" s="123"/>
      <c r="AB607" s="8"/>
    </row>
    <row r="608" spans="26:28" x14ac:dyDescent="0.2">
      <c r="Z608" s="123"/>
      <c r="AA608" s="123"/>
      <c r="AB608" s="8"/>
    </row>
    <row r="609" spans="26:28" x14ac:dyDescent="0.2">
      <c r="Z609" s="123"/>
      <c r="AA609" s="123"/>
      <c r="AB609" s="8"/>
    </row>
    <row r="610" spans="26:28" x14ac:dyDescent="0.2">
      <c r="Z610" s="123"/>
      <c r="AA610" s="123"/>
      <c r="AB610" s="8"/>
    </row>
    <row r="611" spans="26:28" x14ac:dyDescent="0.2">
      <c r="Z611" s="123"/>
      <c r="AA611" s="123"/>
      <c r="AB611" s="8"/>
    </row>
    <row r="612" spans="26:28" x14ac:dyDescent="0.2">
      <c r="Z612" s="123"/>
      <c r="AA612" s="123"/>
      <c r="AB612" s="8"/>
    </row>
    <row r="613" spans="26:28" x14ac:dyDescent="0.2">
      <c r="Z613" s="123"/>
      <c r="AA613" s="123"/>
      <c r="AB613" s="8"/>
    </row>
    <row r="614" spans="26:28" x14ac:dyDescent="0.2">
      <c r="Z614" s="123"/>
      <c r="AA614" s="123"/>
      <c r="AB614" s="8"/>
    </row>
    <row r="615" spans="26:28" x14ac:dyDescent="0.2">
      <c r="Z615" s="123"/>
      <c r="AA615" s="123"/>
      <c r="AB615" s="8"/>
    </row>
    <row r="616" spans="26:28" x14ac:dyDescent="0.2">
      <c r="Z616" s="123"/>
      <c r="AA616" s="123"/>
      <c r="AB616" s="8"/>
    </row>
    <row r="617" spans="26:28" x14ac:dyDescent="0.2">
      <c r="Z617" s="123"/>
      <c r="AA617" s="123"/>
      <c r="AB617" s="8"/>
    </row>
    <row r="618" spans="26:28" x14ac:dyDescent="0.2">
      <c r="Z618" s="123"/>
      <c r="AA618" s="123"/>
      <c r="AB618" s="8"/>
    </row>
    <row r="619" spans="26:28" x14ac:dyDescent="0.2">
      <c r="Z619" s="123"/>
      <c r="AA619" s="123"/>
      <c r="AB619" s="8"/>
    </row>
    <row r="620" spans="26:28" x14ac:dyDescent="0.2">
      <c r="Z620" s="123"/>
      <c r="AA620" s="123"/>
      <c r="AB620" s="8"/>
    </row>
    <row r="621" spans="26:28" x14ac:dyDescent="0.2">
      <c r="Z621" s="123"/>
      <c r="AA621" s="123"/>
      <c r="AB621" s="8"/>
    </row>
    <row r="622" spans="26:28" x14ac:dyDescent="0.2">
      <c r="Z622" s="123"/>
      <c r="AA622" s="123"/>
      <c r="AB622" s="8"/>
    </row>
    <row r="623" spans="26:28" x14ac:dyDescent="0.2">
      <c r="Z623" s="123"/>
      <c r="AA623" s="123"/>
      <c r="AB623" s="8"/>
    </row>
    <row r="624" spans="26:28" x14ac:dyDescent="0.2">
      <c r="Z624" s="123"/>
      <c r="AA624" s="123"/>
      <c r="AB624" s="8"/>
    </row>
    <row r="625" spans="26:28" x14ac:dyDescent="0.2">
      <c r="Z625" s="123"/>
      <c r="AA625" s="123"/>
      <c r="AB625" s="8"/>
    </row>
    <row r="626" spans="26:28" x14ac:dyDescent="0.2">
      <c r="Z626" s="123"/>
      <c r="AA626" s="123"/>
      <c r="AB626" s="8"/>
    </row>
    <row r="627" spans="26:28" x14ac:dyDescent="0.2">
      <c r="Z627" s="123"/>
      <c r="AA627" s="123"/>
      <c r="AB627" s="8"/>
    </row>
    <row r="628" spans="26:28" x14ac:dyDescent="0.2">
      <c r="Z628" s="123"/>
      <c r="AA628" s="123"/>
      <c r="AB628" s="8"/>
    </row>
    <row r="629" spans="26:28" x14ac:dyDescent="0.2">
      <c r="Z629" s="123"/>
      <c r="AA629" s="123"/>
      <c r="AB629" s="8"/>
    </row>
    <row r="630" spans="26:28" x14ac:dyDescent="0.2">
      <c r="Z630" s="123"/>
      <c r="AA630" s="123"/>
      <c r="AB630" s="8"/>
    </row>
    <row r="631" spans="26:28" x14ac:dyDescent="0.2">
      <c r="Z631" s="123"/>
      <c r="AA631" s="123"/>
      <c r="AB631" s="8"/>
    </row>
    <row r="632" spans="26:28" x14ac:dyDescent="0.2">
      <c r="Z632" s="123"/>
      <c r="AA632" s="123"/>
      <c r="AB632" s="8"/>
    </row>
    <row r="633" spans="26:28" x14ac:dyDescent="0.2">
      <c r="Z633" s="123"/>
      <c r="AA633" s="123"/>
      <c r="AB633" s="8"/>
    </row>
    <row r="634" spans="26:28" x14ac:dyDescent="0.2">
      <c r="Z634" s="123"/>
      <c r="AA634" s="123"/>
      <c r="AB634" s="8"/>
    </row>
    <row r="635" spans="26:28" x14ac:dyDescent="0.2">
      <c r="Z635" s="123"/>
      <c r="AA635" s="123"/>
      <c r="AB635" s="8"/>
    </row>
    <row r="636" spans="26:28" x14ac:dyDescent="0.2">
      <c r="Z636" s="123"/>
      <c r="AA636" s="123"/>
      <c r="AB636" s="8"/>
    </row>
    <row r="637" spans="26:28" x14ac:dyDescent="0.2">
      <c r="Z637" s="123"/>
      <c r="AA637" s="123"/>
      <c r="AB637" s="8"/>
    </row>
    <row r="638" spans="26:28" x14ac:dyDescent="0.2">
      <c r="Z638" s="123"/>
      <c r="AA638" s="123"/>
      <c r="AB638" s="8"/>
    </row>
    <row r="639" spans="26:28" x14ac:dyDescent="0.2">
      <c r="Z639" s="123"/>
      <c r="AA639" s="123"/>
      <c r="AB639" s="8"/>
    </row>
    <row r="640" spans="26:28" x14ac:dyDescent="0.2">
      <c r="Z640" s="123"/>
      <c r="AA640" s="123"/>
      <c r="AB640" s="8"/>
    </row>
    <row r="641" spans="26:28" x14ac:dyDescent="0.2">
      <c r="Z641" s="123"/>
      <c r="AA641" s="123"/>
      <c r="AB641" s="8"/>
    </row>
    <row r="642" spans="26:28" x14ac:dyDescent="0.2">
      <c r="Z642" s="123"/>
      <c r="AA642" s="123"/>
      <c r="AB642" s="8"/>
    </row>
    <row r="643" spans="26:28" x14ac:dyDescent="0.2">
      <c r="Z643" s="123"/>
      <c r="AA643" s="123"/>
      <c r="AB643" s="8"/>
    </row>
    <row r="644" spans="26:28" x14ac:dyDescent="0.2">
      <c r="Z644" s="123"/>
      <c r="AA644" s="123"/>
      <c r="AB644" s="8"/>
    </row>
    <row r="645" spans="26:28" x14ac:dyDescent="0.2">
      <c r="Z645" s="123"/>
      <c r="AA645" s="123"/>
      <c r="AB645" s="8"/>
    </row>
    <row r="646" spans="26:28" x14ac:dyDescent="0.2">
      <c r="Z646" s="123"/>
      <c r="AA646" s="123"/>
      <c r="AB646" s="8"/>
    </row>
    <row r="647" spans="26:28" x14ac:dyDescent="0.2">
      <c r="Z647" s="123"/>
      <c r="AA647" s="123"/>
      <c r="AB647" s="8"/>
    </row>
    <row r="648" spans="26:28" x14ac:dyDescent="0.2">
      <c r="Z648" s="123"/>
      <c r="AA648" s="123"/>
      <c r="AB648" s="8"/>
    </row>
    <row r="649" spans="26:28" x14ac:dyDescent="0.2">
      <c r="Z649" s="123"/>
      <c r="AA649" s="123"/>
      <c r="AB649" s="8"/>
    </row>
    <row r="650" spans="26:28" x14ac:dyDescent="0.2">
      <c r="Z650" s="123"/>
      <c r="AA650" s="123"/>
      <c r="AB650" s="8"/>
    </row>
    <row r="651" spans="26:28" x14ac:dyDescent="0.2">
      <c r="Z651" s="123"/>
      <c r="AA651" s="123"/>
      <c r="AB651" s="8"/>
    </row>
    <row r="652" spans="26:28" x14ac:dyDescent="0.2">
      <c r="Z652" s="123"/>
      <c r="AA652" s="123"/>
      <c r="AB652" s="8"/>
    </row>
    <row r="653" spans="26:28" x14ac:dyDescent="0.2">
      <c r="Z653" s="123"/>
      <c r="AA653" s="123"/>
      <c r="AB653" s="8"/>
    </row>
    <row r="654" spans="26:28" x14ac:dyDescent="0.2">
      <c r="Z654" s="123"/>
      <c r="AA654" s="123"/>
      <c r="AB654" s="8"/>
    </row>
    <row r="655" spans="26:28" x14ac:dyDescent="0.2">
      <c r="Z655" s="123"/>
      <c r="AA655" s="123"/>
      <c r="AB655" s="8"/>
    </row>
    <row r="656" spans="26:28" x14ac:dyDescent="0.2">
      <c r="Z656" s="123"/>
      <c r="AA656" s="123"/>
      <c r="AB656" s="8"/>
    </row>
    <row r="657" spans="26:28" x14ac:dyDescent="0.2">
      <c r="Z657" s="123"/>
      <c r="AA657" s="123"/>
      <c r="AB657" s="8"/>
    </row>
    <row r="658" spans="26:28" x14ac:dyDescent="0.2">
      <c r="Z658" s="123"/>
      <c r="AA658" s="123"/>
      <c r="AB658" s="8"/>
    </row>
    <row r="659" spans="26:28" x14ac:dyDescent="0.2">
      <c r="Z659" s="123"/>
      <c r="AA659" s="123"/>
      <c r="AB659" s="8"/>
    </row>
    <row r="660" spans="26:28" x14ac:dyDescent="0.2">
      <c r="Z660" s="123"/>
      <c r="AA660" s="123"/>
      <c r="AB660" s="8"/>
    </row>
    <row r="661" spans="26:28" x14ac:dyDescent="0.2">
      <c r="Z661" s="123"/>
      <c r="AA661" s="123"/>
      <c r="AB661" s="8"/>
    </row>
    <row r="662" spans="26:28" x14ac:dyDescent="0.2">
      <c r="Z662" s="123"/>
      <c r="AA662" s="123"/>
      <c r="AB662" s="8"/>
    </row>
    <row r="663" spans="26:28" x14ac:dyDescent="0.2">
      <c r="Z663" s="123"/>
      <c r="AA663" s="123"/>
      <c r="AB663" s="8"/>
    </row>
    <row r="664" spans="26:28" x14ac:dyDescent="0.2">
      <c r="Z664" s="123"/>
      <c r="AA664" s="123"/>
      <c r="AB664" s="8"/>
    </row>
    <row r="665" spans="26:28" x14ac:dyDescent="0.2">
      <c r="Z665" s="123"/>
      <c r="AA665" s="123"/>
      <c r="AB665" s="8"/>
    </row>
    <row r="666" spans="26:28" x14ac:dyDescent="0.2">
      <c r="Z666" s="123"/>
      <c r="AA666" s="123"/>
      <c r="AB666" s="8"/>
    </row>
    <row r="667" spans="26:28" x14ac:dyDescent="0.2">
      <c r="Z667" s="123"/>
      <c r="AA667" s="123"/>
      <c r="AB667" s="8"/>
    </row>
    <row r="668" spans="26:28" x14ac:dyDescent="0.2">
      <c r="Z668" s="123"/>
      <c r="AA668" s="123"/>
      <c r="AB668" s="8"/>
    </row>
    <row r="669" spans="26:28" x14ac:dyDescent="0.2">
      <c r="Z669" s="123"/>
      <c r="AA669" s="123"/>
      <c r="AB669" s="8"/>
    </row>
    <row r="670" spans="26:28" x14ac:dyDescent="0.2">
      <c r="Z670" s="123"/>
      <c r="AA670" s="123"/>
      <c r="AB670" s="8"/>
    </row>
    <row r="671" spans="26:28" x14ac:dyDescent="0.2">
      <c r="Z671" s="123"/>
      <c r="AA671" s="123"/>
      <c r="AB671" s="8"/>
    </row>
    <row r="672" spans="26:28" x14ac:dyDescent="0.2">
      <c r="Z672" s="123"/>
      <c r="AA672" s="123"/>
      <c r="AB672" s="8"/>
    </row>
    <row r="673" spans="26:28" x14ac:dyDescent="0.2">
      <c r="Z673" s="123"/>
      <c r="AA673" s="123"/>
      <c r="AB673" s="8"/>
    </row>
    <row r="674" spans="26:28" x14ac:dyDescent="0.2">
      <c r="Z674" s="123"/>
      <c r="AA674" s="123"/>
      <c r="AB674" s="8"/>
    </row>
    <row r="675" spans="26:28" x14ac:dyDescent="0.2">
      <c r="Z675" s="123"/>
      <c r="AA675" s="123"/>
      <c r="AB675" s="8"/>
    </row>
    <row r="676" spans="26:28" x14ac:dyDescent="0.2">
      <c r="Z676" s="123"/>
      <c r="AA676" s="123"/>
      <c r="AB676" s="8"/>
    </row>
    <row r="677" spans="26:28" x14ac:dyDescent="0.2">
      <c r="Z677" s="123"/>
      <c r="AA677" s="123"/>
      <c r="AB677" s="8"/>
    </row>
    <row r="678" spans="26:28" x14ac:dyDescent="0.2">
      <c r="Z678" s="123"/>
      <c r="AA678" s="123"/>
      <c r="AB678" s="8"/>
    </row>
    <row r="679" spans="26:28" x14ac:dyDescent="0.2">
      <c r="Z679" s="123"/>
      <c r="AA679" s="123"/>
      <c r="AB679" s="8"/>
    </row>
    <row r="680" spans="26:28" x14ac:dyDescent="0.2">
      <c r="Z680" s="123"/>
      <c r="AA680" s="123"/>
      <c r="AB680" s="8"/>
    </row>
    <row r="681" spans="26:28" x14ac:dyDescent="0.2">
      <c r="Z681" s="123"/>
      <c r="AA681" s="123"/>
      <c r="AB681" s="8"/>
    </row>
    <row r="682" spans="26:28" x14ac:dyDescent="0.2">
      <c r="Z682" s="123"/>
      <c r="AA682" s="123"/>
      <c r="AB682" s="8"/>
    </row>
    <row r="683" spans="26:28" x14ac:dyDescent="0.2">
      <c r="Z683" s="123"/>
      <c r="AA683" s="123"/>
      <c r="AB683" s="8"/>
    </row>
    <row r="684" spans="26:28" x14ac:dyDescent="0.2">
      <c r="Z684" s="123"/>
      <c r="AA684" s="123"/>
      <c r="AB684" s="8"/>
    </row>
    <row r="685" spans="26:28" x14ac:dyDescent="0.2">
      <c r="Z685" s="123"/>
      <c r="AA685" s="123"/>
      <c r="AB685" s="8"/>
    </row>
    <row r="686" spans="26:28" x14ac:dyDescent="0.2">
      <c r="Z686" s="123"/>
      <c r="AA686" s="123"/>
      <c r="AB686" s="8"/>
    </row>
    <row r="687" spans="26:28" x14ac:dyDescent="0.2">
      <c r="Z687" s="123"/>
      <c r="AA687" s="123"/>
      <c r="AB687" s="8"/>
    </row>
    <row r="688" spans="26:28" x14ac:dyDescent="0.2">
      <c r="Z688" s="123"/>
      <c r="AA688" s="123"/>
      <c r="AB688" s="8"/>
    </row>
    <row r="689" spans="26:28" x14ac:dyDescent="0.2">
      <c r="Z689" s="123"/>
      <c r="AA689" s="123"/>
      <c r="AB689" s="8"/>
    </row>
    <row r="690" spans="26:28" x14ac:dyDescent="0.2">
      <c r="Z690" s="123"/>
      <c r="AA690" s="123"/>
      <c r="AB690" s="8"/>
    </row>
    <row r="691" spans="26:28" x14ac:dyDescent="0.2">
      <c r="Z691" s="123"/>
      <c r="AA691" s="123"/>
      <c r="AB691" s="8"/>
    </row>
    <row r="692" spans="26:28" x14ac:dyDescent="0.2">
      <c r="Z692" s="123"/>
      <c r="AA692" s="123"/>
      <c r="AB692" s="8"/>
    </row>
    <row r="693" spans="26:28" x14ac:dyDescent="0.2">
      <c r="Z693" s="123"/>
      <c r="AA693" s="123"/>
      <c r="AB693" s="8"/>
    </row>
    <row r="694" spans="26:28" x14ac:dyDescent="0.2">
      <c r="Z694" s="123"/>
      <c r="AA694" s="123"/>
      <c r="AB694" s="8"/>
    </row>
    <row r="695" spans="26:28" x14ac:dyDescent="0.2">
      <c r="Z695" s="123"/>
      <c r="AA695" s="123"/>
      <c r="AB695" s="8"/>
    </row>
    <row r="696" spans="26:28" x14ac:dyDescent="0.2">
      <c r="Z696" s="123"/>
      <c r="AA696" s="123"/>
      <c r="AB696" s="8"/>
    </row>
    <row r="697" spans="26:28" x14ac:dyDescent="0.2">
      <c r="Z697" s="123"/>
      <c r="AA697" s="123"/>
      <c r="AB697" s="8"/>
    </row>
    <row r="698" spans="26:28" x14ac:dyDescent="0.2">
      <c r="Z698" s="123"/>
      <c r="AA698" s="123"/>
      <c r="AB698" s="8"/>
    </row>
    <row r="699" spans="26:28" x14ac:dyDescent="0.2">
      <c r="Z699" s="123"/>
      <c r="AA699" s="123"/>
      <c r="AB699" s="8"/>
    </row>
    <row r="700" spans="26:28" x14ac:dyDescent="0.2">
      <c r="Z700" s="123"/>
      <c r="AA700" s="123"/>
      <c r="AB700" s="8"/>
    </row>
    <row r="701" spans="26:28" x14ac:dyDescent="0.2">
      <c r="Z701" s="123"/>
      <c r="AA701" s="123"/>
      <c r="AB701" s="8"/>
    </row>
    <row r="702" spans="26:28" x14ac:dyDescent="0.2">
      <c r="Z702" s="123"/>
      <c r="AA702" s="123"/>
      <c r="AB702" s="8"/>
    </row>
    <row r="703" spans="26:28" x14ac:dyDescent="0.2">
      <c r="Z703" s="123"/>
      <c r="AA703" s="123"/>
      <c r="AB703" s="8"/>
    </row>
    <row r="704" spans="26:28" x14ac:dyDescent="0.2">
      <c r="Z704" s="123"/>
      <c r="AA704" s="123"/>
      <c r="AB704" s="8"/>
    </row>
    <row r="705" spans="26:28" x14ac:dyDescent="0.2">
      <c r="Z705" s="123"/>
      <c r="AA705" s="123"/>
      <c r="AB705" s="8"/>
    </row>
    <row r="706" spans="26:28" x14ac:dyDescent="0.2">
      <c r="Z706" s="123"/>
      <c r="AA706" s="123"/>
      <c r="AB706" s="8"/>
    </row>
    <row r="707" spans="26:28" x14ac:dyDescent="0.2">
      <c r="Z707" s="123"/>
      <c r="AA707" s="123"/>
      <c r="AB707" s="8"/>
    </row>
    <row r="708" spans="26:28" x14ac:dyDescent="0.2">
      <c r="Z708" s="123"/>
      <c r="AA708" s="123"/>
      <c r="AB708" s="8"/>
    </row>
    <row r="709" spans="26:28" x14ac:dyDescent="0.2">
      <c r="Z709" s="123"/>
      <c r="AA709" s="123"/>
      <c r="AB709" s="8"/>
    </row>
    <row r="710" spans="26:28" x14ac:dyDescent="0.2">
      <c r="Z710" s="123"/>
      <c r="AA710" s="123"/>
      <c r="AB710" s="8"/>
    </row>
    <row r="711" spans="26:28" x14ac:dyDescent="0.2">
      <c r="Z711" s="123"/>
      <c r="AA711" s="123"/>
      <c r="AB711" s="8"/>
    </row>
    <row r="712" spans="26:28" x14ac:dyDescent="0.2">
      <c r="Z712" s="123"/>
      <c r="AA712" s="123"/>
      <c r="AB712" s="8"/>
    </row>
    <row r="713" spans="26:28" x14ac:dyDescent="0.2">
      <c r="Z713" s="123"/>
      <c r="AA713" s="123"/>
      <c r="AB713" s="8"/>
    </row>
    <row r="714" spans="26:28" x14ac:dyDescent="0.2">
      <c r="Z714" s="123"/>
      <c r="AA714" s="123"/>
      <c r="AB714" s="8"/>
    </row>
    <row r="715" spans="26:28" x14ac:dyDescent="0.2">
      <c r="Z715" s="123"/>
      <c r="AA715" s="123"/>
      <c r="AB715" s="8"/>
    </row>
    <row r="716" spans="26:28" x14ac:dyDescent="0.2">
      <c r="Z716" s="123"/>
      <c r="AA716" s="123"/>
      <c r="AB716" s="8"/>
    </row>
    <row r="717" spans="26:28" x14ac:dyDescent="0.2">
      <c r="Z717" s="123"/>
      <c r="AA717" s="123"/>
      <c r="AB717" s="8"/>
    </row>
    <row r="718" spans="26:28" x14ac:dyDescent="0.2">
      <c r="Z718" s="123"/>
      <c r="AA718" s="123"/>
      <c r="AB718" s="8"/>
    </row>
    <row r="719" spans="26:28" x14ac:dyDescent="0.2">
      <c r="Z719" s="123"/>
      <c r="AA719" s="123"/>
      <c r="AB719" s="8"/>
    </row>
    <row r="720" spans="26:28" x14ac:dyDescent="0.2">
      <c r="Z720" s="123"/>
      <c r="AA720" s="123"/>
      <c r="AB720" s="8"/>
    </row>
    <row r="721" spans="26:28" x14ac:dyDescent="0.2">
      <c r="Z721" s="123"/>
      <c r="AA721" s="123"/>
      <c r="AB721" s="8"/>
    </row>
    <row r="722" spans="26:28" x14ac:dyDescent="0.2">
      <c r="Z722" s="123"/>
      <c r="AA722" s="123"/>
      <c r="AB722" s="8"/>
    </row>
    <row r="723" spans="26:28" x14ac:dyDescent="0.2">
      <c r="Z723" s="123"/>
      <c r="AA723" s="123"/>
      <c r="AB723" s="8"/>
    </row>
    <row r="724" spans="26:28" x14ac:dyDescent="0.2">
      <c r="Z724" s="123"/>
      <c r="AA724" s="123"/>
      <c r="AB724" s="8"/>
    </row>
    <row r="725" spans="26:28" x14ac:dyDescent="0.2">
      <c r="Z725" s="123"/>
      <c r="AA725" s="123"/>
      <c r="AB725" s="8"/>
    </row>
    <row r="726" spans="26:28" x14ac:dyDescent="0.2">
      <c r="Z726" s="123"/>
      <c r="AA726" s="123"/>
      <c r="AB726" s="8"/>
    </row>
    <row r="727" spans="26:28" x14ac:dyDescent="0.2">
      <c r="Z727" s="123"/>
      <c r="AA727" s="123"/>
      <c r="AB727" s="8"/>
    </row>
    <row r="728" spans="26:28" x14ac:dyDescent="0.2">
      <c r="Z728" s="123"/>
      <c r="AA728" s="123"/>
      <c r="AB728" s="8"/>
    </row>
    <row r="729" spans="26:28" x14ac:dyDescent="0.2">
      <c r="Z729" s="123"/>
      <c r="AA729" s="123"/>
      <c r="AB729" s="8"/>
    </row>
    <row r="730" spans="26:28" x14ac:dyDescent="0.2">
      <c r="Z730" s="123"/>
      <c r="AA730" s="123"/>
      <c r="AB730" s="8"/>
    </row>
    <row r="731" spans="26:28" x14ac:dyDescent="0.2">
      <c r="Z731" s="123"/>
      <c r="AA731" s="123"/>
      <c r="AB731" s="8"/>
    </row>
    <row r="732" spans="26:28" x14ac:dyDescent="0.2">
      <c r="Z732" s="123"/>
      <c r="AA732" s="123"/>
      <c r="AB732" s="8"/>
    </row>
    <row r="733" spans="26:28" x14ac:dyDescent="0.2">
      <c r="Z733" s="123"/>
      <c r="AA733" s="123"/>
      <c r="AB733" s="8"/>
    </row>
    <row r="734" spans="26:28" x14ac:dyDescent="0.2">
      <c r="Z734" s="123"/>
      <c r="AA734" s="123"/>
      <c r="AB734" s="8"/>
    </row>
    <row r="735" spans="26:28" x14ac:dyDescent="0.2">
      <c r="Z735" s="123"/>
      <c r="AA735" s="123"/>
      <c r="AB735" s="8"/>
    </row>
    <row r="736" spans="26:28" x14ac:dyDescent="0.2">
      <c r="Z736" s="123"/>
      <c r="AA736" s="123"/>
      <c r="AB736" s="8"/>
    </row>
    <row r="737" spans="26:28" x14ac:dyDescent="0.2">
      <c r="Z737" s="123"/>
      <c r="AA737" s="123"/>
      <c r="AB737" s="8"/>
    </row>
    <row r="738" spans="26:28" x14ac:dyDescent="0.2">
      <c r="Z738" s="123"/>
      <c r="AA738" s="123"/>
      <c r="AB738" s="8"/>
    </row>
    <row r="739" spans="26:28" x14ac:dyDescent="0.2">
      <c r="Z739" s="123"/>
      <c r="AA739" s="123"/>
      <c r="AB739" s="8"/>
    </row>
    <row r="740" spans="26:28" x14ac:dyDescent="0.2">
      <c r="Z740" s="123"/>
      <c r="AA740" s="123"/>
      <c r="AB740" s="8"/>
    </row>
    <row r="741" spans="26:28" x14ac:dyDescent="0.2">
      <c r="Z741" s="123"/>
      <c r="AA741" s="123"/>
      <c r="AB741" s="8"/>
    </row>
    <row r="742" spans="26:28" x14ac:dyDescent="0.2">
      <c r="Z742" s="123"/>
      <c r="AA742" s="123"/>
      <c r="AB742" s="8"/>
    </row>
    <row r="743" spans="26:28" x14ac:dyDescent="0.2">
      <c r="Z743" s="123"/>
      <c r="AA743" s="123"/>
      <c r="AB743" s="8"/>
    </row>
    <row r="744" spans="26:28" x14ac:dyDescent="0.2">
      <c r="Z744" s="123"/>
      <c r="AA744" s="123"/>
      <c r="AB744" s="8"/>
    </row>
    <row r="745" spans="26:28" x14ac:dyDescent="0.2">
      <c r="Z745" s="123"/>
      <c r="AA745" s="123"/>
      <c r="AB745" s="8"/>
    </row>
    <row r="746" spans="26:28" x14ac:dyDescent="0.2">
      <c r="Z746" s="123"/>
      <c r="AA746" s="123"/>
      <c r="AB746" s="8"/>
    </row>
    <row r="747" spans="26:28" x14ac:dyDescent="0.2">
      <c r="Z747" s="123"/>
      <c r="AA747" s="123"/>
      <c r="AB747" s="8"/>
    </row>
    <row r="748" spans="26:28" x14ac:dyDescent="0.2">
      <c r="Z748" s="123"/>
      <c r="AA748" s="123"/>
      <c r="AB748" s="8"/>
    </row>
    <row r="749" spans="26:28" x14ac:dyDescent="0.2">
      <c r="Z749" s="123"/>
      <c r="AA749" s="123"/>
      <c r="AB749" s="8"/>
    </row>
    <row r="750" spans="26:28" x14ac:dyDescent="0.2">
      <c r="Z750" s="123"/>
      <c r="AA750" s="123"/>
      <c r="AB750" s="8"/>
    </row>
    <row r="751" spans="26:28" x14ac:dyDescent="0.2">
      <c r="Z751" s="123"/>
      <c r="AA751" s="123"/>
      <c r="AB751" s="8"/>
    </row>
    <row r="752" spans="26:28" x14ac:dyDescent="0.2">
      <c r="Z752" s="123"/>
      <c r="AA752" s="123"/>
      <c r="AB752" s="8"/>
    </row>
    <row r="753" spans="26:28" x14ac:dyDescent="0.2">
      <c r="Z753" s="123"/>
      <c r="AA753" s="123"/>
      <c r="AB753" s="8"/>
    </row>
    <row r="754" spans="26:28" x14ac:dyDescent="0.2">
      <c r="Z754" s="123"/>
      <c r="AA754" s="123"/>
      <c r="AB754" s="8"/>
    </row>
    <row r="755" spans="26:28" x14ac:dyDescent="0.2">
      <c r="Z755" s="123"/>
      <c r="AA755" s="123"/>
      <c r="AB755" s="8"/>
    </row>
    <row r="756" spans="26:28" x14ac:dyDescent="0.2">
      <c r="Z756" s="123"/>
      <c r="AA756" s="123"/>
      <c r="AB756" s="8"/>
    </row>
    <row r="757" spans="26:28" x14ac:dyDescent="0.2">
      <c r="Z757" s="123"/>
      <c r="AA757" s="123"/>
      <c r="AB757" s="8"/>
    </row>
    <row r="758" spans="26:28" x14ac:dyDescent="0.2">
      <c r="Z758" s="123"/>
      <c r="AA758" s="123"/>
      <c r="AB758" s="8"/>
    </row>
    <row r="759" spans="26:28" x14ac:dyDescent="0.2">
      <c r="Z759" s="123"/>
      <c r="AA759" s="123"/>
      <c r="AB759" s="8"/>
    </row>
    <row r="760" spans="26:28" x14ac:dyDescent="0.2">
      <c r="Z760" s="123"/>
      <c r="AA760" s="123"/>
      <c r="AB760" s="8"/>
    </row>
    <row r="761" spans="26:28" x14ac:dyDescent="0.2">
      <c r="Z761" s="123"/>
      <c r="AA761" s="123"/>
      <c r="AB761" s="8"/>
    </row>
    <row r="762" spans="26:28" x14ac:dyDescent="0.2">
      <c r="Z762" s="123"/>
      <c r="AA762" s="123"/>
      <c r="AB762" s="8"/>
    </row>
    <row r="763" spans="26:28" x14ac:dyDescent="0.2">
      <c r="Z763" s="123"/>
      <c r="AA763" s="123"/>
      <c r="AB763" s="8"/>
    </row>
    <row r="764" spans="26:28" x14ac:dyDescent="0.2">
      <c r="Z764" s="123"/>
      <c r="AA764" s="123"/>
      <c r="AB764" s="8"/>
    </row>
    <row r="765" spans="26:28" x14ac:dyDescent="0.2">
      <c r="Z765" s="123"/>
      <c r="AA765" s="123"/>
      <c r="AB765" s="8"/>
    </row>
    <row r="766" spans="26:28" x14ac:dyDescent="0.2">
      <c r="Z766" s="123"/>
      <c r="AA766" s="123"/>
      <c r="AB766" s="8"/>
    </row>
    <row r="767" spans="26:28" x14ac:dyDescent="0.2">
      <c r="Z767" s="123"/>
      <c r="AA767" s="123"/>
      <c r="AB767" s="8"/>
    </row>
    <row r="768" spans="26:28" x14ac:dyDescent="0.2">
      <c r="Z768" s="123"/>
      <c r="AA768" s="123"/>
      <c r="AB768" s="8"/>
    </row>
    <row r="769" spans="26:28" x14ac:dyDescent="0.2">
      <c r="Z769" s="123"/>
      <c r="AA769" s="123"/>
      <c r="AB769" s="8"/>
    </row>
    <row r="770" spans="26:28" x14ac:dyDescent="0.2">
      <c r="Z770" s="123"/>
      <c r="AA770" s="123"/>
      <c r="AB770" s="8"/>
    </row>
    <row r="771" spans="26:28" x14ac:dyDescent="0.2">
      <c r="Z771" s="123"/>
      <c r="AA771" s="123"/>
      <c r="AB771" s="8"/>
    </row>
    <row r="772" spans="26:28" x14ac:dyDescent="0.2">
      <c r="Z772" s="123"/>
      <c r="AA772" s="123"/>
      <c r="AB772" s="8"/>
    </row>
    <row r="773" spans="26:28" x14ac:dyDescent="0.2">
      <c r="Z773" s="123"/>
      <c r="AA773" s="123"/>
      <c r="AB773" s="8"/>
    </row>
    <row r="774" spans="26:28" x14ac:dyDescent="0.2">
      <c r="Z774" s="123"/>
      <c r="AA774" s="123"/>
      <c r="AB774" s="8"/>
    </row>
    <row r="775" spans="26:28" x14ac:dyDescent="0.2">
      <c r="Z775" s="123"/>
      <c r="AA775" s="123"/>
      <c r="AB775" s="8"/>
    </row>
    <row r="776" spans="26:28" x14ac:dyDescent="0.2">
      <c r="Z776" s="123"/>
      <c r="AA776" s="123"/>
      <c r="AB776" s="8"/>
    </row>
    <row r="777" spans="26:28" x14ac:dyDescent="0.2">
      <c r="Z777" s="123"/>
      <c r="AA777" s="123"/>
      <c r="AB777" s="8"/>
    </row>
    <row r="778" spans="26:28" x14ac:dyDescent="0.2">
      <c r="Z778" s="123"/>
      <c r="AA778" s="123"/>
      <c r="AB778" s="8"/>
    </row>
    <row r="779" spans="26:28" x14ac:dyDescent="0.2">
      <c r="Z779" s="123"/>
      <c r="AA779" s="123"/>
      <c r="AB779" s="8"/>
    </row>
    <row r="780" spans="26:28" x14ac:dyDescent="0.2">
      <c r="Z780" s="123"/>
      <c r="AA780" s="123"/>
      <c r="AB780" s="8"/>
    </row>
    <row r="781" spans="26:28" x14ac:dyDescent="0.2">
      <c r="Z781" s="123"/>
      <c r="AA781" s="123"/>
      <c r="AB781" s="8"/>
    </row>
    <row r="782" spans="26:28" x14ac:dyDescent="0.2">
      <c r="Z782" s="123"/>
      <c r="AA782" s="123"/>
      <c r="AB782" s="8"/>
    </row>
    <row r="783" spans="26:28" x14ac:dyDescent="0.2">
      <c r="Z783" s="123"/>
      <c r="AA783" s="123"/>
      <c r="AB783" s="8"/>
    </row>
    <row r="784" spans="26:28" x14ac:dyDescent="0.2">
      <c r="Z784" s="123"/>
      <c r="AA784" s="123"/>
      <c r="AB784" s="8"/>
    </row>
    <row r="785" spans="26:28" x14ac:dyDescent="0.2">
      <c r="Z785" s="123"/>
      <c r="AA785" s="123"/>
      <c r="AB785" s="8"/>
    </row>
    <row r="786" spans="26:28" x14ac:dyDescent="0.2">
      <c r="Z786" s="123"/>
      <c r="AA786" s="123"/>
      <c r="AB786" s="8"/>
    </row>
    <row r="787" spans="26:28" x14ac:dyDescent="0.2">
      <c r="Z787" s="123"/>
      <c r="AA787" s="123"/>
      <c r="AB787" s="8"/>
    </row>
    <row r="788" spans="26:28" x14ac:dyDescent="0.2">
      <c r="Z788" s="123"/>
      <c r="AA788" s="123"/>
      <c r="AB788" s="8"/>
    </row>
    <row r="789" spans="26:28" x14ac:dyDescent="0.2">
      <c r="Z789" s="123"/>
      <c r="AA789" s="123"/>
      <c r="AB789" s="8"/>
    </row>
    <row r="790" spans="26:28" x14ac:dyDescent="0.2">
      <c r="Z790" s="123"/>
      <c r="AA790" s="123"/>
      <c r="AB790" s="8"/>
    </row>
    <row r="791" spans="26:28" x14ac:dyDescent="0.2">
      <c r="Z791" s="123"/>
      <c r="AA791" s="123"/>
      <c r="AB791" s="8"/>
    </row>
    <row r="792" spans="26:28" x14ac:dyDescent="0.2">
      <c r="Z792" s="123"/>
      <c r="AA792" s="123"/>
      <c r="AB792" s="8"/>
    </row>
    <row r="793" spans="26:28" x14ac:dyDescent="0.2">
      <c r="Z793" s="123"/>
      <c r="AA793" s="123"/>
      <c r="AB793" s="8"/>
    </row>
    <row r="794" spans="26:28" x14ac:dyDescent="0.2">
      <c r="Z794" s="123"/>
      <c r="AA794" s="123"/>
      <c r="AB794" s="8"/>
    </row>
    <row r="795" spans="26:28" x14ac:dyDescent="0.2">
      <c r="Z795" s="123"/>
      <c r="AA795" s="123"/>
      <c r="AB795" s="8"/>
    </row>
    <row r="796" spans="26:28" x14ac:dyDescent="0.2">
      <c r="Z796" s="123"/>
      <c r="AA796" s="123"/>
      <c r="AB796" s="8"/>
    </row>
    <row r="797" spans="26:28" x14ac:dyDescent="0.2">
      <c r="Z797" s="123"/>
      <c r="AA797" s="123"/>
      <c r="AB797" s="8"/>
    </row>
    <row r="798" spans="26:28" x14ac:dyDescent="0.2">
      <c r="Z798" s="123"/>
      <c r="AA798" s="123"/>
      <c r="AB798" s="8"/>
    </row>
    <row r="799" spans="26:28" x14ac:dyDescent="0.2">
      <c r="Z799" s="123"/>
      <c r="AA799" s="123"/>
      <c r="AB799" s="8"/>
    </row>
    <row r="800" spans="26:28" x14ac:dyDescent="0.2">
      <c r="Z800" s="123"/>
      <c r="AA800" s="123"/>
      <c r="AB800" s="8"/>
    </row>
    <row r="801" spans="26:28" x14ac:dyDescent="0.2">
      <c r="Z801" s="123"/>
      <c r="AA801" s="123"/>
      <c r="AB801" s="8"/>
    </row>
    <row r="802" spans="26:28" x14ac:dyDescent="0.2">
      <c r="Z802" s="123"/>
      <c r="AA802" s="123"/>
      <c r="AB802" s="8"/>
    </row>
    <row r="803" spans="26:28" x14ac:dyDescent="0.2">
      <c r="Z803" s="123"/>
      <c r="AA803" s="123"/>
      <c r="AB803" s="8"/>
    </row>
    <row r="804" spans="26:28" x14ac:dyDescent="0.2">
      <c r="Z804" s="123"/>
      <c r="AA804" s="123"/>
      <c r="AB804" s="8"/>
    </row>
    <row r="805" spans="26:28" x14ac:dyDescent="0.2">
      <c r="Z805" s="123"/>
      <c r="AA805" s="123"/>
      <c r="AB805" s="8"/>
    </row>
    <row r="806" spans="26:28" x14ac:dyDescent="0.2">
      <c r="Z806" s="123"/>
      <c r="AA806" s="123"/>
      <c r="AB806" s="8"/>
    </row>
    <row r="807" spans="26:28" x14ac:dyDescent="0.2">
      <c r="Z807" s="123"/>
      <c r="AA807" s="123"/>
      <c r="AB807" s="8"/>
    </row>
    <row r="808" spans="26:28" x14ac:dyDescent="0.2">
      <c r="Z808" s="123"/>
      <c r="AA808" s="123"/>
      <c r="AB808" s="8"/>
    </row>
    <row r="809" spans="26:28" x14ac:dyDescent="0.2">
      <c r="Z809" s="123"/>
      <c r="AA809" s="123"/>
      <c r="AB809" s="8"/>
    </row>
    <row r="810" spans="26:28" x14ac:dyDescent="0.2">
      <c r="Z810" s="123"/>
      <c r="AA810" s="123"/>
      <c r="AB810" s="8"/>
    </row>
    <row r="811" spans="26:28" x14ac:dyDescent="0.2">
      <c r="Z811" s="123"/>
      <c r="AA811" s="123"/>
      <c r="AB811" s="8"/>
    </row>
    <row r="812" spans="26:28" x14ac:dyDescent="0.2">
      <c r="Z812" s="123"/>
      <c r="AA812" s="123"/>
      <c r="AB812" s="8"/>
    </row>
    <row r="813" spans="26:28" x14ac:dyDescent="0.2">
      <c r="Z813" s="123"/>
      <c r="AA813" s="123"/>
      <c r="AB813" s="8"/>
    </row>
    <row r="814" spans="26:28" x14ac:dyDescent="0.2">
      <c r="Z814" s="123"/>
      <c r="AA814" s="123"/>
      <c r="AB814" s="8"/>
    </row>
    <row r="815" spans="26:28" x14ac:dyDescent="0.2">
      <c r="Z815" s="123"/>
      <c r="AA815" s="123"/>
      <c r="AB815" s="8"/>
    </row>
    <row r="816" spans="26:28" x14ac:dyDescent="0.2">
      <c r="Z816" s="123"/>
      <c r="AA816" s="123"/>
      <c r="AB816" s="8"/>
    </row>
    <row r="817" spans="26:28" x14ac:dyDescent="0.2">
      <c r="Z817" s="123"/>
      <c r="AA817" s="123"/>
      <c r="AB817" s="8"/>
    </row>
    <row r="818" spans="26:28" x14ac:dyDescent="0.2">
      <c r="Z818" s="123"/>
      <c r="AA818" s="123"/>
      <c r="AB818" s="8"/>
    </row>
    <row r="819" spans="26:28" x14ac:dyDescent="0.2">
      <c r="Z819" s="123"/>
      <c r="AA819" s="123"/>
      <c r="AB819" s="8"/>
    </row>
    <row r="820" spans="26:28" x14ac:dyDescent="0.2">
      <c r="Z820" s="123"/>
      <c r="AA820" s="123"/>
      <c r="AB820" s="8"/>
    </row>
    <row r="821" spans="26:28" x14ac:dyDescent="0.2">
      <c r="Z821" s="123"/>
      <c r="AA821" s="123"/>
      <c r="AB821" s="8"/>
    </row>
    <row r="822" spans="26:28" x14ac:dyDescent="0.2">
      <c r="Z822" s="123"/>
      <c r="AA822" s="123"/>
      <c r="AB822" s="8"/>
    </row>
    <row r="823" spans="26:28" x14ac:dyDescent="0.2">
      <c r="Z823" s="123"/>
      <c r="AA823" s="123"/>
      <c r="AB823" s="8"/>
    </row>
    <row r="824" spans="26:28" x14ac:dyDescent="0.2">
      <c r="Z824" s="123"/>
      <c r="AA824" s="123"/>
      <c r="AB824" s="8"/>
    </row>
    <row r="825" spans="26:28" x14ac:dyDescent="0.2">
      <c r="Z825" s="123"/>
      <c r="AA825" s="123"/>
      <c r="AB825" s="8"/>
    </row>
    <row r="826" spans="26:28" x14ac:dyDescent="0.2">
      <c r="Z826" s="123"/>
      <c r="AA826" s="123"/>
      <c r="AB826" s="8"/>
    </row>
    <row r="827" spans="26:28" x14ac:dyDescent="0.2">
      <c r="Z827" s="123"/>
      <c r="AA827" s="123"/>
      <c r="AB827" s="8"/>
    </row>
    <row r="828" spans="26:28" x14ac:dyDescent="0.2">
      <c r="Z828" s="123"/>
      <c r="AA828" s="123"/>
      <c r="AB828" s="8"/>
    </row>
    <row r="829" spans="26:28" x14ac:dyDescent="0.2">
      <c r="Z829" s="123"/>
      <c r="AA829" s="123"/>
      <c r="AB829" s="8"/>
    </row>
    <row r="830" spans="26:28" x14ac:dyDescent="0.2">
      <c r="Z830" s="123"/>
      <c r="AA830" s="123"/>
      <c r="AB830" s="8"/>
    </row>
    <row r="831" spans="26:28" x14ac:dyDescent="0.2">
      <c r="Z831" s="123"/>
      <c r="AA831" s="123"/>
      <c r="AB831" s="8"/>
    </row>
    <row r="832" spans="26:28" x14ac:dyDescent="0.2">
      <c r="Z832" s="123"/>
      <c r="AA832" s="123"/>
      <c r="AB832" s="8"/>
    </row>
    <row r="833" spans="26:28" x14ac:dyDescent="0.2">
      <c r="Z833" s="123"/>
      <c r="AA833" s="123"/>
      <c r="AB833" s="8"/>
    </row>
    <row r="834" spans="26:28" x14ac:dyDescent="0.2">
      <c r="Z834" s="123"/>
      <c r="AA834" s="123"/>
      <c r="AB834" s="8"/>
    </row>
    <row r="835" spans="26:28" x14ac:dyDescent="0.2">
      <c r="Z835" s="123"/>
      <c r="AA835" s="123"/>
      <c r="AB835" s="8"/>
    </row>
    <row r="836" spans="26:28" x14ac:dyDescent="0.2">
      <c r="Z836" s="123"/>
      <c r="AA836" s="123"/>
      <c r="AB836" s="8"/>
    </row>
    <row r="837" spans="26:28" x14ac:dyDescent="0.2">
      <c r="Z837" s="123"/>
      <c r="AA837" s="123"/>
      <c r="AB837" s="8"/>
    </row>
    <row r="838" spans="26:28" x14ac:dyDescent="0.2">
      <c r="Z838" s="123"/>
      <c r="AA838" s="123"/>
      <c r="AB838" s="8"/>
    </row>
    <row r="839" spans="26:28" x14ac:dyDescent="0.2">
      <c r="Z839" s="123"/>
      <c r="AA839" s="123"/>
      <c r="AB839" s="8"/>
    </row>
    <row r="840" spans="26:28" x14ac:dyDescent="0.2">
      <c r="Z840" s="123"/>
      <c r="AA840" s="123"/>
      <c r="AB840" s="8"/>
    </row>
    <row r="841" spans="26:28" x14ac:dyDescent="0.2">
      <c r="Z841" s="123"/>
      <c r="AA841" s="123"/>
      <c r="AB841" s="8"/>
    </row>
    <row r="842" spans="26:28" x14ac:dyDescent="0.2">
      <c r="Z842" s="123"/>
      <c r="AA842" s="123"/>
      <c r="AB842" s="8"/>
    </row>
    <row r="843" spans="26:28" x14ac:dyDescent="0.2">
      <c r="Z843" s="123"/>
      <c r="AA843" s="123"/>
      <c r="AB843" s="8"/>
    </row>
    <row r="844" spans="26:28" x14ac:dyDescent="0.2">
      <c r="Z844" s="123"/>
      <c r="AA844" s="123"/>
      <c r="AB844" s="8"/>
    </row>
    <row r="845" spans="26:28" x14ac:dyDescent="0.2">
      <c r="Z845" s="123"/>
      <c r="AA845" s="123"/>
      <c r="AB845" s="8"/>
    </row>
    <row r="846" spans="26:28" x14ac:dyDescent="0.2">
      <c r="Z846" s="123"/>
      <c r="AA846" s="123"/>
      <c r="AB846" s="8"/>
    </row>
    <row r="847" spans="26:28" x14ac:dyDescent="0.2">
      <c r="Z847" s="123"/>
      <c r="AA847" s="123"/>
      <c r="AB847" s="8"/>
    </row>
    <row r="848" spans="26:28" x14ac:dyDescent="0.2">
      <c r="Z848" s="123"/>
      <c r="AA848" s="123"/>
      <c r="AB848" s="8"/>
    </row>
    <row r="849" spans="26:28" x14ac:dyDescent="0.2">
      <c r="Z849" s="123"/>
      <c r="AA849" s="123"/>
      <c r="AB849" s="8"/>
    </row>
    <row r="850" spans="26:28" x14ac:dyDescent="0.2">
      <c r="Z850" s="123"/>
      <c r="AA850" s="123"/>
      <c r="AB850" s="8"/>
    </row>
    <row r="851" spans="26:28" x14ac:dyDescent="0.2">
      <c r="Z851" s="123"/>
      <c r="AA851" s="123"/>
      <c r="AB851" s="8"/>
    </row>
    <row r="852" spans="26:28" x14ac:dyDescent="0.2">
      <c r="Z852" s="123"/>
      <c r="AA852" s="123"/>
      <c r="AB852" s="8"/>
    </row>
    <row r="853" spans="26:28" x14ac:dyDescent="0.2">
      <c r="Z853" s="123"/>
      <c r="AA853" s="123"/>
      <c r="AB853" s="8"/>
    </row>
    <row r="854" spans="26:28" x14ac:dyDescent="0.2">
      <c r="Z854" s="123"/>
      <c r="AA854" s="123"/>
      <c r="AB854" s="8"/>
    </row>
    <row r="855" spans="26:28" x14ac:dyDescent="0.2">
      <c r="Z855" s="123"/>
      <c r="AA855" s="123"/>
      <c r="AB855" s="8"/>
    </row>
    <row r="856" spans="26:28" x14ac:dyDescent="0.2">
      <c r="Z856" s="123"/>
      <c r="AA856" s="123"/>
      <c r="AB856" s="8"/>
    </row>
    <row r="857" spans="26:28" x14ac:dyDescent="0.2">
      <c r="Z857" s="123"/>
      <c r="AA857" s="123"/>
      <c r="AB857" s="8"/>
    </row>
    <row r="858" spans="26:28" x14ac:dyDescent="0.2">
      <c r="Z858" s="123"/>
      <c r="AA858" s="123"/>
      <c r="AB858" s="8"/>
    </row>
    <row r="859" spans="26:28" x14ac:dyDescent="0.2">
      <c r="Z859" s="123"/>
      <c r="AA859" s="123"/>
      <c r="AB859" s="8"/>
    </row>
    <row r="860" spans="26:28" x14ac:dyDescent="0.2">
      <c r="Z860" s="123"/>
      <c r="AA860" s="123"/>
      <c r="AB860" s="8"/>
    </row>
    <row r="861" spans="26:28" x14ac:dyDescent="0.2">
      <c r="Z861" s="123"/>
      <c r="AA861" s="123"/>
      <c r="AB861" s="8"/>
    </row>
    <row r="862" spans="26:28" x14ac:dyDescent="0.2">
      <c r="Z862" s="123"/>
      <c r="AA862" s="123"/>
      <c r="AB862" s="8"/>
    </row>
    <row r="863" spans="26:28" x14ac:dyDescent="0.2">
      <c r="Z863" s="123"/>
      <c r="AA863" s="123"/>
      <c r="AB863" s="8"/>
    </row>
    <row r="864" spans="26:28" x14ac:dyDescent="0.2">
      <c r="Z864" s="123"/>
      <c r="AA864" s="123"/>
      <c r="AB864" s="8"/>
    </row>
    <row r="865" spans="26:28" x14ac:dyDescent="0.2">
      <c r="Z865" s="123"/>
      <c r="AA865" s="123"/>
      <c r="AB865" s="8"/>
    </row>
    <row r="866" spans="26:28" x14ac:dyDescent="0.2">
      <c r="Z866" s="123"/>
      <c r="AA866" s="123"/>
      <c r="AB866" s="8"/>
    </row>
    <row r="867" spans="26:28" x14ac:dyDescent="0.2">
      <c r="Z867" s="123"/>
      <c r="AA867" s="123"/>
      <c r="AB867" s="8"/>
    </row>
    <row r="868" spans="26:28" x14ac:dyDescent="0.2">
      <c r="Z868" s="123"/>
      <c r="AA868" s="123"/>
      <c r="AB868" s="8"/>
    </row>
    <row r="869" spans="26:28" x14ac:dyDescent="0.2">
      <c r="Z869" s="123"/>
      <c r="AA869" s="123"/>
      <c r="AB869" s="8"/>
    </row>
    <row r="870" spans="26:28" x14ac:dyDescent="0.2">
      <c r="Z870" s="123"/>
      <c r="AA870" s="123"/>
      <c r="AB870" s="8"/>
    </row>
    <row r="871" spans="26:28" x14ac:dyDescent="0.2">
      <c r="Z871" s="123"/>
      <c r="AA871" s="123"/>
      <c r="AB871" s="8"/>
    </row>
    <row r="872" spans="26:28" x14ac:dyDescent="0.2">
      <c r="Z872" s="123"/>
      <c r="AA872" s="123"/>
      <c r="AB872" s="8"/>
    </row>
    <row r="873" spans="26:28" x14ac:dyDescent="0.2">
      <c r="Z873" s="123"/>
      <c r="AA873" s="123"/>
      <c r="AB873" s="8"/>
    </row>
    <row r="874" spans="26:28" x14ac:dyDescent="0.2">
      <c r="Z874" s="123"/>
      <c r="AA874" s="123"/>
      <c r="AB874" s="8"/>
    </row>
    <row r="875" spans="26:28" x14ac:dyDescent="0.2">
      <c r="Z875" s="123"/>
      <c r="AA875" s="123"/>
      <c r="AB875" s="8"/>
    </row>
    <row r="876" spans="26:28" x14ac:dyDescent="0.2">
      <c r="Z876" s="123"/>
      <c r="AA876" s="123"/>
      <c r="AB876" s="8"/>
    </row>
    <row r="877" spans="26:28" x14ac:dyDescent="0.2">
      <c r="Z877" s="123"/>
      <c r="AA877" s="123"/>
      <c r="AB877" s="8"/>
    </row>
    <row r="878" spans="26:28" x14ac:dyDescent="0.2">
      <c r="Z878" s="123"/>
      <c r="AA878" s="123"/>
      <c r="AB878" s="8"/>
    </row>
    <row r="879" spans="26:28" x14ac:dyDescent="0.2">
      <c r="Z879" s="123"/>
      <c r="AA879" s="123"/>
      <c r="AB879" s="8"/>
    </row>
    <row r="880" spans="26:28" x14ac:dyDescent="0.2">
      <c r="Z880" s="123"/>
      <c r="AA880" s="123"/>
      <c r="AB880" s="8"/>
    </row>
    <row r="881" spans="26:28" x14ac:dyDescent="0.2">
      <c r="Z881" s="123"/>
      <c r="AA881" s="123"/>
      <c r="AB881" s="8"/>
    </row>
    <row r="882" spans="26:28" x14ac:dyDescent="0.2">
      <c r="Z882" s="123"/>
      <c r="AA882" s="123"/>
      <c r="AB882" s="8"/>
    </row>
    <row r="883" spans="26:28" x14ac:dyDescent="0.2">
      <c r="Z883" s="123"/>
      <c r="AA883" s="123"/>
      <c r="AB883" s="8"/>
    </row>
    <row r="884" spans="26:28" x14ac:dyDescent="0.2">
      <c r="Z884" s="123"/>
      <c r="AA884" s="123"/>
      <c r="AB884" s="8"/>
    </row>
    <row r="885" spans="26:28" x14ac:dyDescent="0.2">
      <c r="Z885" s="123"/>
      <c r="AA885" s="123"/>
      <c r="AB885" s="8"/>
    </row>
    <row r="886" spans="26:28" x14ac:dyDescent="0.2">
      <c r="Z886" s="123"/>
      <c r="AA886" s="123"/>
      <c r="AB886" s="8"/>
    </row>
    <row r="887" spans="26:28" x14ac:dyDescent="0.2">
      <c r="Z887" s="123"/>
      <c r="AA887" s="123"/>
      <c r="AB887" s="8"/>
    </row>
    <row r="888" spans="26:28" x14ac:dyDescent="0.2">
      <c r="Z888" s="123"/>
      <c r="AA888" s="123"/>
      <c r="AB888" s="8"/>
    </row>
    <row r="889" spans="26:28" x14ac:dyDescent="0.2">
      <c r="Z889" s="123"/>
      <c r="AA889" s="123"/>
      <c r="AB889" s="8"/>
    </row>
    <row r="890" spans="26:28" x14ac:dyDescent="0.2">
      <c r="Z890" s="123"/>
      <c r="AA890" s="123"/>
      <c r="AB890" s="8"/>
    </row>
    <row r="891" spans="26:28" x14ac:dyDescent="0.2">
      <c r="Z891" s="123"/>
      <c r="AA891" s="123"/>
      <c r="AB891" s="8"/>
    </row>
    <row r="892" spans="26:28" x14ac:dyDescent="0.2">
      <c r="Z892" s="123"/>
      <c r="AA892" s="123"/>
      <c r="AB892" s="8"/>
    </row>
    <row r="893" spans="26:28" x14ac:dyDescent="0.2">
      <c r="Z893" s="123"/>
      <c r="AA893" s="123"/>
      <c r="AB893" s="8"/>
    </row>
    <row r="894" spans="26:28" x14ac:dyDescent="0.2">
      <c r="Z894" s="123"/>
      <c r="AA894" s="123"/>
      <c r="AB894" s="8"/>
    </row>
    <row r="895" spans="26:28" x14ac:dyDescent="0.2">
      <c r="Z895" s="123"/>
      <c r="AA895" s="123"/>
      <c r="AB895" s="8"/>
    </row>
    <row r="896" spans="26:28" x14ac:dyDescent="0.2">
      <c r="Z896" s="123"/>
      <c r="AA896" s="123"/>
      <c r="AB896" s="8"/>
    </row>
    <row r="897" spans="26:28" x14ac:dyDescent="0.2">
      <c r="Z897" s="123"/>
      <c r="AA897" s="123"/>
      <c r="AB897" s="8"/>
    </row>
    <row r="898" spans="26:28" x14ac:dyDescent="0.2">
      <c r="Z898" s="123"/>
      <c r="AA898" s="123"/>
      <c r="AB898" s="8"/>
    </row>
    <row r="899" spans="26:28" x14ac:dyDescent="0.2">
      <c r="Z899" s="123"/>
      <c r="AA899" s="123"/>
      <c r="AB899" s="8"/>
    </row>
    <row r="900" spans="26:28" x14ac:dyDescent="0.2">
      <c r="Z900" s="123"/>
      <c r="AA900" s="123"/>
      <c r="AB900" s="8"/>
    </row>
    <row r="901" spans="26:28" x14ac:dyDescent="0.2">
      <c r="Z901" s="123"/>
      <c r="AA901" s="123"/>
      <c r="AB901" s="8"/>
    </row>
    <row r="902" spans="26:28" x14ac:dyDescent="0.2">
      <c r="Z902" s="123"/>
      <c r="AA902" s="123"/>
      <c r="AB902" s="8"/>
    </row>
    <row r="903" spans="26:28" x14ac:dyDescent="0.2">
      <c r="Z903" s="123"/>
      <c r="AA903" s="123"/>
      <c r="AB903" s="8"/>
    </row>
    <row r="904" spans="26:28" x14ac:dyDescent="0.2">
      <c r="Z904" s="123"/>
      <c r="AA904" s="123"/>
      <c r="AB904" s="8"/>
    </row>
    <row r="905" spans="26:28" x14ac:dyDescent="0.2">
      <c r="Z905" s="123"/>
      <c r="AA905" s="123"/>
      <c r="AB905" s="8"/>
    </row>
    <row r="906" spans="26:28" x14ac:dyDescent="0.2">
      <c r="Z906" s="123"/>
      <c r="AA906" s="123"/>
      <c r="AB906" s="8"/>
    </row>
    <row r="907" spans="26:28" x14ac:dyDescent="0.2">
      <c r="Z907" s="123"/>
      <c r="AA907" s="123"/>
      <c r="AB907" s="8"/>
    </row>
    <row r="908" spans="26:28" x14ac:dyDescent="0.2">
      <c r="Z908" s="123"/>
      <c r="AA908" s="123"/>
      <c r="AB908" s="8"/>
    </row>
    <row r="909" spans="26:28" x14ac:dyDescent="0.2">
      <c r="Z909" s="123"/>
      <c r="AA909" s="123"/>
      <c r="AB909" s="8"/>
    </row>
    <row r="910" spans="26:28" x14ac:dyDescent="0.2">
      <c r="Z910" s="123"/>
      <c r="AA910" s="123"/>
      <c r="AB910" s="8"/>
    </row>
    <row r="911" spans="26:28" x14ac:dyDescent="0.2">
      <c r="Z911" s="123"/>
      <c r="AA911" s="123"/>
      <c r="AB911" s="8"/>
    </row>
    <row r="912" spans="26:28" x14ac:dyDescent="0.2">
      <c r="Z912" s="123"/>
      <c r="AA912" s="123"/>
      <c r="AB912" s="8"/>
    </row>
    <row r="913" spans="26:28" x14ac:dyDescent="0.2">
      <c r="Z913" s="123"/>
      <c r="AA913" s="123"/>
      <c r="AB913" s="8"/>
    </row>
    <row r="914" spans="26:28" x14ac:dyDescent="0.2">
      <c r="Z914" s="123"/>
      <c r="AA914" s="123"/>
      <c r="AB914" s="8"/>
    </row>
    <row r="915" spans="26:28" x14ac:dyDescent="0.2">
      <c r="Z915" s="123"/>
      <c r="AA915" s="123"/>
      <c r="AB915" s="8"/>
    </row>
    <row r="916" spans="26:28" x14ac:dyDescent="0.2">
      <c r="Z916" s="123"/>
      <c r="AA916" s="123"/>
      <c r="AB916" s="8"/>
    </row>
    <row r="917" spans="26:28" x14ac:dyDescent="0.2">
      <c r="Z917" s="123"/>
      <c r="AA917" s="123"/>
      <c r="AB917" s="8"/>
    </row>
    <row r="918" spans="26:28" x14ac:dyDescent="0.2">
      <c r="Z918" s="123"/>
      <c r="AA918" s="123"/>
      <c r="AB918" s="8"/>
    </row>
    <row r="919" spans="26:28" x14ac:dyDescent="0.2">
      <c r="Z919" s="123"/>
      <c r="AA919" s="123"/>
      <c r="AB919" s="8"/>
    </row>
    <row r="920" spans="26:28" x14ac:dyDescent="0.2">
      <c r="Z920" s="123"/>
      <c r="AA920" s="123"/>
      <c r="AB920" s="8"/>
    </row>
    <row r="921" spans="26:28" x14ac:dyDescent="0.2">
      <c r="Z921" s="123"/>
      <c r="AA921" s="123"/>
      <c r="AB921" s="8"/>
    </row>
    <row r="922" spans="26:28" x14ac:dyDescent="0.2">
      <c r="Z922" s="123"/>
      <c r="AA922" s="123"/>
      <c r="AB922" s="8"/>
    </row>
    <row r="923" spans="26:28" x14ac:dyDescent="0.2">
      <c r="Z923" s="123"/>
      <c r="AA923" s="123"/>
      <c r="AB923" s="8"/>
    </row>
    <row r="924" spans="26:28" x14ac:dyDescent="0.2">
      <c r="Z924" s="123"/>
      <c r="AA924" s="123"/>
      <c r="AB924" s="8"/>
    </row>
    <row r="925" spans="26:28" x14ac:dyDescent="0.2">
      <c r="Z925" s="123"/>
      <c r="AA925" s="123"/>
      <c r="AB925" s="8"/>
    </row>
    <row r="926" spans="26:28" x14ac:dyDescent="0.2">
      <c r="Z926" s="123"/>
      <c r="AA926" s="123"/>
      <c r="AB926" s="8"/>
    </row>
    <row r="927" spans="26:28" x14ac:dyDescent="0.2">
      <c r="Z927" s="123"/>
      <c r="AA927" s="123"/>
      <c r="AB927" s="8"/>
    </row>
    <row r="928" spans="26:28" x14ac:dyDescent="0.2">
      <c r="Z928" s="123"/>
      <c r="AA928" s="123"/>
      <c r="AB928" s="8"/>
    </row>
    <row r="929" spans="26:28" x14ac:dyDescent="0.2">
      <c r="Z929" s="123"/>
      <c r="AA929" s="123"/>
      <c r="AB929" s="8"/>
    </row>
    <row r="930" spans="26:28" x14ac:dyDescent="0.2">
      <c r="Z930" s="123"/>
      <c r="AA930" s="123"/>
      <c r="AB930" s="8"/>
    </row>
    <row r="931" spans="26:28" x14ac:dyDescent="0.2">
      <c r="Z931" s="123"/>
      <c r="AA931" s="123"/>
      <c r="AB931" s="8"/>
    </row>
    <row r="932" spans="26:28" x14ac:dyDescent="0.2">
      <c r="Z932" s="123"/>
      <c r="AA932" s="123"/>
      <c r="AB932" s="8"/>
    </row>
    <row r="933" spans="26:28" x14ac:dyDescent="0.2">
      <c r="Z933" s="123"/>
      <c r="AA933" s="123"/>
      <c r="AB933" s="8"/>
    </row>
    <row r="934" spans="26:28" x14ac:dyDescent="0.2">
      <c r="Z934" s="123"/>
      <c r="AA934" s="123"/>
      <c r="AB934" s="8"/>
    </row>
    <row r="935" spans="26:28" x14ac:dyDescent="0.2">
      <c r="Z935" s="123"/>
      <c r="AA935" s="123"/>
      <c r="AB935" s="8"/>
    </row>
    <row r="936" spans="26:28" x14ac:dyDescent="0.2">
      <c r="Z936" s="123"/>
      <c r="AA936" s="123"/>
      <c r="AB936" s="8"/>
    </row>
    <row r="937" spans="26:28" x14ac:dyDescent="0.2">
      <c r="Z937" s="123"/>
      <c r="AA937" s="123"/>
      <c r="AB937" s="8"/>
    </row>
    <row r="938" spans="26:28" x14ac:dyDescent="0.2">
      <c r="Z938" s="123"/>
      <c r="AA938" s="123"/>
      <c r="AB938" s="8"/>
    </row>
    <row r="939" spans="26:28" x14ac:dyDescent="0.2">
      <c r="Z939" s="123"/>
      <c r="AA939" s="123"/>
      <c r="AB939" s="8"/>
    </row>
    <row r="940" spans="26:28" x14ac:dyDescent="0.2">
      <c r="Z940" s="123"/>
      <c r="AA940" s="123"/>
      <c r="AB940" s="8"/>
    </row>
    <row r="941" spans="26:28" x14ac:dyDescent="0.2">
      <c r="Z941" s="123"/>
      <c r="AA941" s="123"/>
      <c r="AB941" s="8"/>
    </row>
    <row r="942" spans="26:28" x14ac:dyDescent="0.2">
      <c r="Z942" s="123"/>
      <c r="AA942" s="123"/>
      <c r="AB942" s="8"/>
    </row>
    <row r="943" spans="26:28" x14ac:dyDescent="0.2">
      <c r="Z943" s="123"/>
      <c r="AA943" s="123"/>
      <c r="AB943" s="8"/>
    </row>
    <row r="944" spans="26:28" x14ac:dyDescent="0.2">
      <c r="Z944" s="123"/>
      <c r="AA944" s="123"/>
      <c r="AB944" s="8"/>
    </row>
    <row r="945" spans="26:28" x14ac:dyDescent="0.2">
      <c r="Z945" s="123"/>
      <c r="AA945" s="123"/>
      <c r="AB945" s="8"/>
    </row>
    <row r="946" spans="26:28" x14ac:dyDescent="0.2">
      <c r="Z946" s="123"/>
      <c r="AA946" s="123"/>
      <c r="AB946" s="8"/>
    </row>
    <row r="947" spans="26:28" x14ac:dyDescent="0.2">
      <c r="Z947" s="123"/>
      <c r="AA947" s="123"/>
      <c r="AB947" s="8"/>
    </row>
    <row r="948" spans="26:28" x14ac:dyDescent="0.2">
      <c r="Z948" s="123"/>
      <c r="AA948" s="123"/>
      <c r="AB948" s="8"/>
    </row>
    <row r="949" spans="26:28" x14ac:dyDescent="0.2">
      <c r="Z949" s="123"/>
      <c r="AA949" s="123"/>
      <c r="AB949" s="8"/>
    </row>
    <row r="950" spans="26:28" x14ac:dyDescent="0.2">
      <c r="Z950" s="123"/>
      <c r="AA950" s="123"/>
      <c r="AB950" s="8"/>
    </row>
    <row r="951" spans="26:28" x14ac:dyDescent="0.2">
      <c r="Z951" s="123"/>
      <c r="AA951" s="123"/>
      <c r="AB951" s="8"/>
    </row>
    <row r="952" spans="26:28" x14ac:dyDescent="0.2">
      <c r="Z952" s="123"/>
      <c r="AA952" s="123"/>
      <c r="AB952" s="8"/>
    </row>
    <row r="953" spans="26:28" x14ac:dyDescent="0.2">
      <c r="Z953" s="123"/>
      <c r="AA953" s="123"/>
      <c r="AB953" s="8"/>
    </row>
    <row r="954" spans="26:28" x14ac:dyDescent="0.2">
      <c r="Z954" s="123"/>
      <c r="AA954" s="123"/>
      <c r="AB954" s="8"/>
    </row>
    <row r="955" spans="26:28" x14ac:dyDescent="0.2">
      <c r="Z955" s="123"/>
      <c r="AA955" s="123"/>
      <c r="AB955" s="8"/>
    </row>
    <row r="956" spans="26:28" x14ac:dyDescent="0.2">
      <c r="Z956" s="123"/>
      <c r="AA956" s="123"/>
      <c r="AB956" s="8"/>
    </row>
    <row r="957" spans="26:28" x14ac:dyDescent="0.2">
      <c r="Z957" s="123"/>
      <c r="AA957" s="123"/>
      <c r="AB957" s="8"/>
    </row>
    <row r="958" spans="26:28" x14ac:dyDescent="0.2">
      <c r="Z958" s="123"/>
      <c r="AA958" s="123"/>
      <c r="AB958" s="8"/>
    </row>
    <row r="959" spans="26:28" x14ac:dyDescent="0.2">
      <c r="Z959" s="123"/>
      <c r="AA959" s="123"/>
      <c r="AB959" s="8"/>
    </row>
    <row r="960" spans="26:28" x14ac:dyDescent="0.2">
      <c r="Z960" s="123"/>
      <c r="AA960" s="123"/>
      <c r="AB960" s="8"/>
    </row>
    <row r="961" spans="26:28" x14ac:dyDescent="0.2">
      <c r="Z961" s="123"/>
      <c r="AA961" s="123"/>
      <c r="AB961" s="8"/>
    </row>
    <row r="962" spans="26:28" x14ac:dyDescent="0.2">
      <c r="Z962" s="123"/>
      <c r="AA962" s="123"/>
      <c r="AB962" s="8"/>
    </row>
    <row r="963" spans="26:28" x14ac:dyDescent="0.2">
      <c r="Z963" s="123"/>
      <c r="AA963" s="123"/>
      <c r="AB963" s="8"/>
    </row>
    <row r="964" spans="26:28" x14ac:dyDescent="0.2">
      <c r="Z964" s="123"/>
      <c r="AA964" s="123"/>
      <c r="AB964" s="8"/>
    </row>
    <row r="965" spans="26:28" x14ac:dyDescent="0.2">
      <c r="Z965" s="123"/>
      <c r="AA965" s="123"/>
      <c r="AB965" s="8"/>
    </row>
    <row r="966" spans="26:28" x14ac:dyDescent="0.2">
      <c r="Z966" s="123"/>
      <c r="AA966" s="123"/>
      <c r="AB966" s="8"/>
    </row>
    <row r="967" spans="26:28" x14ac:dyDescent="0.2">
      <c r="Z967" s="123"/>
      <c r="AA967" s="123"/>
      <c r="AB967" s="8"/>
    </row>
    <row r="968" spans="26:28" x14ac:dyDescent="0.2">
      <c r="Z968" s="123"/>
      <c r="AA968" s="123"/>
      <c r="AB968" s="8"/>
    </row>
    <row r="969" spans="26:28" x14ac:dyDescent="0.2">
      <c r="Z969" s="123"/>
      <c r="AA969" s="123"/>
      <c r="AB969" s="8"/>
    </row>
    <row r="970" spans="26:28" x14ac:dyDescent="0.2">
      <c r="Z970" s="123"/>
      <c r="AA970" s="123"/>
      <c r="AB970" s="8"/>
    </row>
    <row r="971" spans="26:28" x14ac:dyDescent="0.2">
      <c r="Z971" s="123"/>
      <c r="AA971" s="123"/>
      <c r="AB971" s="8"/>
    </row>
    <row r="972" spans="26:28" x14ac:dyDescent="0.2">
      <c r="Z972" s="123"/>
      <c r="AA972" s="123"/>
      <c r="AB972" s="8"/>
    </row>
    <row r="973" spans="26:28" x14ac:dyDescent="0.2">
      <c r="Z973" s="123"/>
      <c r="AA973" s="123"/>
      <c r="AB973" s="8"/>
    </row>
    <row r="974" spans="26:28" x14ac:dyDescent="0.2">
      <c r="Z974" s="123"/>
      <c r="AA974" s="123"/>
      <c r="AB974" s="8"/>
    </row>
    <row r="975" spans="26:28" x14ac:dyDescent="0.2">
      <c r="Z975" s="123"/>
      <c r="AA975" s="123"/>
      <c r="AB975" s="8"/>
    </row>
    <row r="976" spans="26:28" x14ac:dyDescent="0.2">
      <c r="Z976" s="123"/>
      <c r="AA976" s="123"/>
      <c r="AB976" s="8"/>
    </row>
    <row r="977" spans="26:28" x14ac:dyDescent="0.2">
      <c r="Z977" s="123"/>
      <c r="AA977" s="123"/>
      <c r="AB977" s="8"/>
    </row>
    <row r="978" spans="26:28" x14ac:dyDescent="0.2">
      <c r="Z978" s="123"/>
      <c r="AA978" s="123"/>
      <c r="AB978" s="8"/>
    </row>
    <row r="979" spans="26:28" x14ac:dyDescent="0.2">
      <c r="Z979" s="123"/>
      <c r="AA979" s="123"/>
      <c r="AB979" s="8"/>
    </row>
    <row r="980" spans="26:28" x14ac:dyDescent="0.2">
      <c r="Z980" s="123"/>
      <c r="AA980" s="123"/>
      <c r="AB980" s="8"/>
    </row>
    <row r="981" spans="26:28" x14ac:dyDescent="0.2">
      <c r="Z981" s="123"/>
      <c r="AA981" s="123"/>
      <c r="AB981" s="8"/>
    </row>
    <row r="982" spans="26:28" x14ac:dyDescent="0.2">
      <c r="Z982" s="123"/>
      <c r="AA982" s="123"/>
      <c r="AB982" s="8"/>
    </row>
    <row r="983" spans="26:28" x14ac:dyDescent="0.2">
      <c r="Z983" s="123"/>
      <c r="AA983" s="123"/>
      <c r="AB983" s="8"/>
    </row>
    <row r="984" spans="26:28" x14ac:dyDescent="0.2">
      <c r="Z984" s="123"/>
      <c r="AA984" s="123"/>
      <c r="AB984" s="8"/>
    </row>
    <row r="985" spans="26:28" x14ac:dyDescent="0.2">
      <c r="Z985" s="123"/>
      <c r="AA985" s="123"/>
      <c r="AB985" s="8"/>
    </row>
    <row r="986" spans="26:28" x14ac:dyDescent="0.2">
      <c r="Z986" s="123"/>
      <c r="AA986" s="123"/>
      <c r="AB986" s="8"/>
    </row>
    <row r="987" spans="26:28" x14ac:dyDescent="0.2">
      <c r="Z987" s="123"/>
      <c r="AA987" s="123"/>
      <c r="AB987" s="8"/>
    </row>
    <row r="988" spans="26:28" x14ac:dyDescent="0.2">
      <c r="Z988" s="123"/>
      <c r="AA988" s="123"/>
      <c r="AB988" s="8"/>
    </row>
    <row r="989" spans="26:28" x14ac:dyDescent="0.2">
      <c r="Z989" s="123"/>
      <c r="AA989" s="123"/>
      <c r="AB989" s="8"/>
    </row>
    <row r="990" spans="26:28" x14ac:dyDescent="0.2">
      <c r="Z990" s="123"/>
      <c r="AA990" s="123"/>
      <c r="AB990" s="8"/>
    </row>
    <row r="991" spans="26:28" x14ac:dyDescent="0.2">
      <c r="Z991" s="123"/>
      <c r="AA991" s="123"/>
      <c r="AB991" s="8"/>
    </row>
    <row r="992" spans="26:28" x14ac:dyDescent="0.2">
      <c r="Z992" s="123"/>
      <c r="AA992" s="123"/>
      <c r="AB992" s="8"/>
    </row>
    <row r="993" spans="26:28" x14ac:dyDescent="0.2">
      <c r="Z993" s="123"/>
      <c r="AA993" s="123"/>
      <c r="AB993" s="8"/>
    </row>
    <row r="994" spans="26:28" x14ac:dyDescent="0.2">
      <c r="Z994" s="123"/>
      <c r="AA994" s="123"/>
      <c r="AB994" s="8"/>
    </row>
    <row r="995" spans="26:28" x14ac:dyDescent="0.2">
      <c r="Z995" s="123"/>
      <c r="AA995" s="123"/>
      <c r="AB995" s="8"/>
    </row>
    <row r="996" spans="26:28" x14ac:dyDescent="0.2">
      <c r="Z996" s="123"/>
      <c r="AA996" s="123"/>
      <c r="AB996" s="8"/>
    </row>
    <row r="997" spans="26:28" x14ac:dyDescent="0.2">
      <c r="Z997" s="123"/>
      <c r="AA997" s="123"/>
      <c r="AB997" s="8"/>
    </row>
    <row r="998" spans="26:28" x14ac:dyDescent="0.2">
      <c r="Z998" s="123"/>
      <c r="AA998" s="123"/>
      <c r="AB998" s="8"/>
    </row>
    <row r="999" spans="26:28" x14ac:dyDescent="0.2">
      <c r="Z999" s="123"/>
      <c r="AA999" s="123"/>
      <c r="AB999" s="8"/>
    </row>
    <row r="1000" spans="26:28" x14ac:dyDescent="0.2">
      <c r="Z1000" s="123"/>
      <c r="AA1000" s="123"/>
      <c r="AB1000" s="8"/>
    </row>
    <row r="1001" spans="26:28" x14ac:dyDescent="0.2">
      <c r="Z1001" s="123"/>
      <c r="AA1001" s="123"/>
      <c r="AB1001" s="8"/>
    </row>
    <row r="1002" spans="26:28" x14ac:dyDescent="0.2">
      <c r="Z1002" s="123"/>
      <c r="AA1002" s="123"/>
      <c r="AB1002" s="8"/>
    </row>
    <row r="1003" spans="26:28" x14ac:dyDescent="0.2">
      <c r="Z1003" s="123"/>
      <c r="AA1003" s="123"/>
      <c r="AB1003" s="8"/>
    </row>
    <row r="1004" spans="26:28" x14ac:dyDescent="0.2">
      <c r="Z1004" s="123"/>
      <c r="AA1004" s="123"/>
      <c r="AB1004" s="8"/>
    </row>
    <row r="1005" spans="26:28" x14ac:dyDescent="0.2">
      <c r="Z1005" s="123"/>
      <c r="AA1005" s="123"/>
      <c r="AB1005" s="8"/>
    </row>
    <row r="1006" spans="26:28" x14ac:dyDescent="0.2">
      <c r="Z1006" s="123"/>
      <c r="AA1006" s="123"/>
      <c r="AB1006" s="8"/>
    </row>
    <row r="1007" spans="26:28" x14ac:dyDescent="0.2">
      <c r="Z1007" s="123"/>
      <c r="AA1007" s="123"/>
      <c r="AB1007" s="8"/>
    </row>
    <row r="1008" spans="26:28" x14ac:dyDescent="0.2">
      <c r="Z1008" s="123"/>
      <c r="AA1008" s="123"/>
      <c r="AB1008" s="8"/>
    </row>
    <row r="1009" spans="26:28" x14ac:dyDescent="0.2">
      <c r="Z1009" s="123"/>
      <c r="AA1009" s="123"/>
      <c r="AB1009" s="8"/>
    </row>
    <row r="1010" spans="26:28" x14ac:dyDescent="0.2">
      <c r="Z1010" s="123"/>
      <c r="AA1010" s="123"/>
      <c r="AB1010" s="8"/>
    </row>
    <row r="1011" spans="26:28" x14ac:dyDescent="0.2">
      <c r="Z1011" s="123"/>
      <c r="AA1011" s="123"/>
      <c r="AB1011" s="8"/>
    </row>
    <row r="1012" spans="26:28" x14ac:dyDescent="0.2">
      <c r="Z1012" s="123"/>
      <c r="AA1012" s="123"/>
      <c r="AB1012" s="8"/>
    </row>
    <row r="1013" spans="26:28" x14ac:dyDescent="0.2">
      <c r="Z1013" s="123"/>
      <c r="AA1013" s="123"/>
      <c r="AB1013" s="8"/>
    </row>
    <row r="1014" spans="26:28" x14ac:dyDescent="0.2">
      <c r="Z1014" s="123"/>
      <c r="AA1014" s="123"/>
      <c r="AB1014" s="8"/>
    </row>
    <row r="1015" spans="26:28" x14ac:dyDescent="0.2">
      <c r="Z1015" s="123"/>
      <c r="AA1015" s="123"/>
      <c r="AB1015" s="8"/>
    </row>
    <row r="1016" spans="26:28" x14ac:dyDescent="0.2">
      <c r="Z1016" s="123"/>
      <c r="AA1016" s="123"/>
      <c r="AB1016" s="8"/>
    </row>
    <row r="1017" spans="26:28" x14ac:dyDescent="0.2">
      <c r="Z1017" s="123"/>
      <c r="AA1017" s="123"/>
      <c r="AB1017" s="8"/>
    </row>
    <row r="1018" spans="26:28" x14ac:dyDescent="0.2">
      <c r="Z1018" s="123"/>
      <c r="AA1018" s="123"/>
      <c r="AB1018" s="8"/>
    </row>
    <row r="1019" spans="26:28" x14ac:dyDescent="0.2">
      <c r="Z1019" s="123"/>
      <c r="AA1019" s="123"/>
      <c r="AB1019" s="8"/>
    </row>
    <row r="1020" spans="26:28" x14ac:dyDescent="0.2">
      <c r="Z1020" s="123"/>
      <c r="AA1020" s="123"/>
      <c r="AB1020" s="8"/>
    </row>
    <row r="1021" spans="26:28" x14ac:dyDescent="0.2">
      <c r="Z1021" s="123"/>
      <c r="AA1021" s="123"/>
      <c r="AB1021" s="8"/>
    </row>
    <row r="1022" spans="26:28" x14ac:dyDescent="0.2">
      <c r="Z1022" s="123"/>
      <c r="AA1022" s="123"/>
      <c r="AB1022" s="8"/>
    </row>
    <row r="1023" spans="26:28" x14ac:dyDescent="0.2">
      <c r="Z1023" s="123"/>
      <c r="AA1023" s="123"/>
      <c r="AB1023" s="8"/>
    </row>
    <row r="1024" spans="26:28" x14ac:dyDescent="0.2">
      <c r="Z1024" s="123"/>
      <c r="AA1024" s="123"/>
      <c r="AB1024" s="8"/>
    </row>
    <row r="1025" spans="26:28" x14ac:dyDescent="0.2">
      <c r="Z1025" s="123"/>
      <c r="AA1025" s="123"/>
      <c r="AB1025" s="8"/>
    </row>
    <row r="1026" spans="26:28" x14ac:dyDescent="0.2">
      <c r="Z1026" s="123"/>
      <c r="AA1026" s="123"/>
      <c r="AB1026" s="8"/>
    </row>
    <row r="1027" spans="26:28" x14ac:dyDescent="0.2">
      <c r="Z1027" s="123"/>
      <c r="AA1027" s="123"/>
      <c r="AB1027" s="8"/>
    </row>
    <row r="1028" spans="26:28" x14ac:dyDescent="0.2">
      <c r="Z1028" s="123"/>
      <c r="AA1028" s="123"/>
      <c r="AB1028" s="8"/>
    </row>
    <row r="1029" spans="26:28" x14ac:dyDescent="0.2">
      <c r="Z1029" s="123"/>
      <c r="AA1029" s="123"/>
      <c r="AB1029" s="8"/>
    </row>
    <row r="1030" spans="26:28" x14ac:dyDescent="0.2">
      <c r="Z1030" s="123"/>
      <c r="AA1030" s="123"/>
      <c r="AB1030" s="8"/>
    </row>
    <row r="1031" spans="26:28" x14ac:dyDescent="0.2">
      <c r="Z1031" s="123"/>
      <c r="AA1031" s="123"/>
      <c r="AB1031" s="8"/>
    </row>
    <row r="1032" spans="26:28" x14ac:dyDescent="0.2">
      <c r="Z1032" s="123"/>
      <c r="AA1032" s="123"/>
      <c r="AB1032" s="8"/>
    </row>
    <row r="1033" spans="26:28" x14ac:dyDescent="0.2">
      <c r="Z1033" s="123"/>
      <c r="AA1033" s="123"/>
      <c r="AB1033" s="8"/>
    </row>
    <row r="1034" spans="26:28" x14ac:dyDescent="0.2">
      <c r="Z1034" s="123"/>
      <c r="AA1034" s="123"/>
      <c r="AB1034" s="8"/>
    </row>
    <row r="1035" spans="26:28" x14ac:dyDescent="0.2">
      <c r="Z1035" s="123"/>
      <c r="AA1035" s="123"/>
      <c r="AB1035" s="8"/>
    </row>
    <row r="1036" spans="26:28" x14ac:dyDescent="0.2">
      <c r="Z1036" s="123"/>
      <c r="AA1036" s="123"/>
      <c r="AB1036" s="8"/>
    </row>
    <row r="1037" spans="26:28" x14ac:dyDescent="0.2">
      <c r="Z1037" s="123"/>
      <c r="AA1037" s="123"/>
      <c r="AB1037" s="8"/>
    </row>
    <row r="1038" spans="26:28" x14ac:dyDescent="0.2">
      <c r="Z1038" s="123"/>
      <c r="AA1038" s="123"/>
      <c r="AB1038" s="8"/>
    </row>
    <row r="1039" spans="26:28" x14ac:dyDescent="0.2">
      <c r="Z1039" s="123"/>
      <c r="AA1039" s="123"/>
      <c r="AB1039" s="8"/>
    </row>
    <row r="1040" spans="26:28" x14ac:dyDescent="0.2">
      <c r="Z1040" s="123"/>
      <c r="AA1040" s="123"/>
      <c r="AB1040" s="8"/>
    </row>
    <row r="1041" spans="26:28" x14ac:dyDescent="0.2">
      <c r="Z1041" s="123"/>
      <c r="AA1041" s="123"/>
      <c r="AB1041" s="8"/>
    </row>
    <row r="1042" spans="26:28" x14ac:dyDescent="0.2">
      <c r="Z1042" s="123"/>
      <c r="AA1042" s="123"/>
      <c r="AB1042" s="8"/>
    </row>
    <row r="1043" spans="26:28" x14ac:dyDescent="0.2">
      <c r="Z1043" s="123"/>
      <c r="AA1043" s="123"/>
      <c r="AB1043" s="8"/>
    </row>
    <row r="1044" spans="26:28" x14ac:dyDescent="0.2">
      <c r="Z1044" s="123"/>
      <c r="AA1044" s="123"/>
      <c r="AB1044" s="8"/>
    </row>
    <row r="1045" spans="26:28" x14ac:dyDescent="0.2">
      <c r="Z1045" s="123"/>
      <c r="AA1045" s="123"/>
      <c r="AB1045" s="8"/>
    </row>
    <row r="1046" spans="26:28" x14ac:dyDescent="0.2">
      <c r="Z1046" s="123"/>
      <c r="AA1046" s="123"/>
      <c r="AB1046" s="8"/>
    </row>
    <row r="1047" spans="26:28" x14ac:dyDescent="0.2">
      <c r="Z1047" s="123"/>
      <c r="AA1047" s="123"/>
      <c r="AB1047" s="8"/>
    </row>
    <row r="1048" spans="26:28" x14ac:dyDescent="0.2">
      <c r="Z1048" s="123"/>
      <c r="AA1048" s="123"/>
      <c r="AB1048" s="8"/>
    </row>
    <row r="1049" spans="26:28" x14ac:dyDescent="0.2">
      <c r="Z1049" s="123"/>
      <c r="AA1049" s="123"/>
      <c r="AB1049" s="8"/>
    </row>
    <row r="1050" spans="26:28" x14ac:dyDescent="0.2">
      <c r="Z1050" s="123"/>
      <c r="AA1050" s="123"/>
      <c r="AB1050" s="8"/>
    </row>
    <row r="1051" spans="26:28" x14ac:dyDescent="0.2">
      <c r="Z1051" s="123"/>
      <c r="AA1051" s="123"/>
      <c r="AB1051" s="8"/>
    </row>
    <row r="1052" spans="26:28" x14ac:dyDescent="0.2">
      <c r="Z1052" s="123"/>
      <c r="AA1052" s="123"/>
      <c r="AB1052" s="8"/>
    </row>
    <row r="1053" spans="26:28" x14ac:dyDescent="0.2">
      <c r="Z1053" s="123"/>
      <c r="AA1053" s="123"/>
      <c r="AB1053" s="8"/>
    </row>
    <row r="1054" spans="26:28" x14ac:dyDescent="0.2">
      <c r="Z1054" s="123"/>
      <c r="AA1054" s="123"/>
      <c r="AB1054" s="8"/>
    </row>
    <row r="1055" spans="26:28" x14ac:dyDescent="0.2">
      <c r="Z1055" s="123"/>
      <c r="AA1055" s="123"/>
      <c r="AB1055" s="8"/>
    </row>
    <row r="1056" spans="26:28" x14ac:dyDescent="0.2">
      <c r="Z1056" s="123"/>
      <c r="AA1056" s="123"/>
      <c r="AB1056" s="8"/>
    </row>
    <row r="1057" spans="26:28" x14ac:dyDescent="0.2">
      <c r="Z1057" s="123"/>
      <c r="AA1057" s="123"/>
      <c r="AB1057" s="8"/>
    </row>
    <row r="1058" spans="26:28" x14ac:dyDescent="0.2">
      <c r="Z1058" s="123"/>
      <c r="AA1058" s="123"/>
      <c r="AB1058" s="8"/>
    </row>
    <row r="1059" spans="26:28" x14ac:dyDescent="0.2">
      <c r="Z1059" s="123"/>
      <c r="AA1059" s="123"/>
      <c r="AB1059" s="8"/>
    </row>
    <row r="1060" spans="26:28" x14ac:dyDescent="0.2">
      <c r="Z1060" s="123"/>
      <c r="AA1060" s="123"/>
      <c r="AB1060" s="8"/>
    </row>
    <row r="1061" spans="26:28" x14ac:dyDescent="0.2">
      <c r="Z1061" s="123"/>
      <c r="AA1061" s="123"/>
      <c r="AB1061" s="8"/>
    </row>
    <row r="1062" spans="26:28" x14ac:dyDescent="0.2">
      <c r="Z1062" s="123"/>
      <c r="AA1062" s="123"/>
      <c r="AB1062" s="8"/>
    </row>
    <row r="1063" spans="26:28" x14ac:dyDescent="0.2">
      <c r="Z1063" s="123"/>
      <c r="AA1063" s="123"/>
      <c r="AB1063" s="8"/>
    </row>
    <row r="1064" spans="26:28" x14ac:dyDescent="0.2">
      <c r="Z1064" s="123"/>
      <c r="AA1064" s="123"/>
      <c r="AB1064" s="8"/>
    </row>
    <row r="1065" spans="26:28" x14ac:dyDescent="0.2">
      <c r="Z1065" s="123"/>
      <c r="AA1065" s="123"/>
      <c r="AB1065" s="8"/>
    </row>
    <row r="1066" spans="26:28" x14ac:dyDescent="0.2">
      <c r="Z1066" s="123"/>
      <c r="AA1066" s="123"/>
      <c r="AB1066" s="8"/>
    </row>
    <row r="1067" spans="26:28" x14ac:dyDescent="0.2">
      <c r="Z1067" s="123"/>
      <c r="AA1067" s="123"/>
      <c r="AB1067" s="8"/>
    </row>
    <row r="1068" spans="26:28" x14ac:dyDescent="0.2">
      <c r="Z1068" s="123"/>
      <c r="AA1068" s="123"/>
      <c r="AB1068" s="8"/>
    </row>
    <row r="1069" spans="26:28" x14ac:dyDescent="0.2">
      <c r="Z1069" s="123"/>
      <c r="AA1069" s="123"/>
      <c r="AB1069" s="8"/>
    </row>
    <row r="1070" spans="26:28" x14ac:dyDescent="0.2">
      <c r="Z1070" s="123"/>
      <c r="AA1070" s="123"/>
      <c r="AB1070" s="8"/>
    </row>
    <row r="1071" spans="26:28" x14ac:dyDescent="0.2">
      <c r="Z1071" s="123"/>
      <c r="AA1071" s="123"/>
      <c r="AB1071" s="8"/>
    </row>
    <row r="1072" spans="26:28" x14ac:dyDescent="0.2">
      <c r="Z1072" s="123"/>
      <c r="AA1072" s="123"/>
      <c r="AB1072" s="8"/>
    </row>
    <row r="1073" spans="26:28" x14ac:dyDescent="0.2">
      <c r="Z1073" s="123"/>
      <c r="AA1073" s="123"/>
      <c r="AB1073" s="8"/>
    </row>
    <row r="1074" spans="26:28" x14ac:dyDescent="0.2">
      <c r="Z1074" s="123"/>
      <c r="AA1074" s="123"/>
      <c r="AB1074" s="8"/>
    </row>
    <row r="1075" spans="26:28" x14ac:dyDescent="0.2">
      <c r="Z1075" s="123"/>
      <c r="AA1075" s="123"/>
      <c r="AB1075" s="8"/>
    </row>
    <row r="1076" spans="26:28" x14ac:dyDescent="0.2">
      <c r="Z1076" s="123"/>
      <c r="AA1076" s="123"/>
      <c r="AB1076" s="8"/>
    </row>
    <row r="1077" spans="26:28" x14ac:dyDescent="0.2">
      <c r="Z1077" s="123"/>
      <c r="AA1077" s="123"/>
      <c r="AB1077" s="8"/>
    </row>
    <row r="1078" spans="26:28" x14ac:dyDescent="0.2">
      <c r="Z1078" s="123"/>
      <c r="AA1078" s="123"/>
      <c r="AB1078" s="8"/>
    </row>
    <row r="1079" spans="26:28" x14ac:dyDescent="0.2">
      <c r="Z1079" s="123"/>
      <c r="AA1079" s="123"/>
      <c r="AB1079" s="8"/>
    </row>
    <row r="1080" spans="26:28" x14ac:dyDescent="0.2">
      <c r="Z1080" s="123"/>
      <c r="AA1080" s="123"/>
      <c r="AB1080" s="8"/>
    </row>
    <row r="1081" spans="26:28" x14ac:dyDescent="0.2">
      <c r="Z1081" s="123"/>
      <c r="AA1081" s="123"/>
      <c r="AB1081" s="8"/>
    </row>
    <row r="1082" spans="26:28" x14ac:dyDescent="0.2">
      <c r="Z1082" s="123"/>
      <c r="AA1082" s="123"/>
      <c r="AB1082" s="8"/>
    </row>
    <row r="1083" spans="26:28" x14ac:dyDescent="0.2">
      <c r="Z1083" s="123"/>
      <c r="AA1083" s="123"/>
      <c r="AB1083" s="8"/>
    </row>
    <row r="1084" spans="26:28" x14ac:dyDescent="0.2">
      <c r="Z1084" s="123"/>
      <c r="AA1084" s="123"/>
      <c r="AB1084" s="8"/>
    </row>
    <row r="1085" spans="26:28" x14ac:dyDescent="0.2">
      <c r="Z1085" s="123"/>
      <c r="AA1085" s="123"/>
      <c r="AB1085" s="8"/>
    </row>
    <row r="1086" spans="26:28" x14ac:dyDescent="0.2">
      <c r="Z1086" s="123"/>
      <c r="AA1086" s="123"/>
      <c r="AB1086" s="8"/>
    </row>
    <row r="1087" spans="26:28" x14ac:dyDescent="0.2">
      <c r="Z1087" s="123"/>
      <c r="AA1087" s="123"/>
      <c r="AB1087" s="8"/>
    </row>
    <row r="1088" spans="26:28" x14ac:dyDescent="0.2">
      <c r="Z1088" s="123"/>
      <c r="AA1088" s="123"/>
      <c r="AB1088" s="8"/>
    </row>
    <row r="1089" spans="26:28" x14ac:dyDescent="0.2">
      <c r="Z1089" s="123"/>
      <c r="AA1089" s="123"/>
      <c r="AB1089" s="8"/>
    </row>
    <row r="1090" spans="26:28" x14ac:dyDescent="0.2">
      <c r="Z1090" s="123"/>
      <c r="AA1090" s="123"/>
      <c r="AB1090" s="8"/>
    </row>
    <row r="1091" spans="26:28" x14ac:dyDescent="0.2">
      <c r="Z1091" s="123"/>
      <c r="AA1091" s="123"/>
      <c r="AB1091" s="8"/>
    </row>
    <row r="1092" spans="26:28" x14ac:dyDescent="0.2">
      <c r="Z1092" s="123"/>
      <c r="AA1092" s="123"/>
      <c r="AB1092" s="8"/>
    </row>
    <row r="1093" spans="26:28" x14ac:dyDescent="0.2">
      <c r="Z1093" s="123"/>
      <c r="AA1093" s="123"/>
      <c r="AB1093" s="8"/>
    </row>
    <row r="1094" spans="26:28" x14ac:dyDescent="0.2">
      <c r="Z1094" s="123"/>
      <c r="AA1094" s="123"/>
      <c r="AB1094" s="8"/>
    </row>
    <row r="1095" spans="26:28" x14ac:dyDescent="0.2">
      <c r="Z1095" s="123"/>
      <c r="AA1095" s="123"/>
      <c r="AB1095" s="8"/>
    </row>
    <row r="1096" spans="26:28" x14ac:dyDescent="0.2">
      <c r="Z1096" s="123"/>
      <c r="AA1096" s="123"/>
      <c r="AB1096" s="8"/>
    </row>
    <row r="1097" spans="26:28" x14ac:dyDescent="0.2">
      <c r="Z1097" s="123"/>
      <c r="AA1097" s="123"/>
      <c r="AB1097" s="8"/>
    </row>
    <row r="1098" spans="26:28" x14ac:dyDescent="0.2">
      <c r="Z1098" s="123"/>
      <c r="AA1098" s="123"/>
      <c r="AB1098" s="8"/>
    </row>
    <row r="1099" spans="26:28" x14ac:dyDescent="0.2">
      <c r="Z1099" s="123"/>
      <c r="AA1099" s="123"/>
      <c r="AB1099" s="8"/>
    </row>
    <row r="1100" spans="26:28" x14ac:dyDescent="0.2">
      <c r="Z1100" s="123"/>
      <c r="AA1100" s="123"/>
      <c r="AB1100" s="8"/>
    </row>
    <row r="1101" spans="26:28" x14ac:dyDescent="0.2">
      <c r="Z1101" s="123"/>
      <c r="AA1101" s="123"/>
      <c r="AB1101" s="8"/>
    </row>
    <row r="1102" spans="26:28" x14ac:dyDescent="0.2">
      <c r="Z1102" s="123"/>
      <c r="AA1102" s="123"/>
      <c r="AB1102" s="8"/>
    </row>
    <row r="1103" spans="26:28" x14ac:dyDescent="0.2">
      <c r="Z1103" s="123"/>
      <c r="AA1103" s="123"/>
      <c r="AB1103" s="8"/>
    </row>
    <row r="1104" spans="26:28" x14ac:dyDescent="0.2">
      <c r="Z1104" s="123"/>
      <c r="AA1104" s="123"/>
      <c r="AB1104" s="8"/>
    </row>
    <row r="1105" spans="26:28" x14ac:dyDescent="0.2">
      <c r="Z1105" s="123"/>
      <c r="AA1105" s="123"/>
      <c r="AB1105" s="8"/>
    </row>
    <row r="1106" spans="26:28" x14ac:dyDescent="0.2">
      <c r="Z1106" s="123"/>
      <c r="AA1106" s="123"/>
      <c r="AB1106" s="8"/>
    </row>
    <row r="1107" spans="26:28" x14ac:dyDescent="0.2">
      <c r="Z1107" s="123"/>
      <c r="AA1107" s="123"/>
      <c r="AB1107" s="8"/>
    </row>
    <row r="1108" spans="26:28" x14ac:dyDescent="0.2">
      <c r="Z1108" s="123"/>
      <c r="AA1108" s="123"/>
      <c r="AB1108" s="8"/>
    </row>
    <row r="1109" spans="26:28" x14ac:dyDescent="0.2">
      <c r="Z1109" s="123"/>
      <c r="AA1109" s="123"/>
      <c r="AB1109" s="8"/>
    </row>
    <row r="1110" spans="26:28" x14ac:dyDescent="0.2">
      <c r="Z1110" s="123"/>
      <c r="AA1110" s="123"/>
      <c r="AB1110" s="8"/>
    </row>
    <row r="1111" spans="26:28" x14ac:dyDescent="0.2">
      <c r="Z1111" s="123"/>
      <c r="AA1111" s="123"/>
      <c r="AB1111" s="8"/>
    </row>
    <row r="1112" spans="26:28" x14ac:dyDescent="0.2">
      <c r="Z1112" s="123"/>
      <c r="AA1112" s="123"/>
      <c r="AB1112" s="8"/>
    </row>
    <row r="1113" spans="26:28" x14ac:dyDescent="0.2">
      <c r="Z1113" s="123"/>
      <c r="AA1113" s="123"/>
      <c r="AB1113" s="8"/>
    </row>
    <row r="1114" spans="26:28" x14ac:dyDescent="0.2">
      <c r="Z1114" s="123"/>
      <c r="AA1114" s="123"/>
      <c r="AB1114" s="8"/>
    </row>
    <row r="1115" spans="26:28" x14ac:dyDescent="0.2">
      <c r="Z1115" s="123"/>
      <c r="AA1115" s="123"/>
      <c r="AB1115" s="8"/>
    </row>
    <row r="1116" spans="26:28" x14ac:dyDescent="0.2">
      <c r="Z1116" s="123"/>
      <c r="AA1116" s="123"/>
      <c r="AB1116" s="8"/>
    </row>
    <row r="1117" spans="26:28" x14ac:dyDescent="0.2">
      <c r="Z1117" s="123"/>
      <c r="AA1117" s="123"/>
      <c r="AB1117" s="8"/>
    </row>
    <row r="1118" spans="26:28" x14ac:dyDescent="0.2">
      <c r="Z1118" s="123"/>
      <c r="AA1118" s="123"/>
      <c r="AB1118" s="8"/>
    </row>
    <row r="1119" spans="26:28" x14ac:dyDescent="0.2">
      <c r="Z1119" s="123"/>
      <c r="AA1119" s="123"/>
      <c r="AB1119" s="8"/>
    </row>
    <row r="1120" spans="26:28" x14ac:dyDescent="0.2">
      <c r="Z1120" s="123"/>
      <c r="AA1120" s="123"/>
      <c r="AB1120" s="8"/>
    </row>
    <row r="1121" spans="26:28" x14ac:dyDescent="0.2">
      <c r="Z1121" s="123"/>
      <c r="AA1121" s="123"/>
      <c r="AB1121" s="8"/>
    </row>
    <row r="1122" spans="26:28" x14ac:dyDescent="0.2">
      <c r="Z1122" s="123"/>
      <c r="AA1122" s="123"/>
      <c r="AB1122" s="8"/>
    </row>
    <row r="1123" spans="26:28" x14ac:dyDescent="0.2">
      <c r="Z1123" s="123"/>
      <c r="AA1123" s="123"/>
      <c r="AB1123" s="8"/>
    </row>
    <row r="1124" spans="26:28" x14ac:dyDescent="0.2">
      <c r="Z1124" s="123"/>
      <c r="AA1124" s="123"/>
      <c r="AB1124" s="8"/>
    </row>
    <row r="1125" spans="26:28" x14ac:dyDescent="0.2">
      <c r="Z1125" s="123"/>
      <c r="AA1125" s="123"/>
      <c r="AB1125" s="8"/>
    </row>
    <row r="1126" spans="26:28" x14ac:dyDescent="0.2">
      <c r="Z1126" s="123"/>
      <c r="AA1126" s="123"/>
      <c r="AB1126" s="8"/>
    </row>
    <row r="1127" spans="26:28" x14ac:dyDescent="0.2">
      <c r="Z1127" s="123"/>
      <c r="AA1127" s="123"/>
      <c r="AB1127" s="8"/>
    </row>
    <row r="1128" spans="26:28" x14ac:dyDescent="0.2">
      <c r="Z1128" s="123"/>
      <c r="AA1128" s="123"/>
      <c r="AB1128" s="8"/>
    </row>
    <row r="1129" spans="26:28" x14ac:dyDescent="0.2">
      <c r="Z1129" s="123"/>
      <c r="AA1129" s="123"/>
      <c r="AB1129" s="8"/>
    </row>
    <row r="1130" spans="26:28" x14ac:dyDescent="0.2">
      <c r="Z1130" s="123"/>
      <c r="AA1130" s="123"/>
      <c r="AB1130" s="8"/>
    </row>
    <row r="1131" spans="26:28" x14ac:dyDescent="0.2">
      <c r="Z1131" s="123"/>
      <c r="AA1131" s="123"/>
      <c r="AB1131" s="8"/>
    </row>
    <row r="1132" spans="26:28" x14ac:dyDescent="0.2">
      <c r="Z1132" s="123"/>
      <c r="AA1132" s="123"/>
      <c r="AB1132" s="8"/>
    </row>
    <row r="1133" spans="26:28" x14ac:dyDescent="0.2">
      <c r="Z1133" s="123"/>
      <c r="AA1133" s="123"/>
      <c r="AB1133" s="8"/>
    </row>
    <row r="1134" spans="26:28" x14ac:dyDescent="0.2">
      <c r="Z1134" s="123"/>
      <c r="AA1134" s="123"/>
      <c r="AB1134" s="8"/>
    </row>
    <row r="1135" spans="26:28" x14ac:dyDescent="0.2">
      <c r="Z1135" s="123"/>
      <c r="AA1135" s="123"/>
      <c r="AB1135" s="8"/>
    </row>
    <row r="1136" spans="26:28" x14ac:dyDescent="0.2">
      <c r="Z1136" s="123"/>
      <c r="AA1136" s="123"/>
      <c r="AB1136" s="8"/>
    </row>
    <row r="1137" spans="26:28" x14ac:dyDescent="0.2">
      <c r="Z1137" s="123"/>
      <c r="AA1137" s="123"/>
      <c r="AB1137" s="8"/>
    </row>
    <row r="1138" spans="26:28" x14ac:dyDescent="0.2">
      <c r="Z1138" s="123"/>
      <c r="AA1138" s="123"/>
      <c r="AB1138" s="8"/>
    </row>
    <row r="1139" spans="26:28" x14ac:dyDescent="0.2">
      <c r="Z1139" s="123"/>
      <c r="AA1139" s="123"/>
      <c r="AB1139" s="8"/>
    </row>
    <row r="1140" spans="26:28" x14ac:dyDescent="0.2">
      <c r="Z1140" s="123"/>
      <c r="AA1140" s="123"/>
      <c r="AB1140" s="8"/>
    </row>
    <row r="1141" spans="26:28" x14ac:dyDescent="0.2">
      <c r="Z1141" s="123"/>
      <c r="AA1141" s="123"/>
      <c r="AB1141" s="8"/>
    </row>
    <row r="1142" spans="26:28" x14ac:dyDescent="0.2">
      <c r="Z1142" s="123"/>
      <c r="AA1142" s="123"/>
      <c r="AB1142" s="8"/>
    </row>
    <row r="1143" spans="26:28" x14ac:dyDescent="0.2">
      <c r="Z1143" s="123"/>
      <c r="AA1143" s="123"/>
      <c r="AB1143" s="8"/>
    </row>
    <row r="1144" spans="26:28" x14ac:dyDescent="0.2">
      <c r="Z1144" s="123"/>
      <c r="AA1144" s="123"/>
      <c r="AB1144" s="8"/>
    </row>
    <row r="1145" spans="26:28" x14ac:dyDescent="0.2">
      <c r="Z1145" s="123"/>
      <c r="AA1145" s="123"/>
      <c r="AB1145" s="8"/>
    </row>
    <row r="1146" spans="26:28" x14ac:dyDescent="0.2">
      <c r="Z1146" s="123"/>
      <c r="AA1146" s="123"/>
      <c r="AB1146" s="8"/>
    </row>
    <row r="1147" spans="26:28" x14ac:dyDescent="0.2">
      <c r="Z1147" s="123"/>
      <c r="AA1147" s="123"/>
      <c r="AB1147" s="8"/>
    </row>
    <row r="1148" spans="26:28" x14ac:dyDescent="0.2">
      <c r="Z1148" s="123"/>
      <c r="AA1148" s="123"/>
      <c r="AB1148" s="8"/>
    </row>
    <row r="1149" spans="26:28" x14ac:dyDescent="0.2">
      <c r="Z1149" s="123"/>
      <c r="AA1149" s="123"/>
      <c r="AB1149" s="8"/>
    </row>
    <row r="1150" spans="26:28" x14ac:dyDescent="0.2">
      <c r="Z1150" s="123"/>
      <c r="AA1150" s="123"/>
      <c r="AB1150" s="8"/>
    </row>
    <row r="1151" spans="26:28" x14ac:dyDescent="0.2">
      <c r="Z1151" s="123"/>
      <c r="AA1151" s="123"/>
      <c r="AB1151" s="8"/>
    </row>
    <row r="1152" spans="26:28" x14ac:dyDescent="0.2">
      <c r="Z1152" s="123"/>
      <c r="AA1152" s="123"/>
      <c r="AB1152" s="8"/>
    </row>
    <row r="1153" spans="26:28" x14ac:dyDescent="0.2">
      <c r="Z1153" s="123"/>
      <c r="AA1153" s="123"/>
      <c r="AB1153" s="8"/>
    </row>
    <row r="1154" spans="26:28" x14ac:dyDescent="0.2">
      <c r="Z1154" s="123"/>
      <c r="AA1154" s="123"/>
      <c r="AB1154" s="8"/>
    </row>
    <row r="1155" spans="26:28" x14ac:dyDescent="0.2">
      <c r="Z1155" s="123"/>
      <c r="AA1155" s="123"/>
      <c r="AB1155" s="8"/>
    </row>
    <row r="1156" spans="26:28" x14ac:dyDescent="0.2">
      <c r="Z1156" s="123"/>
      <c r="AA1156" s="123"/>
      <c r="AB1156" s="8"/>
    </row>
    <row r="1157" spans="26:28" x14ac:dyDescent="0.2">
      <c r="Z1157" s="123"/>
      <c r="AA1157" s="123"/>
      <c r="AB1157" s="8"/>
    </row>
    <row r="1158" spans="26:28" x14ac:dyDescent="0.2">
      <c r="Z1158" s="123"/>
      <c r="AA1158" s="123"/>
      <c r="AB1158" s="8"/>
    </row>
    <row r="1159" spans="26:28" x14ac:dyDescent="0.2">
      <c r="Z1159" s="123"/>
      <c r="AA1159" s="123"/>
      <c r="AB1159" s="8"/>
    </row>
    <row r="1160" spans="26:28" x14ac:dyDescent="0.2">
      <c r="Z1160" s="123"/>
      <c r="AA1160" s="123"/>
      <c r="AB1160" s="8"/>
    </row>
    <row r="1161" spans="26:28" x14ac:dyDescent="0.2">
      <c r="Z1161" s="123"/>
      <c r="AA1161" s="123"/>
      <c r="AB1161" s="8"/>
    </row>
    <row r="1162" spans="26:28" x14ac:dyDescent="0.2">
      <c r="Z1162" s="123"/>
      <c r="AA1162" s="123"/>
      <c r="AB1162" s="8"/>
    </row>
    <row r="1163" spans="26:28" x14ac:dyDescent="0.2">
      <c r="Z1163" s="123"/>
      <c r="AA1163" s="123"/>
      <c r="AB1163" s="8"/>
    </row>
    <row r="1164" spans="26:28" x14ac:dyDescent="0.2">
      <c r="Z1164" s="123"/>
      <c r="AA1164" s="123"/>
      <c r="AB1164" s="8"/>
    </row>
    <row r="1165" spans="26:28" x14ac:dyDescent="0.2">
      <c r="Z1165" s="123"/>
      <c r="AA1165" s="123"/>
      <c r="AB1165" s="8"/>
    </row>
    <row r="1166" spans="26:28" x14ac:dyDescent="0.2">
      <c r="Z1166" s="123"/>
      <c r="AA1166" s="123"/>
      <c r="AB1166" s="8"/>
    </row>
    <row r="1167" spans="26:28" x14ac:dyDescent="0.2">
      <c r="Z1167" s="123"/>
      <c r="AA1167" s="123"/>
      <c r="AB1167" s="8"/>
    </row>
    <row r="1168" spans="26:28" x14ac:dyDescent="0.2">
      <c r="Z1168" s="123"/>
      <c r="AA1168" s="123"/>
      <c r="AB1168" s="8"/>
    </row>
    <row r="1169" spans="26:28" x14ac:dyDescent="0.2">
      <c r="Z1169" s="123"/>
      <c r="AA1169" s="123"/>
      <c r="AB1169" s="8"/>
    </row>
    <row r="1170" spans="26:28" x14ac:dyDescent="0.2">
      <c r="Z1170" s="123"/>
      <c r="AA1170" s="123"/>
      <c r="AB1170" s="8"/>
    </row>
    <row r="1171" spans="26:28" x14ac:dyDescent="0.2">
      <c r="Z1171" s="123"/>
      <c r="AA1171" s="123"/>
      <c r="AB1171" s="8"/>
    </row>
    <row r="1172" spans="26:28" x14ac:dyDescent="0.2">
      <c r="Z1172" s="123"/>
      <c r="AA1172" s="123"/>
      <c r="AB1172" s="8"/>
    </row>
    <row r="1173" spans="26:28" x14ac:dyDescent="0.2">
      <c r="Z1173" s="123"/>
      <c r="AA1173" s="123"/>
      <c r="AB1173" s="8"/>
    </row>
    <row r="1174" spans="26:28" x14ac:dyDescent="0.2">
      <c r="Z1174" s="123"/>
      <c r="AA1174" s="123"/>
      <c r="AB1174" s="8"/>
    </row>
    <row r="1175" spans="26:28" x14ac:dyDescent="0.2">
      <c r="Z1175" s="123"/>
      <c r="AA1175" s="123"/>
      <c r="AB1175" s="8"/>
    </row>
    <row r="1176" spans="26:28" x14ac:dyDescent="0.2">
      <c r="Z1176" s="123"/>
      <c r="AA1176" s="123"/>
      <c r="AB1176" s="8"/>
    </row>
    <row r="1177" spans="26:28" x14ac:dyDescent="0.2">
      <c r="Z1177" s="123"/>
      <c r="AA1177" s="123"/>
      <c r="AB1177" s="8"/>
    </row>
    <row r="1178" spans="26:28" x14ac:dyDescent="0.2">
      <c r="Z1178" s="123"/>
      <c r="AA1178" s="123"/>
      <c r="AB1178" s="8"/>
    </row>
    <row r="1179" spans="26:28" x14ac:dyDescent="0.2">
      <c r="Z1179" s="123"/>
      <c r="AA1179" s="123"/>
      <c r="AB1179" s="8"/>
    </row>
    <row r="1180" spans="26:28" x14ac:dyDescent="0.2">
      <c r="Z1180" s="123"/>
      <c r="AA1180" s="123"/>
      <c r="AB1180" s="8"/>
    </row>
    <row r="1181" spans="26:28" x14ac:dyDescent="0.2">
      <c r="Z1181" s="123"/>
      <c r="AA1181" s="123"/>
      <c r="AB1181" s="8"/>
    </row>
    <row r="1182" spans="26:28" x14ac:dyDescent="0.2">
      <c r="Z1182" s="123"/>
      <c r="AA1182" s="123"/>
      <c r="AB1182" s="8"/>
    </row>
    <row r="1183" spans="26:28" x14ac:dyDescent="0.2">
      <c r="Z1183" s="123"/>
      <c r="AA1183" s="123"/>
      <c r="AB1183" s="8"/>
    </row>
    <row r="1184" spans="26:28" x14ac:dyDescent="0.2">
      <c r="Z1184" s="123"/>
      <c r="AA1184" s="123"/>
      <c r="AB1184" s="8"/>
    </row>
    <row r="1185" spans="26:28" x14ac:dyDescent="0.2">
      <c r="Z1185" s="123"/>
      <c r="AA1185" s="123"/>
      <c r="AB1185" s="8"/>
    </row>
    <row r="1186" spans="26:28" x14ac:dyDescent="0.2">
      <c r="Z1186" s="123"/>
      <c r="AA1186" s="123"/>
      <c r="AB1186" s="8"/>
    </row>
    <row r="1187" spans="26:28" x14ac:dyDescent="0.2">
      <c r="Z1187" s="123"/>
      <c r="AA1187" s="123"/>
      <c r="AB1187" s="8"/>
    </row>
    <row r="1188" spans="26:28" x14ac:dyDescent="0.2">
      <c r="Z1188" s="123"/>
      <c r="AA1188" s="123"/>
      <c r="AB1188" s="8"/>
    </row>
    <row r="1189" spans="26:28" x14ac:dyDescent="0.2">
      <c r="Z1189" s="123"/>
      <c r="AA1189" s="123"/>
      <c r="AB1189" s="8"/>
    </row>
    <row r="1190" spans="26:28" x14ac:dyDescent="0.2">
      <c r="Z1190" s="123"/>
      <c r="AA1190" s="123"/>
      <c r="AB1190" s="8"/>
    </row>
    <row r="1191" spans="26:28" x14ac:dyDescent="0.2">
      <c r="Z1191" s="123"/>
      <c r="AA1191" s="123"/>
      <c r="AB1191" s="8"/>
    </row>
    <row r="1192" spans="26:28" x14ac:dyDescent="0.2">
      <c r="Z1192" s="123"/>
      <c r="AA1192" s="123"/>
      <c r="AB1192" s="8"/>
    </row>
    <row r="1193" spans="26:28" x14ac:dyDescent="0.2">
      <c r="Z1193" s="123"/>
      <c r="AA1193" s="123"/>
      <c r="AB1193" s="8"/>
    </row>
    <row r="1194" spans="26:28" x14ac:dyDescent="0.2">
      <c r="Z1194" s="123"/>
      <c r="AA1194" s="123"/>
      <c r="AB1194" s="8"/>
    </row>
    <row r="1195" spans="26:28" x14ac:dyDescent="0.2">
      <c r="Z1195" s="123"/>
      <c r="AA1195" s="123"/>
      <c r="AB1195" s="8"/>
    </row>
    <row r="1196" spans="26:28" x14ac:dyDescent="0.2">
      <c r="Z1196" s="123"/>
      <c r="AA1196" s="123"/>
      <c r="AB1196" s="8"/>
    </row>
    <row r="1197" spans="26:28" x14ac:dyDescent="0.2">
      <c r="Z1197" s="123"/>
      <c r="AA1197" s="123"/>
      <c r="AB1197" s="8"/>
    </row>
    <row r="1198" spans="26:28" x14ac:dyDescent="0.2">
      <c r="Z1198" s="123"/>
      <c r="AA1198" s="123"/>
      <c r="AB1198" s="8"/>
    </row>
    <row r="1199" spans="26:28" x14ac:dyDescent="0.2">
      <c r="Z1199" s="123"/>
      <c r="AA1199" s="123"/>
      <c r="AB1199" s="8"/>
    </row>
    <row r="1200" spans="26:28" x14ac:dyDescent="0.2">
      <c r="Z1200" s="123"/>
      <c r="AA1200" s="123"/>
      <c r="AB1200" s="8"/>
    </row>
    <row r="1201" spans="26:28" x14ac:dyDescent="0.2">
      <c r="Z1201" s="123"/>
      <c r="AA1201" s="123"/>
      <c r="AB1201" s="8"/>
    </row>
    <row r="1202" spans="26:28" x14ac:dyDescent="0.2">
      <c r="Z1202" s="123"/>
      <c r="AA1202" s="123"/>
      <c r="AB1202" s="8"/>
    </row>
    <row r="1203" spans="26:28" x14ac:dyDescent="0.2">
      <c r="Z1203" s="123"/>
      <c r="AA1203" s="123"/>
      <c r="AB1203" s="8"/>
    </row>
    <row r="1204" spans="26:28" x14ac:dyDescent="0.2">
      <c r="Z1204" s="123"/>
      <c r="AA1204" s="123"/>
      <c r="AB1204" s="8"/>
    </row>
    <row r="1205" spans="26:28" x14ac:dyDescent="0.2">
      <c r="Z1205" s="123"/>
      <c r="AA1205" s="123"/>
      <c r="AB1205" s="8"/>
    </row>
    <row r="1206" spans="26:28" x14ac:dyDescent="0.2">
      <c r="Z1206" s="123"/>
      <c r="AA1206" s="123"/>
      <c r="AB1206" s="8"/>
    </row>
    <row r="1207" spans="26:28" x14ac:dyDescent="0.2">
      <c r="Z1207" s="123"/>
      <c r="AA1207" s="123"/>
      <c r="AB1207" s="8"/>
    </row>
    <row r="1208" spans="26:28" x14ac:dyDescent="0.2">
      <c r="Z1208" s="123"/>
      <c r="AA1208" s="123"/>
      <c r="AB1208" s="8"/>
    </row>
    <row r="1209" spans="26:28" x14ac:dyDescent="0.2">
      <c r="Z1209" s="123"/>
      <c r="AA1209" s="123"/>
      <c r="AB1209" s="8"/>
    </row>
    <row r="1210" spans="26:28" x14ac:dyDescent="0.2">
      <c r="Z1210" s="123"/>
      <c r="AA1210" s="123"/>
      <c r="AB1210" s="8"/>
    </row>
    <row r="1211" spans="26:28" x14ac:dyDescent="0.2">
      <c r="Z1211" s="123"/>
      <c r="AA1211" s="123"/>
      <c r="AB1211" s="8"/>
    </row>
    <row r="1212" spans="26:28" x14ac:dyDescent="0.2">
      <c r="Z1212" s="123"/>
      <c r="AA1212" s="123"/>
      <c r="AB1212" s="8"/>
    </row>
  </sheetData>
  <autoFilter ref="A2:T2"/>
  <sortState ref="A4:T143">
    <sortCondition ref="A3:A143"/>
  </sortState>
  <phoneticPr fontId="1" type="noConversion"/>
  <pageMargins left="0.19685039370078741" right="0.19685039370078741" top="0.19685039370078741" bottom="0.19685039370078741" header="0" footer="0"/>
  <pageSetup paperSize="5"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ostrarHechas">
                <anchor moveWithCells="1" sizeWithCells="1">
                  <from>
                    <xdr:col>3</xdr:col>
                    <xdr:colOff>57150</xdr:colOff>
                    <xdr:row>0</xdr:row>
                    <xdr:rowOff>104775</xdr:rowOff>
                  </from>
                  <to>
                    <xdr:col>3</xdr:col>
                    <xdr:colOff>876300</xdr:colOff>
                    <xdr:row>0</xdr:row>
                    <xdr:rowOff>628650</xdr:rowOff>
                  </to>
                </anchor>
              </controlPr>
            </control>
          </mc:Choice>
        </mc:AlternateContent>
        <mc:AlternateContent xmlns:mc="http://schemas.openxmlformats.org/markup-compatibility/2006">
          <mc:Choice Requires="x14">
            <control shapeId="1029" r:id="rId5" name="Button 5">
              <controlPr defaultSize="0" print="0" autoFill="0" autoPict="0" macro="[0]!MostrarPendientes">
                <anchor moveWithCells="1" sizeWithCells="1">
                  <from>
                    <xdr:col>4</xdr:col>
                    <xdr:colOff>0</xdr:colOff>
                    <xdr:row>0</xdr:row>
                    <xdr:rowOff>114300</xdr:rowOff>
                  </from>
                  <to>
                    <xdr:col>5</xdr:col>
                    <xdr:colOff>57150</xdr:colOff>
                    <xdr:row>0</xdr:row>
                    <xdr:rowOff>638175</xdr:rowOff>
                  </to>
                </anchor>
              </controlPr>
            </control>
          </mc:Choice>
        </mc:AlternateContent>
        <mc:AlternateContent xmlns:mc="http://schemas.openxmlformats.org/markup-compatibility/2006">
          <mc:Choice Requires="x14">
            <control shapeId="1030" r:id="rId6" name="Button 6">
              <controlPr defaultSize="0" print="0" autoFill="0" autoPict="0" macro="[0]!MostrarTodas">
                <anchor moveWithCells="1" sizeWithCells="1">
                  <from>
                    <xdr:col>3</xdr:col>
                    <xdr:colOff>38100</xdr:colOff>
                    <xdr:row>0</xdr:row>
                    <xdr:rowOff>838200</xdr:rowOff>
                  </from>
                  <to>
                    <xdr:col>3</xdr:col>
                    <xdr:colOff>876300</xdr:colOff>
                    <xdr:row>0</xdr:row>
                    <xdr:rowOff>1362075</xdr:rowOff>
                  </to>
                </anchor>
              </controlPr>
            </control>
          </mc:Choice>
        </mc:AlternateContent>
        <mc:AlternateContent xmlns:mc="http://schemas.openxmlformats.org/markup-compatibility/2006">
          <mc:Choice Requires="x14">
            <control shapeId="1031" r:id="rId7" name="Button 7">
              <controlPr defaultSize="0" print="0" autoFill="0" autoPict="0" macro="[0]!OrdFecHor">
                <anchor moveWithCells="1" sizeWithCells="1">
                  <from>
                    <xdr:col>5</xdr:col>
                    <xdr:colOff>200025</xdr:colOff>
                    <xdr:row>0</xdr:row>
                    <xdr:rowOff>809625</xdr:rowOff>
                  </from>
                  <to>
                    <xdr:col>5</xdr:col>
                    <xdr:colOff>981075</xdr:colOff>
                    <xdr:row>0</xdr:row>
                    <xdr:rowOff>1333500</xdr:rowOff>
                  </to>
                </anchor>
              </controlPr>
            </control>
          </mc:Choice>
        </mc:AlternateContent>
        <mc:AlternateContent xmlns:mc="http://schemas.openxmlformats.org/markup-compatibility/2006">
          <mc:Choice Requires="x14">
            <control shapeId="1032" r:id="rId8" name="Button 8">
              <controlPr defaultSize="0" print="0" autoFill="0" autoPict="0" macro="[0]!OrdFecCarga">
                <anchor moveWithCells="1" sizeWithCells="1">
                  <from>
                    <xdr:col>5</xdr:col>
                    <xdr:colOff>228600</xdr:colOff>
                    <xdr:row>0</xdr:row>
                    <xdr:rowOff>114300</xdr:rowOff>
                  </from>
                  <to>
                    <xdr:col>5</xdr:col>
                    <xdr:colOff>981075</xdr:colOff>
                    <xdr:row>0</xdr:row>
                    <xdr:rowOff>638175</xdr:rowOff>
                  </to>
                </anchor>
              </controlPr>
            </control>
          </mc:Choice>
        </mc:AlternateContent>
        <mc:AlternateContent xmlns:mc="http://schemas.openxmlformats.org/markup-compatibility/2006">
          <mc:Choice Requires="x14">
            <control shapeId="1043" r:id="rId9" name="Button 19">
              <controlPr defaultSize="0" print="0" autoFill="0" autoPict="0" macro="[0]!Módulo1.PDFSolorzano">
                <anchor moveWithCells="1" sizeWithCells="1">
                  <from>
                    <xdr:col>9</xdr:col>
                    <xdr:colOff>762000</xdr:colOff>
                    <xdr:row>0</xdr:row>
                    <xdr:rowOff>180975</xdr:rowOff>
                  </from>
                  <to>
                    <xdr:col>10</xdr:col>
                    <xdr:colOff>295275</xdr:colOff>
                    <xdr:row>0</xdr:row>
                    <xdr:rowOff>704850</xdr:rowOff>
                  </to>
                </anchor>
              </controlPr>
            </control>
          </mc:Choice>
        </mc:AlternateContent>
        <mc:AlternateContent xmlns:mc="http://schemas.openxmlformats.org/markup-compatibility/2006">
          <mc:Choice Requires="x14">
            <control shapeId="1047" r:id="rId10" name="Button 23">
              <controlPr defaultSize="0" print="0" autoFill="0" autoPict="0" macro="[0]!SacarFiltro">
                <anchor moveWithCells="1" sizeWithCells="1">
                  <from>
                    <xdr:col>8</xdr:col>
                    <xdr:colOff>314325</xdr:colOff>
                    <xdr:row>0</xdr:row>
                    <xdr:rowOff>828675</xdr:rowOff>
                  </from>
                  <to>
                    <xdr:col>9</xdr:col>
                    <xdr:colOff>457200</xdr:colOff>
                    <xdr:row>0</xdr:row>
                    <xdr:rowOff>1352550</xdr:rowOff>
                  </to>
                </anchor>
              </controlPr>
            </control>
          </mc:Choice>
        </mc:AlternateContent>
        <mc:AlternateContent xmlns:mc="http://schemas.openxmlformats.org/markup-compatibility/2006">
          <mc:Choice Requires="x14">
            <control shapeId="1069" r:id="rId11" name="Button 45">
              <controlPr defaultSize="0" print="0" autoFill="0" autoPict="0" macro="[0]!Filtrarpordia">
                <anchor moveWithCells="1" sizeWithCells="1">
                  <from>
                    <xdr:col>7</xdr:col>
                    <xdr:colOff>552450</xdr:colOff>
                    <xdr:row>0</xdr:row>
                    <xdr:rowOff>152400</xdr:rowOff>
                  </from>
                  <to>
                    <xdr:col>7</xdr:col>
                    <xdr:colOff>1200150</xdr:colOff>
                    <xdr:row>0</xdr:row>
                    <xdr:rowOff>676275</xdr:rowOff>
                  </to>
                </anchor>
              </controlPr>
            </control>
          </mc:Choice>
        </mc:AlternateContent>
        <mc:AlternateContent xmlns:mc="http://schemas.openxmlformats.org/markup-compatibility/2006">
          <mc:Choice Requires="x14">
            <control shapeId="1081" r:id="rId12" name="Button 57">
              <controlPr defaultSize="0" print="0" autoFill="0" autoPict="0" macro="[0]!BuscarExp">
                <anchor moveWithCells="1" sizeWithCells="1">
                  <from>
                    <xdr:col>7</xdr:col>
                    <xdr:colOff>571500</xdr:colOff>
                    <xdr:row>0</xdr:row>
                    <xdr:rowOff>828675</xdr:rowOff>
                  </from>
                  <to>
                    <xdr:col>7</xdr:col>
                    <xdr:colOff>1190625</xdr:colOff>
                    <xdr:row>0</xdr:row>
                    <xdr:rowOff>1352550</xdr:rowOff>
                  </to>
                </anchor>
              </controlPr>
            </control>
          </mc:Choice>
        </mc:AlternateContent>
        <mc:AlternateContent xmlns:mc="http://schemas.openxmlformats.org/markup-compatibility/2006">
          <mc:Choice Requires="x14">
            <control shapeId="1085" r:id="rId13" name="Button 61">
              <controlPr defaultSize="0" print="0" autoFill="0" autoPict="0" macro="[0]!PDFArias">
                <anchor moveWithCells="1" sizeWithCells="1">
                  <from>
                    <xdr:col>10</xdr:col>
                    <xdr:colOff>428625</xdr:colOff>
                    <xdr:row>0</xdr:row>
                    <xdr:rowOff>819150</xdr:rowOff>
                  </from>
                  <to>
                    <xdr:col>11</xdr:col>
                    <xdr:colOff>495300</xdr:colOff>
                    <xdr:row>0</xdr:row>
                    <xdr:rowOff>1343025</xdr:rowOff>
                  </to>
                </anchor>
              </controlPr>
            </control>
          </mc:Choice>
        </mc:AlternateContent>
        <mc:AlternateContent xmlns:mc="http://schemas.openxmlformats.org/markup-compatibility/2006">
          <mc:Choice Requires="x14">
            <control shapeId="1086" r:id="rId14" name="Button 62">
              <controlPr defaultSize="0" print="0" autoFill="0" autoPict="0" macro="[0]!PDFArancibia">
                <anchor moveWithCells="1" sizeWithCells="1">
                  <from>
                    <xdr:col>10</xdr:col>
                    <xdr:colOff>381000</xdr:colOff>
                    <xdr:row>0</xdr:row>
                    <xdr:rowOff>161925</xdr:rowOff>
                  </from>
                  <to>
                    <xdr:col>11</xdr:col>
                    <xdr:colOff>485775</xdr:colOff>
                    <xdr:row>0</xdr:row>
                    <xdr:rowOff>685800</xdr:rowOff>
                  </to>
                </anchor>
              </controlPr>
            </control>
          </mc:Choice>
        </mc:AlternateContent>
        <mc:AlternateContent xmlns:mc="http://schemas.openxmlformats.org/markup-compatibility/2006">
          <mc:Choice Requires="x14">
            <control shapeId="1087" r:id="rId15" name="Button 63">
              <controlPr defaultSize="0" print="0" autoFill="0" autoPict="0" macro="[0]!PDFAkemeier">
                <anchor moveWithCells="1" sizeWithCells="1">
                  <from>
                    <xdr:col>11</xdr:col>
                    <xdr:colOff>609600</xdr:colOff>
                    <xdr:row>0</xdr:row>
                    <xdr:rowOff>800100</xdr:rowOff>
                  </from>
                  <to>
                    <xdr:col>12</xdr:col>
                    <xdr:colOff>9525</xdr:colOff>
                    <xdr:row>0</xdr:row>
                    <xdr:rowOff>1323975</xdr:rowOff>
                  </to>
                </anchor>
              </controlPr>
            </control>
          </mc:Choice>
        </mc:AlternateContent>
        <mc:AlternateContent xmlns:mc="http://schemas.openxmlformats.org/markup-compatibility/2006">
          <mc:Choice Requires="x14">
            <control shapeId="1088" r:id="rId16" name="Button 64">
              <controlPr defaultSize="0" print="0" autoFill="0" autoPict="0" macro="[0]!PDFBarrionuevo">
                <anchor moveWithCells="1" sizeWithCells="1">
                  <from>
                    <xdr:col>11</xdr:col>
                    <xdr:colOff>619125</xdr:colOff>
                    <xdr:row>0</xdr:row>
                    <xdr:rowOff>171450</xdr:rowOff>
                  </from>
                  <to>
                    <xdr:col>12</xdr:col>
                    <xdr:colOff>9525</xdr:colOff>
                    <xdr:row>0</xdr:row>
                    <xdr:rowOff>695325</xdr:rowOff>
                  </to>
                </anchor>
              </controlPr>
            </control>
          </mc:Choice>
        </mc:AlternateContent>
        <mc:AlternateContent xmlns:mc="http://schemas.openxmlformats.org/markup-compatibility/2006">
          <mc:Choice Requires="x14">
            <control shapeId="1090" r:id="rId17" name="Button 66">
              <controlPr defaultSize="0" print="0" autoFill="0" autoPict="0" macro="[0]!Ultimamas1">
                <anchor moveWithCells="1" sizeWithCells="1">
                  <from>
                    <xdr:col>5</xdr:col>
                    <xdr:colOff>1171575</xdr:colOff>
                    <xdr:row>0</xdr:row>
                    <xdr:rowOff>95250</xdr:rowOff>
                  </from>
                  <to>
                    <xdr:col>7</xdr:col>
                    <xdr:colOff>114300</xdr:colOff>
                    <xdr:row>0</xdr:row>
                    <xdr:rowOff>619125</xdr:rowOff>
                  </to>
                </anchor>
              </controlPr>
            </control>
          </mc:Choice>
        </mc:AlternateContent>
        <mc:AlternateContent xmlns:mc="http://schemas.openxmlformats.org/markup-compatibility/2006">
          <mc:Choice Requires="x14">
            <control shapeId="1091" r:id="rId18" name="Button 67">
              <controlPr defaultSize="0" print="0" autoFill="0" autoPict="0" macro="[0]!Filtrarpordia">
                <anchor moveWithCells="1" sizeWithCells="1">
                  <from>
                    <xdr:col>5</xdr:col>
                    <xdr:colOff>1152525</xdr:colOff>
                    <xdr:row>0</xdr:row>
                    <xdr:rowOff>857250</xdr:rowOff>
                  </from>
                  <to>
                    <xdr:col>7</xdr:col>
                    <xdr:colOff>95250</xdr:colOff>
                    <xdr:row>0</xdr:row>
                    <xdr:rowOff>1381125</xdr:rowOff>
                  </to>
                </anchor>
              </controlPr>
            </control>
          </mc:Choice>
        </mc:AlternateContent>
        <mc:AlternateContent xmlns:mc="http://schemas.openxmlformats.org/markup-compatibility/2006">
          <mc:Choice Requires="x14">
            <control shapeId="1099" r:id="rId19" name="Button 75">
              <controlPr defaultSize="0" print="0" autoFill="0" autoPict="0" macro="[1]!PintaRosa">
                <anchor moveWithCells="1" sizeWithCells="1">
                  <from>
                    <xdr:col>13</xdr:col>
                    <xdr:colOff>238125</xdr:colOff>
                    <xdr:row>0</xdr:row>
                    <xdr:rowOff>152400</xdr:rowOff>
                  </from>
                  <to>
                    <xdr:col>13</xdr:col>
                    <xdr:colOff>1314450</xdr:colOff>
                    <xdr:row>0</xdr:row>
                    <xdr:rowOff>619125</xdr:rowOff>
                  </to>
                </anchor>
              </controlPr>
            </control>
          </mc:Choice>
        </mc:AlternateContent>
        <mc:AlternateContent xmlns:mc="http://schemas.openxmlformats.org/markup-compatibility/2006">
          <mc:Choice Requires="x14">
            <control shapeId="1100" r:id="rId20" name="Button 76">
              <controlPr defaultSize="0" print="0" autoFill="0" autoPict="0" macro="[1]!PintaVerde">
                <anchor moveWithCells="1" sizeWithCells="1">
                  <from>
                    <xdr:col>12</xdr:col>
                    <xdr:colOff>333375</xdr:colOff>
                    <xdr:row>0</xdr:row>
                    <xdr:rowOff>790575</xdr:rowOff>
                  </from>
                  <to>
                    <xdr:col>13</xdr:col>
                    <xdr:colOff>28575</xdr:colOff>
                    <xdr:row>0</xdr:row>
                    <xdr:rowOff>1143000</xdr:rowOff>
                  </to>
                </anchor>
              </controlPr>
            </control>
          </mc:Choice>
        </mc:AlternateContent>
        <mc:AlternateContent xmlns:mc="http://schemas.openxmlformats.org/markup-compatibility/2006">
          <mc:Choice Requires="x14">
            <control shapeId="1101" r:id="rId21" name="Button 77">
              <controlPr defaultSize="0" print="0" autoFill="0" autoPict="0" macro="[1]!PintAzul">
                <anchor moveWithCells="1" sizeWithCells="1">
                  <from>
                    <xdr:col>12</xdr:col>
                    <xdr:colOff>333375</xdr:colOff>
                    <xdr:row>0</xdr:row>
                    <xdr:rowOff>171450</xdr:rowOff>
                  </from>
                  <to>
                    <xdr:col>13</xdr:col>
                    <xdr:colOff>28575</xdr:colOff>
                    <xdr:row>0</xdr:row>
                    <xdr:rowOff>638175</xdr:rowOff>
                  </to>
                </anchor>
              </controlPr>
            </control>
          </mc:Choice>
        </mc:AlternateContent>
        <mc:AlternateContent xmlns:mc="http://schemas.openxmlformats.org/markup-compatibility/2006">
          <mc:Choice Requires="x14">
            <control shapeId="1104" r:id="rId22" name="Button 80">
              <controlPr defaultSize="0" print="0" autoFill="0" autoPict="0" macro="[0]!generarBackup">
                <anchor moveWithCells="1" sizeWithCells="1">
                  <from>
                    <xdr:col>8</xdr:col>
                    <xdr:colOff>438150</xdr:colOff>
                    <xdr:row>0</xdr:row>
                    <xdr:rowOff>266700</xdr:rowOff>
                  </from>
                  <to>
                    <xdr:col>9</xdr:col>
                    <xdr:colOff>266700</xdr:colOff>
                    <xdr:row>0</xdr:row>
                    <xdr:rowOff>657225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12"/>
  <sheetViews>
    <sheetView workbookViewId="0">
      <selection activeCell="A12" sqref="A12"/>
    </sheetView>
  </sheetViews>
  <sheetFormatPr baseColWidth="10" defaultRowHeight="12.75" x14ac:dyDescent="0.2"/>
  <cols>
    <col min="1" max="1" width="20.5703125" style="29" customWidth="1"/>
    <col min="2" max="2" width="7.42578125" customWidth="1"/>
  </cols>
  <sheetData>
    <row r="1" spans="1:1" ht="20.100000000000001" customHeight="1" x14ac:dyDescent="0.2">
      <c r="A1" s="9" t="s">
        <v>107</v>
      </c>
    </row>
    <row r="2" spans="1:1" ht="20.100000000000001" customHeight="1" x14ac:dyDescent="0.2">
      <c r="A2" s="9" t="s">
        <v>104</v>
      </c>
    </row>
    <row r="3" spans="1:1" ht="20.100000000000001" customHeight="1" x14ac:dyDescent="0.2">
      <c r="A3" s="9" t="s">
        <v>105</v>
      </c>
    </row>
    <row r="4" spans="1:1" ht="20.100000000000001" customHeight="1" x14ac:dyDescent="0.2">
      <c r="A4" s="9" t="s">
        <v>106</v>
      </c>
    </row>
    <row r="5" spans="1:1" x14ac:dyDescent="0.2">
      <c r="A5" s="9" t="s">
        <v>108</v>
      </c>
    </row>
    <row r="6" spans="1:1" x14ac:dyDescent="0.2">
      <c r="A6" s="77" t="s">
        <v>226</v>
      </c>
    </row>
    <row r="7" spans="1:1" x14ac:dyDescent="0.2">
      <c r="A7" s="77" t="s">
        <v>227</v>
      </c>
    </row>
    <row r="8" spans="1:1" x14ac:dyDescent="0.2">
      <c r="A8" s="77" t="s">
        <v>228</v>
      </c>
    </row>
    <row r="9" spans="1:1" x14ac:dyDescent="0.2">
      <c r="A9" s="78" t="s">
        <v>229</v>
      </c>
    </row>
    <row r="10" spans="1:1" x14ac:dyDescent="0.2">
      <c r="A10" s="78" t="s">
        <v>230</v>
      </c>
    </row>
    <row r="11" spans="1:1" x14ac:dyDescent="0.2">
      <c r="A11" s="78" t="s">
        <v>242</v>
      </c>
    </row>
    <row r="12" spans="1:1" x14ac:dyDescent="0.2">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9"/>
  <sheetViews>
    <sheetView workbookViewId="0">
      <selection activeCell="F15" sqref="F15"/>
    </sheetView>
  </sheetViews>
  <sheetFormatPr baseColWidth="10" defaultRowHeight="12.75" x14ac:dyDescent="0.2"/>
  <cols>
    <col min="1" max="1" width="23.28515625" bestFit="1" customWidth="1"/>
    <col min="3" max="3" width="16.5703125" customWidth="1"/>
  </cols>
  <sheetData>
    <row r="1" spans="1:1" ht="39.950000000000003" customHeight="1" x14ac:dyDescent="0.2">
      <c r="A1" s="9"/>
    </row>
    <row r="2" spans="1:1" ht="39.950000000000003" customHeight="1" x14ac:dyDescent="0.2">
      <c r="A2" s="9"/>
    </row>
    <row r="3" spans="1:1" ht="39.950000000000003" customHeight="1" x14ac:dyDescent="0.2">
      <c r="A3" s="9"/>
    </row>
    <row r="4" spans="1:1" ht="39.950000000000003" customHeight="1" x14ac:dyDescent="0.2">
      <c r="A4" s="9"/>
    </row>
    <row r="5" spans="1:1" ht="39.950000000000003" customHeight="1" x14ac:dyDescent="0.2">
      <c r="A5" s="9"/>
    </row>
    <row r="6" spans="1:1" ht="39.950000000000003" customHeight="1" x14ac:dyDescent="0.2">
      <c r="A6" s="7"/>
    </row>
    <row r="7" spans="1:1" ht="39.950000000000003" customHeight="1" x14ac:dyDescent="0.2">
      <c r="A7" s="21"/>
    </row>
    <row r="8" spans="1:1" ht="39.950000000000003" customHeight="1" x14ac:dyDescent="0.2">
      <c r="A8" s="8"/>
    </row>
    <row r="9" spans="1:1" ht="39.950000000000003" customHeight="1" x14ac:dyDescent="0.2">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1:I34"/>
  <sheetViews>
    <sheetView zoomScale="85" zoomScaleNormal="85" zoomScaleSheetLayoutView="70" workbookViewId="0">
      <selection activeCell="C25" sqref="C25"/>
    </sheetView>
  </sheetViews>
  <sheetFormatPr baseColWidth="10" defaultRowHeight="12.75" x14ac:dyDescent="0.2"/>
  <cols>
    <col min="1" max="1" width="5.5703125" customWidth="1"/>
    <col min="2" max="2" width="42.140625" customWidth="1"/>
    <col min="3" max="3" width="37.7109375" customWidth="1"/>
    <col min="8" max="8" width="49.85546875" bestFit="1" customWidth="1"/>
  </cols>
  <sheetData>
    <row r="1" spans="2:9" ht="36.75" customHeight="1" x14ac:dyDescent="0.3">
      <c r="B1" s="19" t="s">
        <v>47</v>
      </c>
      <c r="C1" s="20">
        <f ca="1">TODAY()</f>
        <v>45235</v>
      </c>
      <c r="H1" s="26"/>
    </row>
    <row r="2" spans="2:9" x14ac:dyDescent="0.2">
      <c r="H2" s="11"/>
    </row>
    <row r="3" spans="2:9" ht="20.100000000000001" customHeight="1" x14ac:dyDescent="0.2">
      <c r="B3" s="234" t="s">
        <v>109</v>
      </c>
      <c r="C3" s="234"/>
      <c r="I3" s="11"/>
    </row>
    <row r="4" spans="2:9" ht="20.100000000000001" customHeight="1" x14ac:dyDescent="0.2">
      <c r="B4" s="14" t="s">
        <v>83</v>
      </c>
      <c r="C4" s="14" t="s">
        <v>18</v>
      </c>
    </row>
    <row r="5" spans="2:9" ht="24.95" customHeight="1" x14ac:dyDescent="0.2">
      <c r="B5" s="12" t="s">
        <v>107</v>
      </c>
      <c r="C5" s="12">
        <f>COUNTIF(EXPEDIENTES!$D$3:$D$21,"Dra. Solorzano")</f>
        <v>3</v>
      </c>
      <c r="D5" s="11" t="s">
        <v>82</v>
      </c>
    </row>
    <row r="6" spans="2:9" ht="24.95" customHeight="1" x14ac:dyDescent="0.2">
      <c r="B6" s="12" t="s">
        <v>104</v>
      </c>
      <c r="C6" s="12">
        <f>COUNTIF(EXPEDIENTES!$D$3:$D$21,"Dr. Arias Nallar")</f>
        <v>5</v>
      </c>
    </row>
    <row r="7" spans="2:9" ht="24.95" customHeight="1" x14ac:dyDescent="0.2">
      <c r="B7" s="12" t="s">
        <v>105</v>
      </c>
      <c r="C7" s="12">
        <f>COUNTIF(EXPEDIENTES!$D$3:$D$21,"Dr. Arancibia")</f>
        <v>2</v>
      </c>
    </row>
    <row r="8" spans="2:9" ht="24.95" customHeight="1" x14ac:dyDescent="0.2">
      <c r="B8" s="12" t="s">
        <v>106</v>
      </c>
      <c r="C8" s="12">
        <f>COUNTIF(EXPEDIENTES!$D$3:$D$21,"Dr. Akemeier")</f>
        <v>2</v>
      </c>
    </row>
    <row r="9" spans="2:9" ht="24.95" customHeight="1" x14ac:dyDescent="0.2">
      <c r="B9" s="12" t="s">
        <v>108</v>
      </c>
      <c r="C9" s="12">
        <f>COUNTIF(EXPEDIENTES!$D$3:$D$21,"Dr. Barrionuevo")</f>
        <v>4</v>
      </c>
    </row>
    <row r="10" spans="2:9" ht="24.95" customHeight="1" x14ac:dyDescent="0.2">
      <c r="B10" s="24" t="s">
        <v>25</v>
      </c>
      <c r="C10" s="25">
        <f>SUM(C5:C9)</f>
        <v>16</v>
      </c>
    </row>
    <row r="11" spans="2:9" ht="20.100000000000001" customHeight="1" x14ac:dyDescent="0.2"/>
    <row r="12" spans="2:9" ht="20.100000000000001" customHeight="1" x14ac:dyDescent="0.2"/>
    <row r="13" spans="2:9" ht="20.100000000000001" customHeight="1" x14ac:dyDescent="0.2">
      <c r="B13" s="234" t="s">
        <v>110</v>
      </c>
      <c r="C13" s="234"/>
    </row>
    <row r="14" spans="2:9" ht="20.100000000000001" customHeight="1" x14ac:dyDescent="0.2">
      <c r="B14" s="14" t="s">
        <v>24</v>
      </c>
      <c r="C14" s="14" t="s">
        <v>18</v>
      </c>
    </row>
    <row r="15" spans="2:9" ht="24.95" customHeight="1" x14ac:dyDescent="0.2">
      <c r="B15" s="12" t="s">
        <v>107</v>
      </c>
      <c r="C15" s="12">
        <f ca="1">COUNTIFS(EXPEDIENTES!$D$3:$D$21,"Dra. Solorzano",EXPEDIENTES!$W$3:$W$21,"NO")</f>
        <v>0</v>
      </c>
    </row>
    <row r="16" spans="2:9" ht="24.95" customHeight="1" x14ac:dyDescent="0.2">
      <c r="B16" s="12" t="s">
        <v>104</v>
      </c>
      <c r="C16" s="12">
        <f ca="1">COUNTIFS(EXPEDIENTES!$D$3:$D$21,"Dr. Arias Nallar",EXPEDIENTES!$W$3:$W$21,"NO")</f>
        <v>0</v>
      </c>
    </row>
    <row r="17" spans="2:3" ht="24.95" customHeight="1" x14ac:dyDescent="0.2">
      <c r="B17" s="12" t="s">
        <v>105</v>
      </c>
      <c r="C17" s="12">
        <f ca="1">COUNTIFS(EXPEDIENTES!$D$3:$D$21,"Dr. Arancibia",EXPEDIENTES!$W$3:$W$21,"NO")</f>
        <v>0</v>
      </c>
    </row>
    <row r="18" spans="2:3" ht="24.95" customHeight="1" x14ac:dyDescent="0.2">
      <c r="B18" s="12" t="s">
        <v>106</v>
      </c>
      <c r="C18" s="12">
        <f>COUNTIFS(EXPEDIENTES!$D$3:$D$21,"Dr. Akemeierr",EXPEDIENTES!$W$3:$W$21,"NO")</f>
        <v>0</v>
      </c>
    </row>
    <row r="19" spans="2:3" ht="24.95" customHeight="1" x14ac:dyDescent="0.2">
      <c r="B19" s="12" t="s">
        <v>108</v>
      </c>
      <c r="C19" s="12">
        <f ca="1">COUNTIFS(EXPEDIENTES!$D$3:$D$21,"Dr. Barrionuevo",EXPEDIENTES!$W$3:$W$21,"NO")</f>
        <v>0</v>
      </c>
    </row>
    <row r="20" spans="2:3" ht="24.95" customHeight="1" x14ac:dyDescent="0.2">
      <c r="B20" s="27" t="s">
        <v>41</v>
      </c>
      <c r="C20" s="25">
        <f ca="1">SUM(C15:C19)</f>
        <v>0</v>
      </c>
    </row>
    <row r="21" spans="2:3" ht="20.100000000000001" customHeight="1" x14ac:dyDescent="0.2"/>
    <row r="22" spans="2:3" ht="20.100000000000001" customHeight="1" x14ac:dyDescent="0.2"/>
    <row r="23" spans="2:3" ht="20.100000000000001" customHeight="1" x14ac:dyDescent="0.2">
      <c r="B23" s="234" t="s">
        <v>111</v>
      </c>
      <c r="C23" s="234"/>
    </row>
    <row r="24" spans="2:3" ht="20.100000000000001" customHeight="1" x14ac:dyDescent="0.2">
      <c r="B24" s="14" t="s">
        <v>24</v>
      </c>
      <c r="C24" s="14" t="s">
        <v>18</v>
      </c>
    </row>
    <row r="25" spans="2:3" ht="24.95" customHeight="1" x14ac:dyDescent="0.2">
      <c r="B25" s="12" t="s">
        <v>107</v>
      </c>
      <c r="C25" s="12">
        <f>COUNTIFS(EXPEDIENTES!$T$3:$T$21,"Dr. Pastrana",EXPEDIENTES!$W$3:$W$21,"SI")</f>
        <v>0</v>
      </c>
    </row>
    <row r="26" spans="2:3" ht="24.95" customHeight="1" x14ac:dyDescent="0.2">
      <c r="B26" s="12" t="s">
        <v>104</v>
      </c>
      <c r="C26" s="12">
        <f>COUNTIFS(EXPEDIENTES!$T$3:$T$21,"Dr. Colombo",EXPEDIENTES!$W$3:$W$21,"SI")</f>
        <v>0</v>
      </c>
    </row>
    <row r="27" spans="2:3" ht="24.95" customHeight="1" x14ac:dyDescent="0.2">
      <c r="B27" s="12" t="s">
        <v>105</v>
      </c>
      <c r="C27" s="12">
        <f>COUNTIFS(EXPEDIENTES!$T$3:$T$21,"Dr. Rodriguez Pipino",EXPEDIENTES!$W$3:$W$21,"SI")</f>
        <v>0</v>
      </c>
    </row>
    <row r="28" spans="2:3" ht="24.95" customHeight="1" x14ac:dyDescent="0.2">
      <c r="B28" s="12" t="s">
        <v>106</v>
      </c>
      <c r="C28" s="12">
        <f>COUNTIFS(EXPEDIENTES!$T$3:$T$21,"Dra. Puertas",EXPEDIENTES!$W$3:$W$21,"SI")</f>
        <v>0</v>
      </c>
    </row>
    <row r="29" spans="2:3" ht="24.95" customHeight="1" x14ac:dyDescent="0.2">
      <c r="B29" s="12" t="s">
        <v>108</v>
      </c>
      <c r="C29" s="12">
        <f>COUNTIFS(EXPEDIENTES!$T$3:$T$21,"Dra. Puertas",EXPEDIENTES!$W$3:$W$21,"SI")</f>
        <v>0</v>
      </c>
    </row>
    <row r="30" spans="2:3" ht="24.95" customHeight="1" x14ac:dyDescent="0.2">
      <c r="B30" s="27" t="s">
        <v>22</v>
      </c>
      <c r="C30" s="25">
        <f>SUM(C25:C29)</f>
        <v>0</v>
      </c>
    </row>
    <row r="31" spans="2:3" ht="20.100000000000001" customHeight="1" x14ac:dyDescent="0.2"/>
    <row r="32" spans="2:3" ht="20.100000000000001" customHeight="1" x14ac:dyDescent="0.2"/>
    <row r="33" spans="2:3" ht="20.100000000000001" customHeight="1" x14ac:dyDescent="0.2">
      <c r="B33" s="235" t="s">
        <v>42</v>
      </c>
      <c r="C33" s="235"/>
    </row>
    <row r="34" spans="2:3" ht="20.100000000000001" customHeight="1" x14ac:dyDescent="0.2">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3:A29"/>
  <sheetViews>
    <sheetView zoomScale="70" zoomScaleNormal="70" workbookViewId="0">
      <selection activeCell="M23" sqref="M23"/>
    </sheetView>
  </sheetViews>
  <sheetFormatPr baseColWidth="10" defaultRowHeight="12.75" x14ac:dyDescent="0.2"/>
  <sheetData>
    <row r="3" ht="20.100000000000001" customHeight="1" x14ac:dyDescent="0.2"/>
    <row r="4" ht="20.100000000000001" customHeight="1" x14ac:dyDescent="0.2"/>
    <row r="5" ht="20.100000000000001" customHeight="1" x14ac:dyDescent="0.2"/>
    <row r="6" ht="20.100000000000001" customHeight="1" x14ac:dyDescent="0.2"/>
    <row r="7" ht="20.100000000000001" customHeight="1" x14ac:dyDescent="0.2"/>
    <row r="8" ht="20.100000000000001" customHeight="1" x14ac:dyDescent="0.2"/>
    <row r="9" ht="20.100000000000001" customHeight="1" x14ac:dyDescent="0.2"/>
    <row r="10" ht="20.100000000000001" customHeight="1" x14ac:dyDescent="0.2"/>
    <row r="11" ht="20.100000000000001" customHeight="1" x14ac:dyDescent="0.2"/>
    <row r="12" ht="20.100000000000001" customHeight="1" x14ac:dyDescent="0.2"/>
    <row r="13" ht="20.100000000000001" customHeight="1" x14ac:dyDescent="0.2"/>
    <row r="14" ht="20.100000000000001" customHeight="1" x14ac:dyDescent="0.2"/>
    <row r="15" ht="20.100000000000001" customHeight="1" x14ac:dyDescent="0.2"/>
    <row r="16"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autoPageBreaks="0"/>
  </sheetPr>
  <dimension ref="B1:P106"/>
  <sheetViews>
    <sheetView showGridLines="0" view="pageBreakPreview" topLeftCell="B5" zoomScale="115" zoomScaleNormal="85" zoomScaleSheetLayoutView="115" zoomScalePageLayoutView="40" workbookViewId="0">
      <selection activeCell="C16" sqref="C16"/>
    </sheetView>
  </sheetViews>
  <sheetFormatPr baseColWidth="10" defaultColWidth="11.28515625" defaultRowHeight="12.75" x14ac:dyDescent="0.2"/>
  <cols>
    <col min="1" max="1" width="2.140625" style="98" customWidth="1"/>
    <col min="2" max="2" width="14" style="98" customWidth="1"/>
    <col min="3" max="3" width="51.28515625" style="98" customWidth="1"/>
    <col min="4" max="16384" width="11.28515625" style="98"/>
  </cols>
  <sheetData>
    <row r="1" spans="2:12" ht="18" x14ac:dyDescent="0.25">
      <c r="B1" s="236" t="s">
        <v>1105</v>
      </c>
      <c r="C1" s="236"/>
      <c r="D1" s="236"/>
      <c r="E1" s="236"/>
      <c r="F1" s="236"/>
      <c r="G1" s="236"/>
      <c r="H1" s="236"/>
      <c r="I1" s="236"/>
      <c r="J1" s="236"/>
      <c r="K1" s="236"/>
      <c r="L1" s="236"/>
    </row>
    <row r="2" spans="2:12" ht="12.75" customHeight="1" x14ac:dyDescent="0.2">
      <c r="B2" s="111"/>
      <c r="C2" s="111"/>
      <c r="D2" s="111"/>
      <c r="E2" s="111"/>
      <c r="F2" s="111"/>
      <c r="G2" s="111"/>
      <c r="H2" s="111"/>
      <c r="I2" s="111"/>
      <c r="J2" s="111"/>
      <c r="K2" s="111"/>
      <c r="L2" s="111"/>
    </row>
    <row r="3" spans="2:12" ht="30.75" customHeight="1" x14ac:dyDescent="0.2">
      <c r="B3" s="237" t="s">
        <v>886</v>
      </c>
      <c r="C3" s="237"/>
      <c r="D3" s="237"/>
      <c r="E3" s="237"/>
      <c r="F3" s="237"/>
      <c r="G3" s="237"/>
      <c r="H3" s="237"/>
      <c r="I3" s="237"/>
      <c r="J3" s="237"/>
      <c r="K3" s="237"/>
      <c r="L3" s="237"/>
    </row>
    <row r="4" spans="2:12" ht="27" customHeight="1" x14ac:dyDescent="0.2"/>
    <row r="5" spans="2:12" ht="45" customHeight="1" x14ac:dyDescent="0.2">
      <c r="B5" s="101" t="s">
        <v>887</v>
      </c>
      <c r="C5" s="101" t="s">
        <v>888</v>
      </c>
      <c r="H5" s="99"/>
      <c r="I5" s="99"/>
    </row>
    <row r="6" spans="2:12" ht="28.35" customHeight="1" x14ac:dyDescent="0.2">
      <c r="B6" s="102">
        <f>COUNTIFS(EXPEDIENTES!AA:AA,$C6,EXPEDIENTES!W:W,"SI")</f>
        <v>0</v>
      </c>
      <c r="C6" s="162" t="s">
        <v>1095</v>
      </c>
      <c r="F6" s="100"/>
      <c r="H6" s="99"/>
      <c r="I6" s="99"/>
    </row>
    <row r="7" spans="2:12" ht="28.35" customHeight="1" x14ac:dyDescent="0.2">
      <c r="B7" s="102">
        <f ca="1">COUNTIFS(EXPEDIENTES!AA:AA,$C7,EXPEDIENTES!W:W,"SI")</f>
        <v>3</v>
      </c>
      <c r="C7" s="161" t="s">
        <v>1034</v>
      </c>
      <c r="F7" s="100"/>
      <c r="H7" s="99"/>
      <c r="I7" s="99"/>
    </row>
    <row r="8" spans="2:12" ht="28.35" customHeight="1" x14ac:dyDescent="0.2">
      <c r="B8" s="102">
        <f ca="1">COUNTIFS(EXPEDIENTES!AA:AA,$C8,EXPEDIENTES!W:W,"SI")</f>
        <v>2</v>
      </c>
      <c r="C8" s="161" t="s">
        <v>1045</v>
      </c>
      <c r="F8" s="100"/>
      <c r="H8" s="99"/>
      <c r="I8" s="99"/>
    </row>
    <row r="9" spans="2:12" ht="28.35" customHeight="1" x14ac:dyDescent="0.2">
      <c r="B9" s="102">
        <f ca="1">COUNTIFS(EXPEDIENTES!AA:AA,$C9,EXPEDIENTES!W:W,"SI")</f>
        <v>7</v>
      </c>
      <c r="C9" s="161" t="s">
        <v>1043</v>
      </c>
      <c r="F9" s="100"/>
      <c r="H9" s="99"/>
      <c r="I9" s="99"/>
    </row>
    <row r="10" spans="2:12" ht="28.35" customHeight="1" x14ac:dyDescent="0.2">
      <c r="B10" s="102">
        <f ca="1">COUNTIFS(EXPEDIENTES!AA:AA,$C10,EXPEDIENTES!W:W,"SI")</f>
        <v>72</v>
      </c>
      <c r="C10" s="161" t="s">
        <v>1015</v>
      </c>
      <c r="F10" s="100"/>
      <c r="H10" s="99"/>
      <c r="I10" s="99"/>
    </row>
    <row r="11" spans="2:12" ht="28.35" customHeight="1" x14ac:dyDescent="0.2">
      <c r="B11" s="102">
        <f ca="1">COUNTIFS(EXPEDIENTES!AA:AA,$C11,EXPEDIENTES!W:W,"SI")</f>
        <v>1</v>
      </c>
      <c r="C11" s="232" t="s">
        <v>1077</v>
      </c>
      <c r="F11" s="100"/>
      <c r="H11" s="99"/>
      <c r="I11" s="99"/>
    </row>
    <row r="12" spans="2:12" ht="28.35" customHeight="1" x14ac:dyDescent="0.2">
      <c r="B12" s="102">
        <f ca="1">COUNTIFS(EXPEDIENTES!AA:AA,$C12,EXPEDIENTES!W:W,"SI")</f>
        <v>34</v>
      </c>
      <c r="C12" s="161" t="s">
        <v>1017</v>
      </c>
      <c r="F12" s="100"/>
      <c r="H12" s="99"/>
      <c r="I12" s="99"/>
    </row>
    <row r="13" spans="2:12" ht="28.35" customHeight="1" x14ac:dyDescent="0.25">
      <c r="B13" s="102">
        <f>COUNTIFS(EXPEDIENTES!AA:AA,$C13)</f>
        <v>2</v>
      </c>
      <c r="C13" s="209" t="s">
        <v>1039</v>
      </c>
      <c r="D13" s="103"/>
      <c r="E13" s="103"/>
      <c r="F13" s="103"/>
      <c r="G13" s="103"/>
      <c r="H13" s="103"/>
      <c r="I13" s="103"/>
      <c r="J13" s="103"/>
      <c r="K13" s="97"/>
    </row>
    <row r="14" spans="2:12" ht="28.35" customHeight="1" x14ac:dyDescent="0.25">
      <c r="B14" s="102">
        <f ca="1">COUNTIFS(EXPEDIENTES!AA:AA,$C14,EXPEDIENTES!W:W,"SI")</f>
        <v>9</v>
      </c>
      <c r="C14" s="209" t="s">
        <v>1041</v>
      </c>
      <c r="D14" s="104"/>
      <c r="E14" s="104"/>
      <c r="F14" s="104"/>
      <c r="G14" s="104"/>
      <c r="H14" s="104"/>
      <c r="I14" s="104"/>
      <c r="J14" s="104"/>
      <c r="K14" s="97"/>
    </row>
    <row r="15" spans="2:12" ht="28.35" customHeight="1" x14ac:dyDescent="0.25">
      <c r="B15" s="163">
        <f ca="1">SUM(B6:B14)</f>
        <v>130</v>
      </c>
      <c r="C15" s="163" t="s">
        <v>889</v>
      </c>
      <c r="D15" s="104"/>
      <c r="E15" s="104"/>
      <c r="F15" s="104"/>
      <c r="G15" s="104"/>
      <c r="H15" s="104"/>
      <c r="I15" s="104"/>
      <c r="J15" s="104"/>
      <c r="K15" s="97"/>
    </row>
    <row r="16" spans="2:12" ht="28.35" customHeight="1" x14ac:dyDescent="0.2">
      <c r="B16" s="108"/>
      <c r="C16" s="164"/>
      <c r="H16" s="99"/>
      <c r="I16" s="99"/>
      <c r="K16" s="106"/>
    </row>
    <row r="17" spans="2:16" ht="28.35" customHeight="1" x14ac:dyDescent="0.2">
      <c r="B17" s="108"/>
      <c r="C17" s="164"/>
      <c r="D17" s="105"/>
      <c r="I17" s="99"/>
      <c r="J17" s="99"/>
    </row>
    <row r="18" spans="2:16" ht="28.35" customHeight="1" x14ac:dyDescent="0.2">
      <c r="D18" s="107"/>
      <c r="I18" s="99"/>
      <c r="J18" s="99"/>
      <c r="P18" s="159"/>
    </row>
    <row r="19" spans="2:16" ht="28.35" customHeight="1" x14ac:dyDescent="0.2">
      <c r="P19" s="159"/>
    </row>
    <row r="20" spans="2:16" ht="28.35" customHeight="1" x14ac:dyDescent="0.2">
      <c r="B20" s="98" t="str">
        <f ca="1">"Fuente: Oficina Judicial de Impugnación - Información al "&amp;TEXT(TODAY(),"DD/MM/YYYY")</f>
        <v>Fuente: Oficina Judicial de Impugnación - Información al 05/11/YYYY</v>
      </c>
      <c r="P20" s="160"/>
    </row>
    <row r="21" spans="2:16" ht="28.35" customHeight="1" x14ac:dyDescent="0.2">
      <c r="P21" s="109"/>
    </row>
    <row r="22" spans="2:16" ht="30" customHeight="1" x14ac:dyDescent="0.25">
      <c r="B22" s="236" t="s">
        <v>885</v>
      </c>
      <c r="C22" s="236"/>
      <c r="D22" s="236"/>
      <c r="E22" s="236"/>
      <c r="F22" s="236"/>
      <c r="G22" s="236"/>
      <c r="H22" s="236"/>
      <c r="I22" s="236"/>
      <c r="J22" s="236"/>
      <c r="K22" s="236"/>
    </row>
    <row r="23" spans="2:16" ht="30" customHeight="1" x14ac:dyDescent="0.2">
      <c r="B23" s="237" t="s">
        <v>890</v>
      </c>
      <c r="C23" s="237"/>
      <c r="D23" s="237"/>
      <c r="E23" s="237"/>
      <c r="F23" s="237"/>
      <c r="G23" s="237"/>
      <c r="H23" s="237"/>
      <c r="I23" s="237"/>
      <c r="J23" s="237"/>
      <c r="K23" s="237"/>
    </row>
    <row r="24" spans="2:16" ht="30" customHeight="1" x14ac:dyDescent="0.2">
      <c r="B24" s="101" t="s">
        <v>887</v>
      </c>
      <c r="C24" s="101" t="s">
        <v>888</v>
      </c>
    </row>
    <row r="25" spans="2:16" ht="18" customHeight="1" x14ac:dyDescent="0.2">
      <c r="B25" s="110">
        <f ca="1">COUNTIFS(EXPEDIENTES!Z:Z,$C25,EXPEDIENTES!W:W,"SI")</f>
        <v>3</v>
      </c>
      <c r="C25" s="165" t="s">
        <v>1014</v>
      </c>
    </row>
    <row r="26" spans="2:16" ht="18" customHeight="1" x14ac:dyDescent="0.2">
      <c r="B26" s="110">
        <f ca="1">COUNTIFS(EXPEDIENTES!Z:Z,$C26,EXPEDIENTES!W:W,"SI")</f>
        <v>1</v>
      </c>
      <c r="C26" s="165" t="s">
        <v>1016</v>
      </c>
    </row>
    <row r="27" spans="2:16" ht="18" customHeight="1" x14ac:dyDescent="0.2">
      <c r="B27" s="110">
        <f ca="1">COUNTIFS(EXPEDIENTES!Z:Z,$C27,EXPEDIENTES!W:W,"SI")</f>
        <v>69</v>
      </c>
      <c r="C27" s="165" t="s">
        <v>1018</v>
      </c>
    </row>
    <row r="28" spans="2:16" ht="18" customHeight="1" x14ac:dyDescent="0.2">
      <c r="B28" s="110">
        <f ca="1">COUNTIFS(EXPEDIENTES!Z:Z,$C28,EXPEDIENTES!W:W,"SI")</f>
        <v>14</v>
      </c>
      <c r="C28" s="165" t="s">
        <v>1019</v>
      </c>
    </row>
    <row r="29" spans="2:16" ht="18" customHeight="1" x14ac:dyDescent="0.2">
      <c r="B29" s="110">
        <f>COUNTIFS(EXPEDIENTES!Z:Z,$C29,EXPEDIENTES!W:W,"SI")</f>
        <v>0</v>
      </c>
      <c r="C29" s="165" t="s">
        <v>1020</v>
      </c>
    </row>
    <row r="30" spans="2:16" ht="18" customHeight="1" x14ac:dyDescent="0.2">
      <c r="B30" s="110">
        <f>COUNTIFS(EXPEDIENTES!Z:Z,$C30,EXPEDIENTES!W:W,"SI")</f>
        <v>0</v>
      </c>
      <c r="C30" s="165" t="s">
        <v>1021</v>
      </c>
    </row>
    <row r="31" spans="2:16" ht="18" customHeight="1" x14ac:dyDescent="0.2">
      <c r="B31" s="110">
        <f>COUNTIFS(EXPEDIENTES!Z:Z,$C31,EXPEDIENTES!W:W,"SI")</f>
        <v>0</v>
      </c>
      <c r="C31" s="165" t="s">
        <v>1022</v>
      </c>
    </row>
    <row r="32" spans="2:16" ht="18" customHeight="1" x14ac:dyDescent="0.2">
      <c r="B32" s="110">
        <f>COUNTIFS(EXPEDIENTES!Z:Z,$C32,EXPEDIENTES!W:W,"SI")</f>
        <v>0</v>
      </c>
      <c r="C32" s="165" t="s">
        <v>1023</v>
      </c>
    </row>
    <row r="33" spans="2:3" ht="18" customHeight="1" x14ac:dyDescent="0.2">
      <c r="B33" s="110">
        <f>COUNTIFS(EXPEDIENTES!Z:Z,$C33,EXPEDIENTES!W:W,"SI")</f>
        <v>0</v>
      </c>
      <c r="C33" s="165" t="s">
        <v>1024</v>
      </c>
    </row>
    <row r="34" spans="2:3" ht="18" customHeight="1" x14ac:dyDescent="0.2">
      <c r="B34" s="110">
        <f ca="1">COUNTIFS(EXPEDIENTES!Z:Z,$C34,EXPEDIENTES!W:W,"SI")</f>
        <v>7</v>
      </c>
      <c r="C34" s="165" t="s">
        <v>1025</v>
      </c>
    </row>
    <row r="35" spans="2:3" ht="18" customHeight="1" x14ac:dyDescent="0.2">
      <c r="B35" s="110">
        <f>COUNTIFS(EXPEDIENTES!Z:Z,$C35,EXPEDIENTES!W:W,"SI")</f>
        <v>0</v>
      </c>
      <c r="C35" s="165" t="s">
        <v>1026</v>
      </c>
    </row>
    <row r="36" spans="2:3" ht="18" customHeight="1" x14ac:dyDescent="0.2">
      <c r="B36" s="110">
        <f>COUNTIFS(EXPEDIENTES!Z:Z,$C36,EXPEDIENTES!W:W,"SI")</f>
        <v>0</v>
      </c>
      <c r="C36" s="165" t="s">
        <v>1027</v>
      </c>
    </row>
    <row r="37" spans="2:3" ht="18" customHeight="1" x14ac:dyDescent="0.2">
      <c r="B37" s="110">
        <f ca="1">COUNTIFS(EXPEDIENTES!Z:Z,$C37,EXPEDIENTES!W:W,"SI")</f>
        <v>2</v>
      </c>
      <c r="C37" s="165" t="s">
        <v>1028</v>
      </c>
    </row>
    <row r="38" spans="2:3" ht="18" customHeight="1" x14ac:dyDescent="0.2">
      <c r="B38" s="110">
        <f>COUNTIFS(EXPEDIENTES!Z:Z,$C38,EXPEDIENTES!W:W,"SI")</f>
        <v>0</v>
      </c>
      <c r="C38" s="165" t="s">
        <v>1030</v>
      </c>
    </row>
    <row r="39" spans="2:3" ht="18" customHeight="1" x14ac:dyDescent="0.2">
      <c r="B39" s="110">
        <f>COUNTIFS(EXPEDIENTES!Z:Z,$C39,EXPEDIENTES!W:W,"SI")</f>
        <v>0</v>
      </c>
      <c r="C39" s="165" t="s">
        <v>1031</v>
      </c>
    </row>
    <row r="40" spans="2:3" ht="18" customHeight="1" x14ac:dyDescent="0.2">
      <c r="B40" s="110">
        <f>COUNTIFS(EXPEDIENTES!Z:Z,$C40,EXPEDIENTES!W:W,"SI")</f>
        <v>0</v>
      </c>
      <c r="C40" s="165" t="s">
        <v>1032</v>
      </c>
    </row>
    <row r="41" spans="2:3" ht="18" customHeight="1" x14ac:dyDescent="0.2">
      <c r="B41" s="110">
        <f>COUNTIFS(EXPEDIENTES!Z:Z,$C41,EXPEDIENTES!W:W,"SI")</f>
        <v>0</v>
      </c>
      <c r="C41" s="165" t="s">
        <v>1033</v>
      </c>
    </row>
    <row r="42" spans="2:3" ht="18" customHeight="1" x14ac:dyDescent="0.2">
      <c r="B42" s="110">
        <f ca="1">COUNTIFS(EXPEDIENTES!Z:Z,$C42,EXPEDIENTES!W:W,"SI")</f>
        <v>3</v>
      </c>
      <c r="C42" s="165" t="s">
        <v>1035</v>
      </c>
    </row>
    <row r="43" spans="2:3" ht="18" customHeight="1" x14ac:dyDescent="0.2">
      <c r="B43" s="110">
        <f>COUNTIFS(EXPEDIENTES!Z:Z,$C43,EXPEDIENTES!W:W,"SI")</f>
        <v>0</v>
      </c>
      <c r="C43" s="165" t="s">
        <v>1036</v>
      </c>
    </row>
    <row r="44" spans="2:3" ht="18" customHeight="1" x14ac:dyDescent="0.2">
      <c r="B44" s="110">
        <f>COUNTIFS(EXPEDIENTES!Z:Z,$C44,EXPEDIENTES!W:W,"SI")</f>
        <v>0</v>
      </c>
      <c r="C44" s="165" t="s">
        <v>1037</v>
      </c>
    </row>
    <row r="45" spans="2:3" ht="18" customHeight="1" x14ac:dyDescent="0.2">
      <c r="B45" s="110">
        <f ca="1">COUNTIFS(EXPEDIENTES!Z:Z,$C45,EXPEDIENTES!W:W,"SI")</f>
        <v>1</v>
      </c>
      <c r="C45" s="165" t="s">
        <v>1038</v>
      </c>
    </row>
    <row r="46" spans="2:3" ht="18" customHeight="1" x14ac:dyDescent="0.2">
      <c r="B46" s="110">
        <f ca="1">COUNTIFS(EXPEDIENTES!Z:Z,$C46,EXPEDIENTES!W:W,"SI")</f>
        <v>9</v>
      </c>
      <c r="C46" s="165" t="s">
        <v>1040</v>
      </c>
    </row>
    <row r="47" spans="2:3" ht="18" customHeight="1" x14ac:dyDescent="0.2">
      <c r="B47" s="110">
        <f ca="1">COUNTIFS(EXPEDIENTES!Z:Z,$C47,EXPEDIENTES!W:W,"SI")</f>
        <v>7</v>
      </c>
      <c r="C47" s="165" t="s">
        <v>1042</v>
      </c>
    </row>
    <row r="48" spans="2:3" ht="18" customHeight="1" x14ac:dyDescent="0.2">
      <c r="B48" s="110">
        <f ca="1">COUNTIFS(EXPEDIENTES!Z:Z,$C48,EXPEDIENTES!W:W,"SI")</f>
        <v>2</v>
      </c>
      <c r="C48" s="165" t="s">
        <v>1044</v>
      </c>
    </row>
    <row r="49" spans="2:3" ht="18" customHeight="1" x14ac:dyDescent="0.2">
      <c r="B49" s="110">
        <f ca="1">COUNTIFS(EXPEDIENTES!Z:Z,$C49,EXPEDIENTES!W:W,"SI")</f>
        <v>12</v>
      </c>
      <c r="C49" s="165" t="s">
        <v>1062</v>
      </c>
    </row>
    <row r="50" spans="2:3" ht="18" customHeight="1" x14ac:dyDescent="0.2">
      <c r="B50" s="110">
        <f ca="1">COUNTIFS(EXPEDIENTES!Z:Z,$C50,EXPEDIENTES!W:W,"SI")</f>
        <v>1</v>
      </c>
      <c r="C50" s="166" t="s">
        <v>1076</v>
      </c>
    </row>
    <row r="51" spans="2:3" ht="18" customHeight="1" x14ac:dyDescent="0.2">
      <c r="B51" s="110">
        <f>COUNTIFS(EXPEDIENTES!Z:Z,$C51,EXPEDIENTES!W:W,"SI")</f>
        <v>0</v>
      </c>
      <c r="C51" s="166" t="s">
        <v>1094</v>
      </c>
    </row>
    <row r="52" spans="2:3" ht="18" x14ac:dyDescent="0.2">
      <c r="B52" s="101">
        <f ca="1">SUM(B25:B41)</f>
        <v>96</v>
      </c>
      <c r="C52" s="101" t="s">
        <v>889</v>
      </c>
    </row>
    <row r="61" spans="2:3" ht="23.25" customHeight="1" x14ac:dyDescent="0.2"/>
    <row r="62" spans="2:3" ht="18" customHeight="1" x14ac:dyDescent="0.2"/>
    <row r="63" spans="2:3" ht="21" customHeight="1" x14ac:dyDescent="0.2"/>
    <row r="64" spans="2:3" ht="22.5" customHeight="1" x14ac:dyDescent="0.2"/>
    <row r="65" ht="23.25" customHeight="1" x14ac:dyDescent="0.2"/>
    <row r="66" ht="21" customHeight="1" x14ac:dyDescent="0.2"/>
    <row r="67" ht="23.25" customHeight="1" x14ac:dyDescent="0.2"/>
    <row r="97" ht="27.75" customHeight="1" x14ac:dyDescent="0.2"/>
    <row r="98" ht="27" customHeight="1" x14ac:dyDescent="0.2"/>
    <row r="99" ht="23.25" customHeight="1" x14ac:dyDescent="0.2"/>
    <row r="100" ht="24" customHeight="1" x14ac:dyDescent="0.2"/>
    <row r="101" ht="24" customHeight="1" x14ac:dyDescent="0.2"/>
    <row r="102" ht="24.75" customHeight="1" x14ac:dyDescent="0.2"/>
    <row r="103" ht="24.75" customHeight="1" x14ac:dyDescent="0.2"/>
    <row r="104" ht="19.5" customHeight="1" x14ac:dyDescent="0.2"/>
    <row r="105" ht="23.25" customHeight="1" x14ac:dyDescent="0.2"/>
    <row r="106" ht="24.75" customHeight="1" x14ac:dyDescent="0.2"/>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3:A29"/>
  <sheetViews>
    <sheetView zoomScale="70" zoomScaleNormal="70" workbookViewId="0">
      <selection activeCell="J42" sqref="J42"/>
    </sheetView>
  </sheetViews>
  <sheetFormatPr baseColWidth="10" defaultRowHeight="12.75" x14ac:dyDescent="0.2"/>
  <sheetData>
    <row r="3" ht="20.100000000000001" customHeight="1" x14ac:dyDescent="0.2"/>
    <row r="4" ht="20.100000000000001" customHeight="1" x14ac:dyDescent="0.2"/>
    <row r="5" ht="20.100000000000001" customHeight="1" x14ac:dyDescent="0.2"/>
    <row r="6" ht="20.100000000000001" customHeight="1" x14ac:dyDescent="0.2"/>
    <row r="7" ht="20.100000000000001" customHeight="1" x14ac:dyDescent="0.2"/>
    <row r="8" ht="20.100000000000001" customHeight="1" x14ac:dyDescent="0.2"/>
    <row r="9" ht="20.100000000000001" customHeight="1" x14ac:dyDescent="0.2"/>
    <row r="10" ht="20.100000000000001" customHeight="1" x14ac:dyDescent="0.2"/>
    <row r="11" ht="20.100000000000001" customHeight="1" x14ac:dyDescent="0.2"/>
    <row r="12" ht="20.100000000000001" customHeight="1" x14ac:dyDescent="0.2"/>
    <row r="13" ht="20.100000000000001" customHeight="1" x14ac:dyDescent="0.2"/>
    <row r="14" ht="20.100000000000001" customHeight="1" x14ac:dyDescent="0.2"/>
    <row r="15" ht="20.100000000000001" customHeight="1" x14ac:dyDescent="0.2"/>
    <row r="16"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40"/>
  <sheetViews>
    <sheetView topLeftCell="A19" zoomScale="85" zoomScaleNormal="85" workbookViewId="0">
      <selection activeCell="F38" sqref="F38"/>
    </sheetView>
  </sheetViews>
  <sheetFormatPr baseColWidth="10" defaultRowHeight="12.75" x14ac:dyDescent="0.2"/>
  <cols>
    <col min="1" max="1" width="54.28515625" style="17" customWidth="1"/>
  </cols>
  <sheetData>
    <row r="1" spans="1:1" ht="24.95" customHeight="1" x14ac:dyDescent="0.2">
      <c r="A1" s="15" t="s">
        <v>9</v>
      </c>
    </row>
    <row r="2" spans="1:1" ht="24.95" customHeight="1" x14ac:dyDescent="0.2">
      <c r="A2" s="16" t="s">
        <v>12</v>
      </c>
    </row>
    <row r="3" spans="1:1" ht="24.95" customHeight="1" x14ac:dyDescent="0.2">
      <c r="A3" s="15" t="s">
        <v>11</v>
      </c>
    </row>
    <row r="4" spans="1:1" ht="24.95" customHeight="1" x14ac:dyDescent="0.2">
      <c r="A4" s="15" t="s">
        <v>30</v>
      </c>
    </row>
    <row r="5" spans="1:1" ht="24.95" customHeight="1" x14ac:dyDescent="0.2">
      <c r="A5" s="16" t="s">
        <v>31</v>
      </c>
    </row>
    <row r="6" spans="1:1" ht="24.95" customHeight="1" x14ac:dyDescent="0.2">
      <c r="A6" s="17" t="s">
        <v>50</v>
      </c>
    </row>
    <row r="7" spans="1:1" ht="24.95" customHeight="1" x14ac:dyDescent="0.2">
      <c r="A7" s="15" t="s">
        <v>23</v>
      </c>
    </row>
    <row r="8" spans="1:1" ht="24.95" customHeight="1" x14ac:dyDescent="0.2">
      <c r="A8" s="15" t="s">
        <v>27</v>
      </c>
    </row>
    <row r="9" spans="1:1" ht="24.95" customHeight="1" x14ac:dyDescent="0.2">
      <c r="A9" s="16" t="s">
        <v>19</v>
      </c>
    </row>
    <row r="10" spans="1:1" ht="24.95" customHeight="1" x14ac:dyDescent="0.2">
      <c r="A10" s="15" t="s">
        <v>28</v>
      </c>
    </row>
    <row r="11" spans="1:1" ht="24.95" customHeight="1" x14ac:dyDescent="0.2">
      <c r="A11" s="16" t="s">
        <v>20</v>
      </c>
    </row>
    <row r="12" spans="1:1" ht="24.95" customHeight="1" x14ac:dyDescent="0.2">
      <c r="A12" s="15" t="s">
        <v>16</v>
      </c>
    </row>
    <row r="13" spans="1:1" ht="24.95" customHeight="1" x14ac:dyDescent="0.2">
      <c r="A13" s="16" t="s">
        <v>6</v>
      </c>
    </row>
    <row r="14" spans="1:1" ht="24.95" customHeight="1" x14ac:dyDescent="0.2">
      <c r="A14" s="16" t="s">
        <v>14</v>
      </c>
    </row>
    <row r="15" spans="1:1" ht="24.95" customHeight="1" x14ac:dyDescent="0.2">
      <c r="A15" s="16" t="s">
        <v>58</v>
      </c>
    </row>
    <row r="16" spans="1:1" ht="24.95" customHeight="1" x14ac:dyDescent="0.2">
      <c r="A16" s="16" t="s">
        <v>26</v>
      </c>
    </row>
    <row r="17" spans="1:1" ht="24.95" customHeight="1" x14ac:dyDescent="0.2">
      <c r="A17" s="16" t="s">
        <v>21</v>
      </c>
    </row>
    <row r="18" spans="1:1" ht="24.95" customHeight="1" x14ac:dyDescent="0.2">
      <c r="A18" s="15" t="s">
        <v>15</v>
      </c>
    </row>
    <row r="19" spans="1:1" ht="24.95" customHeight="1" x14ac:dyDescent="0.2">
      <c r="A19" s="17" t="s">
        <v>46</v>
      </c>
    </row>
    <row r="20" spans="1:1" ht="24.95" customHeight="1" x14ac:dyDescent="0.2">
      <c r="A20" s="18" t="s">
        <v>45</v>
      </c>
    </row>
    <row r="21" spans="1:1" ht="24.95" customHeight="1" x14ac:dyDescent="0.2">
      <c r="A21" s="18" t="s">
        <v>49</v>
      </c>
    </row>
    <row r="22" spans="1:1" ht="24.95" customHeight="1" x14ac:dyDescent="0.2">
      <c r="A22" s="16" t="s">
        <v>4</v>
      </c>
    </row>
    <row r="23" spans="1:1" ht="24.95" customHeight="1" x14ac:dyDescent="0.2">
      <c r="A23" s="16" t="s">
        <v>29</v>
      </c>
    </row>
    <row r="24" spans="1:1" ht="24.95" customHeight="1" x14ac:dyDescent="0.2">
      <c r="A24" s="16" t="s">
        <v>32</v>
      </c>
    </row>
    <row r="25" spans="1:1" ht="24.95" customHeight="1" x14ac:dyDescent="0.2">
      <c r="A25" s="16" t="s">
        <v>5</v>
      </c>
    </row>
    <row r="26" spans="1:1" ht="24.95" customHeight="1" x14ac:dyDescent="0.2">
      <c r="A26" s="15" t="s">
        <v>7</v>
      </c>
    </row>
    <row r="27" spans="1:1" ht="24.95" customHeight="1" x14ac:dyDescent="0.2">
      <c r="A27" s="15" t="s">
        <v>8</v>
      </c>
    </row>
    <row r="28" spans="1:1" ht="24.95" customHeight="1" x14ac:dyDescent="0.2">
      <c r="A28" s="15" t="s">
        <v>37</v>
      </c>
    </row>
    <row r="29" spans="1:1" ht="24.95" customHeight="1" x14ac:dyDescent="0.2">
      <c r="A29" s="16" t="s">
        <v>34</v>
      </c>
    </row>
    <row r="30" spans="1:1" ht="24.95" customHeight="1" x14ac:dyDescent="0.2">
      <c r="A30" s="16" t="s">
        <v>35</v>
      </c>
    </row>
    <row r="31" spans="1:1" ht="24.95" customHeight="1" x14ac:dyDescent="0.2">
      <c r="A31" s="16" t="s">
        <v>33</v>
      </c>
    </row>
    <row r="32" spans="1:1" ht="24.95" customHeight="1" x14ac:dyDescent="0.2">
      <c r="A32" s="16" t="s">
        <v>38</v>
      </c>
    </row>
    <row r="33" spans="1:1" ht="24.95" customHeight="1" x14ac:dyDescent="0.2">
      <c r="A33" s="16" t="s">
        <v>39</v>
      </c>
    </row>
    <row r="34" spans="1:1" ht="24.95" customHeight="1" x14ac:dyDescent="0.2">
      <c r="A34" s="15" t="s">
        <v>40</v>
      </c>
    </row>
    <row r="35" spans="1:1" ht="24.95" customHeight="1" x14ac:dyDescent="0.2">
      <c r="A35" s="16" t="s">
        <v>13</v>
      </c>
    </row>
    <row r="36" spans="1:1" ht="24.95" customHeight="1" x14ac:dyDescent="0.2">
      <c r="A36" s="18" t="s">
        <v>117</v>
      </c>
    </row>
    <row r="37" spans="1:1" ht="24.95" customHeight="1" x14ac:dyDescent="0.2">
      <c r="A37" s="15" t="s">
        <v>36</v>
      </c>
    </row>
    <row r="38" spans="1:1" ht="24.95" customHeight="1" x14ac:dyDescent="0.2">
      <c r="A38" s="17" t="s">
        <v>52</v>
      </c>
    </row>
    <row r="39" spans="1:1" x14ac:dyDescent="0.2">
      <c r="A39" s="18" t="s">
        <v>53</v>
      </c>
    </row>
    <row r="40" spans="1:1" x14ac:dyDescent="0.2">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A44"/>
  <sheetViews>
    <sheetView topLeftCell="A29" workbookViewId="0">
      <selection activeCell="A44" sqref="A44"/>
    </sheetView>
  </sheetViews>
  <sheetFormatPr baseColWidth="10" defaultRowHeight="12.75" x14ac:dyDescent="0.2"/>
  <cols>
    <col min="1" max="1" width="36" style="3" customWidth="1"/>
  </cols>
  <sheetData>
    <row r="1" spans="1:1" ht="30" customHeight="1" x14ac:dyDescent="0.2">
      <c r="A1" s="28" t="s">
        <v>64</v>
      </c>
    </row>
    <row r="2" spans="1:1" ht="30" customHeight="1" x14ac:dyDescent="0.2">
      <c r="A2" s="28" t="s">
        <v>81</v>
      </c>
    </row>
    <row r="3" spans="1:1" ht="30" customHeight="1" x14ac:dyDescent="0.2">
      <c r="A3" s="33" t="s">
        <v>73</v>
      </c>
    </row>
    <row r="4" spans="1:1" ht="30" customHeight="1" x14ac:dyDescent="0.2">
      <c r="A4" s="6" t="s">
        <v>70</v>
      </c>
    </row>
    <row r="5" spans="1:1" ht="30" customHeight="1" x14ac:dyDescent="0.2">
      <c r="A5" s="6" t="s">
        <v>69</v>
      </c>
    </row>
    <row r="6" spans="1:1" ht="30" customHeight="1" x14ac:dyDescent="0.2">
      <c r="A6" s="6" t="s">
        <v>71</v>
      </c>
    </row>
    <row r="7" spans="1:1" ht="30" customHeight="1" x14ac:dyDescent="0.2">
      <c r="A7" s="6"/>
    </row>
    <row r="8" spans="1:1" ht="30" customHeight="1" x14ac:dyDescent="0.2">
      <c r="A8" s="6" t="s">
        <v>67</v>
      </c>
    </row>
    <row r="9" spans="1:1" ht="30" customHeight="1" x14ac:dyDescent="0.2">
      <c r="A9" s="6" t="s">
        <v>68</v>
      </c>
    </row>
    <row r="10" spans="1:1" ht="30" customHeight="1" x14ac:dyDescent="0.2">
      <c r="A10" s="6" t="s">
        <v>79</v>
      </c>
    </row>
    <row r="11" spans="1:1" ht="30" customHeight="1" x14ac:dyDescent="0.2">
      <c r="A11" s="6" t="s">
        <v>80</v>
      </c>
    </row>
    <row r="12" spans="1:1" ht="30" customHeight="1" x14ac:dyDescent="0.2">
      <c r="A12" s="6" t="s">
        <v>72</v>
      </c>
    </row>
    <row r="13" spans="1:1" ht="30" customHeight="1" x14ac:dyDescent="0.2">
      <c r="A13" s="6" t="s">
        <v>56</v>
      </c>
    </row>
    <row r="14" spans="1:1" ht="30" customHeight="1" x14ac:dyDescent="0.2">
      <c r="A14" s="6" t="s">
        <v>48</v>
      </c>
    </row>
    <row r="15" spans="1:1" ht="30" customHeight="1" x14ac:dyDescent="0.2">
      <c r="A15" s="6" t="s">
        <v>54</v>
      </c>
    </row>
    <row r="16" spans="1:1" ht="30" customHeight="1" x14ac:dyDescent="0.2">
      <c r="A16" s="6" t="s">
        <v>74</v>
      </c>
    </row>
    <row r="17" spans="1:1" ht="30" customHeight="1" x14ac:dyDescent="0.2">
      <c r="A17" s="6" t="s">
        <v>75</v>
      </c>
    </row>
    <row r="18" spans="1:1" ht="30" customHeight="1" x14ac:dyDescent="0.2">
      <c r="A18" s="6" t="s">
        <v>60</v>
      </c>
    </row>
    <row r="19" spans="1:1" ht="30" customHeight="1" x14ac:dyDescent="0.2">
      <c r="A19" s="6" t="s">
        <v>66</v>
      </c>
    </row>
    <row r="20" spans="1:1" ht="30" customHeight="1" x14ac:dyDescent="0.2">
      <c r="A20" s="6" t="s">
        <v>63</v>
      </c>
    </row>
    <row r="21" spans="1:1" ht="30" customHeight="1" x14ac:dyDescent="0.2">
      <c r="A21" s="6" t="s">
        <v>76</v>
      </c>
    </row>
    <row r="22" spans="1:1" ht="30" customHeight="1" x14ac:dyDescent="0.2">
      <c r="A22" s="6" t="s">
        <v>77</v>
      </c>
    </row>
    <row r="23" spans="1:1" ht="30" customHeight="1" x14ac:dyDescent="0.2">
      <c r="A23" s="6" t="s">
        <v>55</v>
      </c>
    </row>
    <row r="24" spans="1:1" ht="30" customHeight="1" x14ac:dyDescent="0.2">
      <c r="A24" s="6" t="s">
        <v>44</v>
      </c>
    </row>
    <row r="25" spans="1:1" ht="30" customHeight="1" x14ac:dyDescent="0.2">
      <c r="A25" s="6" t="s">
        <v>62</v>
      </c>
    </row>
    <row r="26" spans="1:1" ht="30" customHeight="1" x14ac:dyDescent="0.2">
      <c r="A26" s="6" t="s">
        <v>65</v>
      </c>
    </row>
    <row r="27" spans="1:1" ht="30" customHeight="1" x14ac:dyDescent="0.2">
      <c r="A27" s="5" t="s">
        <v>10</v>
      </c>
    </row>
    <row r="28" spans="1:1" ht="30" customHeight="1" x14ac:dyDescent="0.2">
      <c r="A28" s="6" t="s">
        <v>59</v>
      </c>
    </row>
    <row r="29" spans="1:1" ht="30" customHeight="1" x14ac:dyDescent="0.2">
      <c r="A29" s="6" t="s">
        <v>61</v>
      </c>
    </row>
    <row r="30" spans="1:1" ht="30" customHeight="1" x14ac:dyDescent="0.2">
      <c r="A30" s="5" t="s">
        <v>17</v>
      </c>
    </row>
    <row r="31" spans="1:1" ht="30" customHeight="1" x14ac:dyDescent="0.2">
      <c r="A31" s="6" t="s">
        <v>78</v>
      </c>
    </row>
    <row r="32" spans="1:1" ht="30" customHeight="1" x14ac:dyDescent="0.2">
      <c r="A32" s="6" t="s">
        <v>159</v>
      </c>
    </row>
    <row r="33" spans="1:1" ht="30" customHeight="1" x14ac:dyDescent="0.2">
      <c r="A33" s="6" t="s">
        <v>160</v>
      </c>
    </row>
    <row r="34" spans="1:1" ht="30" customHeight="1" x14ac:dyDescent="0.2">
      <c r="A34" s="6" t="s">
        <v>175</v>
      </c>
    </row>
    <row r="35" spans="1:1" ht="30" customHeight="1" x14ac:dyDescent="0.2">
      <c r="A35" s="6" t="s">
        <v>184</v>
      </c>
    </row>
    <row r="36" spans="1:1" ht="30" customHeight="1" x14ac:dyDescent="0.2">
      <c r="A36" s="6" t="s">
        <v>200</v>
      </c>
    </row>
    <row r="37" spans="1:1" ht="30" customHeight="1" x14ac:dyDescent="0.2">
      <c r="A37" s="6" t="s">
        <v>208</v>
      </c>
    </row>
    <row r="38" spans="1:1" ht="30" customHeight="1" x14ac:dyDescent="0.2">
      <c r="A38" s="6" t="s">
        <v>215</v>
      </c>
    </row>
    <row r="39" spans="1:1" ht="30" customHeight="1" x14ac:dyDescent="0.2">
      <c r="A39" s="6" t="s">
        <v>217</v>
      </c>
    </row>
    <row r="40" spans="1:1" ht="30" customHeight="1" x14ac:dyDescent="0.2">
      <c r="A40" s="6" t="s">
        <v>241</v>
      </c>
    </row>
    <row r="41" spans="1:1" ht="30" customHeight="1" x14ac:dyDescent="0.2">
      <c r="A41" s="6" t="s">
        <v>246</v>
      </c>
    </row>
    <row r="42" spans="1:1" x14ac:dyDescent="0.2">
      <c r="A42" s="62" t="s">
        <v>252</v>
      </c>
    </row>
    <row r="43" spans="1:1" x14ac:dyDescent="0.2">
      <c r="A43" s="62" t="s">
        <v>253</v>
      </c>
    </row>
    <row r="44" spans="1:1" x14ac:dyDescent="0.2">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12"/>
  <sheetViews>
    <sheetView workbookViewId="0">
      <selection activeCell="A12" sqref="A12"/>
    </sheetView>
  </sheetViews>
  <sheetFormatPr baseColWidth="10" defaultRowHeight="12.75" x14ac:dyDescent="0.2"/>
  <sheetData>
    <row r="1" spans="1:1" x14ac:dyDescent="0.2">
      <c r="A1" s="11" t="s">
        <v>201</v>
      </c>
    </row>
    <row r="2" spans="1:1" x14ac:dyDescent="0.2">
      <c r="A2" s="11" t="s">
        <v>122</v>
      </c>
    </row>
    <row r="3" spans="1:1" x14ac:dyDescent="0.2">
      <c r="A3" s="11" t="s">
        <v>95</v>
      </c>
    </row>
    <row r="4" spans="1:1" x14ac:dyDescent="0.2">
      <c r="A4" s="11" t="s">
        <v>96</v>
      </c>
    </row>
    <row r="5" spans="1:1" x14ac:dyDescent="0.2">
      <c r="A5" s="11" t="s">
        <v>97</v>
      </c>
    </row>
    <row r="6" spans="1:1" x14ac:dyDescent="0.2">
      <c r="A6" s="11" t="s">
        <v>98</v>
      </c>
    </row>
    <row r="7" spans="1:1" x14ac:dyDescent="0.2">
      <c r="A7" s="11" t="s">
        <v>99</v>
      </c>
    </row>
    <row r="8" spans="1:1" x14ac:dyDescent="0.2">
      <c r="A8" s="11" t="s">
        <v>100</v>
      </c>
    </row>
    <row r="9" spans="1:1" x14ac:dyDescent="0.2">
      <c r="A9" s="11" t="s">
        <v>101</v>
      </c>
    </row>
    <row r="10" spans="1:1" x14ac:dyDescent="0.2">
      <c r="A10" s="11" t="s">
        <v>102</v>
      </c>
    </row>
    <row r="11" spans="1:1" x14ac:dyDescent="0.2">
      <c r="A11" s="11" t="s">
        <v>103</v>
      </c>
    </row>
    <row r="12" spans="1:1" x14ac:dyDescent="0.2">
      <c r="A12" s="11" t="s">
        <v>237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3"/>
  <sheetViews>
    <sheetView workbookViewId="0">
      <selection activeCell="A4" sqref="A4"/>
    </sheetView>
  </sheetViews>
  <sheetFormatPr baseColWidth="10" defaultRowHeight="12.75" x14ac:dyDescent="0.2"/>
  <cols>
    <col min="1" max="1" width="28.140625" customWidth="1"/>
  </cols>
  <sheetData>
    <row r="1" spans="1:1" x14ac:dyDescent="0.2">
      <c r="A1" s="6" t="s">
        <v>132</v>
      </c>
    </row>
    <row r="2" spans="1:1" x14ac:dyDescent="0.2">
      <c r="A2" s="6" t="s">
        <v>133</v>
      </c>
    </row>
    <row r="3" spans="1:1" x14ac:dyDescent="0.2">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9" sqref="B19"/>
    </sheetView>
  </sheetViews>
  <sheetFormatPr baseColWidth="10" defaultRowHeight="12.75" x14ac:dyDescent="0.2"/>
  <cols>
    <col min="1" max="1" width="61.5703125" style="98" bestFit="1" customWidth="1"/>
    <col min="2" max="2" width="45.7109375" style="98" customWidth="1"/>
    <col min="3" max="16384" width="11.42578125" style="98"/>
  </cols>
  <sheetData>
    <row r="1" spans="1:6" x14ac:dyDescent="0.2">
      <c r="A1" s="100" t="s">
        <v>989</v>
      </c>
      <c r="B1" s="100" t="s">
        <v>988</v>
      </c>
    </row>
    <row r="2" spans="1:6" x14ac:dyDescent="0.2">
      <c r="A2" s="155" t="s">
        <v>1014</v>
      </c>
      <c r="B2" s="156" t="s">
        <v>1015</v>
      </c>
      <c r="F2" s="97"/>
    </row>
    <row r="3" spans="1:6" x14ac:dyDescent="0.2">
      <c r="A3" s="155" t="s">
        <v>1016</v>
      </c>
      <c r="B3" s="156" t="s">
        <v>1017</v>
      </c>
    </row>
    <row r="4" spans="1:6" x14ac:dyDescent="0.2">
      <c r="A4" s="155" t="s">
        <v>1018</v>
      </c>
      <c r="B4" s="156" t="s">
        <v>1015</v>
      </c>
    </row>
    <row r="5" spans="1:6" x14ac:dyDescent="0.2">
      <c r="A5" s="155" t="s">
        <v>1019</v>
      </c>
      <c r="B5" s="157" t="s">
        <v>1017</v>
      </c>
    </row>
    <row r="6" spans="1:6" x14ac:dyDescent="0.2">
      <c r="A6" s="155" t="s">
        <v>1020</v>
      </c>
      <c r="B6" s="156" t="s">
        <v>1015</v>
      </c>
    </row>
    <row r="7" spans="1:6" x14ac:dyDescent="0.2">
      <c r="A7" s="155" t="s">
        <v>1021</v>
      </c>
      <c r="B7" s="156" t="s">
        <v>1017</v>
      </c>
    </row>
    <row r="8" spans="1:6" x14ac:dyDescent="0.2">
      <c r="A8" s="155" t="s">
        <v>1022</v>
      </c>
      <c r="B8" s="156" t="s">
        <v>1015</v>
      </c>
    </row>
    <row r="9" spans="1:6" x14ac:dyDescent="0.2">
      <c r="A9" s="155" t="s">
        <v>1023</v>
      </c>
      <c r="B9" s="156" t="s">
        <v>1017</v>
      </c>
    </row>
    <row r="10" spans="1:6" x14ac:dyDescent="0.2">
      <c r="A10" s="156" t="s">
        <v>1024</v>
      </c>
      <c r="B10" s="157" t="s">
        <v>1017</v>
      </c>
    </row>
    <row r="11" spans="1:6" x14ac:dyDescent="0.2">
      <c r="A11" s="156" t="s">
        <v>1025</v>
      </c>
      <c r="B11" s="157" t="s">
        <v>1017</v>
      </c>
    </row>
    <row r="12" spans="1:6" x14ac:dyDescent="0.2">
      <c r="A12" s="156" t="s">
        <v>1026</v>
      </c>
      <c r="B12" s="157" t="s">
        <v>1017</v>
      </c>
    </row>
    <row r="13" spans="1:6" x14ac:dyDescent="0.2">
      <c r="A13" s="156" t="s">
        <v>1027</v>
      </c>
      <c r="B13" s="157" t="s">
        <v>1017</v>
      </c>
    </row>
    <row r="14" spans="1:6" x14ac:dyDescent="0.2">
      <c r="A14" s="156" t="s">
        <v>1028</v>
      </c>
      <c r="B14" s="156" t="s">
        <v>1029</v>
      </c>
    </row>
    <row r="15" spans="1:6" x14ac:dyDescent="0.2">
      <c r="A15" s="156" t="s">
        <v>1030</v>
      </c>
      <c r="B15" s="156" t="s">
        <v>1029</v>
      </c>
    </row>
    <row r="16" spans="1:6" x14ac:dyDescent="0.2">
      <c r="A16" s="156" t="s">
        <v>1031</v>
      </c>
      <c r="B16" s="156" t="s">
        <v>1029</v>
      </c>
    </row>
    <row r="17" spans="1:2" x14ac:dyDescent="0.2">
      <c r="A17" s="156" t="s">
        <v>1032</v>
      </c>
      <c r="B17" s="156" t="s">
        <v>1029</v>
      </c>
    </row>
    <row r="18" spans="1:2" x14ac:dyDescent="0.2">
      <c r="A18" s="155" t="s">
        <v>1033</v>
      </c>
      <c r="B18" s="156" t="s">
        <v>1034</v>
      </c>
    </row>
    <row r="19" spans="1:2" x14ac:dyDescent="0.2">
      <c r="A19" s="155" t="s">
        <v>1035</v>
      </c>
      <c r="B19" s="156" t="s">
        <v>1034</v>
      </c>
    </row>
    <row r="20" spans="1:2" x14ac:dyDescent="0.2">
      <c r="A20" s="155" t="s">
        <v>1036</v>
      </c>
      <c r="B20" s="156" t="s">
        <v>1034</v>
      </c>
    </row>
    <row r="21" spans="1:2" x14ac:dyDescent="0.2">
      <c r="A21" s="155" t="s">
        <v>1037</v>
      </c>
      <c r="B21" s="156" t="s">
        <v>1034</v>
      </c>
    </row>
    <row r="22" spans="1:2" x14ac:dyDescent="0.2">
      <c r="A22" s="156" t="s">
        <v>1038</v>
      </c>
      <c r="B22" s="157" t="s">
        <v>1039</v>
      </c>
    </row>
    <row r="23" spans="1:2" x14ac:dyDescent="0.2">
      <c r="A23" s="156" t="s">
        <v>1040</v>
      </c>
      <c r="B23" s="156" t="s">
        <v>1041</v>
      </c>
    </row>
    <row r="24" spans="1:2" x14ac:dyDescent="0.2">
      <c r="A24" s="156" t="s">
        <v>1042</v>
      </c>
      <c r="B24" s="156" t="s">
        <v>1043</v>
      </c>
    </row>
    <row r="25" spans="1:2" x14ac:dyDescent="0.2">
      <c r="A25" s="156" t="s">
        <v>1044</v>
      </c>
      <c r="B25" s="156" t="s">
        <v>1045</v>
      </c>
    </row>
    <row r="26" spans="1:2" x14ac:dyDescent="0.2">
      <c r="A26" s="158" t="s">
        <v>1062</v>
      </c>
      <c r="B26" s="157" t="s">
        <v>1017</v>
      </c>
    </row>
    <row r="27" spans="1:2" x14ac:dyDescent="0.2">
      <c r="A27" s="100" t="s">
        <v>1076</v>
      </c>
      <c r="B27" s="100" t="s">
        <v>1077</v>
      </c>
    </row>
    <row r="28" spans="1:2" x14ac:dyDescent="0.2">
      <c r="A28" s="100" t="s">
        <v>1094</v>
      </c>
      <c r="B28" s="100" t="s">
        <v>1095</v>
      </c>
    </row>
    <row r="29" spans="1:2" x14ac:dyDescent="0.2">
      <c r="A29" s="100" t="s">
        <v>984</v>
      </c>
      <c r="B29" s="100" t="s">
        <v>984</v>
      </c>
    </row>
    <row r="30" spans="1:2" x14ac:dyDescent="0.2">
      <c r="A30" s="100" t="s">
        <v>984</v>
      </c>
      <c r="B30" s="100" t="s">
        <v>984</v>
      </c>
    </row>
    <row r="31" spans="1:2" x14ac:dyDescent="0.2">
      <c r="A31" s="100"/>
    </row>
    <row r="32" spans="1:2" x14ac:dyDescent="0.2">
      <c r="A32" s="100"/>
    </row>
    <row r="33" spans="1:1" x14ac:dyDescent="0.2">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Ahira</cp:lastModifiedBy>
  <cp:lastPrinted>2023-10-03T11:07:07Z</cp:lastPrinted>
  <dcterms:created xsi:type="dcterms:W3CDTF">2023-02-23T14:47:20Z</dcterms:created>
  <dcterms:modified xsi:type="dcterms:W3CDTF">2023-11-06T01:36:11Z</dcterms:modified>
</cp:coreProperties>
</file>