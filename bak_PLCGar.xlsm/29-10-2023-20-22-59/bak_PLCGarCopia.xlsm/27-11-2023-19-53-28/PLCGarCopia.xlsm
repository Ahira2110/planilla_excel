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bak_PLCGar.xlsm\29-10-2023-20-22-59\"/>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12" r:id="rId27"/>
    <pivotCache cacheId="13" r:id="rId28"/>
    <pivotCache cacheId="14" r:id="rId29"/>
    <pivotCache cacheId="15" r:id="rId30"/>
    <pivotCache cacheId="16" r:id="rId31"/>
    <pivotCache cacheId="17"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<sst xmlns="http://schemas.openxmlformats.org/spreadsheetml/2006/main" count="17689" uniqueCount="3728">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</sst>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158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jo/Planilla/planilla_excel/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jo/Planilla/planilla_excel/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Tabla dinámica5" cacheId="1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1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1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1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1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1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1                                      -                 37</v>
      </c>
      <c r="C1" s="233">
        <f ca="1" xml:space="preserve"> COUNTIF(O:O,"SI")</f>
        <v>864</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SI</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SI</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SI</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SI</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SI</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SI</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SI</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SI</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SI</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SI</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SI</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SI</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SI</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SI</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SI</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SI</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SI</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SI</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SI</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SI</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SI</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SI</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SI</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SI</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SI</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SI</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SI</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SI</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SI</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SI</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SI</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SI</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SI</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SI</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SI</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SI</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SI</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SI</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SI</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SI</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SI</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SI</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SI</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SI</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SI</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SI</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SI</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SI</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SI</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SI</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SI</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SI</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SI</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SI</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SI</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SI</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SI</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SI</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SI</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SI</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SI</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SI</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SI</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SI</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SI</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SI</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SI</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SI</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SI</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SI</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SI</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K4" sqref="K4"/>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158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51</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864</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5" t="str">
        <f ca="1">"AUDIENCIAS ASIGNADAS  AL DIA: " &amp; TEXT(TODAY(),"DD/MM/YYYY")</f>
        <v>AUDIENCIAS ASIGNADAS  AL DIA: 27/11/YYYY</v>
      </c>
      <c r="C1" s="415"/>
      <c r="D1" s="415"/>
      <c r="E1" s="415"/>
      <c r="F1" s="415"/>
      <c r="G1" s="415"/>
      <c r="H1" s="415"/>
      <c r="I1" s="415"/>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5" t="str">
        <f ca="1">"AUDIENCIAS QUE RESTAN RESOLVER -  AL DIA: " &amp; TEXT(TODAY(),"DD/MM/YYYY")</f>
        <v>AUDIENCIAS QUE RESTAN RESOLVER -  AL DIA: 27/11/YYYY</v>
      </c>
      <c r="C26" s="415"/>
      <c r="D26" s="415"/>
      <c r="E26" s="415"/>
      <c r="F26" s="415"/>
      <c r="G26" s="415"/>
      <c r="H26" s="415"/>
      <c r="I26" s="415"/>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1</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0</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0</v>
      </c>
      <c r="E32" s="10" t="s">
        <v>1224</v>
      </c>
      <c r="F32" s="10">
        <f ca="1">COUNTIFS(EXPEDIENTES!J:J,$E32,EXPEDIENTES!O:O,"NO")</f>
        <v>0</v>
      </c>
    </row>
    <row r="33" spans="2:6" ht="20.100000000000001" customHeight="1" x14ac:dyDescent="0.2">
      <c r="B33" s="10" t="s">
        <v>78</v>
      </c>
      <c r="C33" s="10">
        <f ca="1">COUNTIFS(EXPEDIENTES!J:J,$B33,EXPEDIENTES!O:O,"NO")</f>
        <v>0</v>
      </c>
      <c r="E33" s="10" t="s">
        <v>1625</v>
      </c>
      <c r="F33" s="10">
        <f ca="1">COUNTIFS(EXPEDIENTES!J:J,$E33,EXPEDIENTES!O:O,"NO")</f>
        <v>0</v>
      </c>
    </row>
    <row r="34" spans="2:6" ht="20.100000000000001" customHeight="1" x14ac:dyDescent="0.2">
      <c r="B34" s="10" t="s">
        <v>1220</v>
      </c>
      <c r="C34" s="10">
        <f ca="1">COUNTIFS(EXPEDIENTES!J:J,$B34,EXPEDIENTES!O:O,"NO")</f>
        <v>0</v>
      </c>
      <c r="E34" s="10" t="s">
        <v>1492</v>
      </c>
      <c r="F34" s="10">
        <f ca="1">COUNTIFS(EXPEDIENTES!J:J,$E34,EXPEDIENTES!O:O,"NO")</f>
        <v>0</v>
      </c>
    </row>
    <row r="35" spans="2:6" ht="20.100000000000001" customHeight="1" x14ac:dyDescent="0.2">
      <c r="B35" s="10" t="s">
        <v>1225</v>
      </c>
      <c r="C35" s="10">
        <f ca="1">COUNTIFS(EXPEDIENTES!J:J,$B35,EXPEDIENTES!O:O,"NO")</f>
        <v>0</v>
      </c>
      <c r="E35" s="10" t="s">
        <v>1732</v>
      </c>
      <c r="F35" s="10">
        <f ca="1">COUNTIFS(EXPEDIENTES!J:J,$E35,EXPEDIENTES!O:O,"NO")</f>
        <v>0</v>
      </c>
    </row>
    <row r="36" spans="2:6" ht="20.100000000000001" customHeight="1" x14ac:dyDescent="0.2">
      <c r="B36" s="10" t="s">
        <v>1221</v>
      </c>
      <c r="C36" s="10">
        <f ca="1">COUNTIFS(EXPEDIENTES!J:J,$B36,EXPEDIENTES!O:O,"NO")</f>
        <v>0</v>
      </c>
      <c r="E36" s="343" t="s">
        <v>2951</v>
      </c>
      <c r="F36" s="10">
        <f ca="1">COUNTIFS(EXPEDIENTES!J:J,$E36,EXPEDIENTES!O:O,"NO")</f>
        <v>0</v>
      </c>
    </row>
    <row r="37" spans="2:6" ht="20.100000000000001" customHeight="1" x14ac:dyDescent="0.2">
      <c r="B37" s="195" t="s">
        <v>963</v>
      </c>
      <c r="C37" s="59">
        <f ca="1">SUM(C30:C36)</f>
        <v>1</v>
      </c>
      <c r="E37" s="344" t="s">
        <v>2954</v>
      </c>
      <c r="F37" s="10">
        <f ca="1">COUNTIFS(EXPEDIENTES!J:J,$E37,EXPEDIENTES!O:O,"NO")</f>
        <v>0</v>
      </c>
    </row>
    <row r="38" spans="2:6" s="339" customFormat="1" ht="20.100000000000001" customHeight="1" x14ac:dyDescent="0.2">
      <c r="E38" s="195" t="s">
        <v>370</v>
      </c>
      <c r="F38" s="59">
        <f ca="1">SUM(F30:F37)</f>
        <v>0</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5" t="str">
        <f ca="1">"AUDIENCIAS RESUELTAS AL DIA: " &amp; TEXT(TODAY(),"DD/MM/YYYY")</f>
        <v>AUDIENCIAS RESUELTAS AL DIA: 27/11/YYYY</v>
      </c>
      <c r="C53" s="415"/>
      <c r="D53" s="415"/>
      <c r="E53" s="415"/>
      <c r="F53" s="415"/>
      <c r="G53" s="415"/>
      <c r="H53" s="415"/>
      <c r="I53" s="415"/>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128</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144</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137</v>
      </c>
      <c r="E59" s="10" t="s">
        <v>1224</v>
      </c>
      <c r="F59" s="10">
        <f ca="1">COUNTIFS(EXPEDIENTES!J:J,$E59,EXPEDIENTES!O:O,"SI")</f>
        <v>19</v>
      </c>
    </row>
    <row r="60" spans="2:9" ht="24.95" customHeight="1" x14ac:dyDescent="0.2">
      <c r="B60" s="10" t="s">
        <v>78</v>
      </c>
      <c r="C60" s="10">
        <f ca="1">COUNTIFS(EXPEDIENTES!J:J,$B60,EXPEDIENTES!O:O,"SI")</f>
        <v>133</v>
      </c>
      <c r="E60" s="10" t="s">
        <v>1625</v>
      </c>
      <c r="F60" s="10">
        <f ca="1">COUNTIFS(EXPEDIENTES!J:J,$E60,EXPEDIENTES!O:O,"SI")</f>
        <v>19</v>
      </c>
    </row>
    <row r="61" spans="2:9" ht="24.95" customHeight="1" x14ac:dyDescent="0.2">
      <c r="B61" s="10" t="s">
        <v>1220</v>
      </c>
      <c r="C61" s="10">
        <f ca="1">COUNTIFS(EXPEDIENTES!J:J,$B61,EXPEDIENTES!O:O,"SI")</f>
        <v>54</v>
      </c>
      <c r="E61" s="10" t="s">
        <v>1492</v>
      </c>
      <c r="F61" s="10">
        <f ca="1">COUNTIFS(EXPEDIENTES!J:J,$E61,EXPEDIENTES!O:O,"SI")</f>
        <v>11</v>
      </c>
    </row>
    <row r="62" spans="2:9" ht="24.95" customHeight="1" x14ac:dyDescent="0.2">
      <c r="B62" s="10" t="s">
        <v>1225</v>
      </c>
      <c r="C62" s="10">
        <f ca="1">COUNTIFS(EXPEDIENTES!J:J,$B62,EXPEDIENTES!O:O,"SI")</f>
        <v>27</v>
      </c>
      <c r="E62" s="10" t="s">
        <v>1732</v>
      </c>
      <c r="F62" s="10">
        <f ca="1">COUNTIFS(EXPEDIENTES!J:J,$E62,EXPEDIENTES!O:O,"SI")</f>
        <v>23</v>
      </c>
      <c r="G62" s="112"/>
      <c r="H62" s="112"/>
    </row>
    <row r="63" spans="2:9" ht="24.95" customHeight="1" x14ac:dyDescent="0.2">
      <c r="B63" s="10" t="s">
        <v>1221</v>
      </c>
      <c r="C63" s="10">
        <f ca="1">COUNTIFS(EXPEDIENTES!J:J,$B63,EXPEDIENTES!O:O,"SI")</f>
        <v>73</v>
      </c>
      <c r="E63" s="343" t="s">
        <v>2951</v>
      </c>
      <c r="F63" s="10">
        <f ca="1">COUNTIFS(EXPEDIENTES!J:J,$E63,EXPEDIENTES!O:O,"SI")</f>
        <v>21</v>
      </c>
      <c r="G63" s="112"/>
      <c r="H63" s="112"/>
    </row>
    <row r="64" spans="2:9" ht="24.95" customHeight="1" x14ac:dyDescent="0.2">
      <c r="B64" s="195" t="s">
        <v>2033</v>
      </c>
      <c r="C64" s="28">
        <f ca="1">SUM(C57:C63)</f>
        <v>696</v>
      </c>
      <c r="E64" s="344" t="s">
        <v>2954</v>
      </c>
      <c r="F64" s="10">
        <f ca="1">COUNTIFS(EXPEDIENTES!J:J,$E64,EXPEDIENTES!O:O,"SI")</f>
        <v>15</v>
      </c>
      <c r="G64" s="112"/>
      <c r="H64" s="112"/>
    </row>
    <row r="65" spans="2:6" ht="24.95" customHeight="1" x14ac:dyDescent="0.2">
      <c r="E65" s="195" t="s">
        <v>370</v>
      </c>
      <c r="F65" s="59">
        <f ca="1">SUM(F57:F64)</f>
        <v>164</v>
      </c>
    </row>
    <row r="66" spans="2:6" ht="24.95" customHeight="1" x14ac:dyDescent="0.2"/>
    <row r="67" spans="2:6" ht="24.95" customHeight="1" x14ac:dyDescent="0.2"/>
    <row r="68" spans="2:6" ht="24.95" customHeight="1" x14ac:dyDescent="0.2">
      <c r="B68" s="418" t="s">
        <v>457</v>
      </c>
      <c r="C68" s="418"/>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23"/>
      <c r="B1" s="423"/>
      <c r="C1" s="423"/>
      <c r="D1" s="423"/>
      <c r="E1" s="423"/>
      <c r="F1" s="423"/>
      <c r="G1" s="423"/>
      <c r="H1" s="423"/>
      <c r="I1" s="423"/>
      <c r="J1" s="423"/>
      <c r="K1" s="188"/>
      <c r="AQ1" s="423" t="s">
        <v>1998</v>
      </c>
      <c r="AR1" s="423"/>
      <c r="AS1" s="423"/>
      <c r="AT1" s="423"/>
      <c r="AU1" s="423"/>
      <c r="AV1" s="423"/>
      <c r="AW1" s="423"/>
      <c r="AX1" s="423"/>
      <c r="AY1" s="423"/>
      <c r="AZ1" s="423"/>
      <c r="BA1" s="423"/>
    </row>
    <row r="2" spans="1:53" ht="12.75" customHeight="1" x14ac:dyDescent="0.2"/>
    <row r="3" spans="1:53" ht="30.75" customHeight="1" x14ac:dyDescent="0.2">
      <c r="M3" s="188" t="s">
        <v>1321</v>
      </c>
      <c r="N3" s="188" t="s">
        <v>1322</v>
      </c>
      <c r="AK3" s="188" t="s">
        <v>382</v>
      </c>
      <c r="AL3" s="188" t="s">
        <v>31</v>
      </c>
      <c r="AQ3" s="424" t="s">
        <v>1994</v>
      </c>
      <c r="AR3" s="424"/>
      <c r="AS3" s="424"/>
      <c r="AT3" s="424"/>
      <c r="AU3" s="424"/>
      <c r="AV3" s="424"/>
      <c r="AW3" s="424"/>
      <c r="AX3" s="424"/>
      <c r="AY3" s="424"/>
      <c r="AZ3" s="424"/>
      <c r="BA3" s="424"/>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27/11/YYYY</v>
      </c>
    </row>
    <row r="21" spans="13:54" ht="28.35" customHeight="1" x14ac:dyDescent="0.2"/>
    <row r="22" spans="13:54" ht="28.35" customHeight="1" x14ac:dyDescent="0.25">
      <c r="AQ22" s="422" t="s">
        <v>1998</v>
      </c>
      <c r="AR22" s="422"/>
      <c r="AS22" s="422"/>
      <c r="AT22" s="422"/>
      <c r="AU22" s="422"/>
      <c r="AV22" s="422"/>
      <c r="AW22" s="422"/>
      <c r="AX22" s="422"/>
      <c r="AY22" s="422"/>
      <c r="AZ22" s="422"/>
      <c r="BA22" s="228"/>
      <c r="BB22" s="228"/>
    </row>
    <row r="24" spans="13:54" ht="26.25" x14ac:dyDescent="0.2">
      <c r="AQ24" s="421" t="s">
        <v>2442</v>
      </c>
      <c r="AR24" s="421"/>
      <c r="AS24" s="421"/>
      <c r="AT24" s="421"/>
      <c r="AU24" s="421"/>
      <c r="AV24" s="421"/>
      <c r="AW24" s="421"/>
      <c r="AX24" s="421"/>
      <c r="AY24" s="421"/>
      <c r="AZ24" s="421"/>
      <c r="BA24" s="229"/>
      <c r="BB24" s="229"/>
    </row>
    <row r="25" spans="13:54" ht="26.25" x14ac:dyDescent="0.2">
      <c r="AQ25" s="421" t="s">
        <v>2933</v>
      </c>
      <c r="AR25" s="421"/>
      <c r="AS25" s="421"/>
      <c r="AT25" s="421"/>
      <c r="AU25" s="421"/>
      <c r="AV25" s="421"/>
      <c r="AW25" s="421"/>
      <c r="AX25" s="421"/>
      <c r="AY25" s="421"/>
      <c r="AZ25" s="421"/>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9" t="s">
        <v>2932</v>
      </c>
      <c r="AR34" s="419"/>
    </row>
    <row r="35" spans="1:52" ht="30" customHeight="1" x14ac:dyDescent="0.2">
      <c r="M35" s="285" t="e">
        <f>SUM(M29:M34)</f>
        <v>#VALUE!</v>
      </c>
      <c r="N35" s="284" t="e">
        <f>SUM(N29:N34)</f>
        <v>#VALUE!</v>
      </c>
      <c r="O35" s="283" t="s">
        <v>370</v>
      </c>
      <c r="AK35" s="285" t="e">
        <f>SUM(AK29:AK34)</f>
        <v>#VALUE!</v>
      </c>
      <c r="AL35" s="284" t="e">
        <f>SUM(AL29:AL34)</f>
        <v>#VALUE!</v>
      </c>
      <c r="AM35" s="283" t="s">
        <v>370</v>
      </c>
      <c r="AQ35" s="419"/>
      <c r="AR35" s="419"/>
    </row>
    <row r="36" spans="1:52" ht="30" customHeight="1" x14ac:dyDescent="0.2">
      <c r="AQ36" s="420">
        <f ca="1">(AQ32*100)/[2]EXPEDIENTES!C1</f>
        <v>59.157212317666129</v>
      </c>
      <c r="AR36" s="420"/>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27/11/YYYY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2" t="s">
        <v>1998</v>
      </c>
      <c r="AR42" s="422"/>
      <c r="AS42" s="422"/>
      <c r="AT42" s="422"/>
      <c r="AU42" s="422"/>
      <c r="AV42" s="422"/>
      <c r="AW42" s="422"/>
      <c r="AX42" s="422"/>
      <c r="AY42" s="422"/>
      <c r="AZ42" s="422"/>
    </row>
    <row r="43" spans="1:52" ht="30" customHeight="1" x14ac:dyDescent="0.25">
      <c r="A43" s="296"/>
      <c r="B43" s="296"/>
      <c r="C43" s="296"/>
      <c r="AK43" s="288" t="e">
        <f>COUNTIFS([2]EXPEDIENTES!Q:Q,"Libertad",[2]EXPEDIENTES!J:J,"=Dr. Rodriguez Pipino")</f>
        <v>#VALUE!</v>
      </c>
      <c r="AL43" s="287" t="e">
        <f>AK43/AK51</f>
        <v>#VALUE!</v>
      </c>
      <c r="AM43" s="289" t="s">
        <v>902</v>
      </c>
      <c r="AQ43" s="421" t="s">
        <v>2442</v>
      </c>
      <c r="AR43" s="421"/>
      <c r="AS43" s="421"/>
      <c r="AT43" s="421"/>
      <c r="AU43" s="421"/>
      <c r="AV43" s="421"/>
      <c r="AW43" s="421"/>
      <c r="AX43" s="421"/>
      <c r="AY43" s="421"/>
      <c r="AZ43" s="421"/>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27/11/YYYY</v>
      </c>
    </row>
    <row r="62" spans="1:52" ht="24.95" customHeight="1" x14ac:dyDescent="0.2"/>
    <row r="63" spans="1:52" ht="24.95" customHeight="1" x14ac:dyDescent="0.25">
      <c r="AQ63" s="422" t="s">
        <v>1998</v>
      </c>
      <c r="AR63" s="422"/>
      <c r="AS63" s="422"/>
      <c r="AT63" s="422"/>
      <c r="AU63" s="422"/>
      <c r="AV63" s="422"/>
      <c r="AW63" s="422"/>
      <c r="AX63" s="422"/>
      <c r="AY63" s="422"/>
      <c r="AZ63" s="422"/>
    </row>
    <row r="64" spans="1:52" ht="24.95" customHeight="1" x14ac:dyDescent="0.2">
      <c r="AQ64" s="421" t="s">
        <v>2931</v>
      </c>
      <c r="AR64" s="421"/>
      <c r="AS64" s="421"/>
      <c r="AT64" s="421"/>
      <c r="AU64" s="421"/>
      <c r="AV64" s="421"/>
      <c r="AW64" s="421"/>
      <c r="AX64" s="421"/>
      <c r="AY64" s="421"/>
      <c r="AZ64" s="421"/>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45257</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0</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0</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0</v>
      </c>
    </row>
    <row r="9" spans="1:16384" ht="21.95" customHeight="1" x14ac:dyDescent="0.2">
      <c r="B9" s="10" t="s">
        <v>568</v>
      </c>
      <c r="C9" s="10">
        <f ca="1">COUNTIFS(EXPEDIENTES!G:G,B9,EXPEDIENTES!O:O,"NO")</f>
        <v>0</v>
      </c>
    </row>
    <row r="10" spans="1:16384" ht="21.95" customHeight="1" x14ac:dyDescent="0.2">
      <c r="B10" s="10" t="s">
        <v>1442</v>
      </c>
      <c r="C10" s="10">
        <f ca="1">COUNTIFS(EXPEDIENTES!G:G,B10,EXPEDIENTES!O:O,"NO")</f>
        <v>1</v>
      </c>
    </row>
    <row r="11" spans="1:16384" s="112" customFormat="1" ht="21.95" customHeight="1" x14ac:dyDescent="0.2">
      <c r="A11" s="113"/>
      <c r="B11" s="10" t="s">
        <v>1443</v>
      </c>
      <c r="C11" s="10">
        <f ca="1">COUNTIFS(EXPEDIENTES!G:G,B11,EXPEDIENTES!O:O,"NO")</f>
        <v>0</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0</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0</v>
      </c>
    </row>
    <row r="16" spans="1:16384" ht="21.95" customHeight="1" x14ac:dyDescent="0.2">
      <c r="B16" s="10" t="s">
        <v>2289</v>
      </c>
      <c r="C16" s="10">
        <f ca="1">H36+'Exp por Encargado - Alvaro'!C5</f>
        <v>0</v>
      </c>
    </row>
    <row r="17" spans="2:12" ht="21.95" customHeight="1" x14ac:dyDescent="0.2">
      <c r="B17" s="24" t="s">
        <v>372</v>
      </c>
      <c r="C17" s="221">
        <f ca="1">SUM(C4:C16)</f>
        <v>1</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104</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109</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121</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72</v>
      </c>
      <c r="F43" s="223"/>
      <c r="G43" s="223"/>
      <c r="H43" s="220">
        <f ca="1">SUM(H39:H42)</f>
        <v>14</v>
      </c>
      <c r="I43" s="223"/>
      <c r="J43" s="223"/>
      <c r="K43" s="223"/>
      <c r="L43" s="223"/>
    </row>
    <row r="44" spans="2:12" ht="18.75" customHeight="1" x14ac:dyDescent="0.2">
      <c r="B44" s="10" t="s">
        <v>1442</v>
      </c>
      <c r="C44" s="10">
        <f ca="1">COUNTIFS(EXPEDIENTES!G:G,B44,EXPEDIENTES!O:O,"SI")</f>
        <v>66</v>
      </c>
      <c r="F44" s="223"/>
      <c r="G44" s="223"/>
      <c r="H44" s="223"/>
      <c r="I44" s="223"/>
      <c r="J44" s="223"/>
      <c r="K44" s="223"/>
      <c r="L44" s="223"/>
    </row>
    <row r="45" spans="2:12" ht="28.5" customHeight="1" x14ac:dyDescent="0.2">
      <c r="B45" s="10" t="s">
        <v>1443</v>
      </c>
      <c r="C45" s="10">
        <f ca="1">COUNTIFS(EXPEDIENTES!G:G,B45,EXPEDIENTES!O:O,"SI")</f>
        <v>70</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757</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45257</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0</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0</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0</v>
      </c>
    </row>
    <row r="11" spans="2:3" ht="24.95" customHeight="1" x14ac:dyDescent="0.2">
      <c r="B11" s="10" t="s">
        <v>628</v>
      </c>
      <c r="C11" s="10"/>
    </row>
    <row r="12" spans="2:3" ht="24.95" customHeight="1" x14ac:dyDescent="0.2">
      <c r="B12" s="24" t="s">
        <v>372</v>
      </c>
      <c r="C12" s="27">
        <f ca="1">SUM(C4:C11)</f>
        <v>0</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104</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109</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72</v>
      </c>
    </row>
    <row r="35" spans="2:3" ht="24.95" customHeight="1" x14ac:dyDescent="0.2">
      <c r="B35" s="24" t="s">
        <v>371</v>
      </c>
      <c r="C35" s="27">
        <f ca="1">SUM(C28:C34)</f>
        <v>486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2023-11-27T22:53:28Z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