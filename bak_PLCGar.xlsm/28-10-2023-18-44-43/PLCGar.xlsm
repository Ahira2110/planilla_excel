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Disponibilidad" sheetId="4"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B16" i="24"/>
  <c r="R766" i="1"/>
  <c r="T766" i="1"/>
  <c r="P766" i="1"/>
  <c r="O766" i="1"/>
  <c r="K766" i="1"/>
  <c r="R756" i="1"/>
  <c r="T756" i="1"/>
  <c r="P756" i="1"/>
  <c r="O756" i="1"/>
  <c r="B15" i="24"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B14" i="24" l="1"/>
  <c r="B13" i="24"/>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B12" i="24" l="1"/>
  <c r="AQ59" i="24"/>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B11" i="24"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B10" i="24" l="1"/>
  <c r="B9" i="24"/>
  <c r="B8" i="24"/>
  <c r="B7" i="24"/>
  <c r="B6" i="24"/>
  <c r="AQ13" i="24"/>
  <c r="AQ55" i="24"/>
  <c r="AQ52" i="24"/>
  <c r="AQ10" i="24"/>
  <c r="B1" i="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B17" i="24" l="1"/>
  <c r="C64" i="6"/>
  <c r="C37" i="6"/>
  <c r="AQ32" i="24"/>
  <c r="AQ36" i="24" s="1"/>
  <c r="AQ15" i="24"/>
  <c r="AQ76" i="24"/>
  <c r="AQ60" i="24"/>
  <c r="C47" i="9"/>
  <c r="C17" i="9"/>
  <c r="B21" i="23"/>
  <c r="A20" i="23"/>
  <c r="C35" i="20"/>
  <c r="C12" i="20"/>
  <c r="P156" i="1"/>
  <c r="B22" i="23" l="1"/>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<sst xmlns="http://schemas.openxmlformats.org/spreadsheetml/2006/main" count="17672" uniqueCount="3727">
  <si>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</si>
  <si>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</si>
  <si>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</si>
  <si>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</si>
  <si>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</si>
  <si>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</si>
  <si>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</si>
  <si>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</si>
  <si>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</si>
  <si>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</si>
  <si>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</si>
  <si>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</si>
  <si>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</si>
  <si>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</si>
  <si>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</si>
  <si>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</si>
  <si>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</si>
  <si>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</si>
  <si>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</si>
  <si>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</si>
  <si>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</si>
  <si>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</si>
  <si>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</si>
  <si>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</si>
  <si>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</si>
  <si>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</si>
  <si>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</si>
  <si>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</si>
  <si>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</si>
  <si>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</si>
  <si>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</si>
  <si>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</si>
  <si>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</si>
  <si>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</si>
  <si>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</si>
  <si>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</si>
  <si>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</si>
  <si>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</si>
  <si>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</si>
  <si>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</si>
  <si>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</si>
  <si>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</si>
  <si>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</si>
  <si>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</si>
  <si>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</si>
  <si>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</si>
  <si>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</si>
  <si>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</si>
  <si>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</si>
  <si>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</si>
  <si>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</si>
  <si>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</si>
  <si>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</si>
  <si>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</si>
  <si>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</si>
  <si>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</si>
  <si>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</si>
  <si>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</si>
  <si>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</si>
  <si>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</si>
  <si>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</si>
  <si>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</si>
  <si>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</si>
  <si>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</si>
  <si>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</si>
  <si>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</si>
  <si>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</si>
  <si>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</si>
  <si>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</si>
  <si>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</si>
  <si>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</si>
  <si>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</si>
  <si>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</si>
  <si>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</si>
  <si>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</si>
  <si>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</si>
  <si>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</si>
  <si>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</si>
  <si>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</si>
  <si>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</si>
  <si>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</si>
  <si>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</si>
  <si>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</si>
  <si>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</si>
  <si>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</si>
  <si>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</si>
  <si>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</si>
  <si>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</si>
  <si>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</si>
  <si>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</si>
  <si>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</si>
  <si>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</si>
  <si>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</si>
  <si>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</si>
  <si>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</si>
  <si>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</si>
  <si>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</si>
  <si>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</si>
  <si>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</si>
  <si>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</si>
  <si>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</si>
  <si>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</si>
  <si>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</si>
  <si>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</si>
  <si>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</si>
  <si>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</si>
  <si>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</si>
  <si>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</si>
  <si>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</si>
  <si>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</si>
  <si>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</si>
  <si>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</si>
  <si>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</si>
  <si>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</si>
  <si>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</si>
  <si>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</si>
  <si>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</si>
  <si>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</si>
  <si>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</si>
  <si>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</si>
  <si>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</si>
  <si>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</si>
  <si>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</si>
  <si>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</si>
  <si>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</si>
  <si>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</si>
  <si>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</si>
  <si>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</si>
  <si>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</si>
  <si>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</si>
  <si>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</si>
  <si>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</si>
  <si>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</si>
  <si>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</si>
  <si>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</si>
  <si>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</si>
  <si>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</si>
  <si>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</si>
  <si>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</si>
  <si>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</si>
  <si>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</si>
  <si>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</si>
  <si>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</si>
  <si>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</si>
  <si>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</si>
  <si>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</si>
  <si>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</si>
  <si>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</si>
  <si>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</si>
  <si>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</si>
  <si>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</si>
  <si>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</si>
  <si>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</si>
  <si>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</si>
  <si>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</si>
  <si>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</si>
  <si>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</si>
  <si>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</si>
  <si>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</si>
  <si>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</si>
  <si>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</si>
  <si>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</si>
  <si>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</si>
  <si>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</si>
  <si>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</si>
  <si>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</si>
  <si>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</si>
  <si>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</si>
  <si>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</si>
  <si>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</si>
  <si>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</si>
  <si>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</si>
  <si>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</si>
  <si>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</si>
  <si>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</si>
  <si>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</si>
  <si>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</si>
  <si>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</si>
  <si>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</si>
  <si>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</si>
  <si>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</si>
  <si>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</si>
  <si>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</si>
  <si>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</si>
  <si>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</si>
  <si>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</si>
  <si>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</si>
  <si>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</si>
  <si>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</si>
  <si>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</si>
  <si>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</si>
  <si>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</si>
  <si>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</si>
  <si>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</si>
  <si>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</si>
  <si>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</si>
  <si>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</si>
  <si>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</si>
  <si>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</si>
  <si>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</si>
  <si>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</si>
  <si>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</si>
  <si>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</si>
  <si>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</si>
  <si>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</si>
  <si>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</si>
  <si>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</si>
  <si>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</si>
  <si>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</si>
  <si>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</si>
  <si>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</si>
  <si>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</si>
  <si>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</si>
  <si>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</si>
  <si>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</si>
  <si>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</si>
  <si>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</si>
  <si>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</si>
  <si>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</si>
  <si>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</si>
  <si>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</si>
  <si>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</si>
  <si>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</si>
  <si>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</si>
  <si>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</si>
  <si>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</si>
  <si>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</si>
  <si>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</si>
  <si>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</si>
  <si>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</si>
  <si>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</si>
  <si>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</si>
  <si>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</si>
  <si>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</si>
  <si>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</si>
  <si>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</si>
  <si>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</si>
  <si>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</si>
  <si>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</si>
  <si>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</si>
  <si>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</si>
  <si>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</si>
  <si>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</si>
  <si>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</si>
  <si>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</si>
  <si>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</si>
  <si>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</si>
  <si>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</si>
  <si>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</si>
  <si>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</si>
  <si>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</si>
  <si>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</si>
  <si>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</si>
  <si>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</si>
  <si>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</si>
  <si>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</si>
  <si>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</si>
  <si>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</si>
  <si>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</si>
  <si>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</si>
  <si>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</si>
  <si>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</si>
  <si>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</si>
  <si>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</si>
  <si>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</si>
  <si>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</si>
  <si>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</si>
  <si>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</si>
  <si>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</si>
  <si>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</si>
  <si>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</si>
  <si>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</si>
  <si>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</si>
  <si>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</si>
  <si>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</si>
  <si>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</si>
  <si>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</si>
  <si>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</si>
  <si>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</si>
  <si>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</si>
  <si>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</si>
  <si>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</si>
  <si>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</si>
  <si>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</si>
  <si>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</si>
  <si>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</si>
  <si>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</si>
  <si>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</si>
  <si>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</si>
  <si>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</si>
  <si>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</si>
  <si>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</si>
  <si>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</si>
  <si>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</si>
  <si>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</si>
  <si>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</si>
  <si>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</si>
  <si>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</si>
  <si>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</si>
  <si>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</si>
  <si>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</si>
  <si>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</si>
  <si>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</si>
  <si>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</si>
  <si>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</si>
  <si>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</si>
  <si>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</si>
  <si>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</si>
  <si>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</si>
  <si>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</si>
  <si>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</si>
  <si>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</si>
  <si>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</si>
  <si>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</si>
  <si>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</si>
  <si>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</si>
  <si>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</si>
  <si>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</si>
  <si>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</si>
  <si>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</si>
  <si>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</si>
  <si>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</si>
  <si>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</si>
  <si>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</si>
  <si>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</si>
  <si>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</si>
  <si>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</si>
  <si>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</si>
  <si>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</si>
  <si>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</si>
  <si>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</si>
  <si>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</si>
  <si>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</si>
  <si>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</si>
  <si>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</si>
  <si>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</si>
  <si>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</si>
  <si>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</si>
  <si>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</si>
  <si>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</si>
  <si>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</si>
  <si>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</si>
  <si>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</si>
  <si>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</si>
  <si>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</si>
  <si>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</si>
  <si>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</si>
  <si>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</si>
  <si>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</si>
  <si>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</si>
  <si>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</si>
  <si>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</si>
  <si>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</si>
  <si>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</si>
  <si>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</si>
  <si>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</si>
  <si>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</si>
  <si>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</si>
  <si>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</si>
  <si>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</si>
  <si>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</si>
  <si>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</si>
  <si>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</si>
  <si>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</si>
  <si>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</si>
  <si>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</si>
  <si>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</si>
  <si>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</si>
  <si>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</si>
  <si>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</si>
  <si>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</si>
  <si>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</si>
  <si>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</si>
  <si>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</si>
  <si>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</si>
  <si>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</si>
  <si>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</si>
  <si>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</si>
  <si>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</si>
  <si>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</si>
  <si>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</si>
  <si>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</si>
  <si>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</si>
  <si>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</si>
  <si>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</si>
  <si>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</si>
  <si>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</si>
  <si>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</si>
  <si>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</si>
  <si>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</si>
  <si>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</si>
  <si>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</si>
  <si>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</si>
  <si>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</si>
  <si>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</si>
  <si>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</si>
  <si>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</si>
  <si>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</si>
  <si>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</si>
  <si>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</si>
  <si>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</si>
  <si>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</si>
  <si>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</si>
  <si>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</si>
  <si>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</si>
  <si>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</si>
  <si>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</si>
  <si>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</si>
  <si>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</si>
  <si>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</si>
  <si>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</si>
  <si>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</si>
  <si>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</si>
  <si>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</si>
  <si>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</si>
  <si>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</si>
  <si>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</si>
  <si>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</si>
  <si>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</si>
  <si>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</si>
  <si>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</si>
  <si>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</si>
  <si>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</si>
  <si>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</si>
  <si>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</si>
  <si>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</si>
  <si>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</si>
  <si>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</si>
  <si>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</si>
  <si>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</si>
  <si>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</si>
  <si>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</si>
  <si>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</si>
  <si>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</si>
  <si>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</si>
  <si>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</si>
  <si>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</si>
  <si>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</si>
  <si>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</si>
  <si>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</si>
  <si>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</si>
  <si>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</si>
  <si>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</si>
  <si>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</si>
  <si>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</si>
  <si>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</si>
  <si>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</si>
  <si>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</si>
  <si>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</si>
  <si>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</si>
  <si>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</si>
  <si>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</si>
  <si>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</si>
  <si>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</si>
  <si>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</si>
  <si>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</si>
  <si>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</si>
  <si>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</si>
  <si>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</si>
  <si>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</si>
  <si>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</si>
  <si>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</si>
  <si>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</si>
  <si>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</si>
  <si>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</si>
  <si>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</si>
  <si>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</si>
  <si>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</si>
  <si>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</si>
  <si>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</si>
  <si>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</si>
  <si>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</si>
  <si>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</si>
  <si>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</si>
  <si>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</si>
  <si>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</si>
  <si>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</si>
  <si>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</si>
  <si>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</si>
  <si>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</si>
  <si>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</si>
  <si>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</si>
  <si>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</si>
  <si>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</si>
  <si>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</si>
  <si>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</si>
  <si>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</si>
  <si>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</si>
  <si>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</si>
  <si>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</si>
  <si>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</si>
  <si>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</si>
  <si>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</si>
  <si>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</si>
  <si>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</si>
  <si>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</si>
  <si>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</si>
  <si>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</si>
  <si>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</si>
  <si>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</si>
  <si>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</si>
  <si>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</si>
  <si>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</si>
  <si>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</si>
  <si>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</si>
  <si>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</si>
  <si>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</si>
  <si>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</si>
  <si>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</si>
  <si>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</si>
  <si>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</si>
  <si>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</si>
  <si>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</si>
  <si>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</si>
  <si>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</si>
  <si>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</si>
  <si>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</si>
  <si>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</si>
  <si>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</si>
  <si>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</si>
  <si>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</si>
  <si>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</si>
  <si>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</si>
  <si>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</si>
  <si>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</si>
  <si>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</si>
  <si>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</si>
  <si>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</si>
  <si>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</si>
  <si>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</si>
  <si>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</si>
  <si>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</si>
  <si>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</si>
  <si>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</si>
  <si>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</si>
  <si>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</si>
  <si>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</si>
  <si>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</si>
  <si>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</si>
  <si>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</si>
  <si>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</si>
  <si>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</si>
  <si>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</si>
  <si>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</si>
  <si>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</si>
  <si>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</si>
  <si>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</si>
  <si>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</si>
  <si>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</si>
  <si>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</si>
  <si>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</si>
  <si>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</si>
  <si>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</si>
  <si>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</si>
  <si>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</si>
  <si>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</si>
  <si>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</si>
  <si>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</si>
  <si>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</si>
  <si>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</si>
  <si>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</si>
  <si>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</si>
  <si>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</si>
  <si>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</si>
  <si>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</si>
  <si>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</si>
  <si>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</si>
  <si>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</si>
  <si>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</si>
  <si>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</si>
  <si>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</si>
  <si>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</si>
  <si>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</si>
  <si>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</si>
  <si>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</si>
  <si>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</si>
  <si>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</si>
  <si>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</si>
  <si>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</si>
  <si>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</si>
  <si>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</si>
  <si>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</si>
  <si>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</si>
  <si>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</si>
  <si>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</si>
  <si>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</si>
  <si>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</si>
  <si>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</si>
  <si>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</si>
  <si>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</si>
  <si>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</si>
  <si>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</si>
  <si>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</si>
  <si>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</si>
  <si>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</si>
  <si>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</si>
  <si>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</si>
  <si>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</si>
  <si>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</si>
  <si>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</si>
  <si>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</si>
  <si>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</si>
  <si>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</si>
  <si>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</si>
  <si>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</si>
  <si>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</si>
  <si>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</si>
  <si>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</si>
  <si>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</si>
  <si>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</si>
  <si>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</si>
  <si>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</si>
  <si>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</si>
  <si>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</si>
  <si>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</si>
  <si>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</si>
  <si>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</si>
  <si>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</si>
  <si>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</si>
  <si>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</si>
  <si>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</si>
  <si>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</si>
  <si>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</si>
  <si>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</si>
  <si>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</si>
  <si>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</si>
  <si>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</si>
  <si>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</si>
  <si>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</si>
  <si>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</si>
  <si>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</si>
  <si>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</si>
  <si>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</si>
  <si>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</si>
  <si>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</si>
  <si>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</si>
  <si>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</si>
  <si>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</si>
  <si>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</si>
  <si>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</si>
  <si>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</si>
  <si>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</si>
  <si>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</si>
  <si>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</si>
  <si>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</si>
  <si>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</si>
  <si>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</si>
  <si>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</si>
  <si>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</si>
  <si>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</si>
  <si>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</si>
  <si>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</si>
  <si>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</si>
  <si>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</si>
  <si>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</si>
  <si>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</si>
  <si>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</si>
  <si>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</si>
  <si>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</si>
  <si>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</si>
  <si>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</si>
  <si>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</si>
  <si>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</si>
  <si>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</si>
  <si>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</si>
  <si>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</si>
  <si>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</si>
  <si>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</si>
  <si>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</si>
  <si>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</si>
  <si>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</si>
  <si>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</si>
  <si>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</si>
  <si>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</si>
  <si>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</si>
  <si>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</si>
  <si>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</si>
  <si>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</si>
  <si>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</si>
  <si>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</si>
  <si>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</si>
  <si>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</si>
  <si>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</si>
  <si>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</si>
  <si>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</si>
  <si>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</si>
  <si>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</si>
  <si>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</si>
  <si>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</si>
  <si>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</si>
  <si>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</si>
  <si>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</si>
  <si>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</si>
  <si>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</si>
  <si>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</si>
  <si>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</si>
  <si>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</si>
  <si>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</si>
  <si>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</si>
  <si>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</si>
  <si>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</si>
  <si>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</si>
  <si>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</si>
  <si>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</si>
  <si>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</si>
  <si>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</si>
  <si>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</si>
  <si>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</si>
  <si>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</si>
  <si>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</si>
  <si>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</si>
  <si>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</si>
  <si>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</si>
  <si>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</si>
  <si>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</si>
  <si>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</si>
  <si>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</si>
  <si>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</si>
  <si>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</si>
  <si>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</si>
  <si>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</si>
  <si>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</si>
  <si>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</si>
  <si>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</si>
  <si>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</si>
  <si>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</si>
  <si>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</si>
  <si>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</si>
  <si>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</si>
  <si>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</si>
  <si>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</si>
  <si>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</si>
  <si>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</si>
  <si>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</si>
  <si>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</si>
  <si>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</si>
  <si>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</si>
  <si>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</si>
  <si>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</si>
  <si>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</si>
  <si>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</si>
  <si>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</si>
  <si>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</si>
  <si>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</si>
  <si>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</si>
  <si>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</si>
  <si>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</si>
  <si>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</si>
  <si>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</si>
  <si>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</si>
  <si>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</si>
  <si>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</si>
  <si>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</si>
  <si>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</si>
  <si>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</si>
  <si>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</si>
  <si>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</si>
  <si>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</si>
  <si>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</si>
  <si>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</si>
  <si>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</si>
  <si>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</si>
  <si>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</si>
  <si>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</si>
  <si>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</si>
  <si>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</si>
  <si>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</si>
  <si>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</si>
  <si>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</si>
  <si>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</si>
  <si>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</si>
  <si>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</si>
  <si>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</si>
  <si>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</si>
  <si>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</si>
  <si>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</si>
  <si>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</si>
  <si>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</si>
  <si>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</si>
  <si>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</si>
  <si>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</si>
  <si>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</si>
  <si>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</si>
  <si>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</si>
  <si>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</si>
  <si>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</si>
  <si>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</si>
  <si>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</si>
  <si>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</si>
  <si>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</si>
  <si>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</si>
  <si>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</si>
  <si>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</si>
  <si>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</si>
  <si>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</si>
  <si>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</si>
  <si>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</si>
  <si>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</si>
  <si>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</si>
  <si>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</si>
  <si>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</si>
  <si>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</si>
  <si>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</si>
  <si>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</si>
  <si>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</si>
  <si>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</si>
  <si>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</si>
  <si>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</si>
  <si>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</si>
  <si>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</si>
  <si>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</si>
  <si>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</si>
  <si>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</si>
  <si>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</si>
  <si>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</si>
  <si>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</si>
  <si>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</si>
  <si>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</si>
  <si>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</si>
  <si>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</si>
  <si>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</si>
  <si>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</si>
  <si>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</si>
  <si>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</si>
  <si>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</si>
  <si>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</si>
  <si>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</si>
  <si>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</si>
  <si>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</si>
  <si>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</si>
  <si>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</si>
  <si>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</si>
  <si>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</si>
  <si>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</si>
  <si>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</si>
  <si>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</si>
  <si>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</si>
  <si>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</si>
  <si>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</si>
  <si>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</si>
  <si>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</si>
  <si>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</si>
  <si>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</si>
  <si>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</si>
  <si>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</si>
  <si>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</si>
  <si>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</si>
  <si>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</si>
  <si>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</si>
  <si>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</si>
  <si>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</si>
  <si>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</si>
  <si>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</si>
  <si>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</si>
  <si>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</si>
  <si>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</si>
  <si>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</si>
  <si>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</si>
  <si>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</si>
  <si>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</si>
  <si>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</si>
  <si>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</si>
  <si>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</si>
  <si>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</si>
  <si>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</si>
  <si>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</si>
  <si>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</si>
  <si>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</si>
  <si>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</si>
  <si>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</si>
  <si>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</si>
  <si>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</si>
  <si>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</si>
  <si>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</si>
  <si>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</si>
  <si>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</si>
  <si>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</si>
  <si>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</si>
  <si>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</si>
  <si>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</si>
  <si>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</si>
  <si>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</si>
  <si>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</si>
  <si>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</si>
  <si>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</si>
  <si>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</si>
  <si>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</si>
  <si>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</si>
  <si>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</si>
  <si>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</si>
  <si>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</si>
  <si>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</si>
  <si>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</si>
  <si>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</si>
  <si>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</si>
  <si>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</si>
  <si>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</si>
  <si>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</si>
  <si>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</si>
  <si>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</si>
  <si>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</si>
  <si>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</si>
  <si>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</si>
  <si>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</si>
  <si>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</si>
  <si>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</si>
  <si>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</si>
  <si>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</si>
  <si>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</si>
  <si>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</si>
  <si>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</si>
  <si>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</si>
  <si>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</si>
  <si>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</si>
  <si>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</si>
  <si>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</si>
  <si>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</si>
  <si>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</si>
  <si>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</si>
  <si>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</si>
  <si>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</si>
  <si>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</si>
  <si>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</si>
  <si>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</si>
  <si>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</si>
  <si>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</si>
  <si>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</si>
  <si>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</si>
  <si>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</si>
  <si>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</si>
  <si>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</si>
  <si>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</si>
  <si>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</si>
  <si>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</si>
  <si>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</si>
  <si>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</si>
  <si>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</si>
  <si>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</si>
  <si>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</si>
  <si>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</si>
  <si>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</si>
  <si>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</si>
  <si>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</si>
  <si>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</si>
  <si>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</si>
  <si>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</si>
  <si>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</si>
  <si>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</si>
  <si>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</si>
  <si>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</si>
  <si>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</si>
  <si>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</si>
  <si>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</si>
  <si>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</si>
  <si>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</si>
  <si>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</si>
  <si>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</si>
  <si>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</si>
  <si>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</si>
  <si>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</si>
  <si>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</si>
  <si>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</si>
  <si>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</si>
  <si>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</si>
  <si>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</si>
  <si>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</si>
  <si>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</si>
  <si>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</si>
  <si>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</si>
  <si>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</si>
  <si>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</si>
  <si>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</si>
  <si>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</si>
  <si>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</si>
  <si>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</si>
  <si>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</si>
  <si>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</si>
  <si>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</si>
  <si>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</si>
  <si>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</si>
  <si>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</si>
  <si>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</si>
  <si>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</si>
  <si>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</si>
  <si>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</si>
  <si>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</si>
  <si>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</si>
  <si>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</si>
  <si>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</si>
  <si>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</si>
  <si>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</si>
  <si>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</si>
  <si>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</si>
  <si>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</si>
  <si>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</si>
  <si>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</si>
  <si>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</si>
  <si>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</si>
  <si>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</si>
  <si>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</si>
  <si>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</si>
  <si>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</si>
  <si>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</si>
  <si>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</si>
  <si>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</si>
  <si>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</si>
  <si>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</si>
  <si>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</si>
  <si>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</si>
  <si>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</si>
  <si>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</si>
  <si>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</si>
  <si>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</si>
  <si>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</si>
  <si>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</si>
  <si>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</si>
  <si>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</si>
  <si>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</si>
  <si>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</si>
  <si>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</si>
  <si>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</si>
  <si>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</si>
  <si>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</si>
  <si>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</si>
  <si>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</si>
  <si>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</si>
  <si>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</si>
  <si>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</si>
  <si>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</si>
  <si>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</si>
  <si>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</si>
  <si>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</si>
  <si>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</si>
  <si>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</si>
  <si>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</si>
  <si>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</si>
  <si>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</si>
  <si>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</si>
  <si>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</si>
  <si>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</si>
  <si>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</si>
  <si>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</si>
  <si>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</si>
  <si>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</si>
  <si>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</si>
  <si>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</si>
  <si>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</si>
  <si>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</si>
  <si>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</si>
  <si>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</si>
  <si>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</si>
  <si>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</si>
  <si>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</si>
  <si>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</si>
  <si>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</si>
  <si>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</si>
  <si>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</si>
  <si>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</si>
  <si>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</si>
  <si>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</si>
  <si>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</si>
  <si>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</si>
  <si>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</si>
  <si>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</si>
  <si>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</si>
  <si>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</si>
  <si>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</si>
  <si>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</si>
  <si>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</si>
  <si>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</si>
  <si>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</si>
  <si>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</si>
  <si>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</si>
  <si>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</si>
  <si>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</si>
  <si>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</si>
  <si>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</si>
  <si>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</si>
  <si>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</si>
  <si>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</si>
  <si>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</si>
  <si>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</si>
  <si>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</si>
  <si>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</si>
  <si>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</si>
  <si>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</si>
  <si>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</si>
  <si>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</si>
  <si>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</si>
  <si>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</si>
  <si>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</si>
  <si>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</si>
  <si>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</si>
  <si>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</si>
  <si>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</si>
  <si>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</si>
  <si>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</si>
  <si>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</si>
  <si>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</si>
  <si>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</si>
  <si>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</si>
  <si>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</si>
  <si>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</si>
  <si>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</si>
  <si>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</si>
  <si>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</si>
  <si>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</si>
  <si>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</si>
  <si>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</si>
  <si>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</si>
  <si>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</si>
  <si>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</si>
  <si>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</si>
  <si>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</si>
  <si>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</si>
  <si>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</si>
  <si>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</si>
  <si>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</si>
  <si>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</si>
  <si>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</si>
  <si>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</si>
  <si>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</si>
  <si>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</si>
  <si>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</si>
  <si>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</si>
  <si>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</si>
  <si>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</si>
  <si>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</si>
  <si>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</si>
  <si>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</si>
  <si>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</si>
  <si>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</si>
  <si>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</si>
  <si>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</si>
  <si>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</si>
  <si>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</si>
  <si>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</si>
  <si>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</si>
  <si>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</si>
  <si>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</si>
  <si>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</si>
  <si>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</si>
  <si>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</si>
  <si>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</si>
  <si>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</si>
  <si>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</si>
  <si>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</si>
  <si>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</si>
  <si>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</si>
  <si>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</si>
  <si>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</si>
  <si>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</si>
  <si>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</si>
  <si>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</si>
  <si>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</si>
  <si>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</si>
  <si>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</si>
  <si>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</si>
  <si>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</si>
  <si>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</si>
  <si>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</si>
  <si>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</si>
  <si>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</si>
  <si>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</si>
  <si>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</si>
  <si>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</si>
  <si>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</si>
  <si>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</si>
  <si>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</si>
  <si>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</si>
  <si>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</si>
  <si>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</si>
  <si>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</si>
  <si>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</si>
  <si>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</si>
  <si>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</si>
  <si>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</si>
  <si>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</si>
  <si>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</si>
  <si>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</si>
  <si>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</si>
  <si>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</si>
  <si>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</si>
  <si>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</si>
  <si>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</si>
  <si>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</si>
  <si>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</si>
  <si>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</si>
  <si>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</si>
  <si>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</si>
  <si>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</si>
  <si>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</si>
  <si>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</si>
  <si>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</si>
  <si>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</si>
  <si>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</si>
  <si>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</si>
  <si>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</si>
  <si>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</si>
  <si>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</si>
  <si>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</si>
  <si>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</si>
  <si>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</si>
  <si>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</si>
  <si>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</si>
  <si>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</si>
  <si>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</si>
  <si>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</si>
  <si>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</si>
  <si>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</si>
  <si>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</si>
  <si>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</si>
  <si>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</si>
  <si>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</si>
  <si>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</si>
  <si>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</si>
  <si>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</si>
  <si>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</si>
  <si>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</si>
  <si>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</si>
  <si>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</si>
  <si>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</si>
  <si>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</si>
  <si>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</si>
  <si>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</si>
  <si>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</si>
  <si>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</si>
  <si>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</si>
  <si>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</si>
  <si>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</si>
  <si>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</si>
  <si>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</si>
  <si>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</si>
  <si>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</si>
  <si>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</si>
  <si>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</si>
  <si>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</si>
  <si>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</si>
  <si>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</si>
  <si>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</si>
  <si>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</si>
  <si>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</si>
  <si>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</si>
  <si>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</si>
  <si>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</si>
  <si>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</si>
  <si>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</si>
  <si>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</si>
  <si>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</si>
  <si>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</si>
  <si>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</si>
  <si>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</si>
  <si>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</si>
  <si>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</si>
  <si>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</si>
  <si>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</si>
  <si>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</si>
  <si>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</si>
  <si>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</si>
  <si>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</si>
  <si>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</si>
  <si>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</si>
  <si>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</si>
  <si>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</si>
  <si>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</si>
  <si>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</si>
  <si>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</si>
  <si>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</si>
  <si>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</si>
  <si>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</si>
  <si>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</si>
  <si>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</si>
  <si>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</si>
  <si>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</si>
  <si>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</si>
  <si>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</si>
  <si>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</si>
  <si>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</si>
  <si>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</si>
  <si>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</si>
  <si>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</si>
  <si>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</si>
  <si>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</si>
  <si>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</si>
  <si>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</si>
  <si>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</si>
  <si>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</si>
  <si>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</si>
  <si>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</si>
  <si>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</si>
  <si>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</si>
  <si>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</si>
  <si>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</si>
  <si>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</si>
  <si>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</si>
  <si>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</si>
  <si>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</si>
  <si>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</si>
  <si>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</si>
  <si>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</si>
  <si>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</si>
  <si>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</si>
  <si>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</si>
  <si>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</si>
  <si>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</si>
  <si>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</si>
  <si>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</si>
  <si>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</si>
  <si>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</si>
  <si>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</si>
  <si>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</si>
  <si>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</si>
  <si>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</si>
  <si>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</si>
  <si>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</si>
  <si>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</si>
  <si>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</si>
  <si>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</si>
  <si>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</si>
  <si>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</si>
  <si>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</si>
  <si>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</si>
  <si>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</si>
  <si>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</si>
  <si>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</si>
  <si>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</si>
  <si>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</si>
  <si>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</si>
  <si>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</si>
  <si>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</si>
  <si>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</si>
  <si>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</si>
  <si>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</si>
  <si>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</si>
  <si>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</si>
  <si>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</si>
  <si>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</si>
  <si>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</si>
  <si>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</si>
  <si>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</si>
  <si>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</si>
  <si>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</si>
  <si>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</si>
  <si>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</si>
  <si>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</si>
  <si>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</si>
  <si>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</si>
  <si>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</si>
  <si>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</si>
  <si>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</si>
  <si>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</si>
  <si>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</si>
  <si>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</si>
  <si>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</si>
  <si>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</si>
  <si>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</si>
  <si>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</si>
  <si>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</si>
  <si>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</si>
  <si>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</si>
  <si>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</si>
  <si>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</si>
  <si>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</si>
  <si>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</si>
  <si>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</si>
  <si>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</si>
  <si>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</si>
  <si>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</si>
  <si>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</si>
  <si>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</si>
  <si>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</si>
  <si>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</si>
  <si>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</si>
  <si>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</si>
  <si>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</si>
  <si>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</si>
  <si>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</si>
  <si>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</si>
  <si>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</si>
  <si>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</si>
  <si>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</si>
  <si>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</si>
  <si>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</si>
  <si>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</si>
  <si>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</si>
  <si>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</si>
  <si>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</si>
  <si>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</si>
  <si>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</si>
  <si>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</si>
  <si>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</si>
  <si>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</si>
  <si>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</si>
  <si>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</si>
  <si>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</si>
  <si>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</si>
  <si>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</si>
  <si>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</si>
  <si>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</si>
  <si>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</si>
  <si>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</si>
  <si>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</si>
  <si>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</si>
  <si>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</si>
  <si>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</si>
  <si>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</si>
  <si>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</si>
  <si>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</si>
  <si>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</si>
  <si>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</si>
  <si>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</si>
  <si>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</si>
  <si>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</si>
  <si>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</si>
  <si>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</si>
  <si>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</si>
  <si>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</si>
  <si>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</si>
  <si>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</si>
  <si>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</si>
  <si>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</si>
  <si>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</si>
  <si>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</si>
  <si>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</si>
  <si>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</si>
  <si>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</si>
  <si>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</si>
  <si>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</si>
  <si>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</si>
  <si>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</si>
  <si>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</si>
  <si>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</si>
  <si>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</si>
  <si>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</si>
  <si>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</si>
  <si>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</si>
  <si>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</si>
  <si>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</si>
  <si>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</si>
  <si>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</si>
  <si>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</si>
  <si>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</si>
  <si>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</si>
  <si>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</si>
  <si>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</si>
  <si>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</si>
  <si>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</si>
  <si>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</si>
  <si>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</si>
  <si>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</si>
  <si>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</si>
  <si>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</si>
  <si>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</si>
  <si>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</si>
  <si>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</si>
  <si>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</si>
  <si>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</si>
  <si>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</si>
  <si>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</si>
  <si>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</si>
  <si>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</si>
  <si>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</si>
  <si>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</si>
  <si>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</si>
  <si>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</si>
  <si>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</si>
  <si>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</si>
  <si>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</si>
  <si>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</si>
  <si>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</si>
  <si>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</si>
  <si>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</si>
  <si>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</si>
  <si>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</si>
  <si>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</si>
  <si>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</si>
  <si>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</si>
  <si>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</si>
  <si>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</si>
  <si>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</si>
  <si>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</si>
  <si>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</si>
  <si>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</si>
  <si>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</si>
  <si>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</si>
  <si>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</si>
  <si>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</si>
  <si>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</si>
  <si>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</si>
  <si>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</si>
  <si>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</si>
  <si>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</si>
  <si>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</si>
  <si>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</si>
  <si>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</si>
  <si>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</si>
  <si>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</si>
  <si>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</si>
  <si>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</si>
  <si>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</si>
  <si>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</si>
  <si>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</si>
  <si>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</si>
  <si>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</si>
  <si>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</si>
  <si>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</si>
  <si>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</si>
  <si>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</si>
  <si>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</si>
  <si>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</si>
  <si>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</si>
  <si>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</si>
  <si>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</si>
  <si>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</si>
  <si>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</si>
  <si>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</si>
  <si>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</si>
  <si>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</si>
  <si>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</si>
  <si>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</si>
  <si>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</si>
  <si>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</si>
  <si>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</si>
  <si>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</si>
  <si>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</si>
  <si>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</si>
  <si>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</si>
  <si>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</si>
  <si>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</si>
  <si>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</si>
  <si>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</si>
  <si>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</si>
  <si>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</si>
  <si>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</si>
  <si>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</si>
  <si>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</si>
  <si>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</si>
  <si>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</si>
  <si>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</si>
  <si>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</si>
  <si>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</si>
  <si>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</si>
  <si>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</si>
  <si>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</si>
  <si>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</si>
  <si>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</si>
  <si>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</si>
  <si>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</si>
  <si>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</si>
  <si>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</si>
  <si>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</si>
  <si>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</si>
  <si>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</si>
  <si>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</si>
  <si>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</si>
  <si>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</si>
  <si>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</si>
  <si>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</si>
  <si>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</si>
  <si>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</si>
  <si>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</si>
  <si>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</si>
  <si>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</si>
  <si>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</si>
  <si>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</si>
  <si>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</si>
  <si>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</si>
  <si>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</si>
  <si>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</si>
  <si>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</si>
  <si>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</si>
  <si>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</si>
  <si>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</si>
  <si>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</si>
  <si>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</si>
  <si>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</si>
  <si>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</si>
  <si>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</si>
  <si>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</si>
  <si>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</si>
  <si>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</si>
  <si>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</si>
  <si>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</si>
  <si>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</si>
  <si>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</si>
  <si>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</si>
  <si>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</si>
  <si>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</si>
  <si>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</si>
  <si>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</si>
  <si>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</si>
  <si>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</si>
  <si>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</si>
  <si>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</si>
  <si>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</si>
  <si>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</si>
  <si>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</si>
  <si>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</si>
  <si>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</si>
  <si>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</si>
  <si>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</si>
  <si>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</si>
  <si>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</si>
  <si>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</si>
  <si>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</si>
  <si>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</si>
  <si>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</si>
  <si>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</si>
  <si>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</si>
  <si>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</si>
  <si>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</si>
  <si>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</si>
  <si>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</si>
  <si>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</si>
  <si>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</si>
  <si>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</si>
  <si>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</si>
  <si>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</si>
  <si>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</si>
  <si>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</si>
  <si>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</si>
  <si>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</si>
  <si>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</si>
  <si>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</si>
  <si>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</si>
  <si>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</si>
  <si>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</si>
  <si>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</si>
  <si>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</si>
  <si>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</si>
  <si>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</si>
  <si>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</si>
  <si>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</si>
  <si>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</si>
  <si>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</si>
  <si>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</si>
  <si>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</si>
  <si>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</si>
  <si>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</si>
  <si>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</si>
  <si>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</si>
  <si>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</si>
  <si>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</si>
  <si>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</si>
  <si>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</si>
  <si>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</si>
  <si>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</si>
  <si>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</si>
  <si>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</si>
  <si>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</si>
  <si>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</si>
  <si>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</si>
  <si>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</si>
  <si>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</si>
  <si>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</si>
  <si>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</si>
  <si>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</si>
  <si>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</si>
  <si>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</si>
  <si>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</si>
  <si>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</si>
  <si>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</si>
  <si>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</si>
  <si>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</si>
  <si>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</si>
  <si>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</si>
  <si>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</si>
  <si>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</si>
  <si>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</si>
  <si>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</si>
  <si>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</si>
  <si>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</si>
  <si>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</si>
  <si>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</si>
  <si>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</si>
  <si>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</si>
  <si>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</si>
  <si>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</si>
  <si>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</si>
  <si>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</si>
  <si>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</si>
  <si>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</si>
  <si>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</si>
  <si>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</si>
  <si>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</si>
  <si>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</si>
  <si>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</si>
  <si>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</si>
  <si>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</si>
  <si>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</si>
  <si>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</si>
  <si>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</si>
  <si>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</si>
  <si>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</si>
  <si>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</si>
  <si>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</si>
  <si>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</si>
  <si>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</si>
  <si>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</si>
  <si>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</si>
  <si>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</si>
  <si>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</si>
  <si>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</si>
  <si>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</si>
  <si>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</si>
  <si>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</si>
  <si>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</si>
  <si>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</si>
  <si>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</si>
  <si>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</si>
  <si>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</si>
  <si>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</si>
  <si>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</si>
  <si>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</si>
  <si>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</si>
  <si>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</si>
  <si>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</si>
  <si>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</si>
  <si>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</si>
  <si>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</si>
  <si>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</si>
  <si>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</si>
  <si>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</si>
  <si>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</si>
  <si>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</si>
  <si>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</si>
  <si>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</si>
  <si>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</si>
  <si>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</si>
  <si>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</si>
  <si>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</si>
  <si>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</si>
  <si>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</si>
  <si>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</si>
  <si>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</si>
  <si>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</si>
  <si>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</si>
  <si>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</si>
  <si>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</si>
  <si>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</si>
  <si>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</si>
  <si>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</si>
  <si>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</si>
  <si>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</si>
  <si>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</si>
  <si>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</si>
  <si>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</si>
  <si>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</si>
  <si>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</si>
  <si>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</si>
  <si>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</si>
  <si>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</si>
  <si>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</si>
  <si>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</si>
  <si>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</si>
  <si>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</si>
  <si>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</si>
  <si>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</si>
  <si>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</si>
  <si>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</si>
  <si>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</si>
  <si>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</si>
  <si>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</si>
  <si>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</si>
  <si>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</si>
  <si>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</si>
  <si>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</si>
  <si>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</si>
  <si>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</si>
  <si>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</si>
  <si>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</si>
  <si>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</si>
  <si>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</si>
  <si>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</si>
  <si>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</si>
  <si>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</si>
  <si>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</si>
  <si>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</si>
  <si>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</si>
  <si>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</si>
  <si>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</si>
  <si>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</si>
  <si>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</si>
  <si>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</si>
  <si>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</si>
  <si>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</si>
  <si>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</si>
  <si>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</si>
  <si>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</si>
  <si>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</si>
  <si>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</si>
  <si>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</si>
  <si>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</si>
  <si>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</si>
  <si>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</si>
  <si>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</si>
  <si>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</si>
  <si>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</si>
  <si>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</si>
  <si>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</si>
  <si>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</si>
  <si>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</si>
  <si>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</si>
  <si>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</si>
  <si>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</si>
  <si>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</si>
  <si>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</si>
  <si>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</si>
  <si>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</si>
  <si>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</si>
  <si>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</si>
  <si>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</si>
  <si>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</si>
  <si>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</si>
  <si>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</si>
  <si>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</si>
  <si>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</si>
  <si>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</si>
  <si>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</si>
  <si>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</si>
  <si>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</si>
  <si>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</si>
  <si>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</si>
  <si>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</si>
  <si>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</si>
  <si>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</si>
  <si>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</si>
  <si>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</si>
  <si>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</si>
  <si>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</si>
  <si>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</si>
  <si>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</si>
  <si>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</si>
  <si>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</si>
  <si>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</si>
  <si>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</si>
  <si>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</si>
  <si>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</si>
  <si>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</si>
  <si>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</si>
  <si>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</si>
  <si>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</si>
  <si>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</si>
  <si>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</si>
  <si>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</si>
  <si>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</si>
  <si>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</si>
  <si>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</si>
  <si>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</si>
  <si>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</si>
  <si>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</si>
  <si>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</si>
  <si>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</si>
  <si>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</si>
  <si>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</si>
  <si>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</si>
  <si>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</si>
  <si>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</si>
  <si>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</si>
  <si>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</si>
  <si>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</si>
  <si>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</si>
  <si>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</si>
  <si>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</si>
  <si>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</si>
  <si>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</si>
  <si>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</si>
  <si>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</si>
  <si>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</si>
  <si>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</si>
  <si>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</si>
  <si>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</si>
  <si>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</si>
  <si>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</si>
  <si>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</si>
  <si>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</si>
  <si>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</si>
  <si>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</si>
  <si>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</si>
  <si>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</si>
  <si>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</si>
  <si>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</si>
  <si>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</si>
  <si>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</si>
  <si>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</si>
  <si>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</si>
  <si>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</si>
  <si>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</si>
  <si>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</si>
  <si>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</si>
  <si>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</si>
  <si>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</si>
  <si>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</si>
  <si>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</si>
  <si>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</si>
  <si>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</si>
  <si>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</si>
  <si>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</si>
  <si>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</si>
  <si>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</si>
  <si>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</si>
  <si>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</si>
  <si>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</si>
  <si>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</si>
  <si>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</si>
  <si>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</si>
  <si>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</si>
  <si>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</si>
  <si>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</si>
  <si>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</si>
  <si>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</si>
  <si>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</si>
  <si>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</si>
  <si>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</si>
  <si>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</si>
  <si>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</si>
  <si>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</si>
  <si>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</si>
  <si>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</si>
  <si>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</si>
  <si>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</si>
  <si>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</si>
  <si>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</si>
  <si>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</si>
  <si>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</si>
  <si>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</si>
  <si>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</si>
  <si>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</si>
  <si>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</si>
  <si>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</si>
  <si>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</si>
  <si>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</si>
  <si>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</si>
  <si>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</si>
  <si>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</si>
  <si>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</si>
  <si>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</si>
  <si>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</si>
  <si>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</si>
  <si>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</si>
  <si>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</si>
  <si>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</si>
  <si>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</si>
  <si>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</si>
  <si>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</si>
  <si>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</si>
  <si>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</si>
  <si>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</si>
  <si>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</si>
  <si>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</si>
  <si>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</si>
  <si>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</si>
  <si>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</si>
  <si>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</si>
  <si>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</si>
  <si>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</si>
  <si>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</si>
  <si>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</si>
  <si>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</si>
  <si>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</si>
  <si>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</si>
  <si>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</si>
  <si>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</si>
  <si>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</si>
  <si>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</si>
  <si>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</si>
  <si>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</si>
  <si>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</si>
  <si>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</si>
  <si>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</si>
  <si>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</si>
  <si>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</si>
  <si>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</si>
  <si>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</si>
  <si>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</si>
  <si>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</si>
  <si>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</si>
  <si>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</si>
  <si>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</si>
  <si>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</si>
  <si>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</si>
  <si>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</si>
  <si>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</si>
  <si>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</si>
  <si>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</si>
  <si>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</si>
  <si>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</si>
  <si>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</si>
  <si>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</si>
  <si>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</si>
  <si>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</si>
  <si>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</si>
  <si>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</si>
  <si>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</si>
  <si>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</si>
  <si>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</si>
  <si>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</si>
  <si>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</si>
  <si>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</si>
  <si>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</si>
  <si>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</si>
  <si>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</si>
  <si>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</si>
  <si>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</si>
  <si>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</si>
  <si>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</si>
  <si>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</si>
  <si>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</si>
  <si>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</si>
  <si>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</si>
  <si>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</si>
  <si>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</si>
  <si>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</si>
  <si>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</si>
  <si>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</si>
  <si>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</si>
  <si>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</si>
  <si>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</si>
  <si>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</si>
  <si>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</si>
  <si>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</si>
  <si>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</si>
  <si>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</si>
  <si>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</si>
  <si>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</si>
  <si>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</si>
  <si>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</si>
  <si>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</si>
  <si>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</si>
  <si>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</si>
  <si>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</si>
  <si>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</si>
  <si>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</si>
  <si>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</si>
  <si>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</si>
  <si>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</si>
  <si>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</si>
  <si>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</si>
  <si>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</si>
  <si>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</si>
  <si>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</si>
  <si>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</si>
  <si>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</si>
  <si>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</si>
  <si>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</si>
  <si>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</si>
  <si>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</si>
  <si>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</si>
  <si>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</si>
  <si>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</si>
  <si>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</si>
  <si>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</si>
  <si>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</si>
  <si>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</si>
  <si>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</si>
  <si>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</si>
  <si>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</si>
  <si>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</si>
  <si>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</si>
  <si>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</si>
  <si>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</si>
  <si>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</si>
  <si>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</si>
  <si>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</si>
  <si>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</si>
  <si>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</si>
  <si>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</si>
  <si>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</si>
  <si>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</si>
  <si>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</si>
  <si>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</si>
  <si>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</si>
  <si>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</si>
  <si>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</si>
  <si>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</si>
  <si>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</si>
  <si>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</si>
  <si>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</si>
  <si>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</si>
  <si>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</si>
  <si>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</si>
  <si>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</si>
  <si>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</si>
  <si>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</si>
  <si>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</si>
  <si>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</si>
  <si>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</si>
  <si>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</si>
  <si>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</si>
  <si>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</si>
  <si>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</si>
  <si>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</si>
  <si>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</si>
  <si>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</si>
  <si>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</si>
  <si>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</si>
  <si>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</si>
  <si>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</si>
  <si>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</si>
  <si>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</si>
  <si>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</si>
  <si>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</si>
  <si>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</si>
  <si>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</si>
  <si>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</si>
  <si>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</si>
  <si>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</si>
  <si>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</si>
  <si>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</si>
  <si>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</si>
  <si>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</si>
  <si>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</si>
  <si>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</si>
  <si>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</si>
  <si>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</si>
  <si>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</si>
  <si>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</si>
  <si>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</si>
  <si>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</si>
  <si>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</si>
  <si>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</si>
  <si>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</si>
  <si>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</si>
  <si>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</si>
  <si>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</si>
  <si>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</si>
  <si>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</si>
  <si>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</si>
  <si>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</si>
  <si>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</si>
  <si>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</si>
  <si>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</si>
  <si>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</si>
  <si>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</si>
  <si>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</si>
  <si>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</si>
  <si>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</si>
  <si>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</si>
  <si>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</si>
  <si>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</si>
  <si>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</si>
  <si>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</si>
  <si>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</si>
  <si>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</si>
  <si>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</si>
  <si>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</si>
  <si>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</si>
  <si>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</si>
  <si>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</si>
  <si>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</si>
  <si>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</si>
  <si>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</si>
  <si>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</si>
  <si>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</si>
  <si>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</si>
  <si>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</si>
  <si>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</si>
  <si>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</si>
  <si>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</si>
  <si>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</si>
  <si>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</si>
  <si>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</si>
  <si>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</si>
  <si>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</si>
  <si>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</si>
  <si>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</si>
  <si>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</si>
  <si>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</si>
  <si>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</si>
  <si>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</si>
  <si>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</si>
  <si>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</si>
  <si>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</si>
  <si>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</si>
  <si>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</si>
  <si>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</si>
  <si>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</si>
  <si>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</si>
  <si>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</si>
  <si>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</si>
  <si>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</si>
  <si>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</si>
  <si>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</si>
  <si>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</si>
  <si>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</si>
  <si>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</si>
  <si>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</si>
  <si>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</si>
  <si>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</si>
  <si>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</si>
  <si>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</si>
  <si>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</si>
  <si>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</si>
  <si>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</si>
  <si>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</si>
  <si>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</si>
  <si>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</si>
  <si>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</si>
  <si>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</si>
  <si>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</si>
  <si>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</si>
  <si>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</si>
  <si>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</si>
  <si>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</si>
  <si>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</si>
  <si>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</si>
  <si>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</si>
  <si>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</si>
  <si>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</si>
  <si>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</si>
  <si>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</si>
  <si>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</si>
  <si>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</si>
  <si>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</si>
  <si>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</si>
  <si>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</si>
  <si>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</si>
  <si>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</si>
  <si>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</si>
  <si>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</si>
  <si>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</si>
  <si>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</si>
  <si>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</si>
  <si>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</si>
  <si>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</si>
  <si>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</si>
  <si>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</si>
  <si>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</si>
  <si>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</si>
  <si>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</si>
  <si>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</si>
  <si>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</si>
  <si>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</si>
  <si>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</si>
  <si>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</si>
  <si>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</si>
  <si>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</si>
  <si>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</si>
  <si>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</si>
  <si>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</si>
  <si>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</si>
  <si>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</si>
  <si>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</si>
  <si>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</si>
  <si>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</si>
  <si>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</si>
  <si>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</si>
  <si>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</si>
  <si>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</si>
  <si>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</si>
  <si>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</si>
  <si>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</si>
  <si>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</si>
  <si>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</si>
  <si>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</si>
  <si>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</si>
  <si>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</si>
  <si>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</si>
  <si>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</si>
  <si>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</si>
  <si>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</si>
  <si>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</si>
  <si>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</si>
  <si>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</si>
  <si>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</si>
  <si>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</si>
  <si>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</si>
  <si>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</si>
  <si>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</si>
  <si>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</si>
  <si>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</si>
  <si>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</si>
  <si>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</si>
  <si>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</si>
  <si>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</si>
  <si>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</si>
  <si>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</si>
  <si>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</si>
  <si>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</si>
  <si>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</si>
  <si>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</si>
  <si>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</si>
  <si>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</si>
  <si>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</si>
  <si>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</si>
  <si>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</si>
  <si>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</si>
  <si>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</si>
  <si>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</si>
  <si>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</si>
  <si>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</si>
  <si>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</si>
  <si>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</si>
  <si>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</si>
  <si>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</si>
  <si>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</si>
  <si>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</si>
  <si>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</si>
  <si>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</si>
  <si>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</si>
  <si>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</si>
  <si>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</si>
  <si>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</si>
  <si>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</si>
  <si>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</si>
  <si>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</si>
  <si>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</si>
  <si>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</si>
  <si>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</si>
  <si>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</si>
  <si>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</si>
  <si>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</si>
  <si>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</si>
  <si>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</si>
  <si>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</si>
  <si>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</si>
  <si>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</si>
  <si>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</si>
  <si>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</si>
  <si>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</si>
  <si>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</si>
  <si>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</si>
  <si>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</si>
  <si>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</si>
  <si>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</si>
  <si>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</si>
  <si>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</si>
  <si>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</si>
  <si>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</si>
  <si>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</si>
  <si>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</si>
  <si>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</si>
  <si>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</si>
  <si>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</si>
  <si>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</si>
  <si>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</si>
  <si>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</si>
  <si>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</si>
  <si>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</si>
  <si>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</si>
  <si>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</si>
  <si>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</si>
  <si>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</si>
  <si>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</si>
  <si>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</si>
  <si>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</si>
  <si>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</si>
  <si>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</si>
  <si>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</si>
  <si>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</si>
  <si>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</si>
  <si>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</si>
  <si>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</si>
  <si>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</si>
  <si>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</si>
  <si>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</si>
  <si>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</si>
  <si>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</si>
  <si>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</si>
  <si>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</si>
  <si>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</si>
  <si>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</si>
  <si>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</si>
  <si>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</si>
  <si>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</si>
  <si>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</si>
  <si>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</si>
  <si>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</si>
  <si>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</si>
  <si>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</si>
  <si>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</si>
  <si>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</si>
  <si>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</si>
  <si>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</si>
  <si>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</si>
  <si>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</si>
  <si>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</si>
  <si>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</si>
  <si>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</si>
  <si>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</si>
  <si>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</si>
  <si>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</si>
  <si>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</si>
  <si>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</si>
  <si>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</si>
  <si>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</si>
  <si>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</si>
  <si>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</si>
  <si>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</si>
  <si>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</si>
  <si>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</si>
  <si>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</si>
  <si>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</si>
  <si>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</si>
  <si>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</si>
  <si>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</si>
  <si>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</si>
  <si>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</si>
  <si>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</si>
  <si>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</si>
  <si>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</si>
  <si>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</si>
  <si>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</si>
  <si>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</si>
  <si>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</si>
  <si>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</si>
  <si>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</si>
  <si>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</si>
  <si>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</si>
  <si>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</si>
  <si>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</si>
  <si>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</si>
  <si>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</si>
  <si>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</si>
  <si>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</si>
  <si>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</si>
  <si>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</si>
  <si>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</si>
  <si>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</si>
  <si>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</si>
  <si>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</si>
  <si>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</si>
  <si>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</si>
  <si>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</si>
  <si>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</si>
  <si>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</si>
  <si>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</si>
  <si>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</si>
  <si>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</si>
  <si>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</si>
  <si>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</si>
  <si>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</si>
  <si>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</si>
  <si>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</si>
  <si>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</si>
  <si>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</si>
  <si>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</si>
  <si>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</si>
  <si>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</si>
  <si>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</si>
  <si>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</si>
  <si>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</si>
  <si>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</si>
  <si>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</si>
  <si>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</si>
  <si>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</si>
  <si>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</si>
  <si>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</si>
  <si>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</si>
  <si>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</si>
  <si>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</si>
  <si>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</si>
  <si>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</si>
  <si>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</si>
  <si>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</si>
  <si>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</si>
  <si>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</si>
  <si>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</si>
  <si>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</si>
  <si>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</si>
  <si>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</si>
  <si>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</si>
  <si>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</si>
  <si>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</si>
  <si>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</si>
  <si>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</si>
  <si>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</si>
  <si>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</si>
  <si>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</si>
  <si>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</si>
  <si>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</si>
  <si>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</si>
  <si>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</si>
  <si>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</si>
  <si>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</si>
  <si>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</si>
  <si>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</si>
  <si>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</si>
  <si>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</si>
  <si>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</si>
  <si>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</si>
  <si>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</si>
  <si>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</si>
  <si>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</si>
  <si>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</si>
  <si>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</si>
  <si>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</si>
  <si>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</si>
  <si>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</si>
  <si>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</si>
  <si>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</si>
  <si>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</si>
  <si>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</si>
  <si>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</si>
  <si>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</si>
  <si>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</si>
  <si>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</si>
  <si>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</si>
  <si>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</si>
  <si>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</si>
  <si>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</si>
  <si>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</si>
  <si>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</si>
  <si>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</si>
  <si>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</si>
  <si>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</si>
  <si>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</si>
  <si>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</si>
  <si>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</si>
  <si>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</si>
  <si>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</si>
  <si>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</si>
  <si>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</si>
  <si>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</si>
  <si>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</si>
  <si>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</si>
  <si>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</si>
  <si>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</si>
  <si>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</si>
  <si>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</si>
  <si>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</si>
  <si>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</si>
  <si>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</si>
  <si>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</si>
  <si>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</si>
  <si>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</si>
  <si>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</si>
  <si>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</si>
  <si>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</si>
  <si>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</si>
  <si>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</si>
  <si>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</si>
  <si>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</si>
  <si>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</si>
  <si>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</si>
  <si>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</si>
  <si>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</si>
  <si>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</si>
  <si>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</si>
  <si>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</si>
  <si>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</si>
  <si>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</si>
  <si>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</si>
  <si>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</si>
  <si>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</si>
  <si>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</si>
  <si>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</si>
  <si>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</si>
  <si>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</si>
  <si>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</si>
  <si>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</si>
  <si>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</si>
  <si>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</si>
  <si>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</si>
  <si>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</si>
  <si>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</si>
  <si>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</si>
  <si>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</si>
  <si>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</si>
  <si>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</si>
  <si>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</si>
  <si>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</si>
  <si>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</si>
  <si>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</si>
  <si>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</si>
  <si>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</si>
  <si>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</si>
  <si>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</si>
  <si>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</si>
  <si>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</si>
  <si>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</si>
  <si>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</si>
  <si>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</si>
  <si>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</si>
  <si>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</si>
  <si>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</si>
  <si>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</si>
  <si>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</si>
  <si>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</si>
  <si>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</si>
  <si>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</si>
  <si>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</si>
  <si>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</si>
  <si>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</si>
  <si>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</si>
  <si>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</si>
  <si>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</si>
  <si>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</si>
  <si>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</si>
  <si>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</si>
  <si>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</si>
  <si>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</si>
  <si>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</si>
  <si>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</si>
  <si>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</si>
  <si>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</si>
  <si>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</si>
  <si>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</si>
  <si>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</si>
  <si>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</si>
  <si>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</si>
  <si>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</si>
  <si>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</si>
  <si>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</si>
  <si>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</si>
  <si>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</si>
  <si>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</si>
  <si>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</si>
  <si>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</si>
  <si>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</si>
  <si>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</si>
  <si>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</si>
  <si>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</si>
  <si>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</si>
  <si>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</si>
  <si>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</si>
  <si>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</si>
  <si>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</si>
  <si>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</si>
  <si>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</si>
  <si>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</si>
  <si>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</si>
  <si>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</si>
  <si>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</si>
  <si>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</si>
  <si>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</si>
  <si>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</si>
  <si>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</si>
  <si>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</si>
  <si>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</si>
  <si>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</si>
  <si>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</si>
  <si>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</si>
  <si>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</si>
  <si>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</si>
  <si>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</si>
  <si>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</si>
  <si>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</si>
  <si>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</si>
  <si>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</si>
  <si>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</si>
  <si>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</si>
  <si>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</si>
  <si>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</si>
  <si>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</si>
  <si>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</si>
  <si>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</si>
  <si>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</si>
  <si>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</si>
  <si>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</si>
  <si>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</si>
  <si>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</si>
  <si>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</si>
  <si>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</si>
  <si>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</si>
  <si>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</si>
  <si>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</si>
  <si>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</si>
  <si>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</si>
  <si>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</si>
  <si>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</si>
  <si>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</si>
  <si>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</si>
  <si>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</si>
  <si>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</si>
  <si>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</si>
  <si>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</si>
  <si>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</si>
  <si>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</si>
  <si>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</si>
  <si>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</si>
  <si>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</si>
  <si>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</si>
  <si>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</si>
  <si>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</si>
  <si>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</si>
  <si>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</si>
  <si>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</si>
  <si>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</si>
  <si>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</si>
  <si>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</si>
  <si>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</si>
  <si>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</si>
  <si>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</si>
  <si>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</si>
  <si>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</si>
  <si>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</si>
  <si>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</si>
  <si>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</si>
  <si>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</si>
  <si>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</si>
  <si>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</si>
  <si>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</si>
  <si>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</si>
  <si>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</si>
  <si>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</si>
  <si>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</si>
  <si>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</si>
  <si>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</si>
  <si>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</si>
  <si>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</si>
  <si>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</si>
  <si>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</si>
  <si>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</si>
  <si>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</si>
  <si>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</si>
  <si>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</si>
  <si>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</si>
  <si>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</si>
  <si>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</si>
  <si>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</si>
  <si>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</si>
  <si>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</si>
  <si>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</si>
  <si>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</si>
  <si>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</si>
  <si>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</si>
  <si>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</si>
  <si>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</si>
  <si>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</si>
  <si>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</si>
  <si>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</si>
  <si>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</si>
  <si>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</si>
  <si>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</si>
  <si>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</si>
  <si>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</si>
  <si>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</si>
  <si>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</si>
  <si>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</si>
  <si>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</si>
  <si>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</si>
  <si>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</si>
  <si>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</si>
  <si>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</si>
  <si>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</si>
  <si>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</si>
  <si>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</si>
  <si>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</si>
  <si>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</si>
  <si>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</si>
  <si>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</si>
  <si>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</si>
  <si>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</si>
  <si>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</si>
  <si>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</si>
  <si>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</si>
  <si>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</si>
  <si>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</si>
  <si>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</si>
  <si>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</si>
  <si>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</si>
  <si>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</si>
  <si>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</si>
  <si>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</si>
  <si>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</si>
  <si>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</si>
  <si>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</si>
  <si>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</si>
  <si>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</si>
  <si>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</si>
  <si>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</si>
  <si>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</si>
  <si>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</si>
  <si>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</si>
  <si>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</si>
  <si>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</si>
  <si>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</si>
  <si>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</si>
  <si>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</si>
  <si>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</si>
  <si>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</si>
  <si>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</si>
  <si>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</si>
  <si>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</si>
  <si>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</si>
  <si>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</si>
  <si>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</si>
  <si>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</si>
  <si>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</si>
  <si>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</si>
  <si>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</si>
  <si>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</si>
  <si>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</si>
  <si>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</si>
  <si>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</si>
  <si>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</si>
  <si>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</si>
  <si>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</si>
  <si>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</si>
  <si>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</si>
  <si>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</si>
  <si>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</si>
  <si>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</si>
  <si>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</si>
  <si>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</si>
  <si>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</si>
  <si>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</si>
  <si>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</si>
  <si>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</si>
  <si>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</si>
  <si>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</si>
  <si>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</si>
  <si>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</si>
  <si>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</si>
  <si>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</si>
  <si>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</si>
  <si>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</si>
  <si>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</si>
  <si>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</si>
  <si>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</si>
  <si>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</si>
  <si>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</si>
  <si>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</si>
  <si>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</si>
  <si>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</si>
  <si>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</si>
  <si>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</si>
  <si>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</si>
  <si>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</si>
  <si>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</si>
  <si>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</si>
  <si>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</si>
  <si>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</si>
  <si>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</si>
  <si>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</si>
  <si>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</si>
  <si>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</si>
  <si>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</si>
  <si>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</si>
  <si>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</si>
  <si>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</si>
  <si>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</si>
  <si>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</si>
  <si>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</si>
  <si>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</si>
  <si>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</si>
  <si>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</si>
  <si>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</si>
  <si>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</si>
  <si>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</si>
  <si>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</si>
  <si>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</si>
  <si>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</si>
  <si>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</si>
  <si>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</si>
  <si>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</si>
  <si>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</si>
  <si>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</si>
  <si>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</si>
  <si>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</si>
  <si>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</si>
  <si>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</si>
  <si>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</si>
  <si>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</si>
  <si>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</si>
  <si>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</si>
  <si>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</si>
  <si>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</si>
  <si>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</si>
  <si>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</si>
  <si>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</si>
  <si>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</si>
  <si>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</si>
  <si>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</si>
  <si>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</si>
  <si>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</si>
  <si>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</si>
  <si>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</si>
  <si>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</si>
  <si>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</si>
  <si>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</si>
  <si>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</si>
  <si>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</si>
  <si>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</si>
  <si>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</si>
  <si>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</si>
  <si>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</si>
  <si>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</si>
  <si>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</si>
  <si>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</si>
  <si>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</si>
  <si>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</si>
  <si>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</si>
  <si>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</si>
  <si>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</si>
  <si>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</si>
  <si>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</si>
  <si>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</si>
  <si>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</si>
  <si>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</si>
  <si>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</si>
  <si>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</si>
  <si>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</si>
  <si>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</si>
  <si>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</si>
  <si>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</si>
  <si>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</si>
  <si>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</si>
  <si>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</si>
  <si>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</si>
  <si>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</si>
  <si>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</si>
  <si>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</si>
  <si>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</si>
  <si>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</si>
  <si>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</si>
  <si>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</si>
  <si>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</si>
  <si>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</si>
  <si>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</si>
  <si>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</si>
  <si>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</si>
  <si>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</si>
  <si>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</si>
  <si>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</si>
  <si>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</si>
  <si>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</si>
  <si>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</si>
  <si>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</si>
  <si>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</si>
  <si>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</si>
  <si>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</si>
  <si>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</si>
  <si>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</si>
  <si>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</si>
  <si>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</si>
  <si>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</si>
  <si>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</si>
  <si>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</si>
  <si>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</si>
  <si>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</si>
  <si>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</si>
  <si>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</si>
  <si>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</si>
  <si>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</si>
  <si>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</si>
  <si>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</si>
  <si>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</si>
  <si>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</si>
  <si>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</si>
  <si>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</si>
  <si>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</si>
  <si>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</si>
  <si>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</si>
  <si>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</si>
  <si>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</si>
  <si>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</si>
  <si>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</si>
  <si>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</si>
  <si>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</si>
  <si>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</si>
  <si>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</si>
  <si>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</si>
  <si>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</si>
  <si>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</si>
  <si>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</si>
  <si>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</si>
  <si>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</si>
  <si>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</si>
  <si>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</si>
  <si>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</si>
  <si>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</si>
  <si>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</si>
  <si>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</si>
  <si>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</si>
  <si>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</si>
  <si>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</si>
  <si>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</si>
  <si>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</si>
  <si>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</si>
  <si>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</si>
  <si>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</si>
  <si>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</si>
  <si>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</si>
  <si>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</si>
  <si>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</si>
  <si>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</si>
  <si>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</si>
  <si>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</si>
  <si>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</si>
  <si>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</si>
  <si>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</si>
  <si>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</si>
  <si>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</si>
  <si>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</si>
  <si>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</si>
  <si>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</si>
  <si>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</si>
  <si>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</si>
  <si>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</si>
  <si>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</si>
  <si>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</si>
  <si>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</si>
  <si>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</si>
  <si>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</si>
  <si>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</si>
  <si>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</si>
  <si>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</si>
  <si>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</si>
  <si>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</si>
  <si>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</si>
  <si>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</si>
  <si>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</si>
  <si>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</si>
  <si>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</si>
  <si>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</si>
  <si>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</si>
  <si>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</si>
  <si>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</si>
  <si>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</si>
  <si>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</si>
  <si>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</si>
  <si>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</si>
  <si>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</si>
  <si>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</si>
  <si>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</si>
  <si>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</si>
  <si>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</si>
  <si>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</si>
  <si>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</si>
  <si>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</si>
  <si>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</si>
  <si>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</si>
  <si>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</si>
  <si>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</si>
  <si>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</si>
  <si>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</si>
  <si>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</si>
  <si>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</si>
  <si>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</si>
  <si>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</si>
  <si>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</si>
  <si>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</si>
  <si>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</si>
  <si>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</si>
  <si>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</si>
  <si>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</si>
  <si>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</si>
  <si>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</si>
  <si>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</si>
  <si>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</si>
  <si>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</si>
  <si>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</si>
  <si>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</si>
  <si>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</si>
  <si>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</si>
  <si>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</si>
  <si>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</si>
  <si>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</si>
  <si>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</si>
  <si>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</si>
  <si>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</si>
  <si>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</si>
  <si>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</si>
  <si>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</si>
  <si>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</si>
  <si>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</si>
  <si>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</si>
  <si>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</si>
  <si>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</si>
  <si>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</si>
  <si>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</si>
  <si>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</si>
  <si>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</si>
  <si>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</si>
  <si>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</si>
  <si>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</si>
  <si>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</si>
  <si>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</si>
  <si>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</si>
  <si>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</si>
  <si>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</si>
  <si>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</si>
  <si>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</si>
  <si>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</si>
  <si>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</si>
  <si>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</si>
  <si>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</si>
  <si>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</si>
  <si>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</si>
  <si>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</si>
  <si>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</si>
  <si>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</si>
  <si>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</si>
  <si>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</si>
  <si>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</si>
  <si>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</si>
  <si>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</si>
  <si>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</si>
  <si>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</si>
  <si>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</si>
  <si>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</si>
  <si>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</si>
  <si>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</si>
  <si>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</si>
  <si>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</si>
  <si>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</si>
  <si>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</si>
  <si>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</si>
  <si>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</si>
  <si>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</si>
  <si>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</si>
  <si>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</si>
  <si>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</si>
  <si>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</si>
  <si>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</si>
  <si>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</si>
  <si>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</si>
  <si>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</si>
  <si>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</si>
  <si>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</si>
  <si>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</si>
  <si>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</si>
  <si>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</si>
  <si>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</si>
  <si>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</si>
  <si>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</si>
  <si>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</si>
  <si>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</si>
  <si>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</si>
  <si>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</si>
  <si>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</si>
  <si>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</si>
  <si>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</si>
  <si>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</si>
  <si>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</si>
  <si>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</si>
  <si>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</si>
  <si>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</si>
  <si>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</si>
  <si>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</si>
  <si>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</si>
  <si>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</si>
  <si>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</si>
  <si>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</si>
  <si>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</si>
  <si>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</si>
  <si>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</si>
  <si>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</si>
  <si>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</si>
  <si>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</si>
  <si>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</si>
  <si>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</si>
  <si>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</si>
  <si>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</si>
  <si>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</si>
  <si>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</si>
  <si>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</si>
  <si>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</si>
  <si>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</si>
  <si>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</si>
  <si>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</si>
  <si>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</si>
  <si>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</si>
  <si>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</si>
  <si>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</si>
  <si>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</si>
  <si>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</si>
  <si>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</si>
  <si>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</si>
  <si>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</si>
  <si>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</si>
  <si>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</si>
  <si>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</si>
  <si>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</si>
  <si>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</si>
  <si>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</si>
  <si>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</si>
  <si>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</si>
  <si>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</si>
  <si>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</si>
  <si>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</si>
  <si>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</si>
  <si>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</si>
  <si>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</si>
  <si>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</si>
  <si>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</si>
  <si>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</si>
  <si>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</si>
  <si>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</si>
  <si>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</si>
  <si>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</si>
  <si>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</si>
  <si>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</si>
  <si>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</si>
  <si>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</si>
  <si>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</si>
  <si>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</si>
  <si>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</si>
  <si>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</si>
  <si>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</si>
  <si>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</si>
  <si>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</si>
  <si>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</si>
  <si>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</si>
  <si>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</si>
  <si>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</si>
  <si>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</si>
  <si>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</si>
  <si>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</si>
  <si>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</si>
  <si>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</si>
  <si>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</si>
  <si>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</si>
  <si>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</si>
  <si>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</si>
  <si>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</si>
  <si>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</si>
  <si>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</si>
  <si>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</si>
  <si>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</si>
  <si>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</si>
  <si>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</si>
  <si>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</si>
  <si>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</si>
  <si>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</si>
  <si>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</si>
  <si>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</si>
  <si>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</si>
  <si>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</si>
  <si>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</si>
  <si>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</si>
  <si>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</si>
  <si>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</si>
  <si>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</si>
  <si>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</si>
  <si>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</si>
  <si>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</si>
  <si>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</si>
  <si>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</si>
  <si>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</si>
  <si>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</si>
  <si>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</si>
  <si>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</si>
  <si>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</si>
  <si>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</si>
  <si>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</si>
  <si>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</si>
  <si>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</si>
  <si>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</si>
  <si>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</si>
  <si>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</si>
  <si>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</si>
  <si>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</si>
  <si>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</si>
  <si>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</si>
  <si>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</si>
  <si>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</si>
  <si>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</si>
  <si>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</si>
  <si>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</si>
  <si>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</si>
  <si>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</si>
  <si>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</si>
  <si>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</si>
  <si>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</si>
  <si>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</si>
  <si>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</si>
  <si>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</si>
  <si>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</si>
  <si>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</si>
  <si>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</si>
  <si>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</si>
  <si>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</si>
  <si>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</si>
  <si>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</si>
  <si>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</si>
  <si>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</si>
  <si>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</si>
  <si>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</si>
  <si>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</si>
  <si>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</si>
  <si>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</si>
  <si>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</si>
  <si>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</si>
  <si>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</si>
  <si>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</si>
  <si>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</si>
  <si>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</si>
  <si>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</si>
  <si>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</si>
  <si>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</si>
  <si>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</si>
  <si>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</si>
  <si>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</si>
  <si>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</si>
  <si>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</si>
  <si>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</si>
  <si>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</si>
  <si>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</si>
  <si>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</si>
  <si>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</si>
  <si>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</si>
  <si>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</si>
  <si>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</si>
  <si>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</si>
  <si>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</si>
  <si>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</si>
  <si>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</si>
  <si>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</si>
  <si>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</si>
  <si>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</si>
  <si>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</si>
  <si>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</si>
  <si>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</si>
  <si>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</si>
  <si>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</si>
  <si>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</si>
  <si>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</si>
  <si>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</si>
  <si>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</si>
  <si>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</si>
  <si>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</si>
  <si>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</si>
  <si>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</si>
  <si>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</si>
  <si>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</si>
  <si>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</si>
  <si>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</si>
  <si>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</si>
  <si>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</si>
  <si>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</si>
  <si>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</si>
  <si>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</si>
  <si>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</si>
  <si>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</si>
  <si>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</si>
  <si>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</si>
  <si>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</si>
  <si>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</si>
  <si>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</si>
  <si>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</si>
  <si>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</si>
  <si>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</si>
  <si>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</si>
  <si>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</si>
  <si>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</si>
  <si>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</si>
  <si>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</si>
  <si>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</si>
  <si>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</si>
  <si>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</si>
  <si>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</si>
  <si>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</si>
  <si>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</si>
  <si>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</si>
  <si>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</si>
  <si>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</si>
  <si>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</si>
  <si>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</si>
  <si>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</si>
  <si>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</si>
  <si>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</si>
  <si>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</si>
  <si>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</si>
  <si>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</si>
  <si>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</si>
  <si>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</si>
  <si>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</si>
  <si>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</si>
  <si>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</si>
  <si>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</si>
  <si>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</si>
  <si>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</si>
  <si>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</si>
  <si>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</si>
  <si>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</si>
  <si>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</si>
  <si>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</si>
  <si>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</si>
  <si>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</si>
  <si>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</si>
  <si>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</si>
  <si>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</si>
  <si>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</si>
  <si>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</si>
  <si>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</si>
  <si>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</si>
  <si>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</si>
  <si>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</si>
  <si>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</si>
  <si>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</si>
  <si>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</si>
  <si>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</si>
  <si>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</si>
  <si>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</si>
  <si>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</si>
  <si>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</si>
  <si>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</si>
  <si>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</si>
  <si>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</si>
  <si>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</si>
  <si>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</si>
  <si>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</si>
  <si>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</si>
  <si>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</si>
  <si>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</si>
  <si>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</si>
  <si>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</si>
  <si>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</si>
  <si>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</si>
  <si>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</si>
  <si>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</si>
  <si>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</si>
  <si>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</si>
  <si>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</si>
  <si>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</si>
  <si>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</si>
  <si>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</si>
  <si>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</si>
  <si>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</si>
  <si>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</si>
  <si>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</si>
  <si>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</si>
  <si>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</si>
  <si>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</si>
  <si>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</si>
  <si>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</si>
  <si>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</si>
  <si>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</si>
  <si>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</si>
  <si>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</si>
  <si>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</si>
  <si>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</si>
  <si>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</si>
  <si>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</si>
  <si>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</si>
  <si>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</si>
  <si>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</si>
  <si>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</si>
  <si>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</si>
  <si>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</si>
  <si>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</si>
  <si>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</si>
  <si>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</si>
  <si>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</si>
  <si>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</si>
  <si>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</si>
  <si>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</si>
  <si>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</si>
  <si>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</si>
  <si>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</si>
  <si>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</si>
  <si>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</si>
  <si>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</si>
  <si>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</si>
  <si>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</si>
  <si>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</si>
  <si>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</si>
  <si>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</si>
  <si>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</si>
  <si>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</si>
  <si>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</si>
  <si>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</si>
  <si>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</si>
  <si>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</si>
  <si>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</si>
  <si>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</si>
  <si>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</si>
  <si>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</si>
  <si>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</si>
  <si>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</si>
  <si>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</si>
  <si>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</si>
  <si>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</si>
  <si>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</si>
  <si>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</si>
  <si>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</si>
  <si>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</si>
  <si>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</si>
  <si>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</si>
  <si>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</si>
  <si>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</si>
  <si>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</si>
  <si>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</si>
  <si>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</si>
  <si>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</si>
  <si>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</si>
  <si>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</si>
  <si>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</si>
  <si>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</si>
  <si>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</si>
  <si>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</si>
  <si>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</si>
  <si>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</si>
  <si>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</si>
  <si>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</si>
  <si>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</si>
  <si>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</si>
  <si>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</si>
  <si>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</si>
  <si>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</si>
  <si>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</si>
  <si>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</si>
  <si>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</si>
  <si>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</si>
  <si>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</si>
  <si>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</si>
  <si>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</si>
  <si>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</si>
  <si>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</si>
  <si>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</si>
  <si>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</si>
  <si>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</si>
  <si>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</si>
  <si>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</si>
  <si>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</si>
  <si>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</si>
  <si>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</si>
  <si>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</si>
  <si>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</si>
  <si>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</si>
  <si>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</si>
  <si>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</si>
  <si>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</si>
  <si>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</si>
  <si>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</si>
  <si>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</si>
  <si>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</si>
  <si>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</si>
  <si>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</si>
  <si>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</si>
  <si>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</si>
  <si>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</si>
  <si>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</si>
  <si>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</si>
  <si>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</si>
  <si>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</si>
  <si>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</si>
  <si>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</si>
  <si>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</si>
  <si>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</si>
  <si>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</si>
  <si>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</si>
  <si>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</si>
  <si>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</si>
  <si>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</si>
  <si>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</si>
  <si>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</si>
  <si>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</si>
  <si>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</si>
  <si>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</si>
  <si>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</si>
  <si>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</si>
  <si>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</si>
  <si>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</si>
  <si>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</si>
  <si>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</si>
  <si>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</si>
  <si>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</si>
  <si>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</si>
  <si>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</si>
  <si>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</si>
  <si>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</si>
  <si>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</si>
  <si>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</si>
  <si>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</si>
  <si>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</si>
  <si>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</si>
  <si>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</si>
  <si>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</si>
  <si>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</si>
  <si>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</si>
  <si>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</si>
  <si>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</si>
  <si>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</si>
  <si>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</si>
  <si>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</si>
  <si>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</si>
  <si>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</si>
  <si>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</si>
  <si>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</si>
  <si>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</si>
  <si>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</si>
  <si>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</si>
  <si>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</si>
  <si>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</si>
  <si>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</si>
  <si>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</si>
  <si>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</si>
  <si>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</si>
  <si>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</si>
  <si>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</si>
  <si>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</si>
  <si>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</si>
  <si>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</si>
  <si>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</si>
  <si>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</si>
  <si>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</si>
  <si>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</si>
  <si>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</si>
  <si>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</si>
  <si>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</si>
  <si>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</si>
  <si>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</si>
  <si>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</si>
  <si>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</si>
  <si>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</si>
  <si>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</si>
  <si>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</si>
  <si>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</si>
  <si>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</si>
  <si>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</si>
  <si>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</si>
  <si>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</si>
  <si>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</si>
  <si>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</si>
  <si>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</si>
  <si>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</si>
  <si>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</si>
  <si>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</si>
  <si>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</si>
  <si>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</si>
  <si>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</si>
  <si>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</si>
  <si>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</si>
  <si>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</si>
  <si>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</si>
  <si>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</si>
  <si>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</si>
  <si>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</si>
  <si>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</si>
  <si>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</si>
  <si>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</si>
  <si>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</si>
  <si>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</si>
  <si>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</si>
  <si>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</si>
  <si>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</si>
  <si>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</si>
  <si>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</si>
  <si>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</si>
  <si>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</si>
  <si>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</si>
  <si>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</si>
  <si>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</si>
  <si>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</si>
  <si>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</si>
  <si>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</si>
  <si>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</si>
  <si>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</si>
  <si>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</si>
  <si>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</si>
  <si>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</si>
  <si>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</si>
  <si>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</si>
  <si>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</si>
  <si>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</si>
  <si>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</si>
  <si>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</si>
  <si>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</si>
  <si>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</si>
  <si>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</si>
  <si>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</si>
  <si>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</si>
  <si>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</si>
  <si>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</si>
  <si>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</si>
  <si>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</si>
  <si>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</si>
  <si>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</si>
  <si>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</si>
  <si>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</si>
  <si>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</si>
  <si>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</si>
  <si>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</si>
  <si>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</si>
  <si>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</si>
  <si>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</si>
  <si>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</si>
  <si>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</si>
  <si>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</si>
  <si>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</si>
  <si>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</si>
  <si>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</si>
  <si>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</si>
  <si>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</si>
  <si>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</si>
  <si>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</si>
  <si>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</si>
  <si>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</si>
  <si>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</si>
  <si>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</si>
  <si>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</si>
  <si>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</si>
  <si>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</si>
  <si>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</si>
  <si>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</si>
  <si>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</si>
  <si>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</si>
  <si>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</si>
  <si>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</si>
  <si>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</si>
  <si>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</si>
  <si>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</si>
  <si>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</si>
  <si>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</si>
  <si>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</si>
  <si>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</si>
  <si>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</si>
  <si>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</si>
  <si>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</si>
  <si>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</si>
  <si>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</si>
  <si>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</si>
  <si>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</si>
  <si>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</si>
  <si>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</si>
  <si>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</si>
  <si>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</si>
  <si>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</si>
  <si>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</si>
  <si>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</si>
  <si>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</si>
  <si>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</si>
  <si>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</si>
  <si>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</si>
  <si>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</si>
  <si>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</si>
  <si>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</si>
  <si>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</si>
  <si>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</si>
  <si>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</si>
  <si>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Dia desde ingreso de escrito hasta la fecha de audiencia</t>
  </si>
  <si>
    <t>Promedio diario en el mes</t>
  </si>
  <si>
    <t>Septiembre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</si>
</sst>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4"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sz val="9"/>
      <color rgb="FF2E8B57"/>
      <name val="Courier New"/>
      <family val="3"/>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2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47" fillId="0" borderId="0" xfId="0" applyFont="1"/>
    <xf numFmtId="14" fontId="2" fillId="4" borderId="12"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2" fillId="10" borderId="0" xfId="0" applyFont="1" applyFill="1" applyBorder="1" applyAlignment="1">
      <alignment horizontal="center" vertical="center" wrapText="1"/>
    </xf>
    <xf numFmtId="0" fontId="34" fillId="4" borderId="2" xfId="0" applyFont="1" applyFill="1" applyBorder="1"/>
    <xf numFmtId="0" fontId="10" fillId="4" borderId="0" xfId="0" applyFont="1" applyFill="1" applyBorder="1" applyAlignment="1">
      <alignment horizontal="center" vertical="center" wrapText="1"/>
    </xf>
    <xf numFmtId="0" fontId="43" fillId="4" borderId="1"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0" fillId="4" borderId="2" xfId="0"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57150</xdr:rowOff>
        </xdr:from>
        <xdr:to>
          <xdr:col>8</xdr:col>
          <xdr:colOff>438150</xdr:colOff>
          <xdr:row>3</xdr:row>
          <xdr:rowOff>19050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56">
      <pivotArea dataOnly="0" labelOnly="1" outline="0" fieldPosition="0">
        <references count="1">
          <reference field="4" count="1">
            <x v="85"/>
          </reference>
        </references>
      </pivotArea>
    </format>
    <format dxfId="55">
      <pivotArea type="all" dataOnly="0" outline="0" fieldPosition="0"/>
    </format>
    <format dxfId="54">
      <pivotArea dataOnly="0" labelOnly="1" outline="0" fieldPosition="0">
        <references count="1">
          <reference field="4" count="1">
            <x v="85"/>
          </reference>
        </references>
      </pivotArea>
    </format>
    <format dxfId="53">
      <pivotArea field="6" type="button" dataOnly="0" labelOnly="1" outline="0" axis="axisRow" fieldPosition="0"/>
    </format>
    <format dxfId="52">
      <pivotArea dataOnly="0" labelOnly="1" fieldPosition="0">
        <references count="1">
          <reference field="6" count="3">
            <x v="0"/>
            <x v="2"/>
            <x v="8"/>
          </reference>
        </references>
      </pivotArea>
    </format>
    <format dxfId="51">
      <pivotArea dataOnly="0" labelOnly="1" outline="0" fieldPosition="0">
        <references count="1">
          <reference field="4" count="1">
            <x v="90"/>
          </reference>
        </references>
      </pivotArea>
    </format>
    <format dxfId="50">
      <pivotArea dataOnly="0" labelOnly="1" outline="0" fieldPosition="0">
        <references count="1">
          <reference field="4" count="1">
            <x v="99"/>
          </reference>
        </references>
      </pivotArea>
    </format>
    <format dxfId="49">
      <pivotArea dataOnly="0" labelOnly="1" outline="0" fieldPosition="0">
        <references count="1">
          <reference field="4" count="1">
            <x v="99"/>
          </reference>
        </references>
      </pivotArea>
    </format>
    <format dxfId="4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64">
      <pivotArea dataOnly="0" labelOnly="1" outline="0" fieldPosition="0">
        <references count="1">
          <reference field="4" count="1">
            <x v="86"/>
          </reference>
        </references>
      </pivotArea>
    </format>
    <format dxfId="63">
      <pivotArea dataOnly="0" labelOnly="1" outline="0" fieldPosition="0">
        <references count="1">
          <reference field="4" count="1">
            <x v="86"/>
          </reference>
        </references>
      </pivotArea>
    </format>
    <format dxfId="62">
      <pivotArea dataOnly="0" labelOnly="1" fieldPosition="0">
        <references count="1">
          <reference field="6" count="3">
            <x v="0"/>
            <x v="2"/>
            <x v="8"/>
          </reference>
        </references>
      </pivotArea>
    </format>
    <format dxfId="61">
      <pivotArea dataOnly="0" labelOnly="1" outline="0" fieldPosition="0">
        <references count="1">
          <reference field="4" count="1">
            <x v="91"/>
          </reference>
        </references>
      </pivotArea>
    </format>
    <format dxfId="60">
      <pivotArea dataOnly="0" labelOnly="1" outline="0" fieldPosition="0">
        <references count="1">
          <reference field="4" count="1">
            <x v="95"/>
          </reference>
        </references>
      </pivotArea>
    </format>
    <format dxfId="59">
      <pivotArea dataOnly="0" labelOnly="1" outline="0" fieldPosition="0">
        <references count="1">
          <reference field="4" count="1">
            <x v="95"/>
          </reference>
        </references>
      </pivotArea>
    </format>
    <format dxfId="58">
      <pivotArea dataOnly="0" labelOnly="1" outline="0" fieldPosition="0">
        <references count="1">
          <reference field="4" count="1">
            <x v="100"/>
          </reference>
        </references>
      </pivotArea>
    </format>
    <format dxfId="57">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5.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977"/>
  <sheetViews>
    <sheetView showGridLines="0" tabSelected="1" zoomScale="60" zoomScaleNormal="6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72                                      -                 37</v>
      </c>
      <c r="C1" s="233">
        <f ca="1" xml:space="preserve"> COUNTIF(O:O,"SI")</f>
        <v>793</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3460</v>
      </c>
    </row>
    <row r="3" spans="1:29" ht="5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6"/>
    </row>
    <row r="4" spans="1:29" ht="64.5"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6"/>
    </row>
    <row r="6" spans="1:29" ht="38.25"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6"/>
    </row>
    <row r="7" spans="1:29" ht="38.25"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6"/>
    </row>
    <row r="8" spans="1:29" ht="25.5"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6"/>
    </row>
    <row r="9" spans="1:29" ht="25.5"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6"/>
    </row>
    <row r="10" spans="1:29" ht="25.5"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6"/>
    </row>
    <row r="11" spans="1:29" ht="63.75"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6"/>
    </row>
    <row r="12" spans="1:29" ht="5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6"/>
    </row>
    <row r="13" spans="1:29" ht="25.5"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6"/>
    </row>
    <row r="14" spans="1:29" ht="25.5"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6"/>
    </row>
    <row r="15" spans="1:29" ht="5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6"/>
    </row>
    <row r="16" spans="1:29" ht="76.5"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6"/>
    </row>
    <row r="17" spans="1:29" ht="63.75"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6"/>
    </row>
    <row r="18" spans="1:29" ht="25.5"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6"/>
    </row>
    <row r="19" spans="1:29" ht="5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6"/>
    </row>
    <row r="20" spans="1:29" ht="76.5"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6"/>
    </row>
    <row r="21" spans="1:29" ht="25.5"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6"/>
    </row>
    <row r="22" spans="1:29" ht="25.5"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6"/>
    </row>
    <row r="23" spans="1:29" ht="38.25" x14ac:dyDescent="0.2">
      <c r="A23" s="6">
        <v>20</v>
      </c>
      <c r="B23" s="5">
        <v>44986</v>
      </c>
      <c r="C23" s="391">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6"/>
    </row>
    <row r="24" spans="1:29" ht="38.25" x14ac:dyDescent="0.2">
      <c r="A24" s="6">
        <v>21</v>
      </c>
      <c r="B24" s="5">
        <v>44986</v>
      </c>
      <c r="C24" s="391">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6"/>
    </row>
    <row r="25" spans="1:29" ht="38.25" x14ac:dyDescent="0.2">
      <c r="A25" s="6">
        <v>22</v>
      </c>
      <c r="B25" s="5">
        <v>44987</v>
      </c>
      <c r="C25" s="391">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6"/>
    </row>
    <row r="26" spans="1:29" ht="63.75"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6"/>
    </row>
    <row r="27" spans="1:29" ht="5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6"/>
    </row>
    <row r="28" spans="1:29" ht="25.5" x14ac:dyDescent="0.2">
      <c r="A28" s="6">
        <v>25</v>
      </c>
      <c r="B28" s="5">
        <v>44986</v>
      </c>
      <c r="C28" s="391">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6"/>
    </row>
    <row r="29" spans="1:29" ht="51" x14ac:dyDescent="0.2">
      <c r="A29" s="6">
        <v>26</v>
      </c>
      <c r="B29" s="5">
        <v>44992</v>
      </c>
      <c r="C29" s="391">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6"/>
    </row>
    <row r="30" spans="1:29" ht="38.25"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6"/>
    </row>
    <row r="31" spans="1:29" ht="51" x14ac:dyDescent="0.2">
      <c r="A31" s="6">
        <v>28</v>
      </c>
      <c r="B31" s="5">
        <v>44987</v>
      </c>
      <c r="C31" s="391"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6"/>
    </row>
    <row r="32" spans="1:29" ht="5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6"/>
    </row>
    <row r="33" spans="1:29" ht="51" x14ac:dyDescent="0.2">
      <c r="A33" s="6">
        <v>30</v>
      </c>
      <c r="B33" s="5">
        <v>44987</v>
      </c>
      <c r="C33" s="391">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6"/>
    </row>
    <row r="34" spans="1:29" ht="89.25"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6"/>
    </row>
    <row r="35" spans="1:29" ht="89.25"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6"/>
    </row>
    <row r="36" spans="1:29" ht="5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6"/>
    </row>
    <row r="37" spans="1:29" ht="5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6"/>
    </row>
    <row r="38" spans="1:29" ht="5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6"/>
    </row>
    <row r="39" spans="1:29" ht="5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6"/>
    </row>
    <row r="40" spans="1:29" ht="38.25"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6"/>
    </row>
    <row r="41" spans="1:29" ht="76.5"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6"/>
    </row>
    <row r="42" spans="1:29" ht="63.75"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6"/>
    </row>
    <row r="43" spans="1:29" ht="25.5"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6"/>
    </row>
    <row r="44" spans="1:29" ht="38.25"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6"/>
    </row>
    <row r="45" spans="1:29" ht="76.5"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6"/>
    </row>
    <row r="46" spans="1:29" ht="38.25"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6"/>
    </row>
    <row r="47" spans="1:29" ht="63.75"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6"/>
    </row>
    <row r="48" spans="1:29" ht="5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6"/>
    </row>
    <row r="49" spans="1:29" ht="25.5"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6"/>
    </row>
    <row r="50" spans="1:29" ht="5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6"/>
    </row>
    <row r="51" spans="1:29" ht="5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6"/>
    </row>
    <row r="52" spans="1:29" ht="5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6"/>
    </row>
    <row r="53" spans="1:29" ht="38.25"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6"/>
    </row>
    <row r="54" spans="1:29" ht="38.25"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6"/>
    </row>
    <row r="55" spans="1:29" ht="25.5"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6"/>
    </row>
    <row r="56" spans="1:29" ht="5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6"/>
    </row>
    <row r="57" spans="1:29" ht="89.25"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6"/>
    </row>
    <row r="58" spans="1:29" ht="63.75"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6"/>
    </row>
    <row r="59" spans="1:29" ht="63.75"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6"/>
    </row>
    <row r="60" spans="1:29" ht="25.5"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6"/>
    </row>
    <row r="61" spans="1:29" ht="38.25"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6"/>
    </row>
    <row r="62" spans="1:29" ht="63.75"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6"/>
    </row>
    <row r="63" spans="1:29" ht="76.5"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6"/>
    </row>
    <row r="64" spans="1:29" ht="5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6"/>
    </row>
    <row r="65" spans="1:29" ht="63.75"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6"/>
    </row>
    <row r="66" spans="1:29" ht="25.5"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6"/>
    </row>
    <row r="67" spans="1:29" ht="5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6"/>
    </row>
    <row r="68" spans="1:29" ht="38.25"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6"/>
    </row>
    <row r="69" spans="1:29" ht="38.25"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6"/>
    </row>
    <row r="70" spans="1:29" ht="89.25"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6"/>
    </row>
    <row r="71" spans="1:29" ht="63.75"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6"/>
    </row>
    <row r="72" spans="1:29" ht="38.25"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6"/>
    </row>
    <row r="73" spans="1:29" ht="25.5"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6"/>
    </row>
    <row r="74" spans="1:29" ht="5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6"/>
    </row>
    <row r="75" spans="1:29" ht="63.75"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6"/>
    </row>
    <row r="76" spans="1:29" ht="38.25"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6"/>
    </row>
    <row r="77" spans="1:29" ht="76.5"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6"/>
    </row>
    <row r="78" spans="1:29" ht="38.25"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6"/>
    </row>
    <row r="79" spans="1:29" ht="25.5"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6"/>
    </row>
    <row r="80" spans="1:29" ht="89.25"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6"/>
    </row>
    <row r="81" spans="1:29" ht="38.25"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6"/>
    </row>
    <row r="82" spans="1:29" ht="89.25"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6"/>
    </row>
    <row r="83" spans="1:29" ht="5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6"/>
    </row>
    <row r="84" spans="1:29" ht="38.25"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6"/>
    </row>
    <row r="85" spans="1:29" ht="38.25"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6"/>
    </row>
    <row r="86" spans="1:29" ht="25.5"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6"/>
    </row>
    <row r="87" spans="1:29" ht="38.25"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6"/>
    </row>
    <row r="88" spans="1:29" ht="95.25"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6"/>
    </row>
    <row r="89" spans="1:29" ht="76.5"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6"/>
    </row>
    <row r="90" spans="1:29" ht="46.5"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6"/>
    </row>
    <row r="91" spans="1:29" ht="25.5"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6"/>
    </row>
    <row r="92" spans="1:29" ht="76.5"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6"/>
    </row>
    <row r="93" spans="1:29" s="7" customFormat="1" ht="25.5"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6"/>
    </row>
    <row r="94" spans="1:29" ht="76.5"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6"/>
    </row>
    <row r="96" spans="1:29" ht="76.5"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6"/>
    </row>
    <row r="98" spans="1:29" ht="25.5"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6"/>
    </row>
    <row r="99" spans="1:29" ht="38.25"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6"/>
    </row>
    <row r="100" spans="1:29" ht="38.25"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6"/>
    </row>
    <row r="101" spans="1:29" ht="38.25"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6"/>
    </row>
    <row r="102" spans="1:29" ht="63.75"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6"/>
    </row>
    <row r="103" spans="1:29" ht="5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6"/>
    </row>
    <row r="104" spans="1:29" ht="38.25"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6"/>
    </row>
    <row r="105" spans="1:29" ht="38.25"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6"/>
    </row>
    <row r="106" spans="1:29" ht="5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6"/>
    </row>
    <row r="107" spans="1:29" ht="63.75"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6"/>
    </row>
    <row r="108" spans="1:29" ht="5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6"/>
    </row>
    <row r="109" spans="1:29" ht="38.25"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6"/>
    </row>
    <row r="110" spans="1:29" ht="38.25"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6"/>
    </row>
    <row r="111" spans="1:29" ht="76.5"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6"/>
    </row>
    <row r="112" spans="1:29" ht="38.25"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6"/>
    </row>
    <row r="113" spans="1:29" ht="5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6"/>
    </row>
    <row r="114" spans="1:29" ht="38.25"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6"/>
    </row>
    <row r="115" spans="1:29" ht="38.25"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6"/>
    </row>
    <row r="116" spans="1:29" ht="63.75"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6"/>
    </row>
    <row r="117" spans="1:29" ht="38.25"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6"/>
    </row>
    <row r="118" spans="1:29" ht="38.25"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6"/>
    </row>
    <row r="119" spans="1:29" ht="89.25"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6"/>
    </row>
    <row r="120" spans="1:29" ht="38.25"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6"/>
    </row>
    <row r="121" spans="1:29" ht="38.25"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6"/>
    </row>
    <row r="122" spans="1:29" ht="38.25"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6"/>
    </row>
    <row r="123" spans="1:29" ht="5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6"/>
    </row>
    <row r="124" spans="1:29" ht="38.25"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6"/>
    </row>
    <row r="125" spans="1:29" ht="5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6"/>
    </row>
    <row r="126" spans="1:29" ht="102"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6"/>
    </row>
    <row r="127" spans="1:29" ht="5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6"/>
    </row>
    <row r="128" spans="1:29" ht="5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6"/>
    </row>
    <row r="129" spans="1:29" ht="38.25"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6"/>
    </row>
    <row r="130" spans="1:29" ht="25.5"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6"/>
    </row>
    <row r="131" spans="1:29" ht="63.75"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6"/>
    </row>
    <row r="132" spans="1:29" ht="38.25"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6"/>
    </row>
    <row r="133" spans="1:29" ht="63.75"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6"/>
    </row>
    <row r="134" spans="1:29" ht="38.25"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6"/>
    </row>
    <row r="135" spans="1:29" ht="25.5"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6"/>
    </row>
    <row r="136" spans="1:29" ht="25.5"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6"/>
    </row>
    <row r="137" spans="1:29" ht="38.25"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6"/>
    </row>
    <row r="138" spans="1:29" ht="63.75"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6"/>
    </row>
    <row r="139" spans="1:29" ht="25.5"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6"/>
    </row>
    <row r="140" spans="1:29" ht="38.25"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6"/>
    </row>
    <row r="141" spans="1:29" ht="5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6"/>
    </row>
    <row r="142" spans="1:29" ht="38.25"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6"/>
    </row>
    <row r="143" spans="1:29" ht="5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6"/>
    </row>
    <row r="144" spans="1:29" ht="63.75"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6"/>
    </row>
    <row r="145" spans="1:29" ht="63.75"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6"/>
    </row>
    <row r="146" spans="1:29" ht="89.25"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6"/>
    </row>
    <row r="147" spans="1:29" ht="63.75"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6"/>
    </row>
    <row r="148" spans="1:29" ht="153"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6"/>
    </row>
    <row r="149" spans="1:29" ht="76.5"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6"/>
    </row>
    <row r="150" spans="1:29" ht="76.5"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6"/>
    </row>
    <row r="151" spans="1:29" ht="76.5"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6"/>
    </row>
    <row r="152" spans="1:29" ht="25.5"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6"/>
    </row>
    <row r="153" spans="1:29" ht="5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6"/>
    </row>
    <row r="154" spans="1:29" ht="5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6"/>
    </row>
    <row r="155" spans="1:29" ht="63.75"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6"/>
    </row>
    <row r="156" spans="1:29" ht="63.75"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6"/>
    </row>
    <row r="157" spans="1:29" ht="102"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6"/>
    </row>
    <row r="158" spans="1:29" ht="63.75"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6"/>
    </row>
    <row r="159" spans="1:29" ht="38.25"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6"/>
    </row>
    <row r="160" spans="1:29" ht="5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6"/>
    </row>
    <row r="161" spans="1:29" ht="5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6"/>
    </row>
    <row r="162" spans="1:29" ht="63.75"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6"/>
    </row>
    <row r="163" spans="1:29" ht="5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6"/>
    </row>
    <row r="164" spans="1:29" ht="5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6"/>
    </row>
    <row r="165" spans="1:29" ht="38.25"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6"/>
    </row>
    <row r="166" spans="1:29" ht="89.25"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6"/>
    </row>
    <row r="167" spans="1:29" ht="25.5"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6"/>
    </row>
    <row r="168" spans="1:29" ht="25.5"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6"/>
    </row>
    <row r="169" spans="1:29" ht="25.5"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6"/>
    </row>
    <row r="170" spans="1:29" ht="25.5"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6"/>
    </row>
    <row r="171" spans="1:29" ht="25.5"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6"/>
    </row>
    <row r="172" spans="1:29" ht="25.5"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6"/>
    </row>
    <row r="173" spans="1:29" ht="25.5"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6"/>
    </row>
    <row r="174" spans="1:29" ht="63.75"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6"/>
    </row>
    <row r="175" spans="1:29" ht="25.5"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6"/>
    </row>
    <row r="176" spans="1:29" ht="76.5"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6"/>
    </row>
    <row r="177" spans="1:29" ht="38.25"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6"/>
    </row>
    <row r="178" spans="1:29" ht="89.25"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6"/>
    </row>
    <row r="179" spans="1:29" ht="25.5"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6"/>
    </row>
    <row r="180" spans="1:29" ht="25.5"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6"/>
    </row>
    <row r="181" spans="1:29" ht="38.25"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6"/>
    </row>
    <row r="182" spans="1:29" ht="25.5"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6"/>
    </row>
    <row r="183" spans="1:29" ht="25.5"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6"/>
    </row>
    <row r="184" spans="1:29" ht="5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6"/>
    </row>
    <row r="185" spans="1:29" ht="25.5"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6"/>
    </row>
    <row r="186" spans="1:29" ht="5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6"/>
    </row>
    <row r="187" spans="1:29" ht="38.25"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6"/>
    </row>
    <row r="188" spans="1:29" ht="5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6"/>
    </row>
    <row r="189" spans="1:29" ht="5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6"/>
    </row>
    <row r="190" spans="1:29" ht="38.25"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6"/>
    </row>
    <row r="191" spans="1:29" ht="127.5"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6"/>
    </row>
    <row r="192" spans="1:29" ht="63.75"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6"/>
    </row>
    <row r="193" spans="1:29" ht="25.5"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6"/>
    </row>
    <row r="194" spans="1:29" ht="165.75"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6"/>
    </row>
    <row r="195" spans="1:29" ht="25.5"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6"/>
    </row>
    <row r="196" spans="1:29" ht="63.75"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6"/>
    </row>
    <row r="197" spans="1:29" ht="25.5"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6"/>
    </row>
    <row r="198" spans="1:29" ht="38.25"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6"/>
    </row>
    <row r="199" spans="1:29" ht="38.25"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6"/>
    </row>
    <row r="200" spans="1:29" ht="5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6"/>
    </row>
    <row r="201" spans="1:29" ht="25.5"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6"/>
    </row>
    <row r="202" spans="1:29" ht="89.25"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6"/>
    </row>
    <row r="203" spans="1:29" ht="5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6"/>
    </row>
    <row r="204" spans="1:29" ht="140.25"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6"/>
    </row>
    <row r="205" spans="1:29" ht="38.25"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6"/>
    </row>
    <row r="206" spans="1:29" ht="25.5"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6"/>
    </row>
    <row r="207" spans="1:29" ht="51" outlineLevel="1" x14ac:dyDescent="0.2">
      <c r="A207" s="6">
        <v>204</v>
      </c>
      <c r="B207" s="68">
        <v>43963</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6"/>
    </row>
    <row r="208" spans="1:29" ht="38.25"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6"/>
    </row>
    <row r="209" spans="1:29" ht="38.25"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6"/>
    </row>
    <row r="210" spans="1:29" ht="25.5"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6"/>
    </row>
    <row r="211" spans="1:29" ht="5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6"/>
    </row>
    <row r="212" spans="1:29" ht="63.75"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6"/>
    </row>
    <row r="213" spans="1:29" ht="5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6"/>
    </row>
    <row r="214" spans="1:29" ht="38.25"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6"/>
    </row>
    <row r="215" spans="1:29" ht="5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6"/>
    </row>
    <row r="216" spans="1:29" ht="25.5"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6"/>
    </row>
    <row r="217" spans="1:29" ht="5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6"/>
    </row>
    <row r="218" spans="1:29" ht="38.25"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6"/>
    </row>
    <row r="219" spans="1:29" ht="5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6"/>
    </row>
    <row r="220" spans="1:29" ht="76.5"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6"/>
    </row>
    <row r="221" spans="1:29" ht="25.5"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6"/>
    </row>
    <row r="222" spans="1:29" ht="89.25"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6"/>
    </row>
    <row r="223" spans="1:29" ht="38.25"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6"/>
    </row>
    <row r="224" spans="1:29" ht="5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6"/>
    </row>
    <row r="225" spans="1:29" ht="5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6"/>
    </row>
    <row r="226" spans="1:29" ht="5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6"/>
    </row>
    <row r="227" spans="1:29" ht="63.75"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6"/>
    </row>
    <row r="228" spans="1:29" ht="5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6"/>
    </row>
    <row r="229" spans="1:29" ht="5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6"/>
    </row>
    <row r="230" spans="1:29" ht="5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6"/>
    </row>
    <row r="231" spans="1:29" ht="25.5"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6"/>
    </row>
    <row r="232" spans="1:29" ht="5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6"/>
    </row>
    <row r="233" spans="1:29" ht="63.75"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6"/>
    </row>
    <row r="234" spans="1:29" ht="5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6"/>
    </row>
    <row r="235" spans="1:29" ht="38.25"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6"/>
    </row>
    <row r="236" spans="1:29" ht="38.25"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6"/>
    </row>
    <row r="237" spans="1:29" ht="38.25"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6"/>
    </row>
    <row r="238" spans="1:29" ht="38.25"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98"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6"/>
    </row>
    <row r="239" spans="1:29" ht="76.5"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6"/>
    </row>
    <row r="240" spans="1:29" ht="5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99" t="str">
        <f t="shared" si="17"/>
        <v>NO</v>
      </c>
      <c r="U240" s="399"/>
      <c r="V240" s="56"/>
      <c r="W240" s="66"/>
      <c r="X240" s="66" t="s">
        <v>1208</v>
      </c>
      <c r="Y240" s="66"/>
      <c r="Z240" s="121"/>
      <c r="AA240" s="279"/>
      <c r="AB240" s="330"/>
      <c r="AC240" s="366"/>
    </row>
    <row r="241" spans="1:29" ht="38.25"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6"/>
    </row>
    <row r="242" spans="1:29" ht="5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6"/>
    </row>
    <row r="243" spans="1:29" ht="63.75"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6"/>
    </row>
    <row r="244" spans="1:29" ht="76.5"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6"/>
    </row>
    <row r="245" spans="1:29" ht="38.25"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6"/>
    </row>
    <row r="246" spans="1:29" ht="5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6"/>
    </row>
    <row r="247" spans="1:29" ht="25.5"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6"/>
    </row>
    <row r="248" spans="1:29" ht="63.75"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6"/>
    </row>
    <row r="249" spans="1:29" ht="5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6"/>
    </row>
    <row r="250" spans="1:29" ht="38.25"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6"/>
    </row>
    <row r="251" spans="1:29" ht="38.25"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6"/>
    </row>
    <row r="252" spans="1:29" ht="38.25"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6"/>
    </row>
    <row r="253" spans="1:29" ht="5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6"/>
    </row>
    <row r="254" spans="1:29" ht="76.5"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6"/>
    </row>
    <row r="255" spans="1:29" ht="25.5"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6"/>
    </row>
    <row r="256" spans="1:29" ht="5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8"/>
      <c r="AB256" s="279" t="s">
        <v>1174</v>
      </c>
      <c r="AC256" s="366"/>
    </row>
    <row r="257" spans="1:29" ht="89.25"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6"/>
    </row>
    <row r="258" spans="1:29" ht="38.25"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6"/>
    </row>
    <row r="259" spans="1:29" ht="5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6"/>
    </row>
    <row r="260" spans="1:29" ht="38.25"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6"/>
    </row>
    <row r="261" spans="1:29" ht="5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6"/>
    </row>
    <row r="262" spans="1:29" ht="38.25"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6"/>
    </row>
    <row r="263" spans="1:29" ht="89.25"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6"/>
    </row>
    <row r="264" spans="1:29" ht="25.5"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404" t="s">
        <v>748</v>
      </c>
      <c r="AA264" s="121" t="s">
        <v>743</v>
      </c>
      <c r="AB264" s="279" t="s">
        <v>1175</v>
      </c>
      <c r="AC264" s="366"/>
    </row>
    <row r="265" spans="1:29" ht="38.25" outlineLevel="1" x14ac:dyDescent="0.2">
      <c r="A265" s="6">
        <v>263</v>
      </c>
      <c r="B265" s="18">
        <v>45098</v>
      </c>
      <c r="C265" s="14">
        <v>0.38263888888888892</v>
      </c>
      <c r="D265" s="6" t="s">
        <v>1213</v>
      </c>
      <c r="E265" s="40" t="s">
        <v>1426</v>
      </c>
      <c r="F265" s="386">
        <v>2</v>
      </c>
      <c r="G265" s="18" t="s">
        <v>43</v>
      </c>
      <c r="H265" s="18">
        <v>45106</v>
      </c>
      <c r="I265" s="18" t="s">
        <v>1086</v>
      </c>
      <c r="J265" s="18" t="s">
        <v>1221</v>
      </c>
      <c r="K265" s="386">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6"/>
    </row>
    <row r="266" spans="1:29" ht="5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6"/>
    </row>
    <row r="267" spans="1:29" ht="38.25"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6"/>
    </row>
    <row r="268" spans="1:29" ht="63.75"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6"/>
    </row>
    <row r="269" spans="1:29" ht="5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6"/>
    </row>
    <row r="270" spans="1:29" ht="38.25"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6"/>
    </row>
    <row r="271" spans="1:29" ht="5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6"/>
    </row>
    <row r="272" spans="1:29" ht="25.5"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6"/>
    </row>
    <row r="273" spans="1:29" ht="5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6"/>
    </row>
    <row r="274" spans="1:29" ht="38.25"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6"/>
    </row>
    <row r="275" spans="1:29" ht="38.25"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6"/>
    </row>
    <row r="276" spans="1:29" ht="63.75"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73"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6"/>
    </row>
    <row r="277" spans="1:29" ht="63.75"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6"/>
    </row>
    <row r="278" spans="1:29" ht="38.25"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6"/>
    </row>
    <row r="279" spans="1:29" ht="5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6"/>
    </row>
    <row r="280" spans="1:29" ht="38.25"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6"/>
    </row>
    <row r="281" spans="1:29" ht="25.5"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6"/>
    </row>
    <row r="282" spans="1:29" ht="5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6"/>
    </row>
    <row r="283" spans="1:29" ht="38.25"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6"/>
    </row>
    <row r="284" spans="1:29" ht="38.25"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6"/>
    </row>
    <row r="285" spans="1:29" ht="38.25"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6"/>
    </row>
    <row r="286" spans="1:29" ht="76.5"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6"/>
    </row>
    <row r="287" spans="1:29" ht="5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6"/>
    </row>
    <row r="288" spans="1:29" ht="38.25"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6"/>
    </row>
    <row r="289" spans="1:29" ht="63.75"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6"/>
    </row>
    <row r="290" spans="1:29" ht="89.25"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6"/>
    </row>
    <row r="291" spans="1:29" ht="89.25"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6"/>
    </row>
    <row r="292" spans="1:29" ht="63.75"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6"/>
    </row>
    <row r="293" spans="1:29" ht="63.75"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6"/>
    </row>
    <row r="294" spans="1:29" ht="89.25"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6"/>
    </row>
    <row r="295" spans="1:29" ht="38.25"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6"/>
    </row>
    <row r="296" spans="1:29" ht="38.25"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6"/>
    </row>
    <row r="297" spans="1:29" ht="89.25"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6"/>
    </row>
    <row r="298" spans="1:29" ht="63.75"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6"/>
    </row>
    <row r="299" spans="1:29" ht="5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6"/>
    </row>
    <row r="300" spans="1:29" ht="38.25"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6"/>
    </row>
    <row r="301" spans="1:29" ht="38.25"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6"/>
    </row>
    <row r="302" spans="1:29" ht="114.75"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6"/>
    </row>
    <row r="303" spans="1:29" ht="25.5"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6"/>
    </row>
    <row r="304" spans="1:29" ht="25.5"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6"/>
    </row>
    <row r="305" spans="1:29" ht="38.25"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6"/>
    </row>
    <row r="306" spans="1:29" ht="38.25"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6"/>
    </row>
    <row r="307" spans="1:29" ht="102"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6"/>
    </row>
    <row r="308" spans="1:29" ht="38.25"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6"/>
    </row>
    <row r="309" spans="1:29" ht="38.25"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6"/>
    </row>
    <row r="310" spans="1:29" ht="38.25"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6"/>
    </row>
    <row r="311" spans="1:29" ht="5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6"/>
    </row>
    <row r="312" spans="1:29" ht="89.25"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6"/>
    </row>
    <row r="313" spans="1:29" ht="38.25"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6"/>
    </row>
    <row r="314" spans="1:29" ht="191.25"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6"/>
    </row>
    <row r="315" spans="1:29" ht="38.25"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6"/>
    </row>
    <row r="316" spans="1:29" ht="5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7" t="s">
        <v>1311</v>
      </c>
      <c r="Y316" s="66"/>
      <c r="Z316" s="121" t="s">
        <v>770</v>
      </c>
      <c r="AA316" s="121" t="s">
        <v>1171</v>
      </c>
      <c r="AB316" s="121" t="s">
        <v>1175</v>
      </c>
      <c r="AC316" s="366"/>
    </row>
    <row r="317" spans="1:29" ht="5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6"/>
    </row>
    <row r="318" spans="1:29" ht="5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6"/>
    </row>
    <row r="319" spans="1:29" ht="76.5"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6"/>
    </row>
    <row r="320" spans="1:29" ht="76.5"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6"/>
    </row>
    <row r="321" spans="1:29" ht="5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6"/>
    </row>
    <row r="322" spans="1:29" ht="5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7" t="s">
        <v>1657</v>
      </c>
      <c r="Y322" s="66"/>
      <c r="Z322" s="121" t="s">
        <v>1042</v>
      </c>
      <c r="AA322" s="121" t="s">
        <v>1171</v>
      </c>
      <c r="AB322" s="121" t="s">
        <v>1177</v>
      </c>
      <c r="AC322" s="366"/>
    </row>
    <row r="323" spans="1:29" ht="5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6"/>
    </row>
    <row r="324" spans="1:29" ht="5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6"/>
    </row>
    <row r="325" spans="1:29" ht="5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6"/>
    </row>
    <row r="326" spans="1:29" ht="63.75"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6"/>
    </row>
    <row r="327" spans="1:29" ht="102"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6"/>
    </row>
    <row r="328" spans="1:29" ht="38.25"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6"/>
    </row>
    <row r="329" spans="1:29" ht="89.25"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6"/>
    </row>
    <row r="330" spans="1:29" ht="5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6"/>
    </row>
    <row r="331" spans="1:29" ht="63.75"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6"/>
    </row>
    <row r="332" spans="1:29" ht="63.75"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6"/>
    </row>
    <row r="333" spans="1:29" ht="76.5"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6"/>
    </row>
    <row r="334" spans="1:29" ht="127.5"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6"/>
    </row>
    <row r="335" spans="1:29" ht="38.25"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6"/>
    </row>
    <row r="336" spans="1:29" ht="38.25"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6"/>
    </row>
    <row r="337" spans="1:29" ht="38.25"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6"/>
    </row>
    <row r="338" spans="1:29" ht="38.25"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6"/>
    </row>
    <row r="339" spans="1:29" ht="5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6"/>
    </row>
    <row r="340" spans="1:29" ht="63.75"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6"/>
    </row>
    <row r="341" spans="1:29" ht="25.5"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6"/>
    </row>
    <row r="342" spans="1:29" ht="63.75"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6"/>
    </row>
    <row r="343" spans="1:29" ht="76.5"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6"/>
    </row>
    <row r="344" spans="1:29" ht="63.75"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6"/>
    </row>
    <row r="345" spans="1:29" ht="102"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400" t="s">
        <v>1831</v>
      </c>
      <c r="Y345" s="66"/>
      <c r="Z345" s="121" t="s">
        <v>743</v>
      </c>
      <c r="AA345" s="75"/>
      <c r="AB345" s="75"/>
      <c r="AC345" s="366"/>
    </row>
    <row r="346" spans="1:29" ht="63.75"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6"/>
    </row>
    <row r="347" spans="1:29" ht="38.25"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6"/>
    </row>
    <row r="348" spans="1:29" ht="102"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6"/>
    </row>
    <row r="349" spans="1:29" ht="38.25"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7"/>
      <c r="Y349" s="66"/>
      <c r="Z349" s="121" t="s">
        <v>743</v>
      </c>
      <c r="AA349" s="75"/>
      <c r="AB349" s="75"/>
      <c r="AC349" s="366"/>
    </row>
    <row r="350" spans="1:29" ht="5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6"/>
    </row>
    <row r="351" spans="1:29" ht="38.25"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6"/>
    </row>
    <row r="352" spans="1:29" ht="63.75"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6"/>
    </row>
    <row r="353" spans="1:29" ht="5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6"/>
    </row>
    <row r="354" spans="1:29" ht="63.75"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6"/>
    </row>
    <row r="355" spans="1:29" ht="5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6"/>
    </row>
    <row r="356" spans="1:29" ht="38.25"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6"/>
    </row>
    <row r="357" spans="1:29" ht="63.75"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6"/>
    </row>
    <row r="358" spans="1:29" ht="5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7" t="s">
        <v>1755</v>
      </c>
      <c r="Y358" s="66"/>
      <c r="Z358" s="121" t="s">
        <v>1918</v>
      </c>
      <c r="AA358" s="75"/>
      <c r="AB358" s="75"/>
      <c r="AC358" s="366"/>
    </row>
    <row r="359" spans="1:29" ht="63.75"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6"/>
    </row>
    <row r="360" spans="1:29" ht="76.5"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6"/>
    </row>
    <row r="361" spans="1:29" ht="89.25"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6"/>
    </row>
    <row r="362" spans="1:29" ht="76.5"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6"/>
    </row>
    <row r="363" spans="1:29" ht="127.5"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6"/>
    </row>
    <row r="364" spans="1:29" ht="76.5"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6"/>
    </row>
    <row r="365" spans="1:29" ht="127.5"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6"/>
    </row>
    <row r="366" spans="1:29" ht="5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6"/>
    </row>
    <row r="367" spans="1:29" ht="5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6"/>
    </row>
    <row r="368" spans="1:29" ht="5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6"/>
    </row>
    <row r="369" spans="1:29" ht="63.75"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6"/>
    </row>
    <row r="370" spans="1:29" ht="25.5"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6"/>
    </row>
    <row r="371" spans="1:29" ht="127.5"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6"/>
    </row>
    <row r="372" spans="1:29" ht="76.5"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6"/>
    </row>
    <row r="373" spans="1:29" ht="76.5"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6"/>
    </row>
    <row r="374" spans="1:29" ht="5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6"/>
    </row>
    <row r="375" spans="1:29" ht="127.5"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7"/>
      <c r="Y375" s="66"/>
      <c r="Z375" s="121" t="s">
        <v>1042</v>
      </c>
      <c r="AA375" s="75"/>
      <c r="AB375" s="75"/>
      <c r="AC375" s="366"/>
    </row>
    <row r="376" spans="1:29" ht="5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6"/>
    </row>
    <row r="377" spans="1:29" ht="114.75"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6"/>
    </row>
    <row r="378" spans="1:29" ht="102"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6"/>
    </row>
    <row r="379" spans="1:29" ht="63.75"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6"/>
    </row>
    <row r="380" spans="1:29" ht="76.5"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6"/>
    </row>
    <row r="381" spans="1:29" ht="89.25"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406"/>
      <c r="AB381" s="75"/>
      <c r="AC381" s="366"/>
    </row>
    <row r="382" spans="1:29" ht="25.5"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6"/>
    </row>
    <row r="383" spans="1:29" ht="38.25"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6"/>
    </row>
    <row r="384" spans="1:29" ht="38.25"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6"/>
    </row>
    <row r="385" spans="1:29" ht="114.75"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6"/>
    </row>
    <row r="386" spans="1:29" ht="39.950000000000003"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6"/>
    </row>
    <row r="387" spans="1:29" ht="39.950000000000003"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6"/>
    </row>
    <row r="388" spans="1:29" ht="39.950000000000003"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6"/>
    </row>
    <row r="389" spans="1:29" ht="39.950000000000003"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6"/>
    </row>
    <row r="390" spans="1:29" ht="39.950000000000003"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6"/>
    </row>
    <row r="391" spans="1:29" ht="39.950000000000003"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6"/>
    </row>
    <row r="392" spans="1:29" ht="39.950000000000003"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6"/>
    </row>
    <row r="393" spans="1:29" ht="38.25"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6"/>
    </row>
    <row r="394" spans="1:29" ht="39.950000000000003"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6"/>
    </row>
    <row r="395" spans="1:29" ht="39.950000000000003"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6"/>
    </row>
    <row r="396" spans="1:29" ht="5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6"/>
    </row>
    <row r="397" spans="1:29" ht="39.950000000000003"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6"/>
    </row>
    <row r="398" spans="1:29" ht="39.950000000000003"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6"/>
    </row>
    <row r="399" spans="1:29" ht="39.950000000000003"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6"/>
    </row>
    <row r="400" spans="1:29" ht="39.950000000000003"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6"/>
    </row>
    <row r="401" spans="1:29" ht="39.950000000000003"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6"/>
    </row>
    <row r="402" spans="1:29" ht="39.950000000000003"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6"/>
    </row>
    <row r="403" spans="1:29" ht="153"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6"/>
    </row>
    <row r="404" spans="1:29" ht="76.5"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6"/>
    </row>
    <row r="405" spans="1:29" ht="76.5"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6"/>
    </row>
    <row r="406" spans="1:29" ht="39.950000000000003"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7" t="s">
        <v>2025</v>
      </c>
      <c r="Y406" s="66"/>
      <c r="Z406" s="121" t="s">
        <v>748</v>
      </c>
      <c r="AA406" s="121" t="s">
        <v>743</v>
      </c>
      <c r="AB406" s="121" t="s">
        <v>1175</v>
      </c>
      <c r="AC406" s="366"/>
    </row>
    <row r="407" spans="1:29" ht="39.950000000000003"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6"/>
    </row>
    <row r="408" spans="1:29" ht="39.950000000000003"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6"/>
    </row>
    <row r="409" spans="1:29" ht="63.75"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7"/>
      <c r="Y409" s="66"/>
      <c r="Z409" s="121" t="s">
        <v>770</v>
      </c>
      <c r="AA409" s="121" t="s">
        <v>1169</v>
      </c>
      <c r="AB409" s="121" t="s">
        <v>1176</v>
      </c>
      <c r="AC409" s="366"/>
    </row>
    <row r="410" spans="1:29" ht="5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6"/>
    </row>
    <row r="411" spans="1:29" ht="39.950000000000003"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6"/>
    </row>
    <row r="412" spans="1:29" ht="39.950000000000003"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6"/>
    </row>
    <row r="413" spans="1:29" ht="5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6"/>
    </row>
    <row r="414" spans="1:29" ht="89.25"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6"/>
    </row>
    <row r="415" spans="1:29" ht="25.5"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6"/>
    </row>
    <row r="416" spans="1:29" ht="38.25"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6"/>
    </row>
    <row r="417" spans="1:29" ht="5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6"/>
    </row>
    <row r="418" spans="1:29" ht="39.950000000000003"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6"/>
    </row>
    <row r="419" spans="1:29" ht="39.950000000000003"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6"/>
    </row>
    <row r="420" spans="1:29" ht="39.950000000000003"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6"/>
    </row>
    <row r="421" spans="1:29" ht="39.950000000000003"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6"/>
    </row>
    <row r="422" spans="1:29" ht="39.950000000000003"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6"/>
    </row>
    <row r="423" spans="1:29" ht="39.950000000000003"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6"/>
    </row>
    <row r="424" spans="1:29" ht="39.950000000000003"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6"/>
    </row>
    <row r="425" spans="1:29" ht="39.950000000000003"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6"/>
    </row>
    <row r="426" spans="1:29" ht="39.950000000000003"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6"/>
    </row>
    <row r="427" spans="1:29" ht="39.950000000000003"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6"/>
    </row>
    <row r="428" spans="1:29" ht="39.950000000000003"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6"/>
    </row>
    <row r="429" spans="1:29" ht="39.950000000000003"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6"/>
    </row>
    <row r="430" spans="1:29" ht="39.950000000000003"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6"/>
    </row>
    <row r="431" spans="1:29" ht="39.950000000000003"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6"/>
    </row>
    <row r="432" spans="1:29" ht="39.950000000000003"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6"/>
    </row>
    <row r="433" spans="1:29" ht="39.950000000000003"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6"/>
    </row>
    <row r="434" spans="1:29" ht="5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6"/>
    </row>
    <row r="435" spans="1:29" ht="39.950000000000003"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6"/>
    </row>
    <row r="436" spans="1:29" ht="39.950000000000003"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6"/>
    </row>
    <row r="437" spans="1:29" ht="139.5"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7" t="str">
        <f t="shared" ca="1" si="27"/>
        <v>SI</v>
      </c>
      <c r="P437" s="387" t="str">
        <f t="shared" si="25"/>
        <v>DIANOSOL</v>
      </c>
      <c r="Q437" s="6" t="s">
        <v>904</v>
      </c>
      <c r="R437" s="6" t="str">
        <f>VLOOKUP($Q437,Resultados!$A$1:$B$49,2,FALSE)</f>
        <v>Juicio Abreviado</v>
      </c>
      <c r="S437" s="6"/>
      <c r="T437" s="388" t="str">
        <f t="shared" si="26"/>
        <v>SI</v>
      </c>
      <c r="U437" s="388"/>
      <c r="V437" s="387"/>
      <c r="W437" s="6"/>
      <c r="X437" s="6"/>
      <c r="Y437" s="6"/>
      <c r="Z437" s="121" t="s">
        <v>1042</v>
      </c>
      <c r="AA437" s="279" t="s">
        <v>1171</v>
      </c>
      <c r="AB437" s="121" t="s">
        <v>1174</v>
      </c>
      <c r="AC437" s="366"/>
    </row>
    <row r="438" spans="1:29" ht="39.950000000000003"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6"/>
    </row>
    <row r="439" spans="1:29" ht="39.950000000000003"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6"/>
    </row>
    <row r="440" spans="1:29" ht="39.950000000000003"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6"/>
    </row>
    <row r="441" spans="1:29" ht="39.950000000000003"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7"/>
      <c r="Z441" s="121" t="s">
        <v>770</v>
      </c>
      <c r="AA441" s="121" t="s">
        <v>1169</v>
      </c>
      <c r="AB441" s="121" t="s">
        <v>1175</v>
      </c>
      <c r="AC441" s="366"/>
    </row>
    <row r="442" spans="1:29" ht="76.5"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6"/>
    </row>
    <row r="443" spans="1:29" ht="39.950000000000003"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6"/>
    </row>
    <row r="444" spans="1:29" ht="39.950000000000003"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6"/>
    </row>
    <row r="445" spans="1:29" ht="39.950000000000003"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6"/>
    </row>
    <row r="446" spans="1:29" ht="39.950000000000003"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6"/>
    </row>
    <row r="447" spans="1:29" ht="39.950000000000003"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6"/>
    </row>
    <row r="448" spans="1:29" ht="39.950000000000003"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6"/>
    </row>
    <row r="449" spans="1:29" ht="39.950000000000003"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6"/>
    </row>
    <row r="450" spans="1:29" ht="39.950000000000003"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6"/>
    </row>
    <row r="451" spans="1:29" ht="39.950000000000003"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6"/>
    </row>
    <row r="452" spans="1:29" ht="39.950000000000003"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6"/>
    </row>
    <row r="453" spans="1:29" ht="39.950000000000003"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6"/>
    </row>
    <row r="454" spans="1:29" ht="39.950000000000003"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6"/>
    </row>
    <row r="455" spans="1:29" ht="39.950000000000003"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6"/>
    </row>
    <row r="456" spans="1:29" ht="127.5"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6"/>
    </row>
    <row r="457" spans="1:29" ht="39.950000000000003"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6"/>
    </row>
    <row r="458" spans="1:29" ht="39.950000000000003"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6"/>
    </row>
    <row r="459" spans="1:29" ht="39.950000000000003"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6"/>
    </row>
    <row r="460" spans="1:29" ht="39.950000000000003"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6"/>
    </row>
    <row r="461" spans="1:29" ht="39.950000000000003"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6"/>
    </row>
    <row r="462" spans="1:29" ht="39.950000000000003"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6"/>
    </row>
    <row r="463" spans="1:29" ht="39.950000000000003"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6"/>
    </row>
    <row r="464" spans="1:29" ht="39.950000000000003"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6"/>
    </row>
    <row r="465" spans="1:29" ht="63.75"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6"/>
    </row>
    <row r="466" spans="1:29" ht="39.950000000000003"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6"/>
    </row>
    <row r="467" spans="1:29" ht="39.950000000000003"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6"/>
    </row>
    <row r="468" spans="1:29" ht="39.950000000000003"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6"/>
    </row>
    <row r="469" spans="1:29" ht="39.950000000000003"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6"/>
    </row>
    <row r="470" spans="1:29" ht="39.950000000000003"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6"/>
    </row>
    <row r="471" spans="1:29" ht="39.950000000000003"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6"/>
    </row>
    <row r="472" spans="1:29" ht="39.950000000000003"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6"/>
    </row>
    <row r="473" spans="1:29" ht="39.950000000000003"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6"/>
    </row>
    <row r="474" spans="1:29" ht="39.950000000000003"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6"/>
    </row>
    <row r="475" spans="1:29" ht="39.950000000000003"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6"/>
    </row>
    <row r="476" spans="1:29" ht="39.950000000000003"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6"/>
    </row>
    <row r="477" spans="1:29" ht="39.950000000000003"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6"/>
    </row>
    <row r="478" spans="1:29" ht="38.25"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6"/>
    </row>
    <row r="479" spans="1:29" ht="5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6"/>
    </row>
    <row r="480" spans="1:29" ht="39.950000000000003"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6"/>
    </row>
    <row r="481" spans="1:29" ht="76.5"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6"/>
    </row>
    <row r="482" spans="1:29" ht="39.950000000000003"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6"/>
    </row>
    <row r="483" spans="1:29" ht="25.5"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6"/>
    </row>
    <row r="484" spans="1:29" ht="39.950000000000003"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6"/>
    </row>
    <row r="485" spans="1:29" ht="39.950000000000003"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6"/>
    </row>
    <row r="486" spans="1:29" ht="39.950000000000003"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6"/>
    </row>
    <row r="487" spans="1:29" ht="39.950000000000003"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6"/>
    </row>
    <row r="488" spans="1:29" ht="38.25"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6"/>
    </row>
    <row r="489" spans="1:29" ht="39.950000000000003"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6"/>
    </row>
    <row r="490" spans="1:29" ht="39.950000000000003"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6"/>
    </row>
    <row r="491" spans="1:29" ht="39.950000000000003"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6"/>
    </row>
    <row r="492" spans="1:29" ht="39.950000000000003"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6"/>
    </row>
    <row r="493" spans="1:29" ht="39.950000000000003"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6"/>
    </row>
    <row r="494" spans="1:29" ht="39.950000000000003"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6"/>
    </row>
    <row r="495" spans="1:29" ht="127.5"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6"/>
    </row>
    <row r="496" spans="1:29" ht="5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7"/>
      <c r="Y496" s="66"/>
      <c r="Z496" s="121" t="s">
        <v>770</v>
      </c>
      <c r="AA496" s="121" t="s">
        <v>743</v>
      </c>
      <c r="AB496" s="121" t="s">
        <v>1174</v>
      </c>
      <c r="AC496" s="366"/>
    </row>
    <row r="497" spans="1:29" ht="39.950000000000003"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7" t="s">
        <v>2383</v>
      </c>
      <c r="Y497" s="66"/>
      <c r="Z497" s="121" t="s">
        <v>1041</v>
      </c>
      <c r="AA497" s="121" t="s">
        <v>743</v>
      </c>
      <c r="AB497" s="121" t="s">
        <v>1176</v>
      </c>
      <c r="AC497" s="366"/>
    </row>
    <row r="498" spans="1:29" ht="39.950000000000003"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6"/>
    </row>
    <row r="499" spans="1:29" ht="39.950000000000003"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6"/>
    </row>
    <row r="500" spans="1:29" ht="39.950000000000003"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6"/>
    </row>
    <row r="501" spans="1:29" ht="39.950000000000003"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6"/>
    </row>
    <row r="502" spans="1:29" ht="39.950000000000003"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6"/>
    </row>
    <row r="503" spans="1:29" ht="39.950000000000003"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7" t="s">
        <v>2456</v>
      </c>
      <c r="Y503" s="66"/>
      <c r="Z503" s="121" t="s">
        <v>743</v>
      </c>
      <c r="AA503" s="121" t="s">
        <v>1169</v>
      </c>
      <c r="AB503" s="121" t="s">
        <v>1176</v>
      </c>
      <c r="AC503" s="366"/>
    </row>
    <row r="504" spans="1:29" ht="39.950000000000003"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7"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7"/>
      <c r="Y504" s="66"/>
      <c r="Z504" s="121" t="s">
        <v>1041</v>
      </c>
      <c r="AA504" s="121" t="s">
        <v>743</v>
      </c>
      <c r="AB504" s="121" t="s">
        <v>1175</v>
      </c>
      <c r="AC504" s="366"/>
    </row>
    <row r="505" spans="1:29" ht="39.950000000000003"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7"/>
      <c r="Y505" s="66"/>
      <c r="Z505" s="121" t="s">
        <v>770</v>
      </c>
      <c r="AA505" s="121" t="s">
        <v>743</v>
      </c>
      <c r="AB505" s="121" t="s">
        <v>1174</v>
      </c>
      <c r="AC505" s="366"/>
    </row>
    <row r="506" spans="1:29" ht="39.950000000000003"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6"/>
    </row>
    <row r="507" spans="1:29" ht="39.950000000000003"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7" t="s">
        <v>2481</v>
      </c>
      <c r="Y507" s="66"/>
      <c r="Z507" s="121" t="s">
        <v>770</v>
      </c>
      <c r="AA507" s="121" t="s">
        <v>743</v>
      </c>
      <c r="AB507" s="121" t="s">
        <v>1173</v>
      </c>
      <c r="AC507" s="366"/>
    </row>
    <row r="508" spans="1:29" ht="39.950000000000003"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7"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401" t="s">
        <v>2410</v>
      </c>
      <c r="Y508" s="66"/>
      <c r="Z508" s="121" t="s">
        <v>1041</v>
      </c>
      <c r="AA508" s="121" t="s">
        <v>743</v>
      </c>
      <c r="AB508" s="121" t="s">
        <v>1173</v>
      </c>
      <c r="AC508" s="366"/>
    </row>
    <row r="509" spans="1:29" ht="63.75"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6"/>
    </row>
    <row r="510" spans="1:29" ht="76.5"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6"/>
    </row>
    <row r="511" spans="1:29" ht="5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6"/>
    </row>
    <row r="512" spans="1:29" ht="102"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6"/>
    </row>
    <row r="513" spans="1:29" ht="63.75"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6"/>
    </row>
    <row r="514" spans="1:29" ht="5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6"/>
    </row>
    <row r="515" spans="1:29" ht="5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6"/>
    </row>
    <row r="516" spans="1:29" ht="39.950000000000003"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6"/>
    </row>
    <row r="517" spans="1:29" ht="39.950000000000003"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6"/>
    </row>
    <row r="518" spans="1:29" ht="39.950000000000003"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6"/>
    </row>
    <row r="519" spans="1:29" ht="39.950000000000003"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6"/>
    </row>
    <row r="520" spans="1:29" ht="39.950000000000003"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6"/>
    </row>
    <row r="521" spans="1:29" ht="39.950000000000003"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6"/>
    </row>
    <row r="522" spans="1:29" ht="39.950000000000003"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6"/>
    </row>
    <row r="523" spans="1:29" ht="39.950000000000003"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6"/>
    </row>
    <row r="524" spans="1:29" ht="39.950000000000003"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6"/>
    </row>
    <row r="525" spans="1:29" ht="39.950000000000003"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6"/>
    </row>
    <row r="526" spans="1:29" ht="39.950000000000003"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6"/>
    </row>
    <row r="527" spans="1:29" ht="39.950000000000003"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6"/>
    </row>
    <row r="528" spans="1:29" ht="39.950000000000003"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6"/>
    </row>
    <row r="529" spans="1:29" ht="39.950000000000003"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6"/>
    </row>
    <row r="530" spans="1:29" ht="39.950000000000003"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7" t="s">
        <v>2637</v>
      </c>
      <c r="Y530" s="66"/>
      <c r="Z530" s="121" t="s">
        <v>1041</v>
      </c>
      <c r="AA530" s="121" t="s">
        <v>743</v>
      </c>
      <c r="AB530" s="121" t="s">
        <v>1173</v>
      </c>
      <c r="AC530" s="366"/>
    </row>
    <row r="531" spans="1:29" ht="39.950000000000003"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6"/>
    </row>
    <row r="532" spans="1:29" ht="39.950000000000003"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6"/>
    </row>
    <row r="533" spans="1:29" ht="39.950000000000003"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6"/>
    </row>
    <row r="534" spans="1:29" ht="39.950000000000003"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6"/>
    </row>
    <row r="535" spans="1:29" ht="39.950000000000003"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7"/>
      <c r="Y535" s="66"/>
      <c r="Z535" s="121" t="s">
        <v>748</v>
      </c>
      <c r="AA535" s="121" t="s">
        <v>743</v>
      </c>
      <c r="AB535" s="121" t="s">
        <v>1175</v>
      </c>
      <c r="AC535" s="366"/>
    </row>
    <row r="536" spans="1:29" ht="39.950000000000003"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7"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6"/>
    </row>
    <row r="537" spans="1:29" ht="38.25"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6"/>
    </row>
    <row r="538" spans="1:29" ht="39.950000000000003"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6"/>
    </row>
    <row r="539" spans="1:29" ht="76.5"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97"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6"/>
    </row>
    <row r="540" spans="1:29" ht="39.950000000000003"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6"/>
    </row>
    <row r="541" spans="1:29" ht="39.950000000000003"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6"/>
    </row>
    <row r="542" spans="1:29" ht="39.950000000000003"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6"/>
    </row>
    <row r="543" spans="1:29" ht="39.950000000000003"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6"/>
    </row>
    <row r="544" spans="1:29" ht="39.950000000000003"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6"/>
    </row>
    <row r="545" spans="1:29" ht="39.950000000000003"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392"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6"/>
    </row>
    <row r="546" spans="1:29" ht="39.950000000000003"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6"/>
    </row>
    <row r="547" spans="1:29" ht="39.950000000000003"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6"/>
    </row>
    <row r="548" spans="1:29" ht="39.950000000000003"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6"/>
    </row>
    <row r="549" spans="1:29" ht="39.950000000000003"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6"/>
    </row>
    <row r="550" spans="1:29" ht="39.950000000000003"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6"/>
    </row>
    <row r="551" spans="1:29" ht="39.950000000000003"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6"/>
    </row>
    <row r="552" spans="1:29" ht="39.950000000000003"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6"/>
    </row>
    <row r="553" spans="1:29" ht="39.950000000000003"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6"/>
    </row>
    <row r="554" spans="1:29" ht="39.950000000000003"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6"/>
    </row>
    <row r="555" spans="1:29" ht="39.950000000000003"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6"/>
    </row>
    <row r="556" spans="1:29" ht="39.950000000000003"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6"/>
    </row>
    <row r="557" spans="1:29" ht="39.950000000000003"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6"/>
    </row>
    <row r="558" spans="1:29" ht="173.25"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6"/>
    </row>
    <row r="559" spans="1:29" ht="65.25"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6"/>
    </row>
    <row r="560" spans="1:29" ht="39.950000000000003"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6"/>
    </row>
    <row r="561" spans="1:29" ht="39.950000000000003"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6"/>
    </row>
    <row r="562" spans="1:29" ht="39.950000000000003"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6"/>
    </row>
    <row r="563" spans="1:29" ht="39.950000000000003"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6"/>
    </row>
    <row r="564" spans="1:29" ht="39.950000000000003"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7"/>
      <c r="Y564" s="66"/>
      <c r="Z564" s="121" t="s">
        <v>748</v>
      </c>
      <c r="AA564" s="121" t="s">
        <v>1171</v>
      </c>
      <c r="AB564" s="121" t="s">
        <v>1176</v>
      </c>
      <c r="AC564" s="366"/>
    </row>
    <row r="565" spans="1:29" ht="39.950000000000003"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6"/>
    </row>
    <row r="566" spans="1:29" ht="39.950000000000003"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6"/>
    </row>
    <row r="567" spans="1:29" ht="39.950000000000003"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6"/>
    </row>
    <row r="568" spans="1:29" ht="38.25"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6"/>
    </row>
    <row r="569" spans="1:29" ht="89.25"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7"/>
      <c r="Y569" s="109"/>
      <c r="Z569" s="333" t="s">
        <v>748</v>
      </c>
      <c r="AA569" s="333" t="s">
        <v>1169</v>
      </c>
      <c r="AB569" s="333" t="s">
        <v>1173</v>
      </c>
      <c r="AC569" s="366"/>
    </row>
    <row r="570" spans="1:29" ht="39.950000000000003"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6"/>
    </row>
    <row r="571" spans="1:29" ht="39.950000000000003"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6"/>
    </row>
    <row r="572" spans="1:29" ht="39.950000000000003"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6"/>
    </row>
    <row r="573" spans="1:29" ht="39.950000000000003"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6"/>
    </row>
    <row r="574" spans="1:29" ht="39.950000000000003"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6"/>
    </row>
    <row r="575" spans="1:29" ht="39.950000000000003"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6"/>
    </row>
    <row r="576" spans="1:29" ht="106.5"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6"/>
    </row>
    <row r="577" spans="1:29" ht="39.950000000000003"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6"/>
    </row>
    <row r="578" spans="1:29" ht="39.950000000000003"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6"/>
    </row>
    <row r="579" spans="1:29" ht="39.950000000000003"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6"/>
    </row>
    <row r="580" spans="1:29" ht="39.950000000000003"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6"/>
    </row>
    <row r="581" spans="1:29" ht="39.950000000000003"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6"/>
    </row>
    <row r="582" spans="1:29" ht="39.950000000000003"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6"/>
    </row>
    <row r="583" spans="1:29" ht="39.950000000000003"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6"/>
    </row>
    <row r="584" spans="1:29" ht="39.950000000000003"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6"/>
    </row>
    <row r="585" spans="1:29" ht="39.950000000000003"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6"/>
    </row>
    <row r="586" spans="1:29" ht="39.950000000000003"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7"/>
      <c r="Y586" s="240"/>
      <c r="Z586" s="240"/>
      <c r="AA586" s="240"/>
      <c r="AB586" s="240"/>
      <c r="AC586" s="366"/>
    </row>
    <row r="587" spans="1:29" ht="39.950000000000003"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6"/>
    </row>
    <row r="588" spans="1:29" ht="39.950000000000003"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6"/>
    </row>
    <row r="589" spans="1:29" ht="5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7"/>
      <c r="Y589" s="66"/>
      <c r="Z589" s="121" t="s">
        <v>1042</v>
      </c>
      <c r="AA589" s="121" t="s">
        <v>1169</v>
      </c>
      <c r="AB589" s="121" t="s">
        <v>1175</v>
      </c>
      <c r="AC589" s="366"/>
    </row>
    <row r="590" spans="1:29" ht="39.950000000000003"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6"/>
    </row>
    <row r="591" spans="1:29" ht="39.950000000000003"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6"/>
    </row>
    <row r="592" spans="1:29" ht="39.950000000000003"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6"/>
    </row>
    <row r="593" spans="1:29" ht="39.950000000000003"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6"/>
    </row>
    <row r="594" spans="1:29" ht="39.950000000000003"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6"/>
    </row>
    <row r="595" spans="1:29" ht="39.950000000000003"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6"/>
    </row>
    <row r="596" spans="1:29" ht="39.950000000000003"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6"/>
    </row>
    <row r="597" spans="1:29" ht="39.950000000000003"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97" t="s">
        <v>2747</v>
      </c>
      <c r="Y597" s="66"/>
      <c r="Z597" s="121" t="s">
        <v>748</v>
      </c>
      <c r="AA597" s="121" t="s">
        <v>1171</v>
      </c>
      <c r="AB597" s="121" t="s">
        <v>1173</v>
      </c>
      <c r="AC597" s="366"/>
    </row>
    <row r="598" spans="1:29" ht="39.950000000000003"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6"/>
    </row>
    <row r="599" spans="1:29" ht="39.950000000000003"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7"/>
      <c r="Y599" s="66"/>
      <c r="Z599" s="121" t="s">
        <v>743</v>
      </c>
      <c r="AA599" s="121" t="s">
        <v>743</v>
      </c>
      <c r="AB599" s="121" t="s">
        <v>1173</v>
      </c>
      <c r="AC599" s="366"/>
    </row>
    <row r="600" spans="1:29" ht="39.950000000000003"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6"/>
    </row>
    <row r="601" spans="1:29" ht="39.950000000000003"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7"/>
      <c r="Y601" s="66"/>
      <c r="Z601" s="121" t="s">
        <v>743</v>
      </c>
      <c r="AA601" s="121" t="s">
        <v>2799</v>
      </c>
      <c r="AB601" s="121" t="s">
        <v>1173</v>
      </c>
      <c r="AC601" s="366"/>
    </row>
    <row r="602" spans="1:29" ht="39.950000000000003"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7"/>
      <c r="Y602" s="66"/>
      <c r="Z602" s="121" t="s">
        <v>1042</v>
      </c>
      <c r="AA602" s="121" t="s">
        <v>1169</v>
      </c>
      <c r="AB602" s="121" t="s">
        <v>1173</v>
      </c>
      <c r="AC602" s="366"/>
    </row>
    <row r="603" spans="1:29" ht="39.950000000000003"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6"/>
    </row>
    <row r="604" spans="1:29" ht="39.950000000000003"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6"/>
    </row>
    <row r="605" spans="1:29" ht="39.950000000000003"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6"/>
    </row>
    <row r="606" spans="1:29" ht="39.950000000000003"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6"/>
    </row>
    <row r="607" spans="1:29" ht="39.950000000000003"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6"/>
    </row>
    <row r="608" spans="1:29" ht="39.950000000000003"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6"/>
    </row>
    <row r="609" spans="1:29" ht="39.950000000000003"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6"/>
    </row>
    <row r="610" spans="1:29" ht="5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6"/>
    </row>
    <row r="611" spans="1:29" ht="39.950000000000003" customHeight="1" x14ac:dyDescent="0.2">
      <c r="A611" s="109">
        <v>609</v>
      </c>
      <c r="B611" s="390">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6"/>
    </row>
    <row r="612" spans="1:29" ht="39.950000000000003"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6"/>
    </row>
    <row r="613" spans="1:29" ht="39.950000000000003"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6"/>
    </row>
    <row r="614" spans="1:29" ht="39.950000000000003"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6"/>
    </row>
    <row r="615" spans="1:29" ht="38.25"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6"/>
    </row>
    <row r="616" spans="1:29" ht="39.950000000000003"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6"/>
    </row>
    <row r="617" spans="1:29" ht="39.950000000000003"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6"/>
    </row>
    <row r="618" spans="1:29" ht="39.950000000000003"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6"/>
    </row>
    <row r="619" spans="1:29" ht="39.950000000000003"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6"/>
    </row>
    <row r="620" spans="1:29" ht="39.950000000000003"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6"/>
    </row>
    <row r="621" spans="1:29" ht="39.950000000000003"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6"/>
    </row>
    <row r="622" spans="1:29" ht="39.950000000000003"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6"/>
    </row>
    <row r="623" spans="1:29" ht="39.950000000000003"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6"/>
    </row>
    <row r="624" spans="1:29" ht="39.950000000000003"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6"/>
    </row>
    <row r="625" spans="1:29" ht="39.950000000000003"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6"/>
    </row>
    <row r="626" spans="1:29" ht="39.950000000000003"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6"/>
    </row>
    <row r="627" spans="1:29" ht="39.950000000000003"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6"/>
    </row>
    <row r="628" spans="1:29" ht="39.950000000000003"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6"/>
    </row>
    <row r="629" spans="1:29" ht="39.950000000000003"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5" t="s">
        <v>1041</v>
      </c>
      <c r="AA629" s="121" t="s">
        <v>1169</v>
      </c>
      <c r="AB629" s="121" t="s">
        <v>1177</v>
      </c>
      <c r="AC629" s="366"/>
    </row>
    <row r="630" spans="1:29" ht="39.950000000000003"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6"/>
    </row>
    <row r="631" spans="1:29" ht="39.950000000000003"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6"/>
    </row>
    <row r="632" spans="1:29" ht="39.950000000000003"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6"/>
    </row>
    <row r="633" spans="1:29" ht="39.950000000000003"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6"/>
    </row>
    <row r="634" spans="1:29" ht="39.950000000000003"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6"/>
    </row>
    <row r="635" spans="1:29" ht="39.950000000000003"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6"/>
    </row>
    <row r="636" spans="1:29" ht="39.950000000000003"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6"/>
    </row>
    <row r="637" spans="1:29" ht="39.950000000000003"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7" t="s">
        <v>3135</v>
      </c>
      <c r="Y637" s="66"/>
      <c r="Z637" s="346" t="s">
        <v>2895</v>
      </c>
      <c r="AA637" s="346" t="s">
        <v>1171</v>
      </c>
      <c r="AB637" s="336" t="s">
        <v>1174</v>
      </c>
      <c r="AC637" s="366"/>
    </row>
    <row r="638" spans="1:29" ht="39.950000000000003"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7"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6"/>
    </row>
    <row r="639" spans="1:29" ht="39.950000000000003"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6"/>
    </row>
    <row r="640" spans="1:29" ht="39.950000000000003"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6"/>
    </row>
    <row r="641" spans="1:29" ht="39.950000000000003"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6"/>
    </row>
    <row r="642" spans="1:29" ht="39.950000000000003"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6"/>
    </row>
    <row r="643" spans="1:29" ht="87"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6"/>
    </row>
    <row r="644" spans="1:29" ht="39.950000000000003"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6"/>
    </row>
    <row r="645" spans="1:29" ht="39.950000000000003"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6"/>
    </row>
    <row r="646" spans="1:29" ht="39.950000000000003"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6"/>
    </row>
    <row r="647" spans="1:29" ht="39.950000000000003"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6"/>
    </row>
    <row r="648" spans="1:29" ht="39.950000000000003"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6"/>
    </row>
    <row r="649" spans="1:29" ht="39.950000000000003"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6"/>
    </row>
    <row r="650" spans="1:29" ht="39.950000000000003"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6"/>
    </row>
    <row r="651" spans="1:29" ht="5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6"/>
    </row>
    <row r="652" spans="1:29" ht="38.25"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6"/>
    </row>
    <row r="653" spans="1:29" ht="127.5"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6"/>
    </row>
    <row r="654" spans="1:29" ht="38.25"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6"/>
    </row>
    <row r="655" spans="1:29" ht="38.25"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6"/>
    </row>
    <row r="656" spans="1:29" ht="48"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6"/>
    </row>
    <row r="657" spans="1:29" ht="76.5"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6"/>
    </row>
    <row r="658" spans="1:29" ht="25.5"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7" t="s">
        <v>2984</v>
      </c>
      <c r="Y658" s="66"/>
      <c r="Z658" s="346" t="s">
        <v>1042</v>
      </c>
      <c r="AA658" s="121" t="s">
        <v>2852</v>
      </c>
      <c r="AB658" s="121" t="s">
        <v>1174</v>
      </c>
      <c r="AC658" s="366"/>
    </row>
    <row r="659" spans="1:29" ht="5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7"/>
      <c r="Y659" s="66"/>
      <c r="Z659" s="121" t="s">
        <v>2895</v>
      </c>
      <c r="AA659" s="121" t="s">
        <v>1171</v>
      </c>
      <c r="AB659" s="121" t="s">
        <v>1174</v>
      </c>
      <c r="AC659" s="366"/>
    </row>
    <row r="660" spans="1:29" ht="39.950000000000003"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7"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6"/>
    </row>
    <row r="661" spans="1:29" ht="39.950000000000003"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6"/>
    </row>
    <row r="662" spans="1:29" ht="39.950000000000003"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7"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6"/>
    </row>
    <row r="663" spans="1:29" ht="39.950000000000003"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3404</v>
      </c>
      <c r="O663" s="66" t="str">
        <f t="shared" ca="1" si="36"/>
        <v>SI</v>
      </c>
      <c r="P663" s="66" t="str">
        <f t="shared" si="37"/>
        <v>DIANOSOL</v>
      </c>
      <c r="Q663" s="66" t="s">
        <v>904</v>
      </c>
      <c r="R663" s="66" t="str">
        <f>VLOOKUP($Q663,Resultados!$A$1:$B$49,2,FALSE)</f>
        <v>Juicio Abreviado</v>
      </c>
      <c r="S663" s="66" t="s">
        <v>3405</v>
      </c>
      <c r="T663" s="75" t="str">
        <f t="shared" si="35"/>
        <v>NO</v>
      </c>
      <c r="U663" s="75"/>
      <c r="V663" s="66"/>
      <c r="W663" s="66" t="s">
        <v>1133</v>
      </c>
      <c r="X663" s="66" t="s">
        <v>2155</v>
      </c>
      <c r="Y663" s="66"/>
      <c r="Z663" s="336" t="s">
        <v>2867</v>
      </c>
      <c r="AA663" s="121" t="s">
        <v>1171</v>
      </c>
      <c r="AB663" s="121" t="s">
        <v>3365</v>
      </c>
      <c r="AC663" s="366"/>
    </row>
    <row r="664" spans="1:29" ht="39.950000000000003"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6"/>
    </row>
    <row r="665" spans="1:29" ht="39.950000000000003"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6"/>
    </row>
    <row r="666" spans="1:29" ht="39.950000000000003"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70"/>
    </row>
    <row r="667" spans="1:29" ht="39.950000000000003"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6"/>
    </row>
    <row r="668" spans="1:29" ht="39.950000000000003"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6"/>
    </row>
    <row r="669" spans="1:29" ht="39.950000000000003"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3289</v>
      </c>
      <c r="T669" s="84" t="str">
        <f t="shared" si="38"/>
        <v>NO</v>
      </c>
      <c r="U669" s="84"/>
      <c r="V669" s="81"/>
      <c r="W669" s="66" t="s">
        <v>3134</v>
      </c>
      <c r="X669" s="66" t="s">
        <v>3316</v>
      </c>
      <c r="Y669" s="66"/>
      <c r="Z669" s="121" t="s">
        <v>2867</v>
      </c>
      <c r="AA669" s="121" t="s">
        <v>2852</v>
      </c>
      <c r="AB669" s="121" t="s">
        <v>1177</v>
      </c>
      <c r="AC669" s="366"/>
    </row>
    <row r="670" spans="1:29" ht="39.950000000000003"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6"/>
    </row>
    <row r="671" spans="1:29" ht="39.950000000000003"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6"/>
    </row>
    <row r="672" spans="1:29" ht="39.950000000000003"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6"/>
    </row>
    <row r="673" spans="1:29" ht="39.950000000000003"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3409</v>
      </c>
      <c r="O673" s="66" t="str">
        <f t="shared" ca="1" si="36"/>
        <v>SI</v>
      </c>
      <c r="P673" s="66" t="str">
        <f t="shared" si="37"/>
        <v>DIANOSOL</v>
      </c>
      <c r="Q673" s="66" t="s">
        <v>151</v>
      </c>
      <c r="R673" s="66" t="s">
        <v>151</v>
      </c>
      <c r="S673" s="66" t="s">
        <v>1187</v>
      </c>
      <c r="T673" s="75" t="str">
        <f t="shared" si="38"/>
        <v>NO</v>
      </c>
      <c r="U673" s="75"/>
      <c r="V673" s="66"/>
      <c r="W673" s="66" t="s">
        <v>3410</v>
      </c>
      <c r="X673" s="66" t="s">
        <v>3411</v>
      </c>
      <c r="Y673" s="66"/>
      <c r="Z673" s="336" t="s">
        <v>770</v>
      </c>
      <c r="AA673" s="121" t="s">
        <v>2852</v>
      </c>
      <c r="AB673" s="75" t="s">
        <v>3365</v>
      </c>
      <c r="AC673" s="366"/>
    </row>
    <row r="674" spans="1:29" ht="39.950000000000003"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6"/>
    </row>
    <row r="675" spans="1:29" ht="39.950000000000003"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6"/>
    </row>
    <row r="676" spans="1:29" ht="39.950000000000003"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6"/>
    </row>
    <row r="677" spans="1:29" ht="39.950000000000003"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6"/>
    </row>
    <row r="678" spans="1:29" ht="39.950000000000003"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6"/>
    </row>
    <row r="679" spans="1:29" ht="39.950000000000003"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6"/>
    </row>
    <row r="680" spans="1:29" ht="39.950000000000003"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3406</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3407</v>
      </c>
      <c r="X680" s="66" t="s">
        <v>3196</v>
      </c>
      <c r="Y680" s="66"/>
      <c r="Z680" s="336" t="s">
        <v>2895</v>
      </c>
      <c r="AA680" s="121" t="s">
        <v>2852</v>
      </c>
      <c r="AB680" s="121" t="s">
        <v>1173</v>
      </c>
      <c r="AC680" s="366"/>
    </row>
    <row r="681" spans="1:29" ht="39.950000000000003"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6"/>
    </row>
    <row r="682" spans="1:29" ht="39.950000000000003"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6"/>
    </row>
    <row r="683" spans="1:29" ht="39.950000000000003"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6"/>
    </row>
    <row r="684" spans="1:29" ht="39.950000000000003"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6"/>
    </row>
    <row r="685" spans="1:29" ht="39.950000000000003"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6"/>
    </row>
    <row r="686" spans="1:29" ht="39.950000000000003"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6"/>
    </row>
    <row r="687" spans="1:29" ht="39.950000000000003"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6"/>
    </row>
    <row r="688" spans="1:29" ht="39.950000000000003"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3317</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3293</v>
      </c>
      <c r="Y688" s="66"/>
      <c r="Z688" s="121" t="s">
        <v>770</v>
      </c>
      <c r="AA688" s="121" t="s">
        <v>2852</v>
      </c>
      <c r="AB688" s="121" t="s">
        <v>1174</v>
      </c>
      <c r="AC688" s="366"/>
    </row>
    <row r="689" spans="1:29" ht="39.950000000000003"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6"/>
    </row>
    <row r="690" spans="1:29" ht="39.950000000000003"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6"/>
    </row>
    <row r="691" spans="1:29" ht="39.950000000000003"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6"/>
    </row>
    <row r="692" spans="1:29" ht="39.950000000000003"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6"/>
    </row>
    <row r="693" spans="1:29" ht="39.950000000000003"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6"/>
    </row>
    <row r="694" spans="1:29" ht="39.950000000000003"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6"/>
    </row>
    <row r="695" spans="1:29" ht="39.950000000000003"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6"/>
    </row>
    <row r="696" spans="1:29" ht="39.950000000000003"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6"/>
    </row>
    <row r="697" spans="1:29" ht="39.950000000000003"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6"/>
    </row>
    <row r="698" spans="1:29" ht="39.950000000000003"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6"/>
    </row>
    <row r="699" spans="1:29" ht="39.950000000000003"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6"/>
    </row>
    <row r="700" spans="1:29" ht="39.950000000000003"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6"/>
    </row>
    <row r="701" spans="1:29" ht="38.25"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3361</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3302</v>
      </c>
      <c r="AC701" s="366"/>
    </row>
    <row r="702" spans="1:29" ht="102"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6"/>
    </row>
    <row r="703" spans="1:29" ht="89.25"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6"/>
    </row>
    <row r="704" spans="1:29" ht="63.75"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6"/>
    </row>
    <row r="705" spans="1:29" ht="5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3351</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6"/>
    </row>
    <row r="706" spans="1:29" ht="38.25"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6"/>
    </row>
    <row r="707" spans="1:29" ht="76.5"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3353</v>
      </c>
      <c r="O707" s="81" t="str">
        <f t="shared" ca="1" si="39"/>
        <v>SI</v>
      </c>
      <c r="P707" s="81" t="str">
        <f t="shared" ref="P707:P770" si="40">IF($P$1=H707,"DIASOL", "DIANOSOL")</f>
        <v>DIANOSOL</v>
      </c>
      <c r="Q707" s="66" t="s">
        <v>904</v>
      </c>
      <c r="R707" s="66" t="str">
        <f>VLOOKUP($Q707,Resultados!$A$1:$B$49,2,FALSE)</f>
        <v>Juicio Abreviado</v>
      </c>
      <c r="S707" s="66" t="s">
        <v>3352</v>
      </c>
      <c r="T707" s="84" t="str">
        <f t="shared" si="38"/>
        <v>NO</v>
      </c>
      <c r="U707" s="84"/>
      <c r="V707" s="81"/>
      <c r="W707" s="66" t="s">
        <v>1639</v>
      </c>
      <c r="X707" s="230" t="s">
        <v>3354</v>
      </c>
      <c r="Y707" s="66"/>
      <c r="Z707" s="121" t="s">
        <v>2895</v>
      </c>
      <c r="AA707" s="121" t="s">
        <v>2852</v>
      </c>
      <c r="AB707" s="121" t="s">
        <v>1173</v>
      </c>
      <c r="AC707" s="366"/>
    </row>
    <row r="708" spans="1:29" ht="89.25"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6"/>
    </row>
    <row r="709" spans="1:29" ht="76.5"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6"/>
    </row>
    <row r="710" spans="1:29" ht="63.75"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3285</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3286</v>
      </c>
      <c r="Y710" s="66"/>
      <c r="Z710" s="121" t="s">
        <v>748</v>
      </c>
      <c r="AA710" s="121" t="s">
        <v>1171</v>
      </c>
      <c r="AB710" s="121" t="s">
        <v>1173</v>
      </c>
      <c r="AC710" s="366"/>
    </row>
    <row r="711" spans="1:29" ht="38.25"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3275</v>
      </c>
      <c r="T711" s="75" t="str">
        <f t="shared" si="38"/>
        <v>NO</v>
      </c>
      <c r="U711" s="75"/>
      <c r="V711" s="66"/>
      <c r="W711" s="66" t="s">
        <v>1274</v>
      </c>
      <c r="X711" s="66" t="s">
        <v>3276</v>
      </c>
      <c r="Y711" s="66"/>
      <c r="Z711" s="121" t="s">
        <v>770</v>
      </c>
      <c r="AA711" s="121" t="s">
        <v>2852</v>
      </c>
      <c r="AB711" s="121" t="s">
        <v>1174</v>
      </c>
      <c r="AC711" s="366"/>
    </row>
    <row r="712" spans="1:29" ht="63.75" x14ac:dyDescent="0.2">
      <c r="A712" s="66">
        <v>714</v>
      </c>
      <c r="B712" s="68">
        <v>45196</v>
      </c>
      <c r="C712" s="73">
        <v>0.48194444444444445</v>
      </c>
      <c r="D712" s="66" t="s">
        <v>3024</v>
      </c>
      <c r="E712" s="67" t="s">
        <v>3312</v>
      </c>
      <c r="F712" s="66">
        <v>1</v>
      </c>
      <c r="G712" s="66" t="s">
        <v>568</v>
      </c>
      <c r="H712" s="68">
        <v>45210</v>
      </c>
      <c r="I712" s="68" t="s">
        <v>73</v>
      </c>
      <c r="J712" s="68" t="s">
        <v>35</v>
      </c>
      <c r="K712" s="66">
        <f>IFERROR(VLOOKUP(J712,Jueces!$A$1:$B$11,2,FALSE),"")</f>
        <v>3</v>
      </c>
      <c r="L712" s="66" t="s">
        <v>2088</v>
      </c>
      <c r="M712" s="66" t="s">
        <v>712</v>
      </c>
      <c r="N712" s="66" t="s">
        <v>3349</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3350</v>
      </c>
      <c r="Y712" s="66"/>
      <c r="Z712" s="121" t="s">
        <v>770</v>
      </c>
      <c r="AA712" s="121" t="s">
        <v>1169</v>
      </c>
      <c r="AB712" s="121" t="s">
        <v>3301</v>
      </c>
      <c r="AC712" s="366"/>
    </row>
    <row r="713" spans="1:29" ht="63.75"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6"/>
    </row>
    <row r="714" spans="1:29" ht="38.25"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3526</v>
      </c>
      <c r="O714" s="81" t="str">
        <f t="shared" ca="1" si="39"/>
        <v>NO</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3301</v>
      </c>
      <c r="AC714" s="88"/>
    </row>
    <row r="715" spans="1:29" ht="5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3412</v>
      </c>
      <c r="O715" s="81" t="str">
        <f t="shared" ca="1" si="39"/>
        <v>SI</v>
      </c>
      <c r="P715" s="81" t="str">
        <f t="shared" si="40"/>
        <v>DIANOSOL</v>
      </c>
      <c r="Q715" s="66" t="s">
        <v>905</v>
      </c>
      <c r="R715" s="66" t="s">
        <v>100</v>
      </c>
      <c r="S715" s="66" t="s">
        <v>3355</v>
      </c>
      <c r="T715" s="84" t="str">
        <f t="shared" si="38"/>
        <v>NO</v>
      </c>
      <c r="U715" s="84"/>
      <c r="V715" s="81"/>
      <c r="W715" s="66" t="s">
        <v>3356</v>
      </c>
      <c r="X715" s="230"/>
      <c r="Y715" s="66"/>
      <c r="Z715" s="121" t="s">
        <v>2895</v>
      </c>
      <c r="AA715" s="121" t="s">
        <v>2852</v>
      </c>
      <c r="AB715" s="121" t="s">
        <v>1175</v>
      </c>
      <c r="AC715" s="366"/>
    </row>
    <row r="716" spans="1:29" ht="63.75"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3291</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3292</v>
      </c>
      <c r="Y716" s="66"/>
      <c r="Z716" s="121" t="s">
        <v>748</v>
      </c>
      <c r="AA716" s="121" t="s">
        <v>1171</v>
      </c>
      <c r="AB716" s="121" t="s">
        <v>1173</v>
      </c>
      <c r="AC716" s="366"/>
    </row>
    <row r="717" spans="1:29" ht="63.75"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7" t="s">
        <v>3261</v>
      </c>
      <c r="Y717" s="66"/>
      <c r="Z717" s="121" t="s">
        <v>1041</v>
      </c>
      <c r="AA717" s="121" t="s">
        <v>1171</v>
      </c>
      <c r="AB717" s="121" t="s">
        <v>1177</v>
      </c>
      <c r="AC717" s="366"/>
    </row>
    <row r="718" spans="1:29" ht="38.25"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7" t="s">
        <v>3408</v>
      </c>
      <c r="Y718" s="66"/>
      <c r="Z718" s="336" t="s">
        <v>3364</v>
      </c>
      <c r="AA718" s="121" t="s">
        <v>1169</v>
      </c>
      <c r="AB718" s="121" t="s">
        <v>1175</v>
      </c>
      <c r="AC718" s="366"/>
    </row>
    <row r="719" spans="1:29" ht="5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3294</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3295</v>
      </c>
      <c r="Y719" s="66"/>
      <c r="Z719" s="121" t="s">
        <v>2867</v>
      </c>
      <c r="AA719" s="121" t="s">
        <v>1169</v>
      </c>
      <c r="AB719" s="121" t="s">
        <v>1177</v>
      </c>
      <c r="AC719" s="366"/>
    </row>
    <row r="720" spans="1:29" ht="38.25"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3496</v>
      </c>
      <c r="O720" s="81" t="str">
        <f t="shared" ca="1" si="39"/>
        <v>SI</v>
      </c>
      <c r="P720" s="81" t="str">
        <f t="shared" si="40"/>
        <v>DIANOSOL</v>
      </c>
      <c r="Q720" s="66" t="s">
        <v>151</v>
      </c>
      <c r="R720" s="66" t="s">
        <v>151</v>
      </c>
      <c r="S720" s="66" t="s">
        <v>3494</v>
      </c>
      <c r="T720" s="84" t="str">
        <f t="shared" si="38"/>
        <v>NO</v>
      </c>
      <c r="U720" s="84"/>
      <c r="V720" s="81"/>
      <c r="W720" s="66" t="s">
        <v>3495</v>
      </c>
      <c r="X720" s="66"/>
      <c r="Y720" s="66"/>
      <c r="Z720" s="369" t="s">
        <v>2867</v>
      </c>
      <c r="AA720" s="369" t="s">
        <v>1171</v>
      </c>
      <c r="AB720" s="369" t="s">
        <v>1174</v>
      </c>
      <c r="AC720" s="370"/>
    </row>
    <row r="721" spans="1:29" ht="5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6"/>
    </row>
    <row r="722" spans="1:29" ht="25.5"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6"/>
    </row>
    <row r="723" spans="1:29" ht="51" x14ac:dyDescent="0.2">
      <c r="A723" s="66">
        <v>725</v>
      </c>
      <c r="B723" s="68">
        <v>45197</v>
      </c>
      <c r="C723" s="73">
        <v>0.42222222222222222</v>
      </c>
      <c r="D723" s="66" t="s">
        <v>3075</v>
      </c>
      <c r="E723" s="67" t="s">
        <v>3439</v>
      </c>
      <c r="F723" s="66">
        <v>1</v>
      </c>
      <c r="G723" s="66" t="s">
        <v>2838</v>
      </c>
      <c r="H723" s="68">
        <v>45216</v>
      </c>
      <c r="I723" s="68" t="s">
        <v>1086</v>
      </c>
      <c r="J723" s="68" t="s">
        <v>1221</v>
      </c>
      <c r="K723" s="66" t="s">
        <v>2343</v>
      </c>
      <c r="L723" s="66" t="s">
        <v>813</v>
      </c>
      <c r="M723" s="66" t="s">
        <v>711</v>
      </c>
      <c r="N723" s="66" t="s">
        <v>3440</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7" t="s">
        <v>2948</v>
      </c>
      <c r="Y723" s="66"/>
      <c r="Z723" s="336" t="s">
        <v>3416</v>
      </c>
      <c r="AA723" s="336" t="s">
        <v>2852</v>
      </c>
      <c r="AB723" s="336" t="s">
        <v>3301</v>
      </c>
      <c r="AC723" s="366"/>
    </row>
    <row r="724" spans="1:29" ht="5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2"/>
      <c r="Y724" s="170"/>
      <c r="Z724" s="170"/>
      <c r="AA724" s="170"/>
      <c r="AB724" s="170"/>
      <c r="AC724" s="366"/>
    </row>
    <row r="725" spans="1:29" ht="76.5"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3290</v>
      </c>
      <c r="Y725" s="66"/>
      <c r="Z725" s="121" t="s">
        <v>2895</v>
      </c>
      <c r="AA725" s="121" t="s">
        <v>2852</v>
      </c>
      <c r="AB725" s="121" t="s">
        <v>1175</v>
      </c>
      <c r="AC725" s="366"/>
    </row>
    <row r="726" spans="1:29" ht="39.950000000000003" customHeight="1" x14ac:dyDescent="0.2">
      <c r="A726" s="66">
        <v>728</v>
      </c>
      <c r="B726" s="68">
        <v>45197</v>
      </c>
      <c r="C726" s="73">
        <v>0.50138888888888888</v>
      </c>
      <c r="D726" s="66" t="s">
        <v>3078</v>
      </c>
      <c r="E726" s="67" t="s">
        <v>3079</v>
      </c>
      <c r="F726" s="66">
        <v>1</v>
      </c>
      <c r="G726" s="66" t="s">
        <v>3366</v>
      </c>
      <c r="H726" s="68">
        <v>45223</v>
      </c>
      <c r="I726" s="68" t="s">
        <v>73</v>
      </c>
      <c r="J726" s="68" t="s">
        <v>31</v>
      </c>
      <c r="K726" s="66">
        <f>IFERROR(VLOOKUP(J726,Jueces!$A$1:$B$11,2,FALSE),"")</f>
        <v>2</v>
      </c>
      <c r="L726" s="66" t="s">
        <v>2094</v>
      </c>
      <c r="M726" s="66" t="s">
        <v>3251</v>
      </c>
      <c r="N726" s="66" t="s">
        <v>3613</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3614</v>
      </c>
      <c r="Y726" s="66"/>
      <c r="Z726" s="121" t="s">
        <v>3483</v>
      </c>
      <c r="AA726" s="336" t="s">
        <v>1169</v>
      </c>
      <c r="AB726" s="121" t="s">
        <v>1174</v>
      </c>
      <c r="AC726" s="370"/>
    </row>
    <row r="727" spans="1:29" ht="39.950000000000003"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6"/>
    </row>
    <row r="728" spans="1:29" ht="39.950000000000003" customHeight="1" x14ac:dyDescent="0.2">
      <c r="A728" s="66">
        <v>730</v>
      </c>
      <c r="B728" s="68">
        <v>45198</v>
      </c>
      <c r="C728" s="66" t="s">
        <v>2277</v>
      </c>
      <c r="D728" s="66" t="s">
        <v>3086</v>
      </c>
      <c r="E728" s="67" t="s">
        <v>3284</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3359</v>
      </c>
      <c r="X728" s="403" t="s">
        <v>3360</v>
      </c>
      <c r="Y728" s="66"/>
      <c r="Z728" s="121" t="s">
        <v>770</v>
      </c>
      <c r="AA728" s="121" t="s">
        <v>1171</v>
      </c>
      <c r="AB728" s="121" t="s">
        <v>3301</v>
      </c>
      <c r="AC728" s="366"/>
    </row>
    <row r="729" spans="1:29" ht="39.950000000000003"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3416</v>
      </c>
      <c r="AA729" s="336" t="s">
        <v>1171</v>
      </c>
      <c r="AB729" s="336" t="s">
        <v>3365</v>
      </c>
      <c r="AC729" s="366"/>
    </row>
    <row r="730" spans="1:29" ht="39.950000000000003"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6"/>
    </row>
    <row r="731" spans="1:29" ht="39.950000000000003"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6"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6"/>
    </row>
    <row r="732" spans="1:29" ht="39.950000000000003"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3413</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3414</v>
      </c>
      <c r="Y732" s="66"/>
      <c r="Z732" s="336" t="s">
        <v>3363</v>
      </c>
      <c r="AA732" s="121" t="s">
        <v>1169</v>
      </c>
      <c r="AB732" s="121" t="s">
        <v>1173</v>
      </c>
      <c r="AC732" s="366"/>
    </row>
    <row r="733" spans="1:29" ht="39.950000000000003"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3520</v>
      </c>
      <c r="O733" s="66" t="str">
        <f t="shared" ca="1" si="39"/>
        <v>SI</v>
      </c>
      <c r="P733" s="66" t="str">
        <f t="shared" si="40"/>
        <v>DIANOSOL</v>
      </c>
      <c r="Q733" s="66" t="s">
        <v>899</v>
      </c>
      <c r="R733" s="66" t="str">
        <f>VLOOKUP($Q733,Resultados!$A$1:$B$49,2,FALSE)</f>
        <v>Libertad</v>
      </c>
      <c r="S733" s="66" t="s">
        <v>3521</v>
      </c>
      <c r="T733" s="75" t="str">
        <f t="shared" si="38"/>
        <v>NO</v>
      </c>
      <c r="U733" s="75"/>
      <c r="V733" s="66"/>
      <c r="W733" s="66" t="s">
        <v>3522</v>
      </c>
      <c r="X733" s="66" t="s">
        <v>3196</v>
      </c>
      <c r="Y733" s="66"/>
      <c r="Z733" s="121" t="s">
        <v>3416</v>
      </c>
      <c r="AA733" s="121" t="s">
        <v>1169</v>
      </c>
      <c r="AB733" s="121" t="s">
        <v>3301</v>
      </c>
      <c r="AC733" s="370"/>
    </row>
    <row r="734" spans="1:29" ht="39.950000000000003"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3357</v>
      </c>
      <c r="O734" s="81" t="str">
        <f t="shared" ca="1" si="39"/>
        <v>SI</v>
      </c>
      <c r="P734" s="81" t="str">
        <f t="shared" si="40"/>
        <v>DIANOSOL</v>
      </c>
      <c r="Q734" s="66" t="s">
        <v>905</v>
      </c>
      <c r="R734" s="66" t="str">
        <f>VLOOKUP($Q734,Resultados!$A$1:$B$49,2,FALSE)</f>
        <v>Juicio Abreviado</v>
      </c>
      <c r="S734" s="66" t="s">
        <v>3355</v>
      </c>
      <c r="T734" s="66" t="s">
        <v>3356</v>
      </c>
      <c r="U734" s="84"/>
      <c r="V734" s="81"/>
      <c r="W734" s="66" t="s">
        <v>3356</v>
      </c>
      <c r="X734" s="230" t="s">
        <v>3358</v>
      </c>
      <c r="Y734" s="66"/>
      <c r="Z734" s="121" t="s">
        <v>743</v>
      </c>
      <c r="AA734" s="121" t="s">
        <v>1169</v>
      </c>
      <c r="AB734" s="121" t="s">
        <v>1175</v>
      </c>
      <c r="AC734" s="366"/>
    </row>
    <row r="735" spans="1:29" ht="39.950000000000003"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3540</v>
      </c>
      <c r="Y735" s="66"/>
      <c r="Z735" s="121" t="s">
        <v>2867</v>
      </c>
      <c r="AA735" s="336" t="s">
        <v>1169</v>
      </c>
      <c r="AB735" s="121" t="s">
        <v>1177</v>
      </c>
      <c r="AC735" s="370"/>
    </row>
    <row r="736" spans="1:29" ht="39.950000000000003"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3489</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9" t="s">
        <v>748</v>
      </c>
      <c r="AA736" s="369" t="s">
        <v>1169</v>
      </c>
      <c r="AB736" s="369" t="s">
        <v>1175</v>
      </c>
      <c r="AC736" s="370"/>
    </row>
    <row r="737" spans="1:29" ht="39.950000000000003"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3543</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3544</v>
      </c>
      <c r="Y737" s="66"/>
      <c r="Z737" s="121" t="s">
        <v>2867</v>
      </c>
      <c r="AA737" s="336" t="s">
        <v>1169</v>
      </c>
      <c r="AB737" s="121" t="s">
        <v>1174</v>
      </c>
      <c r="AC737" s="370"/>
    </row>
    <row r="738" spans="1:29" ht="39.950000000000003"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3487</v>
      </c>
      <c r="Y738" s="66"/>
      <c r="Z738" s="121" t="s">
        <v>3483</v>
      </c>
      <c r="AA738" s="336" t="s">
        <v>1169</v>
      </c>
      <c r="AB738" s="121" t="s">
        <v>1173</v>
      </c>
      <c r="AC738" s="370"/>
    </row>
    <row r="739" spans="1:29" ht="39.950000000000003"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3485</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3486</v>
      </c>
      <c r="Y739" s="66"/>
      <c r="Z739" s="369" t="s">
        <v>3416</v>
      </c>
      <c r="AA739" s="369" t="s">
        <v>1169</v>
      </c>
      <c r="AB739" s="369" t="s">
        <v>1174</v>
      </c>
      <c r="AC739" s="370"/>
    </row>
    <row r="740" spans="1:29" ht="39.950000000000003"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3402</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3301</v>
      </c>
      <c r="AC740" s="366"/>
    </row>
    <row r="741" spans="1:29" ht="39.950000000000003"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3441</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3442</v>
      </c>
      <c r="Y741" s="66"/>
      <c r="Z741" s="336" t="s">
        <v>2867</v>
      </c>
      <c r="AA741" s="336" t="s">
        <v>1171</v>
      </c>
      <c r="AB741" s="336" t="s">
        <v>1175</v>
      </c>
      <c r="AC741" s="366"/>
    </row>
    <row r="742" spans="1:29" ht="39.950000000000003"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3436</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3437</v>
      </c>
      <c r="Y742" s="66"/>
      <c r="Z742" s="336" t="s">
        <v>2895</v>
      </c>
      <c r="AA742" s="336" t="s">
        <v>1169</v>
      </c>
      <c r="AB742" s="336" t="s">
        <v>1173</v>
      </c>
      <c r="AC742" s="366"/>
    </row>
    <row r="743" spans="1:29" ht="39.950000000000003" customHeight="1" x14ac:dyDescent="0.2">
      <c r="A743" s="66">
        <v>745</v>
      </c>
      <c r="B743" s="68">
        <v>45202</v>
      </c>
      <c r="C743" s="66" t="s">
        <v>3148</v>
      </c>
      <c r="D743" s="66" t="s">
        <v>3149</v>
      </c>
      <c r="E743" s="67" t="s">
        <v>3150</v>
      </c>
      <c r="F743" s="66">
        <v>1</v>
      </c>
      <c r="G743" s="66" t="s">
        <v>3366</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3365</v>
      </c>
      <c r="AC743" s="370"/>
    </row>
    <row r="744" spans="1:29" ht="39.950000000000003"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3514</v>
      </c>
      <c r="O744" s="66" t="str">
        <f t="shared" ca="1" si="39"/>
        <v>SI</v>
      </c>
      <c r="P744" s="66" t="str">
        <f t="shared" si="40"/>
        <v>DIANOSOL</v>
      </c>
      <c r="Q744" s="66" t="s">
        <v>151</v>
      </c>
      <c r="R744" s="66" t="s">
        <v>151</v>
      </c>
      <c r="S744" s="66" t="s">
        <v>1296</v>
      </c>
      <c r="T744" s="75" t="str">
        <f t="shared" si="41"/>
        <v>NO</v>
      </c>
      <c r="U744" s="75"/>
      <c r="V744" s="66"/>
      <c r="W744" s="66" t="s">
        <v>1499</v>
      </c>
      <c r="X744" s="66" t="s">
        <v>3515</v>
      </c>
      <c r="Y744" s="66"/>
      <c r="Z744" s="121" t="s">
        <v>1041</v>
      </c>
      <c r="AA744" s="336" t="s">
        <v>1171</v>
      </c>
      <c r="AB744" s="121" t="s">
        <v>3301</v>
      </c>
      <c r="AC744" s="370"/>
    </row>
    <row r="745" spans="1:29" ht="39.950000000000003"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3438</v>
      </c>
      <c r="Y745" s="66"/>
      <c r="Z745" s="336" t="s">
        <v>748</v>
      </c>
      <c r="AA745" s="336" t="s">
        <v>1171</v>
      </c>
      <c r="AB745" s="336" t="s">
        <v>1177</v>
      </c>
      <c r="AC745" s="366"/>
    </row>
    <row r="746" spans="1:29" ht="39.950000000000003" customHeight="1" x14ac:dyDescent="0.2">
      <c r="A746" s="66">
        <v>748</v>
      </c>
      <c r="B746" s="68">
        <v>45202</v>
      </c>
      <c r="C746" s="73">
        <v>0.47083333333333338</v>
      </c>
      <c r="D746" s="66" t="s">
        <v>3162</v>
      </c>
      <c r="E746" s="67" t="s">
        <v>3163</v>
      </c>
      <c r="F746" s="66">
        <v>8</v>
      </c>
      <c r="G746" s="66" t="s">
        <v>3367</v>
      </c>
      <c r="H746" s="68">
        <v>45223</v>
      </c>
      <c r="I746" s="68" t="s">
        <v>73</v>
      </c>
      <c r="J746" s="68" t="s">
        <v>2951</v>
      </c>
      <c r="K746" s="66" t="s">
        <v>1346</v>
      </c>
      <c r="L746" s="66" t="s">
        <v>791</v>
      </c>
      <c r="M746" s="66" t="s">
        <v>887</v>
      </c>
      <c r="N746" s="66" t="s">
        <v>3607</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c r="Y746" s="66"/>
      <c r="Z746" s="121" t="s">
        <v>748</v>
      </c>
      <c r="AA746" s="336" t="s">
        <v>2852</v>
      </c>
      <c r="AB746" s="121" t="s">
        <v>1173</v>
      </c>
      <c r="AC746" s="370"/>
    </row>
    <row r="747" spans="1:29" ht="39.950000000000003"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3539</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70"/>
    </row>
    <row r="748" spans="1:29" ht="39.950000000000003"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6"/>
    </row>
    <row r="749" spans="1:29" ht="39.950000000000003"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3362</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6"/>
    </row>
    <row r="750" spans="1:29" ht="39.950000000000003"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3403</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6"/>
    </row>
    <row r="751" spans="1:29" ht="39.950000000000003" customHeight="1" x14ac:dyDescent="0.2">
      <c r="A751" s="66">
        <v>753</v>
      </c>
      <c r="B751" s="68">
        <v>45202</v>
      </c>
      <c r="C751" s="73">
        <v>0.47638888888888892</v>
      </c>
      <c r="D751" s="66" t="s">
        <v>3170</v>
      </c>
      <c r="E751" s="67" t="s">
        <v>3330</v>
      </c>
      <c r="F751" s="66">
        <v>1</v>
      </c>
      <c r="G751" s="66" t="s">
        <v>568</v>
      </c>
      <c r="H751" s="68">
        <v>45222</v>
      </c>
      <c r="I751" s="68" t="s">
        <v>989</v>
      </c>
      <c r="J751" s="68" t="s">
        <v>1221</v>
      </c>
      <c r="K751" s="66" t="s">
        <v>1925</v>
      </c>
      <c r="L751" s="66" t="s">
        <v>812</v>
      </c>
      <c r="M751" s="66" t="s">
        <v>712</v>
      </c>
      <c r="N751" s="66" t="s">
        <v>3584</v>
      </c>
      <c r="O751" s="66" t="str">
        <f t="shared" ca="1" si="42"/>
        <v>SI</v>
      </c>
      <c r="P751" s="66" t="str">
        <f t="shared" si="40"/>
        <v>DIANOSOL</v>
      </c>
      <c r="Q751" s="66" t="s">
        <v>904</v>
      </c>
      <c r="R751" s="66" t="str">
        <f>VLOOKUP($Q751,Resultados!$A$1:$B$49,2,FALSE)</f>
        <v>Juicio Abreviado</v>
      </c>
      <c r="S751" s="66" t="s">
        <v>3585</v>
      </c>
      <c r="T751" s="75" t="str">
        <f t="shared" si="41"/>
        <v>NO</v>
      </c>
      <c r="U751" s="75"/>
      <c r="V751" s="66"/>
      <c r="W751" s="66" t="s">
        <v>77</v>
      </c>
      <c r="X751" s="66" t="s">
        <v>3586</v>
      </c>
      <c r="Y751" s="66"/>
      <c r="Z751" s="121" t="s">
        <v>3483</v>
      </c>
      <c r="AA751" s="336" t="s">
        <v>1169</v>
      </c>
      <c r="AB751" s="121" t="s">
        <v>1177</v>
      </c>
      <c r="AC751" s="370"/>
    </row>
    <row r="752" spans="1:29" ht="39.950000000000003"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3574</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3575</v>
      </c>
      <c r="Y752" s="66"/>
      <c r="Z752" s="121" t="s">
        <v>748</v>
      </c>
      <c r="AA752" s="336" t="s">
        <v>1171</v>
      </c>
      <c r="AB752" s="121" t="s">
        <v>1177</v>
      </c>
      <c r="AC752" s="370"/>
    </row>
    <row r="753" spans="1:29" ht="39.950000000000003" customHeight="1" x14ac:dyDescent="0.2">
      <c r="A753" s="66">
        <v>755</v>
      </c>
      <c r="B753" s="68">
        <v>45202</v>
      </c>
      <c r="C753" s="73">
        <v>0.54513888888888895</v>
      </c>
      <c r="D753" s="66" t="s">
        <v>3173</v>
      </c>
      <c r="E753" s="67" t="s">
        <v>3213</v>
      </c>
      <c r="F753" s="66">
        <v>8</v>
      </c>
      <c r="G753" s="66" t="s">
        <v>3366</v>
      </c>
      <c r="H753" s="68">
        <v>45219</v>
      </c>
      <c r="I753" s="68" t="s">
        <v>73</v>
      </c>
      <c r="J753" s="68" t="s">
        <v>2954</v>
      </c>
      <c r="K753" s="66" t="s">
        <v>2343</v>
      </c>
      <c r="L753" s="66" t="s">
        <v>789</v>
      </c>
      <c r="M753" s="66" t="s">
        <v>1087</v>
      </c>
      <c r="N753" s="66" t="s">
        <v>3541</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3542</v>
      </c>
      <c r="Y753" s="66"/>
      <c r="Z753" s="121" t="s">
        <v>3416</v>
      </c>
      <c r="AA753" s="336" t="s">
        <v>2852</v>
      </c>
      <c r="AB753" s="121" t="s">
        <v>3365</v>
      </c>
      <c r="AC753" s="370"/>
    </row>
    <row r="754" spans="1:29" ht="39.950000000000003"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3277</v>
      </c>
      <c r="O754" s="66" t="str">
        <f t="shared" ca="1" si="42"/>
        <v>SI</v>
      </c>
      <c r="P754" s="66" t="str">
        <f t="shared" si="40"/>
        <v>DIANOSOL</v>
      </c>
      <c r="Q754" s="66" t="s">
        <v>905</v>
      </c>
      <c r="R754" s="66" t="str">
        <f>VLOOKUP($Q754,Resultados!$A$1:$B$49,2,FALSE)</f>
        <v>Juicio Abreviado</v>
      </c>
      <c r="S754" s="66" t="s">
        <v>3278</v>
      </c>
      <c r="T754" s="75" t="str">
        <f t="shared" si="41"/>
        <v>NO</v>
      </c>
      <c r="U754" s="75"/>
      <c r="V754" s="66"/>
      <c r="W754" s="66" t="s">
        <v>3279</v>
      </c>
      <c r="X754" s="66" t="s">
        <v>3280</v>
      </c>
      <c r="Y754" s="66"/>
      <c r="Z754" s="121" t="s">
        <v>748</v>
      </c>
      <c r="AA754" s="336" t="s">
        <v>2852</v>
      </c>
      <c r="AB754" s="121" t="s">
        <v>1175</v>
      </c>
      <c r="AC754" s="366"/>
    </row>
    <row r="755" spans="1:29" ht="39.950000000000003"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3490</v>
      </c>
      <c r="O755" s="81" t="str">
        <f t="shared" ca="1" si="42"/>
        <v>SI</v>
      </c>
      <c r="P755" s="81" t="str">
        <f t="shared" si="40"/>
        <v>DIANOSOL</v>
      </c>
      <c r="Q755" s="66" t="s">
        <v>904</v>
      </c>
      <c r="R755" s="66" t="str">
        <f>VLOOKUP($Q755,Resultados!$A$1:$B$49,2,FALSE)</f>
        <v>Juicio Abreviado</v>
      </c>
      <c r="S755" s="66" t="s">
        <v>3491</v>
      </c>
      <c r="T755" s="84" t="str">
        <f t="shared" si="41"/>
        <v>NO</v>
      </c>
      <c r="U755" s="84"/>
      <c r="V755" s="81"/>
      <c r="W755" s="66" t="s">
        <v>3492</v>
      </c>
      <c r="X755" s="66" t="s">
        <v>3493</v>
      </c>
      <c r="Y755" s="66"/>
      <c r="Z755" s="369" t="s">
        <v>3416</v>
      </c>
      <c r="AA755" s="369" t="s">
        <v>2852</v>
      </c>
      <c r="AB755" s="369" t="s">
        <v>1177</v>
      </c>
      <c r="AC755" s="370"/>
    </row>
    <row r="756" spans="1:29" ht="39.950000000000003"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NO</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3428</v>
      </c>
      <c r="AB756" s="211"/>
      <c r="AC756" s="366"/>
    </row>
    <row r="757" spans="1:29" ht="39.950000000000003" customHeight="1" x14ac:dyDescent="0.2">
      <c r="A757" s="211">
        <v>759</v>
      </c>
      <c r="B757" s="317"/>
      <c r="C757" s="211"/>
      <c r="D757" s="367"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NO</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6" t="s">
        <v>1801</v>
      </c>
    </row>
    <row r="758" spans="1:29" ht="39.950000000000003" customHeight="1" x14ac:dyDescent="0.2">
      <c r="A758" s="211">
        <v>760</v>
      </c>
      <c r="B758" s="317">
        <v>45206</v>
      </c>
      <c r="C758" s="318">
        <v>0.47013888888888888</v>
      </c>
      <c r="D758" s="357" t="s">
        <v>2495</v>
      </c>
      <c r="E758" s="212" t="s">
        <v>3219</v>
      </c>
      <c r="F758" s="211">
        <v>4</v>
      </c>
      <c r="G758" s="211" t="s">
        <v>568</v>
      </c>
      <c r="H758" s="317">
        <v>45233</v>
      </c>
      <c r="I758" s="317" t="s">
        <v>73</v>
      </c>
      <c r="J758" s="317" t="s">
        <v>31</v>
      </c>
      <c r="K758" s="211">
        <f>IFERROR(VLOOKUP(J758,Jueces!$A$1:$B$11,2,FALSE),"")</f>
        <v>2</v>
      </c>
      <c r="L758" s="211" t="s">
        <v>798</v>
      </c>
      <c r="M758" s="211" t="s">
        <v>695</v>
      </c>
      <c r="N758" s="359" t="s">
        <v>3415</v>
      </c>
      <c r="O758" s="211" t="str">
        <f t="shared" ca="1" si="42"/>
        <v>NO</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8" t="s">
        <v>1169</v>
      </c>
      <c r="AB758" s="358" t="s">
        <v>1173</v>
      </c>
      <c r="AC758" s="366"/>
    </row>
    <row r="759" spans="1:29" ht="39.950000000000003" customHeight="1" x14ac:dyDescent="0.2">
      <c r="A759" s="66">
        <v>761</v>
      </c>
      <c r="B759" s="68">
        <v>45204</v>
      </c>
      <c r="C759" s="73">
        <v>0.37291666666666662</v>
      </c>
      <c r="D759" s="367" t="s">
        <v>3221</v>
      </c>
      <c r="E759" s="67" t="s">
        <v>3222</v>
      </c>
      <c r="F759" s="66">
        <v>1</v>
      </c>
      <c r="G759" s="66" t="s">
        <v>2838</v>
      </c>
      <c r="H759" s="68">
        <v>45219</v>
      </c>
      <c r="I759" s="68" t="s">
        <v>1210</v>
      </c>
      <c r="J759" s="68" t="s">
        <v>33</v>
      </c>
      <c r="K759" s="66" t="s">
        <v>3307</v>
      </c>
      <c r="L759" s="66" t="s">
        <v>807</v>
      </c>
      <c r="M759" s="66" t="s">
        <v>712</v>
      </c>
      <c r="N759" s="66" t="s">
        <v>3548</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3549</v>
      </c>
      <c r="Y759" s="66"/>
      <c r="Z759" s="121" t="s">
        <v>3416</v>
      </c>
      <c r="AA759" s="121" t="s">
        <v>3348</v>
      </c>
      <c r="AB759" s="121" t="s">
        <v>1175</v>
      </c>
      <c r="AC759" s="370" t="s">
        <v>1801</v>
      </c>
    </row>
    <row r="760" spans="1:29" ht="39.950000000000003" customHeight="1" x14ac:dyDescent="0.2">
      <c r="A760" s="66">
        <v>762</v>
      </c>
      <c r="B760" s="68">
        <v>45204</v>
      </c>
      <c r="C760" s="73">
        <v>0.36944444444444446</v>
      </c>
      <c r="D760" s="66" t="s">
        <v>2477</v>
      </c>
      <c r="E760" s="67" t="s">
        <v>3427</v>
      </c>
      <c r="F760" s="66">
        <v>7</v>
      </c>
      <c r="G760" s="66" t="s">
        <v>283</v>
      </c>
      <c r="H760" s="68">
        <v>45217</v>
      </c>
      <c r="I760" s="68" t="s">
        <v>73</v>
      </c>
      <c r="J760" s="68" t="s">
        <v>1221</v>
      </c>
      <c r="K760" s="66" t="s">
        <v>2343</v>
      </c>
      <c r="L760" s="66" t="s">
        <v>800</v>
      </c>
      <c r="M760" s="66" t="s">
        <v>725</v>
      </c>
      <c r="N760" s="66" t="s">
        <v>3488</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9" t="s">
        <v>2867</v>
      </c>
      <c r="AA760" s="369" t="s">
        <v>1171</v>
      </c>
      <c r="AB760" s="369" t="s">
        <v>1173</v>
      </c>
      <c r="AC760" s="370"/>
    </row>
    <row r="761" spans="1:29" ht="39.950000000000003" customHeight="1" x14ac:dyDescent="0.2">
      <c r="A761" s="66">
        <v>763</v>
      </c>
      <c r="B761" s="68">
        <v>45204</v>
      </c>
      <c r="C761" s="73">
        <v>0.4201388888888889</v>
      </c>
      <c r="D761" s="66" t="s">
        <v>3223</v>
      </c>
      <c r="E761" s="67" t="s">
        <v>3505</v>
      </c>
      <c r="F761" s="66">
        <v>1</v>
      </c>
      <c r="G761" s="66" t="s">
        <v>283</v>
      </c>
      <c r="H761" s="68">
        <v>45219</v>
      </c>
      <c r="I761" s="68" t="s">
        <v>73</v>
      </c>
      <c r="J761" s="68" t="s">
        <v>31</v>
      </c>
      <c r="K761" s="66">
        <f>IFERROR(VLOOKUP(J761,Jueces!$A$1:$B$11,2,FALSE),"")</f>
        <v>2</v>
      </c>
      <c r="L761" s="66" t="s">
        <v>800</v>
      </c>
      <c r="M761" s="66" t="s">
        <v>712</v>
      </c>
      <c r="N761" s="66" t="s">
        <v>3546</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3547</v>
      </c>
      <c r="Y761" s="66"/>
      <c r="Z761" s="121" t="s">
        <v>3483</v>
      </c>
      <c r="AA761" s="336" t="s">
        <v>1171</v>
      </c>
      <c r="AB761" s="121" t="s">
        <v>1175</v>
      </c>
      <c r="AC761" s="370"/>
    </row>
    <row r="762" spans="1:29" ht="39.950000000000003"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9" t="s">
        <v>770</v>
      </c>
      <c r="AA762" s="369" t="s">
        <v>1171</v>
      </c>
      <c r="AB762" s="369" t="s">
        <v>3365</v>
      </c>
      <c r="AC762" s="370"/>
    </row>
    <row r="763" spans="1:29" ht="39.950000000000003"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3365</v>
      </c>
      <c r="AC763" s="366"/>
    </row>
    <row r="764" spans="1:29" ht="39.950000000000003"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3675</v>
      </c>
      <c r="O764" s="81" t="str">
        <f t="shared" ca="1" si="42"/>
        <v>NO</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3428</v>
      </c>
      <c r="AB764" s="321" t="s">
        <v>1177</v>
      </c>
      <c r="AC764" s="366"/>
    </row>
    <row r="765" spans="1:29" ht="39.950000000000003"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3301</v>
      </c>
      <c r="AC765" s="370"/>
    </row>
    <row r="766" spans="1:29" ht="39.950000000000003" customHeight="1" x14ac:dyDescent="0.2">
      <c r="A766" s="66">
        <v>768</v>
      </c>
      <c r="B766" s="68">
        <v>45203</v>
      </c>
      <c r="C766" s="73">
        <v>0.33333333333333331</v>
      </c>
      <c r="D766" s="66" t="s">
        <v>3178</v>
      </c>
      <c r="E766" s="67" t="s">
        <v>3484</v>
      </c>
      <c r="F766" s="66">
        <v>2</v>
      </c>
      <c r="G766" s="66" t="s">
        <v>283</v>
      </c>
      <c r="H766" s="68">
        <v>45218</v>
      </c>
      <c r="I766" s="68" t="s">
        <v>1210</v>
      </c>
      <c r="J766" s="68" t="s">
        <v>31</v>
      </c>
      <c r="K766" s="66">
        <f>IFERROR(VLOOKUP(J766,Jueces!$A$1:$B$11,2,FALSE),"")</f>
        <v>2</v>
      </c>
      <c r="L766" s="66" t="s">
        <v>789</v>
      </c>
      <c r="M766" s="6" t="s">
        <v>692</v>
      </c>
      <c r="N766" s="66" t="s">
        <v>3519</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3518</v>
      </c>
      <c r="Y766" s="66"/>
      <c r="Z766" s="121" t="s">
        <v>3416</v>
      </c>
      <c r="AA766" s="336" t="s">
        <v>2852</v>
      </c>
      <c r="AB766" s="121" t="s">
        <v>1173</v>
      </c>
      <c r="AC766" s="370"/>
    </row>
    <row r="767" spans="1:29" ht="39.950000000000003"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7" t="s">
        <v>3487</v>
      </c>
      <c r="Y767" s="66"/>
      <c r="Z767" s="369" t="s">
        <v>2895</v>
      </c>
      <c r="AA767" s="369" t="s">
        <v>2852</v>
      </c>
      <c r="AB767" s="369" t="s">
        <v>3301</v>
      </c>
      <c r="AC767" s="370"/>
    </row>
    <row r="768" spans="1:29" ht="39.950000000000003"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3517</v>
      </c>
      <c r="Y768" s="66"/>
      <c r="Z768" s="121" t="s">
        <v>3416</v>
      </c>
      <c r="AA768" s="336" t="s">
        <v>2852</v>
      </c>
      <c r="AB768" s="121" t="s">
        <v>1177</v>
      </c>
      <c r="AC768" s="370"/>
    </row>
    <row r="769" spans="1:29" ht="39.950000000000003" customHeight="1" x14ac:dyDescent="0.2">
      <c r="A769" s="66">
        <v>771</v>
      </c>
      <c r="B769" s="68">
        <v>45203</v>
      </c>
      <c r="C769" s="73">
        <v>0.4777777777777778</v>
      </c>
      <c r="D769" s="66" t="s">
        <v>3204</v>
      </c>
      <c r="E769" s="67" t="s">
        <v>3459</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3516</v>
      </c>
      <c r="Y769" s="66"/>
      <c r="Z769" s="121" t="s">
        <v>748</v>
      </c>
      <c r="AA769" s="336" t="s">
        <v>1171</v>
      </c>
      <c r="AB769" s="121" t="s">
        <v>1174</v>
      </c>
      <c r="AC769" s="370"/>
    </row>
    <row r="770" spans="1:29" ht="39.950000000000003"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3318</v>
      </c>
      <c r="O770" s="81" t="str">
        <f t="shared" ca="1" si="42"/>
        <v>SI</v>
      </c>
      <c r="P770" s="81" t="str">
        <f t="shared" si="40"/>
        <v>DIANOSOL</v>
      </c>
      <c r="Q770" s="66" t="s">
        <v>904</v>
      </c>
      <c r="R770" s="66" t="str">
        <f>VLOOKUP($Q770,Resultados!$A$1:$B$49,2,FALSE)</f>
        <v>Juicio Abreviado</v>
      </c>
      <c r="S770" s="66" t="s">
        <v>3296</v>
      </c>
      <c r="T770" s="84" t="str">
        <f t="shared" si="43"/>
        <v>NO</v>
      </c>
      <c r="U770" s="84"/>
      <c r="V770" s="81"/>
      <c r="W770" s="66" t="s">
        <v>3297</v>
      </c>
      <c r="X770" s="66" t="s">
        <v>3298</v>
      </c>
      <c r="Y770" s="66"/>
      <c r="Z770" s="121" t="s">
        <v>2895</v>
      </c>
      <c r="AA770" s="66"/>
      <c r="AB770" s="121" t="s">
        <v>1174</v>
      </c>
      <c r="AC770" s="366"/>
    </row>
    <row r="771" spans="1:29" ht="39.950000000000003" customHeight="1" x14ac:dyDescent="0.2">
      <c r="A771" s="66">
        <v>773</v>
      </c>
      <c r="B771" s="68">
        <v>45208</v>
      </c>
      <c r="C771" s="66" t="s">
        <v>3266</v>
      </c>
      <c r="D771" s="66" t="s">
        <v>3267</v>
      </c>
      <c r="E771" s="67" t="s">
        <v>3331</v>
      </c>
      <c r="F771" s="66">
        <v>8</v>
      </c>
      <c r="G771" s="66" t="s">
        <v>1443</v>
      </c>
      <c r="H771" s="68">
        <v>45216</v>
      </c>
      <c r="I771" s="68" t="s">
        <v>77</v>
      </c>
      <c r="J771" s="68" t="s">
        <v>1221</v>
      </c>
      <c r="K771" s="66" t="s">
        <v>1520</v>
      </c>
      <c r="L771" s="66" t="s">
        <v>790</v>
      </c>
      <c r="M771" s="66" t="s">
        <v>1416</v>
      </c>
      <c r="N771" s="66" t="s">
        <v>3443</v>
      </c>
      <c r="O771" s="66" t="str">
        <f t="shared" ca="1" si="42"/>
        <v>SI</v>
      </c>
      <c r="P771" s="66" t="str">
        <f t="shared" ref="P771:P834" si="44">IF($P$1=H771,"DIASOL", "DIANOSOL")</f>
        <v>DIANOSOL</v>
      </c>
      <c r="Q771" s="66" t="s">
        <v>905</v>
      </c>
      <c r="R771" s="66" t="str">
        <f>VLOOKUP($Q771,Resultados!$A$1:$B$49,2,FALSE)</f>
        <v>Juicio Abreviado</v>
      </c>
      <c r="S771" s="66" t="s">
        <v>3444</v>
      </c>
      <c r="T771" s="75" t="str">
        <f t="shared" si="43"/>
        <v>NO</v>
      </c>
      <c r="U771" s="75"/>
      <c r="V771" s="66"/>
      <c r="W771" s="66" t="s">
        <v>1207</v>
      </c>
      <c r="X771" s="66" t="s">
        <v>2571</v>
      </c>
      <c r="Y771" s="66"/>
      <c r="Z771" s="336" t="s">
        <v>770</v>
      </c>
      <c r="AA771" s="121" t="s">
        <v>3348</v>
      </c>
      <c r="AB771" s="121" t="s">
        <v>1177</v>
      </c>
      <c r="AC771" s="366"/>
    </row>
    <row r="772" spans="1:29" ht="39.950000000000003" customHeight="1" x14ac:dyDescent="0.2">
      <c r="A772" s="66">
        <v>774</v>
      </c>
      <c r="B772" s="68" t="s">
        <v>3270</v>
      </c>
      <c r="C772" s="66" t="s">
        <v>3268</v>
      </c>
      <c r="D772" s="66" t="s">
        <v>3269</v>
      </c>
      <c r="E772" s="67" t="s">
        <v>3338</v>
      </c>
      <c r="F772" s="66">
        <v>2</v>
      </c>
      <c r="G772" s="66" t="s">
        <v>3367</v>
      </c>
      <c r="H772" s="68">
        <v>45222</v>
      </c>
      <c r="I772" s="68" t="s">
        <v>1210</v>
      </c>
      <c r="J772" s="68" t="s">
        <v>78</v>
      </c>
      <c r="K772" s="66">
        <f>IFERROR(VLOOKUP(J772,Jueces!$A$1:$B$11,2,FALSE),"")</f>
        <v>8</v>
      </c>
      <c r="L772" s="66" t="s">
        <v>806</v>
      </c>
      <c r="M772" s="66" t="s">
        <v>692</v>
      </c>
      <c r="N772" s="66" t="s">
        <v>3576</v>
      </c>
      <c r="O772" s="66" t="str">
        <f t="shared" ca="1" si="42"/>
        <v>SI</v>
      </c>
      <c r="P772" s="66" t="str">
        <f t="shared" si="44"/>
        <v>DIANOSOL</v>
      </c>
      <c r="Q772" s="66" t="s">
        <v>904</v>
      </c>
      <c r="R772" s="66" t="str">
        <f>VLOOKUP($Q772,Resultados!$A$1:$B$49,2,FALSE)</f>
        <v>Juicio Abreviado</v>
      </c>
      <c r="S772" s="66" t="s">
        <v>3577</v>
      </c>
      <c r="T772" s="75" t="str">
        <f t="shared" si="43"/>
        <v>NO</v>
      </c>
      <c r="U772" s="75"/>
      <c r="V772" s="66"/>
      <c r="W772" s="66" t="s">
        <v>3578</v>
      </c>
      <c r="X772" s="66" t="s">
        <v>3579</v>
      </c>
      <c r="Y772" s="66"/>
      <c r="Z772" s="121" t="s">
        <v>3416</v>
      </c>
      <c r="AA772" s="121" t="s">
        <v>3428</v>
      </c>
      <c r="AB772" s="121" t="s">
        <v>3301</v>
      </c>
      <c r="AC772" s="370"/>
    </row>
    <row r="773" spans="1:29" ht="39.950000000000003" customHeight="1" x14ac:dyDescent="0.2">
      <c r="A773" s="66">
        <v>775</v>
      </c>
      <c r="B773" s="68">
        <v>45208</v>
      </c>
      <c r="C773" s="66" t="s">
        <v>3271</v>
      </c>
      <c r="D773" s="66" t="s">
        <v>3272</v>
      </c>
      <c r="E773" s="67" t="s">
        <v>3339</v>
      </c>
      <c r="F773" s="66">
        <v>2</v>
      </c>
      <c r="G773" s="66" t="s">
        <v>2838</v>
      </c>
      <c r="H773" s="68">
        <v>45224</v>
      </c>
      <c r="I773" s="68" t="s">
        <v>547</v>
      </c>
      <c r="J773" s="68" t="s">
        <v>33</v>
      </c>
      <c r="K773" s="66" t="s">
        <v>3503</v>
      </c>
      <c r="L773" s="66" t="s">
        <v>192</v>
      </c>
      <c r="M773" s="66" t="s">
        <v>3445</v>
      </c>
      <c r="N773" s="66" t="s">
        <v>3635</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3636</v>
      </c>
      <c r="X773" s="66"/>
      <c r="Y773" s="66"/>
      <c r="Z773" s="121" t="s">
        <v>3616</v>
      </c>
      <c r="AA773" s="121" t="s">
        <v>1171</v>
      </c>
      <c r="AB773" s="121" t="s">
        <v>1173</v>
      </c>
      <c r="AC773" s="370"/>
    </row>
    <row r="774" spans="1:29" ht="39.950000000000003" customHeight="1" x14ac:dyDescent="0.2">
      <c r="A774" s="66">
        <v>776</v>
      </c>
      <c r="B774" s="68">
        <v>45209</v>
      </c>
      <c r="C774" s="73">
        <v>0.33333333333333331</v>
      </c>
      <c r="D774" s="66" t="s">
        <v>3273</v>
      </c>
      <c r="E774" s="67" t="s">
        <v>3274</v>
      </c>
      <c r="F774" s="66">
        <v>1</v>
      </c>
      <c r="G774" s="66" t="s">
        <v>3366</v>
      </c>
      <c r="H774" s="68">
        <v>45222</v>
      </c>
      <c r="I774" s="68" t="s">
        <v>3212</v>
      </c>
      <c r="J774" s="68" t="s">
        <v>33</v>
      </c>
      <c r="K774" s="66" t="s">
        <v>2343</v>
      </c>
      <c r="L774" s="66" t="s">
        <v>806</v>
      </c>
      <c r="M774" s="66" t="s">
        <v>1179</v>
      </c>
      <c r="N774" s="66" t="s">
        <v>3592</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3591</v>
      </c>
      <c r="X774" s="230" t="s">
        <v>3593</v>
      </c>
      <c r="Y774" s="66"/>
      <c r="Z774" s="121" t="s">
        <v>748</v>
      </c>
      <c r="AA774" s="121" t="s">
        <v>1171</v>
      </c>
      <c r="AB774" s="121" t="s">
        <v>3365</v>
      </c>
      <c r="AC774" s="370"/>
    </row>
    <row r="775" spans="1:29" ht="39.950000000000003" customHeight="1" x14ac:dyDescent="0.2">
      <c r="A775" s="81">
        <v>777</v>
      </c>
      <c r="B775" s="83">
        <v>45209</v>
      </c>
      <c r="C775" s="81" t="s">
        <v>73</v>
      </c>
      <c r="D775" s="81" t="s">
        <v>3281</v>
      </c>
      <c r="E775" s="82" t="s">
        <v>3332</v>
      </c>
      <c r="F775" s="81">
        <v>6</v>
      </c>
      <c r="G775" s="81" t="s">
        <v>2788</v>
      </c>
      <c r="H775" s="83">
        <v>45229</v>
      </c>
      <c r="I775" s="83" t="s">
        <v>1086</v>
      </c>
      <c r="J775" s="83" t="s">
        <v>31</v>
      </c>
      <c r="K775" s="81">
        <f>IFERROR(VLOOKUP(J775,Jueces!$A$1:$B$11,2,FALSE),"")</f>
        <v>2</v>
      </c>
      <c r="L775" s="81" t="s">
        <v>800</v>
      </c>
      <c r="M775" s="81" t="s">
        <v>712</v>
      </c>
      <c r="N775" s="81"/>
      <c r="O775" s="81" t="str">
        <f t="shared" ca="1" si="42"/>
        <v>NO</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3348</v>
      </c>
      <c r="AB775" s="81"/>
      <c r="AC775" s="366"/>
    </row>
    <row r="776" spans="1:29" ht="39.950000000000003" customHeight="1" x14ac:dyDescent="0.2">
      <c r="A776" s="66">
        <v>778</v>
      </c>
      <c r="B776" s="68">
        <v>45205</v>
      </c>
      <c r="C776" s="66" t="s">
        <v>3282</v>
      </c>
      <c r="D776" s="66" t="s">
        <v>3283</v>
      </c>
      <c r="E776" s="67" t="s">
        <v>3461</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3518</v>
      </c>
      <c r="Y776" s="66"/>
      <c r="Z776" s="121" t="s">
        <v>748</v>
      </c>
      <c r="AA776" s="121" t="s">
        <v>3348</v>
      </c>
      <c r="AB776" s="121" t="s">
        <v>1175</v>
      </c>
      <c r="AC776" s="370"/>
    </row>
    <row r="777" spans="1:29" ht="39.950000000000003" customHeight="1" x14ac:dyDescent="0.2">
      <c r="A777" s="66">
        <v>779</v>
      </c>
      <c r="B777" s="68">
        <v>45209</v>
      </c>
      <c r="C777" s="66" t="s">
        <v>3287</v>
      </c>
      <c r="D777" s="66" t="s">
        <v>3288</v>
      </c>
      <c r="E777" s="67" t="s">
        <v>3329</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3365</v>
      </c>
      <c r="AC777" s="370"/>
    </row>
    <row r="778" spans="1:29" ht="39.950000000000003" customHeight="1" x14ac:dyDescent="0.2">
      <c r="A778" s="66">
        <v>780</v>
      </c>
      <c r="B778" s="68">
        <v>45209</v>
      </c>
      <c r="C778" s="73">
        <v>0.40069444444444446</v>
      </c>
      <c r="D778" s="367" t="s">
        <v>3299</v>
      </c>
      <c r="E778" s="67" t="s">
        <v>3342</v>
      </c>
      <c r="F778" s="66">
        <v>1</v>
      </c>
      <c r="G778" s="66" t="s">
        <v>2838</v>
      </c>
      <c r="H778" s="68">
        <v>45222</v>
      </c>
      <c r="I778" s="68" t="s">
        <v>73</v>
      </c>
      <c r="J778" s="68" t="s">
        <v>2954</v>
      </c>
      <c r="K778" s="66" t="s">
        <v>1346</v>
      </c>
      <c r="L778" s="66" t="s">
        <v>569</v>
      </c>
      <c r="M778" s="66" t="s">
        <v>3343</v>
      </c>
      <c r="N778" s="66" t="s">
        <v>3582</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3583</v>
      </c>
      <c r="Y778" s="66"/>
      <c r="Z778" s="121" t="s">
        <v>3483</v>
      </c>
      <c r="AA778" s="121"/>
      <c r="AB778" s="121" t="s">
        <v>1174</v>
      </c>
      <c r="AC778" s="370" t="s">
        <v>1801</v>
      </c>
    </row>
    <row r="779" spans="1:29" ht="39.950000000000003" customHeight="1" x14ac:dyDescent="0.2">
      <c r="A779" s="66">
        <v>781</v>
      </c>
      <c r="B779" s="68">
        <v>45208</v>
      </c>
      <c r="C779" s="66" t="s">
        <v>73</v>
      </c>
      <c r="D779" s="66" t="s">
        <v>3300</v>
      </c>
      <c r="E779" s="67" t="s">
        <v>3340</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3428</v>
      </c>
      <c r="AB779" s="121" t="s">
        <v>3301</v>
      </c>
      <c r="AC779" s="370"/>
    </row>
    <row r="780" spans="1:29" ht="39.950000000000003" customHeight="1" x14ac:dyDescent="0.2">
      <c r="A780" s="66">
        <v>782</v>
      </c>
      <c r="B780" s="68"/>
      <c r="C780" s="66"/>
      <c r="D780" s="66" t="s">
        <v>3305</v>
      </c>
      <c r="E780" s="67" t="s">
        <v>3306</v>
      </c>
      <c r="F780" s="66">
        <v>1</v>
      </c>
      <c r="G780" s="66" t="s">
        <v>1443</v>
      </c>
      <c r="H780" s="68">
        <v>45222</v>
      </c>
      <c r="I780" s="68" t="s">
        <v>73</v>
      </c>
      <c r="J780" s="68" t="s">
        <v>1732</v>
      </c>
      <c r="K780" s="66" t="s">
        <v>2343</v>
      </c>
      <c r="L780" s="66" t="s">
        <v>812</v>
      </c>
      <c r="M780" s="373" t="s">
        <v>2238</v>
      </c>
      <c r="N780" s="66" t="s">
        <v>3580</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3581</v>
      </c>
      <c r="Y780" s="66"/>
      <c r="Z780" s="121" t="s">
        <v>2867</v>
      </c>
      <c r="AA780" s="336" t="s">
        <v>2852</v>
      </c>
      <c r="AB780" s="121" t="s">
        <v>1173</v>
      </c>
      <c r="AC780" s="370"/>
    </row>
    <row r="781" spans="1:29" ht="39.950000000000003" customHeight="1" x14ac:dyDescent="0.2">
      <c r="A781" s="81">
        <v>783</v>
      </c>
      <c r="B781" s="83">
        <v>45205</v>
      </c>
      <c r="C781" s="81" t="s">
        <v>3308</v>
      </c>
      <c r="D781" s="367" t="s">
        <v>3309</v>
      </c>
      <c r="E781" s="82" t="s">
        <v>3341</v>
      </c>
      <c r="F781" s="81">
        <v>2</v>
      </c>
      <c r="G781" s="81" t="s">
        <v>568</v>
      </c>
      <c r="H781" s="83">
        <v>45229</v>
      </c>
      <c r="I781" s="83" t="s">
        <v>1086</v>
      </c>
      <c r="J781" s="83" t="s">
        <v>1732</v>
      </c>
      <c r="K781" s="81" t="s">
        <v>1925</v>
      </c>
      <c r="L781" s="81" t="s">
        <v>807</v>
      </c>
      <c r="M781" s="81" t="s">
        <v>692</v>
      </c>
      <c r="N781" s="81" t="s">
        <v>3629</v>
      </c>
      <c r="O781" s="81" t="str">
        <f t="shared" ca="1" si="42"/>
        <v>NO</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customHeight="1" x14ac:dyDescent="0.2">
      <c r="A782" s="81">
        <v>784</v>
      </c>
      <c r="B782" s="83">
        <v>45209</v>
      </c>
      <c r="C782" s="81" t="s">
        <v>1193</v>
      </c>
      <c r="D782" s="81" t="s">
        <v>3310</v>
      </c>
      <c r="E782" s="82" t="s">
        <v>3458</v>
      </c>
      <c r="F782" s="81">
        <v>1</v>
      </c>
      <c r="G782" s="81" t="s">
        <v>1442</v>
      </c>
      <c r="H782" s="83">
        <v>45230</v>
      </c>
      <c r="I782" s="83" t="s">
        <v>1086</v>
      </c>
      <c r="J782" s="83" t="s">
        <v>78</v>
      </c>
      <c r="K782" s="81">
        <f>IFERROR(VLOOKUP(J782,Jueces!$A$1:$B$11,2,FALSE),"")</f>
        <v>8</v>
      </c>
      <c r="L782" s="81" t="s">
        <v>811</v>
      </c>
      <c r="M782" s="81" t="s">
        <v>712</v>
      </c>
      <c r="N782" s="81"/>
      <c r="O782" s="81" t="str">
        <f t="shared" ca="1" si="42"/>
        <v>NO</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customHeight="1" x14ac:dyDescent="0.2">
      <c r="A783" s="66">
        <v>785</v>
      </c>
      <c r="B783" s="68">
        <v>45209</v>
      </c>
      <c r="C783" s="66" t="s">
        <v>1274</v>
      </c>
      <c r="D783" s="66" t="s">
        <v>3311</v>
      </c>
      <c r="E783" s="67" t="s">
        <v>3400</v>
      </c>
      <c r="F783" s="66">
        <v>1</v>
      </c>
      <c r="G783" s="66" t="s">
        <v>283</v>
      </c>
      <c r="H783" s="68">
        <v>45225</v>
      </c>
      <c r="I783" s="68" t="s">
        <v>73</v>
      </c>
      <c r="J783" s="68" t="s">
        <v>2954</v>
      </c>
      <c r="K783" s="66" t="s">
        <v>1925</v>
      </c>
      <c r="L783" s="66" t="s">
        <v>811</v>
      </c>
      <c r="M783" s="66" t="s">
        <v>712</v>
      </c>
      <c r="N783" s="66" t="s">
        <v>3682</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3429</v>
      </c>
      <c r="AB783" s="121" t="s">
        <v>3301</v>
      </c>
      <c r="AC783" s="370"/>
    </row>
    <row r="784" spans="1:29" ht="39.950000000000003" customHeight="1" x14ac:dyDescent="0.2">
      <c r="A784" s="66">
        <v>786</v>
      </c>
      <c r="B784" s="68">
        <v>45209</v>
      </c>
      <c r="C784" s="66" t="s">
        <v>3313</v>
      </c>
      <c r="D784" s="66" t="s">
        <v>3314</v>
      </c>
      <c r="E784" s="67" t="s">
        <v>3347</v>
      </c>
      <c r="F784" s="66">
        <v>2</v>
      </c>
      <c r="G784" s="66" t="s">
        <v>1441</v>
      </c>
      <c r="H784" s="68">
        <v>45224</v>
      </c>
      <c r="I784" s="68" t="s">
        <v>73</v>
      </c>
      <c r="J784" s="68" t="s">
        <v>33</v>
      </c>
      <c r="K784" s="66">
        <f>IFERROR(VLOOKUP(J784,Jueces!$A$1:$B$11,2,FALSE),"")</f>
        <v>4</v>
      </c>
      <c r="L784" s="66" t="s">
        <v>806</v>
      </c>
      <c r="M784" s="66" t="s">
        <v>692</v>
      </c>
      <c r="N784" s="66" t="s">
        <v>3634</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3416</v>
      </c>
      <c r="AA784" s="121" t="s">
        <v>1169</v>
      </c>
      <c r="AB784" s="121" t="s">
        <v>3301</v>
      </c>
      <c r="AC784" s="370"/>
    </row>
    <row r="785" spans="1:29" ht="39.950000000000003" customHeight="1" x14ac:dyDescent="0.2">
      <c r="A785" s="66">
        <v>787</v>
      </c>
      <c r="B785" s="68">
        <v>45209</v>
      </c>
      <c r="C785" s="66" t="s">
        <v>1040</v>
      </c>
      <c r="D785" s="66" t="s">
        <v>3315</v>
      </c>
      <c r="E785" s="67" t="s">
        <v>3344</v>
      </c>
      <c r="F785" s="66">
        <v>2</v>
      </c>
      <c r="G785" s="66" t="s">
        <v>283</v>
      </c>
      <c r="H785" s="68">
        <v>45223</v>
      </c>
      <c r="I785" s="68" t="s">
        <v>1450</v>
      </c>
      <c r="J785" s="68" t="s">
        <v>31</v>
      </c>
      <c r="K785" s="66" t="s">
        <v>2304</v>
      </c>
      <c r="L785" s="66" t="s">
        <v>806</v>
      </c>
      <c r="M785" s="66" t="s">
        <v>692</v>
      </c>
      <c r="N785" s="66" t="s">
        <v>3610</v>
      </c>
      <c r="O785" s="81" t="str">
        <f t="shared" ca="1" si="42"/>
        <v>SI</v>
      </c>
      <c r="P785" s="81" t="str">
        <f t="shared" si="44"/>
        <v>DIANOSOL</v>
      </c>
      <c r="Q785" s="66" t="s">
        <v>905</v>
      </c>
      <c r="R785" s="66" t="str">
        <f>VLOOKUP($Q785,Resultados!$A$1:$B$49,2,FALSE)</f>
        <v>Juicio Abreviado</v>
      </c>
      <c r="S785" s="66" t="s">
        <v>3279</v>
      </c>
      <c r="T785" s="84" t="str">
        <f t="shared" si="43"/>
        <v>NO</v>
      </c>
      <c r="U785" s="84"/>
      <c r="V785" s="81"/>
      <c r="W785" s="66" t="s">
        <v>3611</v>
      </c>
      <c r="X785" s="66" t="s">
        <v>2571</v>
      </c>
      <c r="Y785" s="66"/>
      <c r="Z785" s="121" t="s">
        <v>2867</v>
      </c>
      <c r="AA785" s="121" t="s">
        <v>1171</v>
      </c>
      <c r="AB785" s="121" t="s">
        <v>1173</v>
      </c>
      <c r="AC785" s="370"/>
    </row>
    <row r="786" spans="1:29" ht="39.950000000000003" customHeight="1" x14ac:dyDescent="0.2">
      <c r="A786" s="66">
        <v>788</v>
      </c>
      <c r="B786" s="68">
        <v>45209</v>
      </c>
      <c r="C786" s="73">
        <v>0.52361111111111114</v>
      </c>
      <c r="D786" s="66" t="s">
        <v>3319</v>
      </c>
      <c r="E786" s="67" t="s">
        <v>3345</v>
      </c>
      <c r="F786" s="66">
        <v>2</v>
      </c>
      <c r="G786" s="66" t="s">
        <v>3366</v>
      </c>
      <c r="H786" s="68">
        <v>45225</v>
      </c>
      <c r="I786" s="68" t="s">
        <v>1086</v>
      </c>
      <c r="J786" s="68" t="s">
        <v>33</v>
      </c>
      <c r="K786" s="66">
        <f>IFERROR(VLOOKUP(J786,Jueces!$A$1:$B$11,2,FALSE),"")</f>
        <v>4</v>
      </c>
      <c r="L786" s="66" t="s">
        <v>811</v>
      </c>
      <c r="M786" s="66" t="s">
        <v>692</v>
      </c>
      <c r="N786" s="66" t="s">
        <v>3684</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3416</v>
      </c>
      <c r="AA786" s="121" t="s">
        <v>2895</v>
      </c>
      <c r="AB786" s="121" t="s">
        <v>1174</v>
      </c>
      <c r="AC786" s="370"/>
    </row>
    <row r="787" spans="1:29" ht="39.950000000000003" customHeight="1" x14ac:dyDescent="0.2">
      <c r="A787" s="81">
        <v>789</v>
      </c>
      <c r="B787" s="83">
        <v>45209</v>
      </c>
      <c r="C787" s="323">
        <v>0.4465277777777778</v>
      </c>
      <c r="D787" s="81" t="s">
        <v>3320</v>
      </c>
      <c r="E787" s="82" t="s">
        <v>3595</v>
      </c>
      <c r="F787" s="81">
        <v>1</v>
      </c>
      <c r="G787" s="81" t="s">
        <v>568</v>
      </c>
      <c r="H787" s="83">
        <v>45236</v>
      </c>
      <c r="I787" s="83" t="s">
        <v>73</v>
      </c>
      <c r="J787" s="83" t="s">
        <v>78</v>
      </c>
      <c r="K787" s="81">
        <f>IFERROR(VLOOKUP(J787,Jueces!$A$1:$B$11,2,FALSE),"")</f>
        <v>8</v>
      </c>
      <c r="L787" s="81" t="s">
        <v>806</v>
      </c>
      <c r="M787" s="81" t="s">
        <v>692</v>
      </c>
      <c r="N787" s="81"/>
      <c r="O787" s="81" t="str">
        <f t="shared" ca="1" si="42"/>
        <v>NO</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3429</v>
      </c>
      <c r="AB787" s="81"/>
      <c r="AC787" s="88"/>
    </row>
    <row r="788" spans="1:29" ht="39.950000000000003" customHeight="1" x14ac:dyDescent="0.2">
      <c r="A788" s="81">
        <v>790</v>
      </c>
      <c r="B788" s="83">
        <v>45209</v>
      </c>
      <c r="C788" s="323">
        <v>0.52361111111111114</v>
      </c>
      <c r="D788" s="81" t="s">
        <v>3346</v>
      </c>
      <c r="E788" s="82" t="s">
        <v>3321</v>
      </c>
      <c r="F788" s="81">
        <v>2</v>
      </c>
      <c r="G788" s="81" t="s">
        <v>3366</v>
      </c>
      <c r="H788" s="83">
        <v>45229</v>
      </c>
      <c r="I788" s="83" t="s">
        <v>73</v>
      </c>
      <c r="J788" s="83" t="s">
        <v>78</v>
      </c>
      <c r="K788" s="81">
        <f>IFERROR(VLOOKUP(J788,Jueces!$A$1:$B$11,2,FALSE),"")</f>
        <v>8</v>
      </c>
      <c r="L788" s="81" t="s">
        <v>810</v>
      </c>
      <c r="M788" s="81" t="s">
        <v>693</v>
      </c>
      <c r="N788" s="81"/>
      <c r="O788" s="81" t="str">
        <f t="shared" ca="1" si="42"/>
        <v>NO</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3429</v>
      </c>
      <c r="AB788" s="81"/>
      <c r="AC788" s="366"/>
    </row>
    <row r="789" spans="1:29" ht="39.950000000000003" customHeight="1" x14ac:dyDescent="0.2">
      <c r="A789" s="66">
        <v>791</v>
      </c>
      <c r="B789" s="68">
        <v>45209</v>
      </c>
      <c r="C789" s="73">
        <v>0.44861111111111113</v>
      </c>
      <c r="D789" s="66" t="s">
        <v>3322</v>
      </c>
      <c r="E789" s="67" t="s">
        <v>1196</v>
      </c>
      <c r="F789" s="66">
        <v>2</v>
      </c>
      <c r="G789" s="66" t="s">
        <v>3366</v>
      </c>
      <c r="H789" s="68">
        <v>45226</v>
      </c>
      <c r="I789" s="68" t="s">
        <v>1086</v>
      </c>
      <c r="J789" s="68" t="s">
        <v>78</v>
      </c>
      <c r="K789" s="66">
        <v>8</v>
      </c>
      <c r="L789" s="66" t="s">
        <v>801</v>
      </c>
      <c r="M789" s="66" t="s">
        <v>692</v>
      </c>
      <c r="N789" s="66" t="s">
        <v>3719</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70"/>
    </row>
    <row r="790" spans="1:29" ht="39.950000000000003" customHeight="1" x14ac:dyDescent="0.2">
      <c r="A790" s="66">
        <v>792</v>
      </c>
      <c r="B790" s="68">
        <v>45209</v>
      </c>
      <c r="C790" s="73">
        <v>0.38958333333333334</v>
      </c>
      <c r="D790" s="66" t="s">
        <v>3323</v>
      </c>
      <c r="E790" s="67" t="s">
        <v>3324</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3608</v>
      </c>
      <c r="X790" s="66" t="s">
        <v>3609</v>
      </c>
      <c r="Y790" s="66"/>
      <c r="Z790" s="121" t="s">
        <v>3416</v>
      </c>
      <c r="AA790" s="336" t="s">
        <v>2852</v>
      </c>
      <c r="AB790" s="121" t="s">
        <v>2891</v>
      </c>
      <c r="AC790" s="370"/>
    </row>
    <row r="791" spans="1:29" ht="39.950000000000003" customHeight="1" x14ac:dyDescent="0.2">
      <c r="A791" s="66">
        <v>793</v>
      </c>
      <c r="B791" s="68">
        <v>45209</v>
      </c>
      <c r="C791" s="73">
        <v>0.38819444444444445</v>
      </c>
      <c r="D791" s="66" t="s">
        <v>3325</v>
      </c>
      <c r="E791" s="67" t="s">
        <v>3326</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70"/>
    </row>
    <row r="792" spans="1:29" ht="39.950000000000003" customHeight="1" x14ac:dyDescent="0.2">
      <c r="A792" s="81">
        <v>794</v>
      </c>
      <c r="B792" s="83">
        <v>45209</v>
      </c>
      <c r="C792" s="323">
        <v>0.37986111111111115</v>
      </c>
      <c r="D792" s="81" t="s">
        <v>3327</v>
      </c>
      <c r="E792" s="82" t="s">
        <v>3328</v>
      </c>
      <c r="F792" s="81">
        <v>7</v>
      </c>
      <c r="G792" s="81" t="s">
        <v>1441</v>
      </c>
      <c r="H792" s="83">
        <v>45229</v>
      </c>
      <c r="I792" s="83" t="s">
        <v>749</v>
      </c>
      <c r="J792" s="83" t="s">
        <v>1225</v>
      </c>
      <c r="K792" s="81">
        <f>IFERROR(VLOOKUP(J792,Jueces!$A$1:$B$11,2,FALSE),"")</f>
        <v>6</v>
      </c>
      <c r="L792" s="81" t="s">
        <v>800</v>
      </c>
      <c r="M792" s="81" t="s">
        <v>712</v>
      </c>
      <c r="N792" s="84"/>
      <c r="O792" s="81" t="str">
        <f t="shared" ca="1" si="42"/>
        <v>NO</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6"/>
    </row>
    <row r="793" spans="1:29" ht="39.950000000000003" customHeight="1" x14ac:dyDescent="0.2">
      <c r="A793" s="66">
        <v>795</v>
      </c>
      <c r="B793" s="68">
        <v>45210</v>
      </c>
      <c r="C793" s="73">
        <v>0.36249999999999999</v>
      </c>
      <c r="D793" s="66" t="s">
        <v>3333</v>
      </c>
      <c r="E793" s="67" t="s">
        <v>3334</v>
      </c>
      <c r="F793" s="66">
        <v>1</v>
      </c>
      <c r="G793" s="66" t="s">
        <v>283</v>
      </c>
      <c r="H793" s="68">
        <v>45226</v>
      </c>
      <c r="I793" s="68" t="s">
        <v>1086</v>
      </c>
      <c r="J793" s="68" t="s">
        <v>1221</v>
      </c>
      <c r="K793" s="66" t="s">
        <v>1925</v>
      </c>
      <c r="L793" s="66" t="s">
        <v>508</v>
      </c>
      <c r="M793" s="66" t="s">
        <v>711</v>
      </c>
      <c r="N793" s="66" t="s">
        <v>3403</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3720</v>
      </c>
      <c r="X793" s="66" t="s">
        <v>3196</v>
      </c>
      <c r="Y793" s="66"/>
      <c r="Z793" s="121" t="s">
        <v>2867</v>
      </c>
      <c r="AA793" s="121" t="s">
        <v>2852</v>
      </c>
      <c r="AB793" s="121" t="s">
        <v>1174</v>
      </c>
      <c r="AC793" s="370"/>
    </row>
    <row r="794" spans="1:29" ht="39.950000000000003" customHeight="1" x14ac:dyDescent="0.2">
      <c r="A794" s="66">
        <v>796</v>
      </c>
      <c r="B794" s="68">
        <v>45210</v>
      </c>
      <c r="C794" s="73">
        <v>0.41250000000000003</v>
      </c>
      <c r="D794" s="66" t="s">
        <v>3337</v>
      </c>
      <c r="E794" s="67" t="s">
        <v>3336</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3416</v>
      </c>
      <c r="AA794" s="336" t="s">
        <v>1169</v>
      </c>
      <c r="AB794" s="121" t="s">
        <v>1177</v>
      </c>
      <c r="AC794" s="370"/>
    </row>
    <row r="795" spans="1:29" ht="39.950000000000003" customHeight="1" x14ac:dyDescent="0.2">
      <c r="A795" s="66">
        <v>797</v>
      </c>
      <c r="B795" s="68"/>
      <c r="C795" s="66"/>
      <c r="D795" s="66" t="s">
        <v>3368</v>
      </c>
      <c r="E795" s="67" t="s">
        <v>3369</v>
      </c>
      <c r="F795" s="66">
        <v>5</v>
      </c>
      <c r="G795" s="66" t="s">
        <v>2774</v>
      </c>
      <c r="H795" s="68">
        <v>45224</v>
      </c>
      <c r="I795" s="68" t="s">
        <v>73</v>
      </c>
      <c r="J795" s="68" t="s">
        <v>31</v>
      </c>
      <c r="K795" s="66">
        <f>IFERROR(VLOOKUP(J795,Jueces!$A$1:$B$11,2,FALSE),"")</f>
        <v>2</v>
      </c>
      <c r="L795" s="66" t="s">
        <v>796</v>
      </c>
      <c r="M795" s="66" t="s">
        <v>3370</v>
      </c>
      <c r="N795" s="66" t="s">
        <v>3632</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3633</v>
      </c>
      <c r="Y795" s="66"/>
      <c r="Z795" s="121" t="s">
        <v>3483</v>
      </c>
      <c r="AA795" s="121" t="s">
        <v>2852</v>
      </c>
      <c r="AB795" s="121" t="s">
        <v>1175</v>
      </c>
      <c r="AC795" s="370"/>
    </row>
    <row r="796" spans="1:29" ht="39.950000000000003" customHeight="1" x14ac:dyDescent="0.2">
      <c r="A796" s="81">
        <v>798</v>
      </c>
      <c r="B796" s="83">
        <v>45211</v>
      </c>
      <c r="C796" s="323">
        <v>0.33333333333333331</v>
      </c>
      <c r="D796" s="81" t="s">
        <v>3371</v>
      </c>
      <c r="E796" s="82" t="s">
        <v>3372</v>
      </c>
      <c r="F796" s="81">
        <v>1</v>
      </c>
      <c r="G796" s="81" t="s">
        <v>1441</v>
      </c>
      <c r="H796" s="83">
        <v>45231</v>
      </c>
      <c r="I796" s="83" t="s">
        <v>749</v>
      </c>
      <c r="J796" s="83" t="s">
        <v>1225</v>
      </c>
      <c r="K796" s="81">
        <f>IFERROR(VLOOKUP(J796,Jueces!$A$1:$B$11,2,FALSE),"")</f>
        <v>6</v>
      </c>
      <c r="L796" s="81" t="s">
        <v>829</v>
      </c>
      <c r="M796" s="81" t="s">
        <v>712</v>
      </c>
      <c r="N796" s="81"/>
      <c r="O796" s="81" t="str">
        <f t="shared" ca="1" si="42"/>
        <v>NO</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customHeight="1" x14ac:dyDescent="0.2">
      <c r="A797" s="66">
        <v>799</v>
      </c>
      <c r="B797" s="68">
        <v>45210</v>
      </c>
      <c r="C797" s="73">
        <v>0.51874999999999993</v>
      </c>
      <c r="D797" s="66" t="s">
        <v>3373</v>
      </c>
      <c r="E797" s="67" t="s">
        <v>3375</v>
      </c>
      <c r="F797" s="66">
        <v>1</v>
      </c>
      <c r="G797" s="66" t="s">
        <v>1441</v>
      </c>
      <c r="H797" s="68">
        <v>45226</v>
      </c>
      <c r="I797" s="68" t="s">
        <v>749</v>
      </c>
      <c r="J797" s="68" t="s">
        <v>2954</v>
      </c>
      <c r="K797" s="66" t="s">
        <v>2394</v>
      </c>
      <c r="L797" s="66" t="s">
        <v>582</v>
      </c>
      <c r="M797" s="66" t="s">
        <v>783</v>
      </c>
      <c r="N797" s="210" t="s">
        <v>3713</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3365</v>
      </c>
      <c r="AC797" s="370"/>
    </row>
    <row r="798" spans="1:29" ht="39.950000000000003" customHeight="1" x14ac:dyDescent="0.2">
      <c r="A798" s="66">
        <v>800</v>
      </c>
      <c r="B798" s="68">
        <v>45210</v>
      </c>
      <c r="C798" s="73">
        <v>0.51597222222222217</v>
      </c>
      <c r="D798" s="367" t="s">
        <v>3374</v>
      </c>
      <c r="E798" s="67" t="s">
        <v>3383</v>
      </c>
      <c r="F798" s="66">
        <v>1</v>
      </c>
      <c r="G798" s="66" t="s">
        <v>1442</v>
      </c>
      <c r="H798" s="68">
        <v>45225</v>
      </c>
      <c r="I798" s="68" t="s">
        <v>228</v>
      </c>
      <c r="J798" s="68" t="s">
        <v>31</v>
      </c>
      <c r="K798" s="66">
        <f>IFERROR(VLOOKUP(J798,Jueces!$A$1:$B$11,2,FALSE),"")</f>
        <v>2</v>
      </c>
      <c r="L798" s="66" t="s">
        <v>582</v>
      </c>
      <c r="M798" s="66" t="s">
        <v>783</v>
      </c>
      <c r="N798" s="66" t="s">
        <v>3685</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3686</v>
      </c>
      <c r="X798" s="66" t="s">
        <v>3258</v>
      </c>
      <c r="Y798" s="66"/>
      <c r="Z798" s="121" t="s">
        <v>2867</v>
      </c>
      <c r="AA798" s="121"/>
      <c r="AB798" s="121" t="s">
        <v>3301</v>
      </c>
      <c r="AC798" s="370" t="s">
        <v>1801</v>
      </c>
    </row>
    <row r="799" spans="1:29" ht="39.950000000000003" customHeight="1" x14ac:dyDescent="0.2">
      <c r="A799" s="81">
        <v>801</v>
      </c>
      <c r="B799" s="83">
        <v>45241</v>
      </c>
      <c r="C799" s="323">
        <v>0.49652777777777773</v>
      </c>
      <c r="D799" s="367" t="s">
        <v>3376</v>
      </c>
      <c r="E799" s="82" t="s">
        <v>3377</v>
      </c>
      <c r="F799" s="81">
        <v>4</v>
      </c>
      <c r="G799" s="81" t="s">
        <v>283</v>
      </c>
      <c r="H799" s="83">
        <v>45229</v>
      </c>
      <c r="I799" s="83" t="s">
        <v>73</v>
      </c>
      <c r="J799" s="83" t="s">
        <v>2954</v>
      </c>
      <c r="K799" s="81" t="s">
        <v>1925</v>
      </c>
      <c r="L799" s="81" t="s">
        <v>812</v>
      </c>
      <c r="M799" s="81" t="s">
        <v>1965</v>
      </c>
      <c r="N799" s="81" t="s">
        <v>3597</v>
      </c>
      <c r="O799" s="81" t="str">
        <f t="shared" ca="1" si="42"/>
        <v>NO</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6" t="s">
        <v>1801</v>
      </c>
    </row>
    <row r="800" spans="1:29" ht="39.950000000000003" customHeight="1" x14ac:dyDescent="0.2">
      <c r="A800" s="240">
        <v>802</v>
      </c>
      <c r="B800" s="324">
        <v>45210</v>
      </c>
      <c r="C800" s="240" t="s">
        <v>3378</v>
      </c>
      <c r="D800" s="240" t="s">
        <v>3379</v>
      </c>
      <c r="E800" s="243" t="s">
        <v>3380</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6"/>
    </row>
    <row r="801" spans="1:29" ht="39.950000000000003" customHeight="1" x14ac:dyDescent="0.2">
      <c r="A801" s="66">
        <v>803</v>
      </c>
      <c r="B801" s="68">
        <v>45209</v>
      </c>
      <c r="C801" s="73">
        <v>0.4458333333333333</v>
      </c>
      <c r="D801" s="66" t="s">
        <v>3381</v>
      </c>
      <c r="E801" s="67" t="s">
        <v>3382</v>
      </c>
      <c r="F801" s="66">
        <v>1</v>
      </c>
      <c r="G801" s="66" t="s">
        <v>1443</v>
      </c>
      <c r="H801" s="68">
        <v>45226</v>
      </c>
      <c r="I801" s="68" t="s">
        <v>73</v>
      </c>
      <c r="J801" s="68" t="s">
        <v>2951</v>
      </c>
      <c r="K801" s="66" t="s">
        <v>1925</v>
      </c>
      <c r="L801" s="66" t="s">
        <v>793</v>
      </c>
      <c r="M801" s="66" t="s">
        <v>692</v>
      </c>
      <c r="N801" s="66" t="s">
        <v>3714</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70"/>
    </row>
    <row r="802" spans="1:29" ht="39.950000000000003" customHeight="1" x14ac:dyDescent="0.2">
      <c r="A802" s="66">
        <v>804</v>
      </c>
      <c r="B802" s="68">
        <v>45210</v>
      </c>
      <c r="C802" s="73">
        <v>0.38472222222222219</v>
      </c>
      <c r="D802" s="66" t="s">
        <v>3384</v>
      </c>
      <c r="E802" s="67" t="s">
        <v>3385</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3483</v>
      </c>
      <c r="AA802" s="121" t="s">
        <v>3428</v>
      </c>
      <c r="AB802" s="121" t="s">
        <v>1174</v>
      </c>
      <c r="AC802" s="370"/>
    </row>
    <row r="803" spans="1:29" ht="39.950000000000003" customHeight="1" x14ac:dyDescent="0.2">
      <c r="A803" s="240">
        <v>805</v>
      </c>
      <c r="B803" s="324">
        <v>45202</v>
      </c>
      <c r="C803" s="325">
        <v>0.47083333333333338</v>
      </c>
      <c r="D803" s="240" t="s">
        <v>3162</v>
      </c>
      <c r="E803" s="243" t="s">
        <v>3386</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6"/>
    </row>
    <row r="804" spans="1:29" ht="39.950000000000003" customHeight="1" x14ac:dyDescent="0.2">
      <c r="A804" s="66">
        <v>806</v>
      </c>
      <c r="B804" s="68">
        <v>45210</v>
      </c>
      <c r="C804" s="73">
        <v>0.38819444444444445</v>
      </c>
      <c r="D804" s="66" t="s">
        <v>3387</v>
      </c>
      <c r="E804" s="67" t="s">
        <v>3388</v>
      </c>
      <c r="F804" s="66">
        <v>1</v>
      </c>
      <c r="G804" s="66" t="s">
        <v>568</v>
      </c>
      <c r="H804" s="68">
        <v>45226</v>
      </c>
      <c r="I804" s="68" t="s">
        <v>1086</v>
      </c>
      <c r="J804" s="68" t="s">
        <v>31</v>
      </c>
      <c r="K804" s="66">
        <f>IFERROR(VLOOKUP(J804,Jueces!$A$1:$B$11,2,FALSE),"")</f>
        <v>2</v>
      </c>
      <c r="L804" s="66" t="s">
        <v>582</v>
      </c>
      <c r="M804" s="66" t="s">
        <v>712</v>
      </c>
      <c r="N804" s="104" t="s">
        <v>3715</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3716</v>
      </c>
      <c r="Y804" s="66"/>
      <c r="Z804" s="121" t="s">
        <v>748</v>
      </c>
      <c r="AA804" s="121"/>
      <c r="AB804" s="121" t="s">
        <v>1173</v>
      </c>
      <c r="AC804" s="370"/>
    </row>
    <row r="805" spans="1:29" ht="39.950000000000003" customHeight="1" x14ac:dyDescent="0.2">
      <c r="A805" s="66">
        <v>807</v>
      </c>
      <c r="B805" s="68">
        <v>45210</v>
      </c>
      <c r="C805" s="73">
        <v>0.3840277777777778</v>
      </c>
      <c r="D805" s="66" t="s">
        <v>3389</v>
      </c>
      <c r="E805" s="67" t="s">
        <v>3390</v>
      </c>
      <c r="F805" s="66">
        <v>1</v>
      </c>
      <c r="G805" s="66" t="s">
        <v>3366</v>
      </c>
      <c r="H805" s="68">
        <v>45224</v>
      </c>
      <c r="I805" s="68" t="s">
        <v>73</v>
      </c>
      <c r="J805" s="68" t="s">
        <v>78</v>
      </c>
      <c r="K805" s="66">
        <f>IFERROR(VLOOKUP(J805,Jueces!$A$1:$B$11,2,FALSE),"")</f>
        <v>8</v>
      </c>
      <c r="L805" s="66" t="s">
        <v>829</v>
      </c>
      <c r="M805" s="66" t="s">
        <v>1179</v>
      </c>
      <c r="N805" s="66" t="s">
        <v>3637</v>
      </c>
      <c r="O805" s="81" t="str">
        <f t="shared" ca="1" si="42"/>
        <v>SI</v>
      </c>
      <c r="P805" s="81" t="str">
        <f t="shared" si="44"/>
        <v>DIANOSOL</v>
      </c>
      <c r="Q805" s="66" t="s">
        <v>911</v>
      </c>
      <c r="R805" s="66" t="str">
        <f>VLOOKUP($Q805,Resultados!$A$1:$B$49,2,FALSE)</f>
        <v>Suspendida</v>
      </c>
      <c r="S805" s="66" t="s">
        <v>3638</v>
      </c>
      <c r="T805" s="84" t="str">
        <f t="shared" si="45"/>
        <v>NO</v>
      </c>
      <c r="U805" s="84"/>
      <c r="V805" s="81"/>
      <c r="W805" s="66" t="s">
        <v>989</v>
      </c>
      <c r="X805" s="66" t="s">
        <v>2155</v>
      </c>
      <c r="Y805" s="66"/>
      <c r="Z805" s="121" t="s">
        <v>748</v>
      </c>
      <c r="AA805" s="121" t="s">
        <v>3428</v>
      </c>
      <c r="AB805" s="121" t="s">
        <v>3365</v>
      </c>
      <c r="AC805" s="370"/>
    </row>
    <row r="806" spans="1:29" ht="39.950000000000003" customHeight="1" x14ac:dyDescent="0.2">
      <c r="A806" s="81">
        <v>808</v>
      </c>
      <c r="B806" s="83">
        <v>45210</v>
      </c>
      <c r="C806" s="323">
        <v>0.37013888888888885</v>
      </c>
      <c r="D806" s="81" t="s">
        <v>3391</v>
      </c>
      <c r="E806" s="82" t="s">
        <v>3392</v>
      </c>
      <c r="F806" s="81">
        <v>1</v>
      </c>
      <c r="G806" s="81" t="s">
        <v>1443</v>
      </c>
      <c r="H806" s="83">
        <v>45229</v>
      </c>
      <c r="I806" s="83" t="s">
        <v>73</v>
      </c>
      <c r="J806" s="83" t="s">
        <v>2951</v>
      </c>
      <c r="K806" s="81" t="s">
        <v>1346</v>
      </c>
      <c r="L806" s="81" t="s">
        <v>813</v>
      </c>
      <c r="M806" s="81" t="s">
        <v>711</v>
      </c>
      <c r="N806" s="81"/>
      <c r="O806" s="81" t="str">
        <f t="shared" ca="1" si="42"/>
        <v>NO</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6"/>
    </row>
    <row r="807" spans="1:29" ht="39.950000000000003" customHeight="1" x14ac:dyDescent="0.2">
      <c r="A807" s="81">
        <v>809</v>
      </c>
      <c r="B807" s="83">
        <v>45210</v>
      </c>
      <c r="C807" s="323">
        <v>0.3659722222222222</v>
      </c>
      <c r="D807" s="81" t="s">
        <v>3393</v>
      </c>
      <c r="E807" s="82" t="s">
        <v>3394</v>
      </c>
      <c r="F807" s="81">
        <v>1</v>
      </c>
      <c r="G807" s="81" t="s">
        <v>3367</v>
      </c>
      <c r="H807" s="83">
        <v>45230</v>
      </c>
      <c r="I807" s="83" t="s">
        <v>73</v>
      </c>
      <c r="J807" s="83" t="s">
        <v>2951</v>
      </c>
      <c r="K807" s="81" t="s">
        <v>1925</v>
      </c>
      <c r="L807" s="81" t="s">
        <v>810</v>
      </c>
      <c r="M807" s="81" t="s">
        <v>3395</v>
      </c>
      <c r="N807" s="81" t="s">
        <v>3622</v>
      </c>
      <c r="O807" s="81" t="str">
        <f t="shared" ca="1" si="42"/>
        <v>NO</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6"/>
    </row>
    <row r="808" spans="1:29" ht="39.950000000000003" customHeight="1" x14ac:dyDescent="0.2">
      <c r="A808" s="81">
        <v>810</v>
      </c>
      <c r="B808" s="83">
        <v>45211</v>
      </c>
      <c r="C808" s="323">
        <v>0.38680555555555557</v>
      </c>
      <c r="D808" s="81" t="s">
        <v>3396</v>
      </c>
      <c r="E808" s="82" t="s">
        <v>3397</v>
      </c>
      <c r="F808" s="81">
        <v>7</v>
      </c>
      <c r="G808" s="81" t="s">
        <v>283</v>
      </c>
      <c r="H808" s="83">
        <v>45233</v>
      </c>
      <c r="I808" s="83" t="s">
        <v>1086</v>
      </c>
      <c r="J808" s="83" t="s">
        <v>35</v>
      </c>
      <c r="K808" s="81">
        <f>IFERROR(VLOOKUP(J808,Jueces!$A$1:$B$11,2,FALSE),"")</f>
        <v>3</v>
      </c>
      <c r="L808" s="81" t="s">
        <v>1070</v>
      </c>
      <c r="M808" s="81" t="s">
        <v>692</v>
      </c>
      <c r="N808" s="81" t="s">
        <v>3553</v>
      </c>
      <c r="O808" s="81" t="str">
        <f t="shared" ca="1" si="42"/>
        <v>NO</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3428</v>
      </c>
      <c r="AB808" s="81"/>
      <c r="AC808" s="88"/>
    </row>
    <row r="809" spans="1:29" ht="39.950000000000003" customHeight="1" x14ac:dyDescent="0.2">
      <c r="A809" s="66">
        <v>811</v>
      </c>
      <c r="B809" s="68">
        <v>45211</v>
      </c>
      <c r="C809" s="66" t="s">
        <v>1235</v>
      </c>
      <c r="D809" s="66" t="s">
        <v>3398</v>
      </c>
      <c r="E809" s="67" t="s">
        <v>3401</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3416</v>
      </c>
      <c r="AA809" s="121" t="s">
        <v>3428</v>
      </c>
      <c r="AB809" s="121" t="s">
        <v>3301</v>
      </c>
      <c r="AC809" s="370"/>
    </row>
    <row r="810" spans="1:29" ht="39.950000000000003" customHeight="1" x14ac:dyDescent="0.2">
      <c r="A810" s="240">
        <v>812</v>
      </c>
      <c r="B810" s="324">
        <v>45210</v>
      </c>
      <c r="C810" s="325">
        <v>0.41250000000000003</v>
      </c>
      <c r="D810" s="240" t="s">
        <v>3337</v>
      </c>
      <c r="E810" s="243" t="s">
        <v>3399</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6"/>
    </row>
    <row r="811" spans="1:29" ht="39.950000000000003" customHeight="1" x14ac:dyDescent="0.2">
      <c r="A811" s="170">
        <v>813</v>
      </c>
      <c r="B811" s="326"/>
      <c r="C811" s="170"/>
      <c r="D811" s="170"/>
      <c r="E811" s="171" t="s">
        <v>3417</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6"/>
    </row>
    <row r="812" spans="1:29" ht="39.950000000000003" customHeight="1" x14ac:dyDescent="0.2">
      <c r="A812" s="66">
        <v>814</v>
      </c>
      <c r="B812" s="68"/>
      <c r="C812" s="66"/>
      <c r="D812" s="367" t="s">
        <v>2928</v>
      </c>
      <c r="E812" s="67" t="s">
        <v>2880</v>
      </c>
      <c r="F812" s="66">
        <v>1</v>
      </c>
      <c r="G812" s="66" t="s">
        <v>1441</v>
      </c>
      <c r="H812" s="68">
        <v>45225</v>
      </c>
      <c r="I812" s="68" t="s">
        <v>749</v>
      </c>
      <c r="J812" s="68" t="s">
        <v>1225</v>
      </c>
      <c r="K812" s="66">
        <f>IFERROR(VLOOKUP(J812,Jueces!$A$1:$B$11,2,FALSE),"")</f>
        <v>6</v>
      </c>
      <c r="L812" s="66" t="s">
        <v>569</v>
      </c>
      <c r="M812" s="66" t="s">
        <v>1087</v>
      </c>
      <c r="N812" s="376"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3365</v>
      </c>
      <c r="AC812" s="370" t="s">
        <v>1801</v>
      </c>
    </row>
    <row r="813" spans="1:29" ht="39.950000000000003" customHeight="1" x14ac:dyDescent="0.2">
      <c r="A813" s="81">
        <v>815</v>
      </c>
      <c r="B813" s="83">
        <v>45211</v>
      </c>
      <c r="C813" s="323">
        <v>0.53472222222222221</v>
      </c>
      <c r="D813" s="81" t="s">
        <v>3419</v>
      </c>
      <c r="E813" s="82" t="s">
        <v>3420</v>
      </c>
      <c r="F813" s="81">
        <v>2</v>
      </c>
      <c r="G813" s="81" t="s">
        <v>2838</v>
      </c>
      <c r="H813" s="83">
        <v>45230</v>
      </c>
      <c r="I813" s="83" t="s">
        <v>73</v>
      </c>
      <c r="J813" s="83" t="s">
        <v>31</v>
      </c>
      <c r="K813" s="81">
        <v>2</v>
      </c>
      <c r="L813" s="81" t="s">
        <v>798</v>
      </c>
      <c r="M813" s="81" t="s">
        <v>711</v>
      </c>
      <c r="N813" s="81"/>
      <c r="O813" s="81" t="str">
        <f t="shared" ca="1" si="46"/>
        <v>NO</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3429</v>
      </c>
      <c r="AB813" s="81"/>
      <c r="AC813" s="366"/>
    </row>
    <row r="814" spans="1:29" ht="39.950000000000003" customHeight="1" x14ac:dyDescent="0.2">
      <c r="A814" s="81">
        <v>816</v>
      </c>
      <c r="B814" s="83">
        <v>45211</v>
      </c>
      <c r="C814" s="323">
        <v>0.5444444444444444</v>
      </c>
      <c r="D814" s="367" t="s">
        <v>3421</v>
      </c>
      <c r="E814" s="82" t="s">
        <v>3422</v>
      </c>
      <c r="F814" s="81">
        <v>1</v>
      </c>
      <c r="G814" s="81" t="s">
        <v>1441</v>
      </c>
      <c r="H814" s="83">
        <v>45230</v>
      </c>
      <c r="I814" s="83" t="s">
        <v>749</v>
      </c>
      <c r="J814" s="83" t="s">
        <v>1225</v>
      </c>
      <c r="K814" s="81">
        <f>IFERROR(VLOOKUP(J814,Jueces!$A$1:$B$11,2,FALSE),"")</f>
        <v>6</v>
      </c>
      <c r="L814" s="81" t="s">
        <v>582</v>
      </c>
      <c r="M814" s="81" t="s">
        <v>2055</v>
      </c>
      <c r="N814" s="81"/>
      <c r="O814" s="81" t="str">
        <f t="shared" ca="1" si="46"/>
        <v>NO</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3428</v>
      </c>
      <c r="AB814" s="81"/>
      <c r="AC814" s="88" t="s">
        <v>1801</v>
      </c>
    </row>
    <row r="815" spans="1:29" ht="39.950000000000003" customHeight="1" x14ac:dyDescent="0.2">
      <c r="A815" s="66">
        <v>817</v>
      </c>
      <c r="B815" s="68">
        <v>45211</v>
      </c>
      <c r="C815" s="73">
        <v>0.55069444444444449</v>
      </c>
      <c r="D815" s="66" t="s">
        <v>3423</v>
      </c>
      <c r="E815" s="67" t="s">
        <v>3424</v>
      </c>
      <c r="F815" s="66">
        <v>1</v>
      </c>
      <c r="G815" s="66" t="s">
        <v>3367</v>
      </c>
      <c r="H815" s="68">
        <v>45226</v>
      </c>
      <c r="I815" s="68" t="s">
        <v>547</v>
      </c>
      <c r="J815" s="68" t="s">
        <v>1220</v>
      </c>
      <c r="K815" s="66" t="s">
        <v>1925</v>
      </c>
      <c r="L815" s="66" t="s">
        <v>812</v>
      </c>
      <c r="M815" s="66" t="s">
        <v>712</v>
      </c>
      <c r="N815" s="66" t="s">
        <v>3717</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3718</v>
      </c>
      <c r="X815" s="66" t="s">
        <v>2571</v>
      </c>
      <c r="Y815" s="66"/>
      <c r="Z815" s="121" t="s">
        <v>2867</v>
      </c>
      <c r="AA815" s="121" t="s">
        <v>3429</v>
      </c>
      <c r="AB815" s="121" t="s">
        <v>3365</v>
      </c>
      <c r="AC815" s="370"/>
    </row>
    <row r="816" spans="1:29" ht="39.950000000000003" customHeight="1" x14ac:dyDescent="0.2">
      <c r="A816" s="66">
        <v>818</v>
      </c>
      <c r="B816" s="68">
        <v>45211</v>
      </c>
      <c r="C816" s="73">
        <v>0.54166666666666663</v>
      </c>
      <c r="D816" s="66" t="s">
        <v>3425</v>
      </c>
      <c r="E816" s="67" t="s">
        <v>3426</v>
      </c>
      <c r="F816" s="66">
        <v>1</v>
      </c>
      <c r="G816" s="66" t="s">
        <v>283</v>
      </c>
      <c r="H816" s="68">
        <v>45224</v>
      </c>
      <c r="I816" s="68" t="s">
        <v>1086</v>
      </c>
      <c r="J816" s="68" t="s">
        <v>1220</v>
      </c>
      <c r="K816" s="66">
        <f>IFERROR(VLOOKUP(J816,Jueces!$A$1:$B$11,2,FALSE),"")</f>
        <v>1</v>
      </c>
      <c r="L816" s="66" t="s">
        <v>811</v>
      </c>
      <c r="M816" s="66" t="s">
        <v>712</v>
      </c>
      <c r="N816" s="66" t="s">
        <v>3623</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3624</v>
      </c>
      <c r="Y816" s="66"/>
      <c r="Z816" s="121" t="s">
        <v>2867</v>
      </c>
      <c r="AA816" s="121" t="s">
        <v>3606</v>
      </c>
      <c r="AB816" s="121" t="s">
        <v>1174</v>
      </c>
      <c r="AC816" s="370"/>
    </row>
    <row r="817" spans="1:29" ht="39.950000000000003" customHeight="1" x14ac:dyDescent="0.2">
      <c r="A817" s="240">
        <v>819</v>
      </c>
      <c r="B817" s="324">
        <v>45216</v>
      </c>
      <c r="C817" s="325">
        <v>0.45833333333333331</v>
      </c>
      <c r="D817" s="240" t="s">
        <v>1209</v>
      </c>
      <c r="E817" s="243" t="s">
        <v>3431</v>
      </c>
      <c r="F817" s="240">
        <v>4</v>
      </c>
      <c r="G817" s="240"/>
      <c r="H817" s="324"/>
      <c r="I817" s="324"/>
      <c r="J817" s="324"/>
      <c r="K817" s="240" t="str">
        <f>IFERROR(VLOOKUP(J817,Jueces!$A$1:$B$11,2,FALSE),"")</f>
        <v/>
      </c>
      <c r="L817" s="240" t="s">
        <v>1070</v>
      </c>
      <c r="M817" s="240" t="s">
        <v>3432</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6"/>
    </row>
    <row r="818" spans="1:29" ht="39.950000000000003" customHeight="1" x14ac:dyDescent="0.2">
      <c r="A818" s="66">
        <v>820</v>
      </c>
      <c r="B818" s="68">
        <v>45216</v>
      </c>
      <c r="C818" s="73">
        <v>0.50972222222222219</v>
      </c>
      <c r="D818" s="367" t="s">
        <v>3433</v>
      </c>
      <c r="E818" s="67" t="s">
        <v>3434</v>
      </c>
      <c r="F818" s="66">
        <v>5</v>
      </c>
      <c r="G818" s="66" t="s">
        <v>2774</v>
      </c>
      <c r="H818" s="68">
        <v>45225</v>
      </c>
      <c r="I818" s="68" t="s">
        <v>1086</v>
      </c>
      <c r="J818" s="68" t="s">
        <v>78</v>
      </c>
      <c r="K818" s="66">
        <f>IFERROR(VLOOKUP(J818,Jueces!$A$1:$B$11,2,FALSE),"")</f>
        <v>8</v>
      </c>
      <c r="L818" s="66" t="s">
        <v>582</v>
      </c>
      <c r="M818" s="66" t="s">
        <v>3435</v>
      </c>
      <c r="N818" s="66" t="s">
        <v>3683</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70" t="s">
        <v>1801</v>
      </c>
    </row>
    <row r="819" spans="1:29" ht="39.950000000000003" customHeight="1" x14ac:dyDescent="0.2">
      <c r="A819" s="81">
        <v>821</v>
      </c>
      <c r="B819" s="83">
        <v>45216</v>
      </c>
      <c r="C819" s="323">
        <v>0.40763888888888888</v>
      </c>
      <c r="D819" s="81" t="s">
        <v>3446</v>
      </c>
      <c r="E819" s="82" t="s">
        <v>3447</v>
      </c>
      <c r="F819" s="81">
        <v>2</v>
      </c>
      <c r="G819" s="81" t="s">
        <v>2788</v>
      </c>
      <c r="H819" s="83">
        <v>45230</v>
      </c>
      <c r="I819" s="83" t="s">
        <v>73</v>
      </c>
      <c r="J819" s="83" t="s">
        <v>78</v>
      </c>
      <c r="K819" s="81">
        <f>IFERROR(VLOOKUP(J819,Jueces!$A$1:$B$11,2,FALSE),"")</f>
        <v>8</v>
      </c>
      <c r="L819" s="81" t="s">
        <v>791</v>
      </c>
      <c r="M819" s="81" t="s">
        <v>692</v>
      </c>
      <c r="N819" s="81"/>
      <c r="O819" s="81" t="str">
        <f t="shared" ca="1" si="46"/>
        <v>NO</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customHeight="1" x14ac:dyDescent="0.2">
      <c r="A820" s="81">
        <v>822</v>
      </c>
      <c r="B820" s="83">
        <v>45216</v>
      </c>
      <c r="C820" s="323">
        <v>0.4069444444444445</v>
      </c>
      <c r="D820" s="81" t="s">
        <v>3448</v>
      </c>
      <c r="E820" s="82" t="s">
        <v>3449</v>
      </c>
      <c r="F820" s="81">
        <v>2</v>
      </c>
      <c r="G820" s="81" t="s">
        <v>1442</v>
      </c>
      <c r="H820" s="83">
        <v>45231</v>
      </c>
      <c r="I820" s="83" t="s">
        <v>73</v>
      </c>
      <c r="J820" s="83" t="s">
        <v>78</v>
      </c>
      <c r="K820" s="81">
        <f>IFERROR(VLOOKUP(J820,Jueces!$A$1:$B$11,2,FALSE),"")</f>
        <v>8</v>
      </c>
      <c r="L820" s="81" t="s">
        <v>806</v>
      </c>
      <c r="M820" s="81" t="s">
        <v>1290</v>
      </c>
      <c r="N820" s="81"/>
      <c r="O820" s="81" t="str">
        <f t="shared" ca="1" si="46"/>
        <v>NO</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3428</v>
      </c>
      <c r="AB820" s="81"/>
      <c r="AC820" s="88"/>
    </row>
    <row r="821" spans="1:29" ht="39.950000000000003" customHeight="1" x14ac:dyDescent="0.2">
      <c r="A821" s="81">
        <v>823</v>
      </c>
      <c r="B821" s="83">
        <v>45216</v>
      </c>
      <c r="C821" s="323">
        <v>0.40625</v>
      </c>
      <c r="D821" s="81" t="s">
        <v>3450</v>
      </c>
      <c r="E821" s="82" t="s">
        <v>3451</v>
      </c>
      <c r="F821" s="81">
        <v>2</v>
      </c>
      <c r="G821" s="81" t="s">
        <v>1442</v>
      </c>
      <c r="H821" s="83">
        <v>45232</v>
      </c>
      <c r="I821" s="83" t="s">
        <v>73</v>
      </c>
      <c r="J821" s="83" t="s">
        <v>2951</v>
      </c>
      <c r="K821" s="81" t="s">
        <v>1520</v>
      </c>
      <c r="L821" s="81" t="s">
        <v>810</v>
      </c>
      <c r="M821" s="81" t="s">
        <v>692</v>
      </c>
      <c r="N821" s="81"/>
      <c r="O821" s="81" t="str">
        <f t="shared" ca="1" si="46"/>
        <v>NO</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customHeight="1" x14ac:dyDescent="0.2">
      <c r="A822" s="81">
        <v>824</v>
      </c>
      <c r="B822" s="83">
        <v>45216</v>
      </c>
      <c r="C822" s="323">
        <v>0.40416666666666662</v>
      </c>
      <c r="D822" s="81" t="s">
        <v>3453</v>
      </c>
      <c r="E822" s="82" t="s">
        <v>3452</v>
      </c>
      <c r="F822" s="81">
        <v>2</v>
      </c>
      <c r="G822" s="81" t="s">
        <v>2838</v>
      </c>
      <c r="H822" s="83">
        <v>45231</v>
      </c>
      <c r="I822" s="83" t="s">
        <v>1086</v>
      </c>
      <c r="J822" s="83" t="s">
        <v>2954</v>
      </c>
      <c r="K822" s="81" t="s">
        <v>1520</v>
      </c>
      <c r="L822" s="81" t="s">
        <v>809</v>
      </c>
      <c r="M822" s="81" t="s">
        <v>692</v>
      </c>
      <c r="N822" s="81"/>
      <c r="O822" s="81" t="str">
        <f t="shared" ca="1" si="46"/>
        <v>NO</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customHeight="1" x14ac:dyDescent="0.2">
      <c r="A823" s="81">
        <v>825</v>
      </c>
      <c r="B823" s="83">
        <v>45216</v>
      </c>
      <c r="C823" s="323">
        <v>0.40208333333333335</v>
      </c>
      <c r="D823" s="81" t="s">
        <v>3454</v>
      </c>
      <c r="E823" s="82" t="s">
        <v>3455</v>
      </c>
      <c r="F823" s="81">
        <v>1</v>
      </c>
      <c r="G823" s="81" t="s">
        <v>568</v>
      </c>
      <c r="H823" s="83">
        <v>45231</v>
      </c>
      <c r="I823" s="83" t="s">
        <v>73</v>
      </c>
      <c r="J823" s="83" t="s">
        <v>2951</v>
      </c>
      <c r="K823" s="81" t="s">
        <v>1520</v>
      </c>
      <c r="L823" s="81" t="s">
        <v>802</v>
      </c>
      <c r="M823" s="81" t="s">
        <v>711</v>
      </c>
      <c r="N823" s="81"/>
      <c r="O823" s="81" t="str">
        <f t="shared" ca="1" si="46"/>
        <v>NO</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3429</v>
      </c>
      <c r="AB823" s="81"/>
      <c r="AC823" s="88"/>
    </row>
    <row r="824" spans="1:29" ht="39.950000000000003" customHeight="1" x14ac:dyDescent="0.2">
      <c r="A824" s="170">
        <v>826</v>
      </c>
      <c r="B824" s="326">
        <v>45216</v>
      </c>
      <c r="C824" s="327">
        <v>0.375</v>
      </c>
      <c r="D824" s="170" t="s">
        <v>3371</v>
      </c>
      <c r="E824" s="171" t="s">
        <v>3456</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6"/>
    </row>
    <row r="825" spans="1:29" ht="39.950000000000003"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3457</v>
      </c>
      <c r="O825" s="211" t="str">
        <f t="shared" ca="1" si="46"/>
        <v>NO</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6"/>
    </row>
    <row r="826" spans="1:29" ht="39.950000000000003" customHeight="1" x14ac:dyDescent="0.2">
      <c r="A826" s="81">
        <v>828</v>
      </c>
      <c r="B826" s="83">
        <v>45217</v>
      </c>
      <c r="C826" s="323">
        <v>0.36944444444444446</v>
      </c>
      <c r="D826" s="81" t="s">
        <v>3462</v>
      </c>
      <c r="E826" s="82" t="s">
        <v>3463</v>
      </c>
      <c r="F826" s="81">
        <v>2</v>
      </c>
      <c r="G826" s="81" t="s">
        <v>2788</v>
      </c>
      <c r="H826" s="83">
        <v>45237</v>
      </c>
      <c r="I826" s="83" t="s">
        <v>73</v>
      </c>
      <c r="J826" s="83" t="s">
        <v>2954</v>
      </c>
      <c r="K826" s="81" t="s">
        <v>1925</v>
      </c>
      <c r="L826" s="81" t="s">
        <v>798</v>
      </c>
      <c r="M826" s="81" t="s">
        <v>692</v>
      </c>
      <c r="N826" s="81"/>
      <c r="O826" s="81" t="str">
        <f t="shared" ca="1" si="46"/>
        <v>NO</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3429</v>
      </c>
      <c r="AB826" s="81"/>
      <c r="AC826" s="88"/>
    </row>
    <row r="827" spans="1:29" ht="39.950000000000003" customHeight="1" x14ac:dyDescent="0.2">
      <c r="A827" s="81">
        <v>829</v>
      </c>
      <c r="B827" s="83">
        <v>45217</v>
      </c>
      <c r="C827" s="323">
        <v>0.34583333333333338</v>
      </c>
      <c r="D827" s="81" t="s">
        <v>3464</v>
      </c>
      <c r="E827" s="82" t="s">
        <v>3465</v>
      </c>
      <c r="F827" s="81">
        <v>2</v>
      </c>
      <c r="G827" s="81" t="s">
        <v>2774</v>
      </c>
      <c r="H827" s="83">
        <v>45229</v>
      </c>
      <c r="I827" s="83" t="s">
        <v>1086</v>
      </c>
      <c r="J827" s="83" t="s">
        <v>33</v>
      </c>
      <c r="K827" s="81">
        <f>IFERROR(VLOOKUP(J827,Jueces!$A$1:$B$11,2,FALSE),"")</f>
        <v>4</v>
      </c>
      <c r="L827" s="81" t="s">
        <v>791</v>
      </c>
      <c r="M827" s="81" t="s">
        <v>692</v>
      </c>
      <c r="N827" s="81"/>
      <c r="O827" s="81" t="str">
        <f t="shared" ca="1" si="46"/>
        <v>NO</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customHeight="1" x14ac:dyDescent="0.2">
      <c r="A828" s="81">
        <v>830</v>
      </c>
      <c r="B828" s="83">
        <v>45217</v>
      </c>
      <c r="C828" s="323">
        <v>0.3520833333333333</v>
      </c>
      <c r="D828" s="81" t="s">
        <v>3467</v>
      </c>
      <c r="E828" s="82" t="s">
        <v>3466</v>
      </c>
      <c r="F828" s="81">
        <v>2</v>
      </c>
      <c r="G828" s="81" t="s">
        <v>3366</v>
      </c>
      <c r="H828" s="83">
        <v>45230</v>
      </c>
      <c r="I828" s="83" t="s">
        <v>1086</v>
      </c>
      <c r="J828" s="83" t="s">
        <v>1220</v>
      </c>
      <c r="K828" s="81">
        <f>IFERROR(VLOOKUP(J828,Jueces!$A$1:$B$11,2,FALSE),"")</f>
        <v>1</v>
      </c>
      <c r="L828" s="81" t="s">
        <v>798</v>
      </c>
      <c r="M828" s="81" t="s">
        <v>692</v>
      </c>
      <c r="N828" s="81"/>
      <c r="O828" s="81" t="str">
        <f t="shared" ca="1" si="46"/>
        <v>NO</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customHeight="1" x14ac:dyDescent="0.2">
      <c r="A829" s="81">
        <v>831</v>
      </c>
      <c r="B829" s="83">
        <v>45210</v>
      </c>
      <c r="C829" s="323">
        <v>0.3972222222222222</v>
      </c>
      <c r="D829" s="81" t="s">
        <v>3379</v>
      </c>
      <c r="E829" s="82" t="s">
        <v>3468</v>
      </c>
      <c r="F829" s="81">
        <v>4</v>
      </c>
      <c r="G829" s="81" t="s">
        <v>2788</v>
      </c>
      <c r="H829" s="83">
        <v>45233</v>
      </c>
      <c r="I829" s="83" t="s">
        <v>73</v>
      </c>
      <c r="J829" s="83" t="s">
        <v>1221</v>
      </c>
      <c r="K829" s="81">
        <f>IFERROR(VLOOKUP(J829,Jueces!$A$1:$B$11,2,FALSE),"")</f>
        <v>7</v>
      </c>
      <c r="L829" s="81" t="s">
        <v>814</v>
      </c>
      <c r="M829" s="81" t="s">
        <v>3469</v>
      </c>
      <c r="N829" s="81"/>
      <c r="O829" s="81" t="str">
        <f t="shared" ca="1" si="46"/>
        <v>NO</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customHeight="1" x14ac:dyDescent="0.2">
      <c r="A830" s="81">
        <v>832</v>
      </c>
      <c r="B830" s="83">
        <v>45200</v>
      </c>
      <c r="C830" s="323">
        <v>0.41805555555555557</v>
      </c>
      <c r="D830" s="81" t="s">
        <v>3550</v>
      </c>
      <c r="E830" s="82" t="s">
        <v>3482</v>
      </c>
      <c r="F830" s="81">
        <v>2</v>
      </c>
      <c r="G830" s="81" t="s">
        <v>3366</v>
      </c>
      <c r="H830" s="83">
        <v>45240</v>
      </c>
      <c r="I830" s="83" t="s">
        <v>73</v>
      </c>
      <c r="J830" s="83" t="s">
        <v>78</v>
      </c>
      <c r="K830" s="81">
        <f>IFERROR(VLOOKUP(J830,Jueces!$A$1:$B$11,2,FALSE),"")</f>
        <v>8</v>
      </c>
      <c r="L830" s="81" t="s">
        <v>2094</v>
      </c>
      <c r="M830" s="81" t="s">
        <v>692</v>
      </c>
      <c r="N830" s="81" t="s">
        <v>3681</v>
      </c>
      <c r="O830" s="81" t="str">
        <f t="shared" ca="1" si="46"/>
        <v>NO</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customHeight="1" x14ac:dyDescent="0.2">
      <c r="A831" s="81">
        <v>833</v>
      </c>
      <c r="B831" s="83">
        <v>45217</v>
      </c>
      <c r="C831" s="323">
        <v>0.4826388888888889</v>
      </c>
      <c r="D831" s="81" t="s">
        <v>3470</v>
      </c>
      <c r="E831" s="82" t="s">
        <v>3471</v>
      </c>
      <c r="F831" s="81">
        <v>1</v>
      </c>
      <c r="G831" s="81" t="s">
        <v>3367</v>
      </c>
      <c r="H831" s="83">
        <v>45236</v>
      </c>
      <c r="I831" s="83" t="s">
        <v>73</v>
      </c>
      <c r="J831" s="83" t="s">
        <v>2951</v>
      </c>
      <c r="K831" s="81" t="s">
        <v>1346</v>
      </c>
      <c r="L831" s="81" t="s">
        <v>802</v>
      </c>
      <c r="M831" s="81" t="s">
        <v>712</v>
      </c>
      <c r="N831" s="81"/>
      <c r="O831" s="81" t="str">
        <f t="shared" ca="1" si="46"/>
        <v>NO</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customHeight="1" x14ac:dyDescent="0.2">
      <c r="A832" s="81">
        <v>834</v>
      </c>
      <c r="B832" s="83">
        <v>45217</v>
      </c>
      <c r="C832" s="323">
        <v>0.48333333333333334</v>
      </c>
      <c r="D832" s="81" t="s">
        <v>3472</v>
      </c>
      <c r="E832" s="82" t="s">
        <v>3509</v>
      </c>
      <c r="F832" s="81">
        <v>3</v>
      </c>
      <c r="G832" s="81" t="s">
        <v>2788</v>
      </c>
      <c r="H832" s="83">
        <v>45232</v>
      </c>
      <c r="I832" s="83" t="s">
        <v>989</v>
      </c>
      <c r="J832" s="83" t="s">
        <v>1220</v>
      </c>
      <c r="K832" s="81">
        <v>8</v>
      </c>
      <c r="L832" s="81" t="s">
        <v>809</v>
      </c>
      <c r="M832" s="81" t="s">
        <v>694</v>
      </c>
      <c r="N832" s="81"/>
      <c r="O832" s="81" t="str">
        <f t="shared" ca="1" si="46"/>
        <v>NO</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3428</v>
      </c>
      <c r="AB832" s="81"/>
      <c r="AC832" s="78"/>
    </row>
    <row r="833" spans="1:29" ht="39.950000000000003" customHeight="1" x14ac:dyDescent="0.2">
      <c r="A833" s="81">
        <v>835</v>
      </c>
      <c r="B833" s="83">
        <v>45217</v>
      </c>
      <c r="C833" s="323">
        <v>0.48402777777777778</v>
      </c>
      <c r="D833" s="81" t="s">
        <v>3473</v>
      </c>
      <c r="E833" s="82" t="s">
        <v>3474</v>
      </c>
      <c r="F833" s="81">
        <v>1</v>
      </c>
      <c r="G833" s="81" t="s">
        <v>3367</v>
      </c>
      <c r="H833" s="83">
        <v>45231</v>
      </c>
      <c r="I833" s="83" t="s">
        <v>77</v>
      </c>
      <c r="J833" s="83" t="s">
        <v>1221</v>
      </c>
      <c r="K833" s="81" t="s">
        <v>2304</v>
      </c>
      <c r="L833" s="81" t="s">
        <v>812</v>
      </c>
      <c r="M833" s="372" t="s">
        <v>783</v>
      </c>
      <c r="N833" s="81" t="s">
        <v>3534</v>
      </c>
      <c r="O833" s="81" t="str">
        <f t="shared" ca="1" si="46"/>
        <v>NO</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customHeight="1" x14ac:dyDescent="0.2">
      <c r="A834" s="81">
        <v>836</v>
      </c>
      <c r="B834" s="83">
        <v>45217</v>
      </c>
      <c r="C834" s="323">
        <v>0.4861111111111111</v>
      </c>
      <c r="D834" s="81" t="s">
        <v>3475</v>
      </c>
      <c r="E834" s="82" t="s">
        <v>3476</v>
      </c>
      <c r="F834" s="81">
        <v>8</v>
      </c>
      <c r="G834" s="81" t="s">
        <v>2774</v>
      </c>
      <c r="H834" s="83">
        <v>45231</v>
      </c>
      <c r="I834" s="83" t="s">
        <v>3212</v>
      </c>
      <c r="J834" s="83" t="s">
        <v>1220</v>
      </c>
      <c r="K834" s="81" t="s">
        <v>1925</v>
      </c>
      <c r="L834" s="81" t="s">
        <v>790</v>
      </c>
      <c r="M834" s="81" t="s">
        <v>3498</v>
      </c>
      <c r="N834" s="81"/>
      <c r="O834" s="81" t="str">
        <f t="shared" ca="1" si="46"/>
        <v>NO</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customHeight="1" x14ac:dyDescent="0.2">
      <c r="A835" s="81">
        <v>837</v>
      </c>
      <c r="B835" s="83">
        <v>45217</v>
      </c>
      <c r="C835" s="323">
        <v>0.35000000000000003</v>
      </c>
      <c r="D835" s="81" t="s">
        <v>3477</v>
      </c>
      <c r="E835" s="82" t="s">
        <v>3478</v>
      </c>
      <c r="F835" s="81">
        <v>1</v>
      </c>
      <c r="G835" s="81" t="s">
        <v>2838</v>
      </c>
      <c r="H835" s="83">
        <v>45230</v>
      </c>
      <c r="I835" s="83" t="s">
        <v>1210</v>
      </c>
      <c r="J835" s="83" t="s">
        <v>31</v>
      </c>
      <c r="K835" s="81" t="s">
        <v>1520</v>
      </c>
      <c r="L835" s="81" t="s">
        <v>809</v>
      </c>
      <c r="M835" s="81" t="s">
        <v>712</v>
      </c>
      <c r="N835" s="81" t="s">
        <v>3712</v>
      </c>
      <c r="O835" s="81" t="str">
        <f t="shared" ca="1" si="46"/>
        <v>NO</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3416</v>
      </c>
      <c r="AA835" s="321" t="s">
        <v>2852</v>
      </c>
      <c r="AB835" s="321" t="s">
        <v>1177</v>
      </c>
      <c r="AC835" s="78"/>
    </row>
    <row r="836" spans="1:29" ht="39.950000000000003" customHeight="1" x14ac:dyDescent="0.2">
      <c r="A836" s="81">
        <v>838</v>
      </c>
      <c r="B836" s="83">
        <v>45217</v>
      </c>
      <c r="C836" s="323">
        <v>0.46180555555555558</v>
      </c>
      <c r="D836" s="367" t="s">
        <v>1348</v>
      </c>
      <c r="E836" s="82" t="s">
        <v>3481</v>
      </c>
      <c r="F836" s="81">
        <v>4</v>
      </c>
      <c r="G836" s="81" t="s">
        <v>1443</v>
      </c>
      <c r="H836" s="83">
        <v>45233</v>
      </c>
      <c r="I836" s="83" t="s">
        <v>1086</v>
      </c>
      <c r="J836" s="83" t="s">
        <v>31</v>
      </c>
      <c r="K836" s="81">
        <f>IFERROR(VLOOKUP(J836,Jueces!$A$1:$B$11,2,FALSE),"")</f>
        <v>2</v>
      </c>
      <c r="L836" s="81" t="s">
        <v>814</v>
      </c>
      <c r="M836" s="393" t="s">
        <v>1447</v>
      </c>
      <c r="N836" s="81" t="s">
        <v>3525</v>
      </c>
      <c r="O836" s="81" t="str">
        <f t="shared" ca="1" si="46"/>
        <v>NO</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customHeight="1" x14ac:dyDescent="0.2">
      <c r="A837" s="81">
        <v>839</v>
      </c>
      <c r="B837" s="83">
        <v>45217</v>
      </c>
      <c r="C837" s="323">
        <v>0.4909722222222222</v>
      </c>
      <c r="D837" s="81" t="s">
        <v>3479</v>
      </c>
      <c r="E837" s="82" t="s">
        <v>3711</v>
      </c>
      <c r="F837" s="81">
        <v>2</v>
      </c>
      <c r="G837" s="81" t="s">
        <v>2838</v>
      </c>
      <c r="H837" s="83">
        <v>45233</v>
      </c>
      <c r="I837" s="83" t="s">
        <v>1210</v>
      </c>
      <c r="J837" s="83" t="s">
        <v>1221</v>
      </c>
      <c r="K837" s="81" t="s">
        <v>1925</v>
      </c>
      <c r="L837" s="81" t="s">
        <v>791</v>
      </c>
      <c r="M837" s="81" t="s">
        <v>692</v>
      </c>
      <c r="N837" s="81"/>
      <c r="O837" s="81" t="str">
        <f t="shared" ca="1" si="46"/>
        <v>NO</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customHeight="1" x14ac:dyDescent="0.2">
      <c r="A838" s="81">
        <v>840</v>
      </c>
      <c r="B838" s="83">
        <v>45218</v>
      </c>
      <c r="C838" s="323">
        <v>0.34375</v>
      </c>
      <c r="D838" s="81" t="s">
        <v>3528</v>
      </c>
      <c r="E838" s="82" t="s">
        <v>3497</v>
      </c>
      <c r="F838" s="81">
        <v>2</v>
      </c>
      <c r="G838" s="81" t="s">
        <v>283</v>
      </c>
      <c r="H838" s="83">
        <v>45231</v>
      </c>
      <c r="I838" s="83" t="s">
        <v>1210</v>
      </c>
      <c r="J838" s="83" t="s">
        <v>1221</v>
      </c>
      <c r="K838" s="81" t="s">
        <v>2304</v>
      </c>
      <c r="L838" s="81" t="s">
        <v>811</v>
      </c>
      <c r="M838" s="81" t="s">
        <v>693</v>
      </c>
      <c r="N838" s="81"/>
      <c r="O838" s="81" t="str">
        <f t="shared" ca="1" si="46"/>
        <v>NO</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customHeight="1" x14ac:dyDescent="0.2">
      <c r="A839" s="81">
        <v>841</v>
      </c>
      <c r="B839" s="83">
        <v>45218</v>
      </c>
      <c r="C839" s="323">
        <v>0.41597222222222219</v>
      </c>
      <c r="D839" s="81" t="s">
        <v>2306</v>
      </c>
      <c r="E839" s="82" t="s">
        <v>3499</v>
      </c>
      <c r="F839" s="81">
        <v>6</v>
      </c>
      <c r="G839" s="81" t="s">
        <v>283</v>
      </c>
      <c r="H839" s="83">
        <v>45232</v>
      </c>
      <c r="I839" s="83" t="s">
        <v>3212</v>
      </c>
      <c r="J839" s="83" t="s">
        <v>1221</v>
      </c>
      <c r="K839" s="81" t="s">
        <v>1925</v>
      </c>
      <c r="L839" s="81" t="s">
        <v>811</v>
      </c>
      <c r="M839" s="81" t="s">
        <v>2125</v>
      </c>
      <c r="N839" s="81"/>
      <c r="O839" s="81" t="str">
        <f t="shared" ca="1" si="46"/>
        <v>NO</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customHeight="1" x14ac:dyDescent="0.2">
      <c r="A840" s="81">
        <v>842</v>
      </c>
      <c r="B840" s="83">
        <v>45218</v>
      </c>
      <c r="C840" s="323">
        <v>0.41736111111111113</v>
      </c>
      <c r="D840" s="367" t="s">
        <v>3500</v>
      </c>
      <c r="E840" s="82" t="s">
        <v>3501</v>
      </c>
      <c r="F840" s="81">
        <v>2</v>
      </c>
      <c r="G840" s="81" t="s">
        <v>3366</v>
      </c>
      <c r="H840" s="83">
        <v>45236</v>
      </c>
      <c r="I840" s="83" t="s">
        <v>1086</v>
      </c>
      <c r="J840" s="83" t="s">
        <v>78</v>
      </c>
      <c r="K840" s="81">
        <f>IFERROR(VLOOKUP(J840,Jueces!$A$1:$B$11,2,FALSE),"")</f>
        <v>8</v>
      </c>
      <c r="L840" s="81" t="s">
        <v>807</v>
      </c>
      <c r="M840" s="79" t="s">
        <v>692</v>
      </c>
      <c r="N840" s="81"/>
      <c r="O840" s="81" t="str">
        <f t="shared" ca="1" si="46"/>
        <v>NO</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3428</v>
      </c>
      <c r="AB840" s="81"/>
      <c r="AC840" s="78" t="s">
        <v>1801</v>
      </c>
    </row>
    <row r="841" spans="1:29" ht="39.950000000000003" customHeight="1" x14ac:dyDescent="0.2">
      <c r="A841" s="81">
        <v>843</v>
      </c>
      <c r="B841" s="83">
        <v>45218</v>
      </c>
      <c r="C841" s="323">
        <v>0.42222222222222222</v>
      </c>
      <c r="D841" s="81" t="s">
        <v>3502</v>
      </c>
      <c r="E841" s="82" t="s">
        <v>3508</v>
      </c>
      <c r="F841" s="81">
        <v>2</v>
      </c>
      <c r="G841" s="81" t="s">
        <v>3367</v>
      </c>
      <c r="H841" s="83">
        <v>45238</v>
      </c>
      <c r="I841" s="83" t="s">
        <v>1086</v>
      </c>
      <c r="J841" s="83" t="s">
        <v>31</v>
      </c>
      <c r="K841" s="81">
        <f>IFERROR(VLOOKUP(J841,Jueces!$A$1:$B$11,2,FALSE),"")</f>
        <v>2</v>
      </c>
      <c r="L841" s="81" t="s">
        <v>814</v>
      </c>
      <c r="M841" s="394" t="s">
        <v>2702</v>
      </c>
      <c r="N841" s="81" t="s">
        <v>3561</v>
      </c>
      <c r="O841" s="81" t="str">
        <f t="shared" ca="1" si="46"/>
        <v>NO</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customHeight="1" x14ac:dyDescent="0.2">
      <c r="A842" s="81">
        <v>844</v>
      </c>
      <c r="B842" s="83">
        <v>45218</v>
      </c>
      <c r="C842" s="323">
        <v>0.42291666666666666</v>
      </c>
      <c r="D842" s="81" t="s">
        <v>981</v>
      </c>
      <c r="E842" s="82" t="s">
        <v>3504</v>
      </c>
      <c r="F842" s="81">
        <v>8</v>
      </c>
      <c r="G842" s="81" t="s">
        <v>1442</v>
      </c>
      <c r="H842" s="83">
        <v>45233</v>
      </c>
      <c r="I842" s="83" t="s">
        <v>749</v>
      </c>
      <c r="J842" s="83" t="s">
        <v>1225</v>
      </c>
      <c r="K842" s="81">
        <f>IFERROR(VLOOKUP(J842,Jueces!$A$1:$B$11,2,FALSE),"")</f>
        <v>6</v>
      </c>
      <c r="L842" s="81" t="s">
        <v>813</v>
      </c>
      <c r="M842" s="81" t="s">
        <v>723</v>
      </c>
      <c r="N842" s="81"/>
      <c r="O842" s="81" t="str">
        <f t="shared" ca="1" si="46"/>
        <v>NO</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3428</v>
      </c>
      <c r="AB842" s="81"/>
      <c r="AC842" s="78"/>
    </row>
    <row r="843" spans="1:29" ht="39.950000000000003" customHeight="1" x14ac:dyDescent="0.2">
      <c r="A843" s="81">
        <v>845</v>
      </c>
      <c r="B843" s="83">
        <v>45218</v>
      </c>
      <c r="C843" s="323">
        <v>0.47013888888888888</v>
      </c>
      <c r="D843" s="81" t="s">
        <v>3506</v>
      </c>
      <c r="E843" s="82" t="s">
        <v>3507</v>
      </c>
      <c r="F843" s="81">
        <v>3</v>
      </c>
      <c r="G843" s="81" t="s">
        <v>568</v>
      </c>
      <c r="H843" s="83">
        <v>45230</v>
      </c>
      <c r="I843" s="83" t="s">
        <v>1210</v>
      </c>
      <c r="J843" s="83" t="s">
        <v>1220</v>
      </c>
      <c r="K843" s="81">
        <f>IFERROR(VLOOKUP(J843,Jueces!$A$1:$B$11,2,FALSE),"")</f>
        <v>1</v>
      </c>
      <c r="L843" s="81" t="s">
        <v>812</v>
      </c>
      <c r="M843" s="81" t="s">
        <v>694</v>
      </c>
      <c r="N843" s="81"/>
      <c r="O843" s="81" t="str">
        <f t="shared" ca="1" si="46"/>
        <v>NO</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3429</v>
      </c>
      <c r="AB843" s="81"/>
      <c r="AC843" s="78"/>
    </row>
    <row r="844" spans="1:29" ht="39.950000000000003" customHeight="1" x14ac:dyDescent="0.2">
      <c r="A844" s="66">
        <v>846</v>
      </c>
      <c r="B844" s="68"/>
      <c r="C844" s="66"/>
      <c r="D844" s="66" t="s">
        <v>3510</v>
      </c>
      <c r="E844" s="67" t="s">
        <v>3511</v>
      </c>
      <c r="F844" s="66">
        <v>2</v>
      </c>
      <c r="G844" s="66" t="s">
        <v>29</v>
      </c>
      <c r="H844" s="68">
        <v>45219</v>
      </c>
      <c r="I844" s="68" t="s">
        <v>228</v>
      </c>
      <c r="J844" s="68" t="s">
        <v>31</v>
      </c>
      <c r="K844" s="66">
        <v>2</v>
      </c>
      <c r="L844" s="66" t="s">
        <v>1306</v>
      </c>
      <c r="M844" s="66" t="s">
        <v>3512</v>
      </c>
      <c r="N844" s="66" t="s">
        <v>3545</v>
      </c>
      <c r="O844" s="81" t="str">
        <f t="shared" ca="1" si="46"/>
        <v>SI</v>
      </c>
      <c r="P844" s="81" t="str">
        <f t="shared" si="48"/>
        <v>DIANOSOL</v>
      </c>
      <c r="Q844" s="66" t="s">
        <v>905</v>
      </c>
      <c r="R844" s="66" t="str">
        <f>VLOOKUP($Q844,Resultados!$A$1:$B$49,2,FALSE)</f>
        <v>Juicio Abreviado</v>
      </c>
      <c r="S844" s="66" t="s">
        <v>3410</v>
      </c>
      <c r="T844" s="84" t="str">
        <f t="shared" si="47"/>
        <v>NO</v>
      </c>
      <c r="U844" s="84"/>
      <c r="V844" s="81"/>
      <c r="W844" s="66" t="s">
        <v>3282</v>
      </c>
      <c r="X844" s="66" t="s">
        <v>3081</v>
      </c>
      <c r="Y844" s="66"/>
      <c r="Z844" s="121" t="s">
        <v>748</v>
      </c>
      <c r="AA844" s="66"/>
      <c r="AB844" s="121" t="s">
        <v>3365</v>
      </c>
      <c r="AC844" s="407"/>
    </row>
    <row r="845" spans="1:29" ht="39.950000000000003"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3513</v>
      </c>
      <c r="O845" s="211" t="str">
        <f t="shared" ca="1" si="46"/>
        <v>NO</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71"/>
    </row>
    <row r="846" spans="1:29" ht="39.950000000000003" customHeight="1" x14ac:dyDescent="0.2">
      <c r="A846" s="81">
        <v>848</v>
      </c>
      <c r="B846" s="83">
        <v>45219</v>
      </c>
      <c r="C846" s="323">
        <v>0.35000000000000003</v>
      </c>
      <c r="D846" s="81" t="s">
        <v>3523</v>
      </c>
      <c r="E846" s="82" t="s">
        <v>3524</v>
      </c>
      <c r="F846" s="81">
        <v>2</v>
      </c>
      <c r="G846" s="81" t="s">
        <v>1443</v>
      </c>
      <c r="H846" s="83">
        <v>45239</v>
      </c>
      <c r="I846" s="83" t="s">
        <v>73</v>
      </c>
      <c r="J846" s="83" t="s">
        <v>78</v>
      </c>
      <c r="K846" s="81">
        <f>IFERROR(VLOOKUP(J846,Jueces!$A$1:$B$11,2,FALSE),"")</f>
        <v>8</v>
      </c>
      <c r="L846" s="81" t="s">
        <v>2094</v>
      </c>
      <c r="M846" s="396" t="s">
        <v>782</v>
      </c>
      <c r="N846" s="81" t="s">
        <v>3619</v>
      </c>
      <c r="O846" s="81" t="str">
        <f t="shared" ca="1" si="46"/>
        <v>NO</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3429</v>
      </c>
      <c r="AB846" s="81"/>
      <c r="AC846" s="78"/>
    </row>
    <row r="847" spans="1:29" ht="39.950000000000003" customHeight="1" x14ac:dyDescent="0.2">
      <c r="A847" s="81">
        <v>849</v>
      </c>
      <c r="B847" s="83">
        <v>45219</v>
      </c>
      <c r="C847" s="323">
        <v>0.3923611111111111</v>
      </c>
      <c r="D847" s="81" t="s">
        <v>3529</v>
      </c>
      <c r="E847" s="82" t="s">
        <v>3692</v>
      </c>
      <c r="F847" s="81">
        <v>2</v>
      </c>
      <c r="G847" s="81" t="s">
        <v>568</v>
      </c>
      <c r="H847" s="83">
        <v>45237</v>
      </c>
      <c r="I847" s="83" t="s">
        <v>1086</v>
      </c>
      <c r="J847" s="83" t="s">
        <v>1221</v>
      </c>
      <c r="K847" s="81" t="s">
        <v>1925</v>
      </c>
      <c r="L847" s="81" t="s">
        <v>798</v>
      </c>
      <c r="M847" s="205" t="s">
        <v>692</v>
      </c>
      <c r="N847" s="81" t="s">
        <v>3691</v>
      </c>
      <c r="O847" s="81" t="str">
        <f t="shared" ca="1" si="46"/>
        <v>NO</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3429</v>
      </c>
      <c r="AB847" s="81"/>
      <c r="AC847" s="78"/>
    </row>
    <row r="848" spans="1:29" ht="39.950000000000003" customHeight="1" x14ac:dyDescent="0.2">
      <c r="A848" s="81">
        <v>850</v>
      </c>
      <c r="B848" s="83">
        <v>45219</v>
      </c>
      <c r="C848" s="323">
        <v>0.38819444444444445</v>
      </c>
      <c r="D848" s="81" t="s">
        <v>3531</v>
      </c>
      <c r="E848" s="82" t="s">
        <v>3530</v>
      </c>
      <c r="F848" s="81">
        <v>3</v>
      </c>
      <c r="G848" s="81" t="s">
        <v>1443</v>
      </c>
      <c r="H848" s="83">
        <v>45237</v>
      </c>
      <c r="I848" s="83" t="s">
        <v>1086</v>
      </c>
      <c r="J848" s="83" t="s">
        <v>78</v>
      </c>
      <c r="K848" s="81">
        <f>IFERROR(VLOOKUP(J848,Jueces!$A$1:$B$11,2,FALSE),"")</f>
        <v>8</v>
      </c>
      <c r="L848" s="81" t="s">
        <v>809</v>
      </c>
      <c r="M848" s="81" t="s">
        <v>694</v>
      </c>
      <c r="N848" s="81"/>
      <c r="O848" s="81" t="str">
        <f t="shared" ca="1" si="46"/>
        <v>NO</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customHeight="1" x14ac:dyDescent="0.2">
      <c r="A849" s="81">
        <v>851</v>
      </c>
      <c r="B849" s="83">
        <v>45219</v>
      </c>
      <c r="C849" s="323">
        <v>0.53055555555555556</v>
      </c>
      <c r="D849" s="81" t="s">
        <v>3535</v>
      </c>
      <c r="E849" s="82" t="s">
        <v>3537</v>
      </c>
      <c r="F849" s="81">
        <v>2</v>
      </c>
      <c r="G849" s="81" t="s">
        <v>1442</v>
      </c>
      <c r="H849" s="83">
        <v>45229</v>
      </c>
      <c r="I849" s="83" t="s">
        <v>73</v>
      </c>
      <c r="J849" s="83" t="s">
        <v>31</v>
      </c>
      <c r="K849" s="81">
        <f>IFERROR(VLOOKUP(J849,Jueces!$A$1:$B$11,2,FALSE),"")</f>
        <v>2</v>
      </c>
      <c r="L849" s="81" t="s">
        <v>790</v>
      </c>
      <c r="M849" s="81" t="s">
        <v>692</v>
      </c>
      <c r="N849" s="81"/>
      <c r="O849" s="81" t="str">
        <f t="shared" ca="1" si="46"/>
        <v>NO</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3428</v>
      </c>
      <c r="AB849" s="81"/>
      <c r="AC849" s="78"/>
    </row>
    <row r="850" spans="1:29" ht="39.950000000000003" customHeight="1" x14ac:dyDescent="0.2">
      <c r="A850" s="81">
        <v>852</v>
      </c>
      <c r="B850" s="83">
        <v>45219</v>
      </c>
      <c r="C850" s="81" t="s">
        <v>1015</v>
      </c>
      <c r="D850" s="81" t="s">
        <v>3532</v>
      </c>
      <c r="E850" s="82" t="s">
        <v>3533</v>
      </c>
      <c r="F850" s="81">
        <v>2</v>
      </c>
      <c r="G850" s="81" t="s">
        <v>1441</v>
      </c>
      <c r="H850" s="83">
        <v>45232</v>
      </c>
      <c r="I850" s="83" t="s">
        <v>1086</v>
      </c>
      <c r="J850" s="83" t="s">
        <v>31</v>
      </c>
      <c r="K850" s="81">
        <f>IFERROR(VLOOKUP(J850,Jueces!$A$1:$B$11,2,FALSE),"")</f>
        <v>2</v>
      </c>
      <c r="L850" s="81" t="s">
        <v>1702</v>
      </c>
      <c r="M850" s="81" t="s">
        <v>692</v>
      </c>
      <c r="N850" s="81" t="s">
        <v>3560</v>
      </c>
      <c r="O850" s="81" t="str">
        <f t="shared" ca="1" si="46"/>
        <v>NO</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3429</v>
      </c>
      <c r="AB850" s="81"/>
      <c r="AC850" s="78"/>
    </row>
    <row r="851" spans="1:29" ht="39.950000000000003" customHeight="1" x14ac:dyDescent="0.2">
      <c r="A851" s="81">
        <v>853</v>
      </c>
      <c r="B851" s="83">
        <v>45219</v>
      </c>
      <c r="C851" s="323">
        <v>0.52916666666666667</v>
      </c>
      <c r="D851" s="81" t="s">
        <v>3536</v>
      </c>
      <c r="E851" s="82" t="s">
        <v>3538</v>
      </c>
      <c r="F851" s="81">
        <v>2</v>
      </c>
      <c r="G851" s="81" t="s">
        <v>3366</v>
      </c>
      <c r="H851" s="83">
        <v>45233</v>
      </c>
      <c r="I851" s="83" t="s">
        <v>73</v>
      </c>
      <c r="J851" s="83" t="s">
        <v>1732</v>
      </c>
      <c r="K851" s="81" t="s">
        <v>1346</v>
      </c>
      <c r="L851" s="81" t="s">
        <v>810</v>
      </c>
      <c r="M851" s="81" t="s">
        <v>693</v>
      </c>
      <c r="N851" s="81"/>
      <c r="O851" s="81" t="str">
        <f t="shared" ca="1" si="46"/>
        <v>NO</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customHeight="1" x14ac:dyDescent="0.2">
      <c r="A852" s="81">
        <v>854</v>
      </c>
      <c r="B852" s="83">
        <v>45217</v>
      </c>
      <c r="C852" s="323">
        <v>0.34930555555555554</v>
      </c>
      <c r="D852" s="81" t="s">
        <v>3551</v>
      </c>
      <c r="E852" s="82" t="s">
        <v>3552</v>
      </c>
      <c r="F852" s="81">
        <v>1</v>
      </c>
      <c r="G852" s="81" t="s">
        <v>1442</v>
      </c>
      <c r="H852" s="83">
        <v>45238</v>
      </c>
      <c r="I852" s="83" t="s">
        <v>73</v>
      </c>
      <c r="J852" s="83" t="s">
        <v>31</v>
      </c>
      <c r="K852" s="81">
        <f>IFERROR(VLOOKUP(J852,Jueces!$A$1:$B$11,2,FALSE),"")</f>
        <v>2</v>
      </c>
      <c r="L852" s="81" t="s">
        <v>802</v>
      </c>
      <c r="M852" s="81" t="s">
        <v>692</v>
      </c>
      <c r="N852" s="81"/>
      <c r="O852" s="81" t="str">
        <f t="shared" ca="1" si="46"/>
        <v>NO</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3429</v>
      </c>
      <c r="AB852" s="81"/>
      <c r="AC852" s="78"/>
    </row>
    <row r="853" spans="1:29" ht="39.950000000000003" customHeight="1" x14ac:dyDescent="0.2">
      <c r="A853" s="81">
        <v>855</v>
      </c>
      <c r="B853" s="83">
        <v>45222</v>
      </c>
      <c r="C853" s="323">
        <v>0.4236111111111111</v>
      </c>
      <c r="D853" s="81" t="s">
        <v>3554</v>
      </c>
      <c r="E853" s="82" t="s">
        <v>3555</v>
      </c>
      <c r="F853" s="81">
        <v>3</v>
      </c>
      <c r="G853" s="81" t="s">
        <v>568</v>
      </c>
      <c r="H853" s="83">
        <v>45232</v>
      </c>
      <c r="I853" s="83" t="s">
        <v>73</v>
      </c>
      <c r="J853" s="83" t="s">
        <v>35</v>
      </c>
      <c r="K853" s="81">
        <f>IFERROR(VLOOKUP(J853,Jueces!$A$1:$B$11,2,FALSE),"")</f>
        <v>3</v>
      </c>
      <c r="L853" s="81" t="s">
        <v>811</v>
      </c>
      <c r="M853" s="81" t="s">
        <v>694</v>
      </c>
      <c r="N853" s="81"/>
      <c r="O853" s="81" t="str">
        <f t="shared" ca="1" si="46"/>
        <v>NO</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customHeight="1" x14ac:dyDescent="0.2">
      <c r="A854" s="81">
        <v>856</v>
      </c>
      <c r="B854" s="83">
        <v>45219</v>
      </c>
      <c r="C854" s="323">
        <v>0.46180555555555558</v>
      </c>
      <c r="D854" s="81" t="s">
        <v>3556</v>
      </c>
      <c r="E854" s="82" t="s">
        <v>3557</v>
      </c>
      <c r="F854" s="81">
        <v>3</v>
      </c>
      <c r="G854" s="81" t="s">
        <v>3367</v>
      </c>
      <c r="H854" s="83">
        <v>45233</v>
      </c>
      <c r="I854" s="83" t="s">
        <v>73</v>
      </c>
      <c r="J854" s="83" t="s">
        <v>78</v>
      </c>
      <c r="K854" s="81">
        <f>IFERROR(VLOOKUP(J854,Jueces!$A$1:$B$11,2,FALSE),"")</f>
        <v>8</v>
      </c>
      <c r="L854" s="81" t="s">
        <v>811</v>
      </c>
      <c r="M854" s="81" t="s">
        <v>694</v>
      </c>
      <c r="N854" s="81"/>
      <c r="O854" s="81" t="str">
        <f t="shared" ca="1" si="46"/>
        <v>NO</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3558</v>
      </c>
      <c r="E855" s="82" t="s">
        <v>3559</v>
      </c>
      <c r="F855" s="81">
        <v>2</v>
      </c>
      <c r="G855" s="81" t="s">
        <v>283</v>
      </c>
      <c r="H855" s="83">
        <v>45239</v>
      </c>
      <c r="I855" s="83" t="s">
        <v>73</v>
      </c>
      <c r="J855" s="83" t="s">
        <v>31</v>
      </c>
      <c r="K855" s="81">
        <f>IFERROR(VLOOKUP(J855,Jueces!$A$1:$B$11,2,FALSE),"")</f>
        <v>2</v>
      </c>
      <c r="L855" s="81" t="s">
        <v>688</v>
      </c>
      <c r="M855" s="81" t="s">
        <v>693</v>
      </c>
      <c r="N855" s="81"/>
      <c r="O855" s="81" t="str">
        <f t="shared" ca="1" si="46"/>
        <v>NO</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3562</v>
      </c>
      <c r="E856" s="82" t="s">
        <v>3563</v>
      </c>
      <c r="F856" s="81">
        <v>2</v>
      </c>
      <c r="G856" s="81" t="s">
        <v>1441</v>
      </c>
      <c r="H856" s="83">
        <v>45236</v>
      </c>
      <c r="I856" s="83" t="s">
        <v>73</v>
      </c>
      <c r="J856" s="83" t="s">
        <v>31</v>
      </c>
      <c r="K856" s="81">
        <f>IFERROR(VLOOKUP(J856,Jueces!$A$1:$B$11,2,FALSE),"")</f>
        <v>2</v>
      </c>
      <c r="L856" s="81" t="s">
        <v>1702</v>
      </c>
      <c r="M856" s="374" t="s">
        <v>2142</v>
      </c>
      <c r="N856" s="81" t="s">
        <v>3615</v>
      </c>
      <c r="O856" s="81" t="str">
        <f t="shared" ca="1" si="46"/>
        <v>NO</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3564</v>
      </c>
      <c r="E857" s="82" t="s">
        <v>3565</v>
      </c>
      <c r="F857" s="81">
        <v>2</v>
      </c>
      <c r="G857" s="81" t="s">
        <v>1443</v>
      </c>
      <c r="H857" s="83">
        <v>45232</v>
      </c>
      <c r="I857" s="83" t="s">
        <v>1086</v>
      </c>
      <c r="J857" s="83" t="s">
        <v>1225</v>
      </c>
      <c r="K857" s="81">
        <f>IFERROR(VLOOKUP(J857,Jueces!$A$1:$B$11,2,FALSE),"")</f>
        <v>6</v>
      </c>
      <c r="L857" s="81" t="s">
        <v>811</v>
      </c>
      <c r="M857" s="81" t="s">
        <v>693</v>
      </c>
      <c r="N857" s="81"/>
      <c r="O857" s="81" t="str">
        <f t="shared" ca="1" si="46"/>
        <v>NO</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3428</v>
      </c>
      <c r="AB857" s="81"/>
      <c r="AC857" s="78"/>
    </row>
    <row r="858" spans="1:29" ht="39.950000000000003" customHeight="1" x14ac:dyDescent="0.2">
      <c r="A858" s="81">
        <v>860</v>
      </c>
      <c r="B858" s="83">
        <v>45222</v>
      </c>
      <c r="C858" s="323">
        <v>0.42083333333333334</v>
      </c>
      <c r="D858" s="81" t="s">
        <v>3566</v>
      </c>
      <c r="E858" s="82" t="s">
        <v>3567</v>
      </c>
      <c r="F858" s="81">
        <v>2</v>
      </c>
      <c r="G858" s="81" t="s">
        <v>2788</v>
      </c>
      <c r="H858" s="83">
        <v>45231</v>
      </c>
      <c r="I858" s="83" t="s">
        <v>73</v>
      </c>
      <c r="J858" s="83" t="s">
        <v>35</v>
      </c>
      <c r="K858" s="81">
        <f>IFERROR(VLOOKUP(J858,Jueces!$A$1:$B$11,2,FALSE),"")</f>
        <v>3</v>
      </c>
      <c r="L858" s="81" t="s">
        <v>809</v>
      </c>
      <c r="M858" s="81" t="s">
        <v>693</v>
      </c>
      <c r="N858" s="81"/>
      <c r="O858" s="81" t="str">
        <f t="shared" ca="1" si="46"/>
        <v>NO</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3568</v>
      </c>
      <c r="E859" s="82" t="s">
        <v>3569</v>
      </c>
      <c r="F859" s="81">
        <v>2</v>
      </c>
      <c r="G859" s="81" t="s">
        <v>2838</v>
      </c>
      <c r="H859" s="83">
        <v>45232</v>
      </c>
      <c r="I859" s="83" t="s">
        <v>1086</v>
      </c>
      <c r="J859" s="83" t="s">
        <v>78</v>
      </c>
      <c r="K859" s="81">
        <f>IFERROR(VLOOKUP(J859,Jueces!$A$1:$B$11,2,FALSE),"")</f>
        <v>8</v>
      </c>
      <c r="L859" s="81" t="s">
        <v>791</v>
      </c>
      <c r="M859" s="81" t="s">
        <v>2694</v>
      </c>
      <c r="N859" s="81"/>
      <c r="O859" s="81" t="str">
        <f t="shared" ca="1" si="46"/>
        <v>NO</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3570</v>
      </c>
      <c r="E860" s="82" t="s">
        <v>3571</v>
      </c>
      <c r="F860" s="81">
        <v>2</v>
      </c>
      <c r="G860" s="81" t="s">
        <v>1443</v>
      </c>
      <c r="H860" s="83">
        <v>45231</v>
      </c>
      <c r="I860" s="83" t="s">
        <v>1086</v>
      </c>
      <c r="J860" s="83" t="s">
        <v>78</v>
      </c>
      <c r="K860" s="81">
        <f>IFERROR(VLOOKUP(J860,Jueces!$A$1:$B$11,2,FALSE),"")</f>
        <v>8</v>
      </c>
      <c r="L860" s="81" t="s">
        <v>799</v>
      </c>
      <c r="M860" s="81" t="s">
        <v>693</v>
      </c>
      <c r="N860" s="81"/>
      <c r="O860" s="81" t="str">
        <f t="shared" ca="1" si="46"/>
        <v>NO</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3429</v>
      </c>
      <c r="AB860" s="81"/>
      <c r="AC860" s="78"/>
    </row>
    <row r="861" spans="1:29" ht="39.950000000000003" customHeight="1" x14ac:dyDescent="0.2">
      <c r="A861" s="81">
        <v>863</v>
      </c>
      <c r="B861" s="83">
        <v>45222</v>
      </c>
      <c r="C861" s="323">
        <v>0.42222222222222222</v>
      </c>
      <c r="D861" s="81" t="s">
        <v>3572</v>
      </c>
      <c r="E861" s="82" t="s">
        <v>3573</v>
      </c>
      <c r="F861" s="81">
        <v>2</v>
      </c>
      <c r="G861" s="81" t="s">
        <v>1442</v>
      </c>
      <c r="H861" s="83">
        <v>45237</v>
      </c>
      <c r="I861" s="83" t="s">
        <v>73</v>
      </c>
      <c r="J861" s="83" t="s">
        <v>31</v>
      </c>
      <c r="K861" s="81">
        <f>IFERROR(VLOOKUP(J861,Jueces!$A$1:$B$11,2,FALSE),"")</f>
        <v>2</v>
      </c>
      <c r="L861" s="81" t="s">
        <v>800</v>
      </c>
      <c r="M861" s="81" t="s">
        <v>693</v>
      </c>
      <c r="N861" s="81"/>
      <c r="O861" s="81" t="str">
        <f t="shared" ca="1" si="46"/>
        <v>NO</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t="s">
        <v>3599</v>
      </c>
      <c r="C862" s="327">
        <v>0.5229166666666667</v>
      </c>
      <c r="D862" s="170" t="s">
        <v>2771</v>
      </c>
      <c r="E862" s="171" t="s">
        <v>3600</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8"/>
    </row>
    <row r="863" spans="1:29" ht="39.950000000000003" customHeight="1" x14ac:dyDescent="0.2">
      <c r="A863" s="81">
        <v>865</v>
      </c>
      <c r="B863" s="83">
        <v>45222</v>
      </c>
      <c r="C863" s="323">
        <v>0.4680555555555555</v>
      </c>
      <c r="D863" s="81" t="s">
        <v>3587</v>
      </c>
      <c r="E863" s="82" t="s">
        <v>3588</v>
      </c>
      <c r="F863" s="81">
        <v>2</v>
      </c>
      <c r="G863" s="81" t="s">
        <v>3366</v>
      </c>
      <c r="H863" s="83">
        <v>45232</v>
      </c>
      <c r="I863" s="83" t="s">
        <v>73</v>
      </c>
      <c r="J863" s="83" t="s">
        <v>1221</v>
      </c>
      <c r="K863" s="81" t="s">
        <v>1925</v>
      </c>
      <c r="L863" s="81" t="s">
        <v>802</v>
      </c>
      <c r="M863" s="79" t="s">
        <v>693</v>
      </c>
      <c r="N863" s="81"/>
      <c r="O863" s="81" t="str">
        <f t="shared" ca="1" si="46"/>
        <v>NO</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3601</v>
      </c>
      <c r="E864" s="243" t="s">
        <v>3674</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5"/>
    </row>
    <row r="865" spans="1:29" ht="39.950000000000003" customHeight="1" x14ac:dyDescent="0.2">
      <c r="A865" s="81">
        <v>867</v>
      </c>
      <c r="B865" s="83">
        <v>45222</v>
      </c>
      <c r="C865" s="323">
        <v>0.40763888888888888</v>
      </c>
      <c r="D865" s="81" t="s">
        <v>3602</v>
      </c>
      <c r="E865" s="82" t="s">
        <v>3603</v>
      </c>
      <c r="F865" s="81">
        <v>2</v>
      </c>
      <c r="G865" s="81" t="s">
        <v>2788</v>
      </c>
      <c r="H865" s="83">
        <v>45236</v>
      </c>
      <c r="I865" s="83" t="s">
        <v>73</v>
      </c>
      <c r="J865" s="83" t="s">
        <v>35</v>
      </c>
      <c r="K865" s="81">
        <f>IFERROR(VLOOKUP(J865,Jueces!$A$1:$B$11,2,FALSE),"")</f>
        <v>3</v>
      </c>
      <c r="L865" s="81" t="s">
        <v>791</v>
      </c>
      <c r="M865" s="81" t="s">
        <v>693</v>
      </c>
      <c r="N865" s="81"/>
      <c r="O865" s="81" t="str">
        <f t="shared" ca="1" si="46"/>
        <v>NO</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3589</v>
      </c>
      <c r="E866" s="82" t="s">
        <v>3590</v>
      </c>
      <c r="F866" s="81">
        <v>2</v>
      </c>
      <c r="G866" s="81" t="s">
        <v>2788</v>
      </c>
      <c r="H866" s="83">
        <v>45238</v>
      </c>
      <c r="I866" s="83" t="s">
        <v>73</v>
      </c>
      <c r="J866" s="83" t="s">
        <v>78</v>
      </c>
      <c r="K866" s="81">
        <f>IFERROR(VLOOKUP(J866,Jueces!$A$1:$B$11,2,FALSE),"")</f>
        <v>8</v>
      </c>
      <c r="L866" s="81" t="s">
        <v>806</v>
      </c>
      <c r="M866" s="81" t="s">
        <v>693</v>
      </c>
      <c r="N866" s="81" t="s">
        <v>3604</v>
      </c>
      <c r="O866" s="81" t="str">
        <f t="shared" ca="1" si="46"/>
        <v>NO</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3594</v>
      </c>
      <c r="E867" s="67" t="s">
        <v>3596</v>
      </c>
      <c r="F867" s="66">
        <v>2</v>
      </c>
      <c r="G867" s="66" t="s">
        <v>2774</v>
      </c>
      <c r="H867" s="68">
        <v>45226</v>
      </c>
      <c r="I867" s="68" t="s">
        <v>75</v>
      </c>
      <c r="J867" s="68" t="s">
        <v>31</v>
      </c>
      <c r="K867" s="66">
        <f>IFERROR(VLOOKUP(J867,Jueces!$A$1:$B$11,2,FALSE),"")</f>
        <v>2</v>
      </c>
      <c r="L867" s="66" t="s">
        <v>813</v>
      </c>
      <c r="M867" s="66" t="s">
        <v>692</v>
      </c>
      <c r="N867" s="66" t="s">
        <v>3722</v>
      </c>
      <c r="O867" s="66" t="str">
        <f t="shared" ca="1" si="46"/>
        <v>SI</v>
      </c>
      <c r="P867" s="66" t="str">
        <f t="shared" si="48"/>
        <v>DIANOSOL</v>
      </c>
      <c r="Q867" s="66" t="s">
        <v>909</v>
      </c>
      <c r="R867" s="66" t="s">
        <v>909</v>
      </c>
      <c r="S867" s="66" t="s">
        <v>3721</v>
      </c>
      <c r="T867" s="75" t="str">
        <f t="shared" si="49"/>
        <v>NO</v>
      </c>
      <c r="U867" s="75"/>
      <c r="V867" s="66"/>
      <c r="W867" s="66" t="s">
        <v>2346</v>
      </c>
      <c r="X867" s="66" t="s">
        <v>2571</v>
      </c>
      <c r="Y867" s="66"/>
      <c r="Z867" s="121" t="s">
        <v>770</v>
      </c>
      <c r="AA867" s="121" t="s">
        <v>1171</v>
      </c>
      <c r="AB867" s="121" t="s">
        <v>1175</v>
      </c>
      <c r="AC867" s="407"/>
    </row>
    <row r="868" spans="1:29" ht="39.950000000000003" customHeight="1" x14ac:dyDescent="0.2">
      <c r="A868" s="240">
        <v>869</v>
      </c>
      <c r="B868" s="324">
        <v>45224</v>
      </c>
      <c r="C868" s="325">
        <v>0.34027777777777773</v>
      </c>
      <c r="D868" s="240" t="s">
        <v>3617</v>
      </c>
      <c r="E868" s="243" t="s">
        <v>3657</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5"/>
    </row>
    <row r="869" spans="1:29" ht="39.950000000000003" customHeight="1" x14ac:dyDescent="0.2">
      <c r="A869" s="81">
        <v>870</v>
      </c>
      <c r="B869" s="83">
        <v>45223</v>
      </c>
      <c r="C869" s="323">
        <v>0.33333333333333331</v>
      </c>
      <c r="D869" s="81" t="s">
        <v>3605</v>
      </c>
      <c r="E869" s="82" t="s">
        <v>3654</v>
      </c>
      <c r="F869" s="81">
        <v>2</v>
      </c>
      <c r="G869" s="81" t="s">
        <v>1441</v>
      </c>
      <c r="H869" s="83">
        <v>45238</v>
      </c>
      <c r="I869" s="83" t="s">
        <v>73</v>
      </c>
      <c r="J869" s="83" t="s">
        <v>1732</v>
      </c>
      <c r="K869" s="81" t="s">
        <v>1925</v>
      </c>
      <c r="L869" s="81" t="s">
        <v>791</v>
      </c>
      <c r="M869" s="81" t="s">
        <v>694</v>
      </c>
      <c r="N869" s="81"/>
      <c r="O869" s="81" t="str">
        <f t="shared" ca="1" si="46"/>
        <v>NO</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3618</v>
      </c>
      <c r="E870" s="243" t="s">
        <v>3658</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5"/>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NO</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3620</v>
      </c>
      <c r="E872" s="82" t="s">
        <v>3621</v>
      </c>
      <c r="F872" s="81">
        <v>2</v>
      </c>
      <c r="G872" s="81" t="s">
        <v>283</v>
      </c>
      <c r="H872" s="83">
        <v>45237</v>
      </c>
      <c r="I872" s="83" t="s">
        <v>1086</v>
      </c>
      <c r="J872" s="83" t="s">
        <v>35</v>
      </c>
      <c r="K872" s="81">
        <f>IFERROR(VLOOKUP(J872,Jueces!$A$1:$B$11,2,FALSE),"")</f>
        <v>3</v>
      </c>
      <c r="L872" s="81" t="s">
        <v>1702</v>
      </c>
      <c r="M872" s="395" t="s">
        <v>697</v>
      </c>
      <c r="N872" s="81" t="s">
        <v>3669</v>
      </c>
      <c r="O872" s="81" t="str">
        <f t="shared" ca="1" si="46"/>
        <v>NO</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3612</v>
      </c>
      <c r="E873" s="243" t="s">
        <v>3663</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5"/>
    </row>
    <row r="874" spans="1:29" ht="39.950000000000003" customHeight="1" x14ac:dyDescent="0.2">
      <c r="A874" s="240">
        <v>872</v>
      </c>
      <c r="B874" s="324">
        <v>45224</v>
      </c>
      <c r="C874" s="325">
        <v>0.43958333333333338</v>
      </c>
      <c r="D874" s="240" t="s">
        <v>3625</v>
      </c>
      <c r="E874" s="243" t="s">
        <v>3626</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5"/>
    </row>
    <row r="875" spans="1:29" ht="39.950000000000003" customHeight="1" x14ac:dyDescent="0.2">
      <c r="A875" s="81">
        <v>873</v>
      </c>
      <c r="B875" s="83">
        <v>45224</v>
      </c>
      <c r="C875" s="323">
        <v>0.43194444444444446</v>
      </c>
      <c r="D875" s="81" t="s">
        <v>3627</v>
      </c>
      <c r="E875" s="82" t="s">
        <v>3667</v>
      </c>
      <c r="F875" s="81">
        <v>2</v>
      </c>
      <c r="G875" s="81" t="s">
        <v>1441</v>
      </c>
      <c r="H875" s="83">
        <v>45237</v>
      </c>
      <c r="I875" s="83" t="s">
        <v>73</v>
      </c>
      <c r="J875" s="83" t="s">
        <v>1732</v>
      </c>
      <c r="K875" s="81" t="s">
        <v>2343</v>
      </c>
      <c r="L875" s="81" t="s">
        <v>802</v>
      </c>
      <c r="M875" s="81" t="s">
        <v>694</v>
      </c>
      <c r="N875" s="81"/>
      <c r="O875" s="81" t="str">
        <f t="shared" ca="1" si="46"/>
        <v>NO</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3628</v>
      </c>
      <c r="E876" s="82" t="s">
        <v>3666</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NO</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3630</v>
      </c>
      <c r="E877" s="82" t="s">
        <v>3631</v>
      </c>
      <c r="F877" s="81">
        <v>2</v>
      </c>
      <c r="G877" s="81" t="s">
        <v>283</v>
      </c>
      <c r="H877" s="83">
        <v>45236</v>
      </c>
      <c r="I877" s="83" t="s">
        <v>1086</v>
      </c>
      <c r="J877" s="83" t="s">
        <v>1221</v>
      </c>
      <c r="K877" s="81" t="s">
        <v>1925</v>
      </c>
      <c r="L877" s="81" t="s">
        <v>800</v>
      </c>
      <c r="M877" s="81" t="s">
        <v>2003</v>
      </c>
      <c r="N877" s="81"/>
      <c r="O877" s="81" t="str">
        <f t="shared" ca="1" si="50"/>
        <v>NO</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3639</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8"/>
    </row>
    <row r="879" spans="1:29" ht="39.950000000000003" customHeight="1" x14ac:dyDescent="0.2">
      <c r="A879" s="81">
        <v>877</v>
      </c>
      <c r="B879" s="83">
        <v>45224</v>
      </c>
      <c r="C879" s="323">
        <v>0.55138888888888882</v>
      </c>
      <c r="D879" s="81" t="s">
        <v>3640</v>
      </c>
      <c r="E879" s="82" t="s">
        <v>3642</v>
      </c>
      <c r="F879" s="81">
        <v>6</v>
      </c>
      <c r="G879" s="81" t="s">
        <v>1442</v>
      </c>
      <c r="H879" s="83">
        <v>45236</v>
      </c>
      <c r="I879" s="83" t="s">
        <v>749</v>
      </c>
      <c r="J879" s="83" t="s">
        <v>1225</v>
      </c>
      <c r="K879" s="81">
        <f>IFERROR(VLOOKUP(J879,Jueces!$A$1:$B$11,2,FALSE),"")</f>
        <v>6</v>
      </c>
      <c r="L879" s="81" t="s">
        <v>688</v>
      </c>
      <c r="M879" s="81" t="s">
        <v>3641</v>
      </c>
      <c r="N879" s="81"/>
      <c r="O879" s="81" t="str">
        <f t="shared" ca="1" si="50"/>
        <v>NO</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3644</v>
      </c>
      <c r="E880" s="171" t="s">
        <v>3643</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8"/>
    </row>
    <row r="881" spans="1:29" ht="39.950000000000003" customHeight="1" x14ac:dyDescent="0.2">
      <c r="A881" s="240">
        <v>879</v>
      </c>
      <c r="B881" s="324">
        <v>45222</v>
      </c>
      <c r="C881" s="325">
        <v>0.5229166666666667</v>
      </c>
      <c r="D881" s="240" t="s">
        <v>3645</v>
      </c>
      <c r="E881" s="243" t="s">
        <v>3646</v>
      </c>
      <c r="F881" s="240">
        <v>1</v>
      </c>
      <c r="G881" s="240"/>
      <c r="H881" s="324"/>
      <c r="I881" s="324"/>
      <c r="J881" s="324"/>
      <c r="K881" s="240" t="str">
        <f>IFERROR(VLOOKUP(J881,Jueces!$A$1:$B$11,2,FALSE),"")</f>
        <v/>
      </c>
      <c r="L881" s="240" t="s">
        <v>813</v>
      </c>
      <c r="M881" s="240" t="s">
        <v>712</v>
      </c>
      <c r="N881" s="240" t="s">
        <v>3647</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5"/>
    </row>
    <row r="882" spans="1:29" ht="39.950000000000003" customHeight="1" x14ac:dyDescent="0.2">
      <c r="A882" s="240">
        <v>880</v>
      </c>
      <c r="B882" s="324">
        <v>45225</v>
      </c>
      <c r="C882" s="325">
        <v>0.37708333333333338</v>
      </c>
      <c r="D882" s="240" t="s">
        <v>3648</v>
      </c>
      <c r="E882" s="243" t="s">
        <v>3649</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5"/>
    </row>
    <row r="883" spans="1:29" ht="39.950000000000003" customHeight="1" x14ac:dyDescent="0.2">
      <c r="A883" s="170">
        <v>881</v>
      </c>
      <c r="B883" s="326">
        <v>45225</v>
      </c>
      <c r="C883" s="327">
        <v>0.38541666666666669</v>
      </c>
      <c r="D883" s="170" t="s">
        <v>3650</v>
      </c>
      <c r="E883" s="171" t="s">
        <v>3651</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8"/>
    </row>
    <row r="884" spans="1:29" ht="39.950000000000003" customHeight="1" x14ac:dyDescent="0.2">
      <c r="A884" s="211">
        <v>882</v>
      </c>
      <c r="B884" s="317"/>
      <c r="C884" s="211"/>
      <c r="D884" s="211" t="s">
        <v>3234</v>
      </c>
      <c r="E884" s="212" t="s">
        <v>3652</v>
      </c>
      <c r="F884" s="211">
        <v>2</v>
      </c>
      <c r="G884" s="211" t="s">
        <v>1442</v>
      </c>
      <c r="H884" s="317">
        <v>45273</v>
      </c>
      <c r="I884" s="317" t="s">
        <v>73</v>
      </c>
      <c r="J884" s="317" t="s">
        <v>35</v>
      </c>
      <c r="K884" s="211">
        <f>IFERROR(VLOOKUP(J884,Jueces!$A$1:$B$11,2,FALSE),"")</f>
        <v>3</v>
      </c>
      <c r="L884" s="211" t="s">
        <v>812</v>
      </c>
      <c r="M884" s="211" t="s">
        <v>692</v>
      </c>
      <c r="N884" s="211" t="s">
        <v>3653</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71"/>
    </row>
    <row r="885" spans="1:29" ht="39.950000000000003" customHeight="1" x14ac:dyDescent="0.2">
      <c r="A885" s="240">
        <v>883</v>
      </c>
      <c r="B885" s="324">
        <v>45224</v>
      </c>
      <c r="C885" s="325">
        <v>0.34375</v>
      </c>
      <c r="D885" s="240" t="s">
        <v>3655</v>
      </c>
      <c r="E885" s="243" t="s">
        <v>3656</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5"/>
    </row>
    <row r="886" spans="1:29" ht="39.950000000000003" customHeight="1" x14ac:dyDescent="0.2">
      <c r="A886" s="240">
        <v>884</v>
      </c>
      <c r="B886" s="324">
        <v>45225</v>
      </c>
      <c r="C886" s="325">
        <v>0.40486111111111112</v>
      </c>
      <c r="D886" s="240" t="s">
        <v>3659</v>
      </c>
      <c r="E886" s="243" t="s">
        <v>3660</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5"/>
    </row>
    <row r="887" spans="1:29" ht="39.950000000000003" customHeight="1" x14ac:dyDescent="0.2">
      <c r="A887" s="240">
        <v>885</v>
      </c>
      <c r="B887" s="324">
        <v>45225</v>
      </c>
      <c r="C887" s="325">
        <v>0.40902777777777777</v>
      </c>
      <c r="D887" s="240" t="s">
        <v>3661</v>
      </c>
      <c r="E887" s="243" t="s">
        <v>3662</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5"/>
    </row>
    <row r="888" spans="1:29" ht="39.950000000000003" customHeight="1" x14ac:dyDescent="0.2">
      <c r="A888" s="240">
        <v>886</v>
      </c>
      <c r="B888" s="324">
        <v>45223</v>
      </c>
      <c r="C888" s="325">
        <v>0.52847222222222223</v>
      </c>
      <c r="D888" s="240" t="s">
        <v>3664</v>
      </c>
      <c r="E888" s="243" t="s">
        <v>3665</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5"/>
    </row>
    <row r="889" spans="1:29" ht="39.950000000000003" customHeight="1" x14ac:dyDescent="0.2">
      <c r="A889" s="240">
        <v>887</v>
      </c>
      <c r="B889" s="324">
        <v>45223</v>
      </c>
      <c r="C889" s="325">
        <v>0.47222222222222227</v>
      </c>
      <c r="D889" s="240" t="s">
        <v>3670</v>
      </c>
      <c r="E889" s="243" t="s">
        <v>3671</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5"/>
    </row>
    <row r="890" spans="1:29" ht="39.950000000000003" customHeight="1" x14ac:dyDescent="0.2">
      <c r="A890" s="240">
        <v>888</v>
      </c>
      <c r="B890" s="324">
        <v>45223</v>
      </c>
      <c r="C890" s="325">
        <v>0.54305555555555551</v>
      </c>
      <c r="D890" s="240" t="s">
        <v>3672</v>
      </c>
      <c r="E890" s="243" t="s">
        <v>3673</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5"/>
    </row>
    <row r="891" spans="1:29" ht="39.950000000000003" customHeight="1" x14ac:dyDescent="0.2">
      <c r="A891" s="170">
        <v>889</v>
      </c>
      <c r="B891" s="326">
        <v>45225</v>
      </c>
      <c r="C891" s="327">
        <v>0.51250000000000007</v>
      </c>
      <c r="D891" s="170" t="s">
        <v>3676</v>
      </c>
      <c r="E891" s="171" t="s">
        <v>3677</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8"/>
    </row>
    <row r="892" spans="1:29" ht="39.950000000000003" customHeight="1" x14ac:dyDescent="0.2">
      <c r="A892" s="240">
        <v>890</v>
      </c>
      <c r="B892" s="324">
        <v>45225</v>
      </c>
      <c r="C892" s="325">
        <v>0.47569444444444442</v>
      </c>
      <c r="D892" s="240" t="s">
        <v>3678</v>
      </c>
      <c r="E892" s="243" t="s">
        <v>3679</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5"/>
    </row>
    <row r="893" spans="1:29" ht="39.950000000000003" customHeight="1" x14ac:dyDescent="0.2">
      <c r="A893" s="240">
        <v>891</v>
      </c>
      <c r="B893" s="324">
        <v>45225</v>
      </c>
      <c r="C893" s="325">
        <v>0.46458333333333335</v>
      </c>
      <c r="D893" s="240" t="s">
        <v>3680</v>
      </c>
      <c r="E893" s="243" t="s">
        <v>3690</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5"/>
    </row>
    <row r="894" spans="1:29" ht="39.950000000000003" customHeight="1" x14ac:dyDescent="0.2">
      <c r="A894" s="240">
        <v>892</v>
      </c>
      <c r="B894" s="324">
        <v>45225</v>
      </c>
      <c r="C894" s="325">
        <v>0.3444444444444445</v>
      </c>
      <c r="D894" s="240" t="s">
        <v>3688</v>
      </c>
      <c r="E894" s="243" t="s">
        <v>3687</v>
      </c>
      <c r="F894" s="240">
        <v>3</v>
      </c>
      <c r="G894" s="240"/>
      <c r="H894" s="324"/>
      <c r="I894" s="324"/>
      <c r="J894" s="324"/>
      <c r="K894" s="240" t="str">
        <f>IFERROR(VLOOKUP(J894,Jueces!$A$1:$B$11,2,FALSE),"")</f>
        <v/>
      </c>
      <c r="L894" s="240" t="s">
        <v>789</v>
      </c>
      <c r="M894" s="240" t="s">
        <v>694</v>
      </c>
      <c r="N894" s="240" t="s">
        <v>3689</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5"/>
    </row>
    <row r="895" spans="1:29" ht="39.950000000000003" customHeight="1" x14ac:dyDescent="0.2">
      <c r="A895" s="240">
        <v>893</v>
      </c>
      <c r="B895" s="324">
        <v>45226</v>
      </c>
      <c r="C895" s="325">
        <v>0.3972222222222222</v>
      </c>
      <c r="D895" s="367" t="s">
        <v>3693</v>
      </c>
      <c r="E895" s="243" t="s">
        <v>3694</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5" t="s">
        <v>1801</v>
      </c>
    </row>
    <row r="896" spans="1:29" ht="39.950000000000003" customHeight="1" x14ac:dyDescent="0.2">
      <c r="A896" s="170">
        <v>894</v>
      </c>
      <c r="B896" s="326">
        <v>45226</v>
      </c>
      <c r="C896" s="327">
        <v>0.33333333333333331</v>
      </c>
      <c r="D896" s="170" t="s">
        <v>2299</v>
      </c>
      <c r="E896" s="378" t="s">
        <v>3695</v>
      </c>
      <c r="F896" s="170">
        <v>7</v>
      </c>
      <c r="G896" s="170"/>
      <c r="H896" s="326"/>
      <c r="I896" s="326"/>
      <c r="J896" s="326"/>
      <c r="K896" s="170" t="str">
        <f>IFERROR(VLOOKUP(J896,Jueces!$A$1:$B$11,2,FALSE),"")</f>
        <v/>
      </c>
      <c r="L896" s="170" t="s">
        <v>796</v>
      </c>
      <c r="M896" s="170"/>
      <c r="N896" s="170" t="s">
        <v>3696</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8"/>
    </row>
    <row r="897" spans="1:29" ht="39.950000000000003" customHeight="1" x14ac:dyDescent="0.2">
      <c r="A897" s="170">
        <v>895</v>
      </c>
      <c r="B897" s="326">
        <v>45226</v>
      </c>
      <c r="C897" s="327">
        <v>0.33333333333333331</v>
      </c>
      <c r="D897" s="170" t="s">
        <v>3697</v>
      </c>
      <c r="E897" s="171" t="s">
        <v>3698</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8"/>
    </row>
    <row r="898" spans="1:29" ht="39.950000000000003" customHeight="1" x14ac:dyDescent="0.2">
      <c r="A898" s="170">
        <v>896</v>
      </c>
      <c r="B898" s="326">
        <v>45226</v>
      </c>
      <c r="C898" s="327">
        <v>0.39444444444444443</v>
      </c>
      <c r="D898" s="170" t="s">
        <v>3699</v>
      </c>
      <c r="E898" s="171" t="s">
        <v>3700</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8"/>
    </row>
    <row r="899" spans="1:29" ht="39.950000000000003" customHeight="1" x14ac:dyDescent="0.2">
      <c r="A899" s="81">
        <v>897</v>
      </c>
      <c r="B899" s="83">
        <v>45210</v>
      </c>
      <c r="C899" s="323">
        <v>0.3840277777777778</v>
      </c>
      <c r="D899" s="81" t="s">
        <v>3389</v>
      </c>
      <c r="E899" s="82" t="s">
        <v>3390</v>
      </c>
      <c r="F899" s="81">
        <v>1</v>
      </c>
      <c r="G899" s="81" t="s">
        <v>1443</v>
      </c>
      <c r="H899" s="83">
        <v>45236</v>
      </c>
      <c r="I899" s="83" t="s">
        <v>1086</v>
      </c>
      <c r="J899" s="83" t="s">
        <v>1220</v>
      </c>
      <c r="K899" s="81">
        <f>IFERROR(VLOOKUP(J899,Jueces!$A$1:$B$11,2,FALSE),"")</f>
        <v>1</v>
      </c>
      <c r="L899" s="81" t="s">
        <v>829</v>
      </c>
      <c r="M899" s="81" t="s">
        <v>712</v>
      </c>
      <c r="N899" s="81" t="s">
        <v>3701</v>
      </c>
      <c r="O899" s="81" t="str">
        <f t="shared" ca="1" si="50"/>
        <v>NO</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3429</v>
      </c>
      <c r="AB899" s="81"/>
      <c r="AC899" s="78"/>
    </row>
    <row r="900" spans="1:29" ht="39.950000000000003" customHeight="1" x14ac:dyDescent="0.2">
      <c r="A900" s="170">
        <v>898</v>
      </c>
      <c r="B900" s="326">
        <v>45225</v>
      </c>
      <c r="C900" s="327">
        <v>0.53472222222222221</v>
      </c>
      <c r="D900" s="170" t="s">
        <v>3702</v>
      </c>
      <c r="E900" s="171" t="s">
        <v>3703</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8"/>
    </row>
    <row r="901" spans="1:29" ht="39.950000000000003"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3704</v>
      </c>
      <c r="O901" s="211" t="str">
        <f t="shared" ca="1" si="50"/>
        <v>NO</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71"/>
    </row>
    <row r="902" spans="1:29" ht="39.950000000000003" customHeight="1" x14ac:dyDescent="0.2">
      <c r="A902" s="170">
        <v>900</v>
      </c>
      <c r="B902" s="326">
        <v>45226</v>
      </c>
      <c r="C902" s="327">
        <v>0.50138888888888888</v>
      </c>
      <c r="D902" s="170" t="s">
        <v>3705</v>
      </c>
      <c r="E902" s="171" t="s">
        <v>3706</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8"/>
    </row>
    <row r="903" spans="1:29" ht="39.950000000000003" customHeight="1" x14ac:dyDescent="0.2">
      <c r="A903" s="170">
        <v>901</v>
      </c>
      <c r="B903" s="326">
        <v>45226</v>
      </c>
      <c r="C903" s="327">
        <v>0.46319444444444446</v>
      </c>
      <c r="D903" s="170" t="s">
        <v>3707</v>
      </c>
      <c r="E903" s="171" t="s">
        <v>3708</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8"/>
    </row>
    <row r="904" spans="1:29" ht="39.950000000000003" customHeight="1" x14ac:dyDescent="0.2">
      <c r="A904" s="379">
        <v>902</v>
      </c>
      <c r="B904" s="380">
        <v>45226</v>
      </c>
      <c r="C904" s="381">
        <v>0.50486111111111109</v>
      </c>
      <c r="D904" s="379" t="s">
        <v>3709</v>
      </c>
      <c r="E904" s="382" t="s">
        <v>3710</v>
      </c>
      <c r="F904" s="379">
        <v>3</v>
      </c>
      <c r="G904" s="379"/>
      <c r="H904" s="380"/>
      <c r="I904" s="380"/>
      <c r="J904" s="380"/>
      <c r="K904" s="379" t="str">
        <f>IFERROR(VLOOKUP(J904,Jueces!$A$1:$B$11,2,FALSE),"")</f>
        <v/>
      </c>
      <c r="L904" s="379" t="s">
        <v>803</v>
      </c>
      <c r="M904" s="379"/>
      <c r="N904" s="379"/>
      <c r="O904" s="379" t="str">
        <f t="shared" ca="1" si="50"/>
        <v>LIMBO</v>
      </c>
      <c r="P904" s="379" t="str">
        <f t="shared" si="52"/>
        <v>DIANOSOL</v>
      </c>
      <c r="Q904" s="379" t="s">
        <v>951</v>
      </c>
      <c r="R904" s="379" t="str">
        <f>VLOOKUP($Q904,Resultados!$A$1:$B$49,2,FALSE)</f>
        <v xml:space="preserve"> _</v>
      </c>
      <c r="S904" s="379"/>
      <c r="T904" s="383" t="str">
        <f t="shared" si="51"/>
        <v>NO</v>
      </c>
      <c r="U904" s="383"/>
      <c r="V904" s="379"/>
      <c r="W904" s="379"/>
      <c r="X904" s="379"/>
      <c r="Y904" s="379"/>
      <c r="Z904" s="379"/>
      <c r="AA904" s="379"/>
      <c r="AB904" s="379"/>
      <c r="AC904" s="384"/>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sortState ref="A3:AC904">
    <sortCondition ref="A2:A90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52"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B14"/>
  <sheetViews>
    <sheetView workbookViewId="0">
      <selection activeCell="G1" sqref="G1"/>
    </sheetView>
  </sheetViews>
  <sheetFormatPr baseColWidth="10" defaultRowHeight="12.75" x14ac:dyDescent="0.2"/>
  <cols>
    <col min="1" max="1" width="12.28515625" bestFit="1" customWidth="1"/>
  </cols>
  <sheetData>
    <row r="1" spans="1:2" x14ac:dyDescent="0.2">
      <c r="B1" s="9" t="s">
        <v>3723</v>
      </c>
    </row>
    <row r="3" spans="1:2" x14ac:dyDescent="0.2">
      <c r="A3" s="9" t="s">
        <v>3724</v>
      </c>
    </row>
    <row r="4" spans="1:2" x14ac:dyDescent="0.2">
      <c r="A4" s="9" t="s">
        <v>3725</v>
      </c>
    </row>
    <row r="5" spans="1:2" x14ac:dyDescent="0.2">
      <c r="A5" s="9" t="s">
        <v>3181</v>
      </c>
    </row>
    <row r="6" spans="1:2" x14ac:dyDescent="0.2">
      <c r="A6" s="9" t="s">
        <v>3182</v>
      </c>
    </row>
    <row r="7" spans="1:2" x14ac:dyDescent="0.2">
      <c r="A7" s="9" t="s">
        <v>3183</v>
      </c>
    </row>
    <row r="8" spans="1:2" x14ac:dyDescent="0.2">
      <c r="A8" s="9" t="s">
        <v>3184</v>
      </c>
      <c r="B8" s="389">
        <v>9.1042154566744724</v>
      </c>
    </row>
    <row r="9" spans="1:2" x14ac:dyDescent="0.2">
      <c r="A9" s="9" t="s">
        <v>3185</v>
      </c>
    </row>
    <row r="10" spans="1:2" x14ac:dyDescent="0.2">
      <c r="A10" s="9" t="s">
        <v>3186</v>
      </c>
    </row>
    <row r="11" spans="1:2" x14ac:dyDescent="0.2">
      <c r="A11" s="9" t="s">
        <v>3726</v>
      </c>
    </row>
    <row r="12" spans="1:2" x14ac:dyDescent="0.2">
      <c r="A12" s="9" t="s">
        <v>3188</v>
      </c>
    </row>
    <row r="13" spans="1:2" x14ac:dyDescent="0.2">
      <c r="A13" s="9" t="s">
        <v>3189</v>
      </c>
    </row>
    <row r="14" spans="1:2" x14ac:dyDescent="0.2">
      <c r="A14" s="9" t="s">
        <v>3190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57150</xdr:rowOff>
                  </from>
                  <to>
                    <xdr:col>8</xdr:col>
                    <xdr:colOff>438150</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60" t="s">
        <v>5</v>
      </c>
      <c r="B5" s="361">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3527</v>
      </c>
      <c r="E6" t="s">
        <v>3527</v>
      </c>
      <c r="H6" t="s">
        <v>3527</v>
      </c>
      <c r="K6" t="s">
        <v>3527</v>
      </c>
      <c r="N6" t="s">
        <v>3527</v>
      </c>
      <c r="Q6" t="s">
        <v>3527</v>
      </c>
    </row>
    <row r="7" spans="1:17" ht="14.25" x14ac:dyDescent="0.2">
      <c r="A7" s="365"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63" t="s">
        <v>1442</v>
      </c>
      <c r="D9" s="106" t="s">
        <v>1441</v>
      </c>
      <c r="G9" s="106" t="s">
        <v>1442</v>
      </c>
      <c r="J9" s="106" t="s">
        <v>1442</v>
      </c>
      <c r="M9" s="106" t="s">
        <v>283</v>
      </c>
      <c r="P9" s="106" t="s">
        <v>3366</v>
      </c>
    </row>
    <row r="10" spans="1:17" x14ac:dyDescent="0.2">
      <c r="A10" s="364" t="s">
        <v>73</v>
      </c>
      <c r="D10" s="107" t="s">
        <v>73</v>
      </c>
      <c r="G10" s="107" t="s">
        <v>73</v>
      </c>
      <c r="J10" s="107" t="s">
        <v>73</v>
      </c>
      <c r="M10" s="107" t="s">
        <v>73</v>
      </c>
      <c r="P10" s="107" t="s">
        <v>73</v>
      </c>
    </row>
    <row r="11" spans="1:17" ht="14.25" x14ac:dyDescent="0.2">
      <c r="A11" s="363" t="s">
        <v>2788</v>
      </c>
      <c r="D11" s="119" t="s">
        <v>35</v>
      </c>
      <c r="G11" s="17" t="s">
        <v>1221</v>
      </c>
      <c r="J11" s="106" t="s">
        <v>3367</v>
      </c>
      <c r="M11" s="17" t="s">
        <v>78</v>
      </c>
      <c r="P11" s="17" t="s">
        <v>1220</v>
      </c>
    </row>
    <row r="12" spans="1:17" x14ac:dyDescent="0.2">
      <c r="A12" s="364" t="s">
        <v>1086</v>
      </c>
      <c r="D12" s="106" t="s">
        <v>2788</v>
      </c>
      <c r="G12" s="106" t="s">
        <v>568</v>
      </c>
      <c r="J12" s="107" t="s">
        <v>1086</v>
      </c>
      <c r="M12" s="106" t="s">
        <v>1443</v>
      </c>
      <c r="P12" s="106" t="s">
        <v>283</v>
      </c>
    </row>
    <row r="13" spans="1:17" x14ac:dyDescent="0.2">
      <c r="A13" s="362" t="s">
        <v>33</v>
      </c>
      <c r="B13" s="320"/>
      <c r="D13" s="107" t="s">
        <v>73</v>
      </c>
      <c r="E13" s="320"/>
      <c r="G13" s="107" t="s">
        <v>1086</v>
      </c>
      <c r="H13" s="320"/>
      <c r="J13" s="17" t="s">
        <v>78</v>
      </c>
      <c r="K13" s="320"/>
      <c r="L13" s="320"/>
      <c r="M13" s="107" t="s">
        <v>73</v>
      </c>
      <c r="N13" s="320"/>
      <c r="P13" s="107" t="s">
        <v>1086</v>
      </c>
      <c r="Q13" s="320"/>
    </row>
    <row r="14" spans="1:17" x14ac:dyDescent="0.2">
      <c r="A14" s="363" t="s">
        <v>2774</v>
      </c>
      <c r="B14" s="320"/>
      <c r="D14" s="17" t="s">
        <v>1221</v>
      </c>
      <c r="E14" s="320"/>
      <c r="G14" s="17" t="s">
        <v>78</v>
      </c>
      <c r="H14" s="320"/>
      <c r="J14" s="106" t="s">
        <v>2788</v>
      </c>
      <c r="K14" s="320"/>
      <c r="L14" s="320"/>
      <c r="M14" s="17" t="s">
        <v>1485</v>
      </c>
      <c r="N14" s="320"/>
      <c r="P14" s="17" t="s">
        <v>1485</v>
      </c>
      <c r="Q14" s="320"/>
    </row>
    <row r="15" spans="1:17" x14ac:dyDescent="0.2">
      <c r="A15" s="364" t="s">
        <v>1086</v>
      </c>
      <c r="B15" s="320"/>
      <c r="D15" s="106" t="s">
        <v>283</v>
      </c>
      <c r="E15" s="320"/>
      <c r="G15" s="106" t="s">
        <v>1443</v>
      </c>
      <c r="H15" s="320"/>
      <c r="J15" s="107" t="s">
        <v>73</v>
      </c>
      <c r="K15" s="320"/>
      <c r="L15" s="320"/>
      <c r="N15" s="320"/>
      <c r="Q15" s="320"/>
    </row>
    <row r="16" spans="1:17" x14ac:dyDescent="0.2">
      <c r="A16" s="363"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64"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62"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63"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64" t="s">
        <v>76</v>
      </c>
      <c r="B20" s="320" t="s">
        <v>3051</v>
      </c>
      <c r="D20" s="106" t="s">
        <v>3366</v>
      </c>
      <c r="E20" s="320" t="s">
        <v>3051</v>
      </c>
      <c r="G20" s="17" t="s">
        <v>2954</v>
      </c>
      <c r="H20" s="320" t="s">
        <v>3051</v>
      </c>
      <c r="K20" s="320" t="s">
        <v>3051</v>
      </c>
      <c r="L20" s="320"/>
      <c r="N20" s="320" t="s">
        <v>3051</v>
      </c>
      <c r="Q20" s="320" t="s">
        <v>3051</v>
      </c>
    </row>
    <row r="21" spans="1:19" x14ac:dyDescent="0.2">
      <c r="A21" s="362" t="s">
        <v>78</v>
      </c>
      <c r="B21" s="320" t="s">
        <v>3053</v>
      </c>
      <c r="D21" s="107" t="s">
        <v>1086</v>
      </c>
      <c r="E21" s="320" t="s">
        <v>3053</v>
      </c>
      <c r="G21" s="106" t="s">
        <v>2788</v>
      </c>
      <c r="H21" s="320" t="s">
        <v>3053</v>
      </c>
      <c r="K21" s="320" t="s">
        <v>3053</v>
      </c>
      <c r="L21" s="320"/>
      <c r="N21" s="320" t="s">
        <v>3053</v>
      </c>
      <c r="Q21" s="320" t="s">
        <v>3053</v>
      </c>
    </row>
    <row r="22" spans="1:19" x14ac:dyDescent="0.2">
      <c r="A22" s="363" t="s">
        <v>3366</v>
      </c>
      <c r="B22" s="320" t="s">
        <v>3055</v>
      </c>
      <c r="D22" s="17" t="s">
        <v>1220</v>
      </c>
      <c r="E22" s="320" t="s">
        <v>3055</v>
      </c>
      <c r="G22" s="107" t="s">
        <v>73</v>
      </c>
      <c r="H22" s="320" t="s">
        <v>3055</v>
      </c>
      <c r="K22" s="320" t="s">
        <v>3055</v>
      </c>
      <c r="L22" s="320"/>
      <c r="N22" s="320" t="s">
        <v>3055</v>
      </c>
      <c r="Q22" s="320" t="s">
        <v>3055</v>
      </c>
    </row>
    <row r="23" spans="1:19" x14ac:dyDescent="0.2">
      <c r="A23" s="364" t="s">
        <v>73</v>
      </c>
      <c r="B23" s="320" t="s">
        <v>3056</v>
      </c>
      <c r="D23" s="106" t="s">
        <v>1443</v>
      </c>
      <c r="E23" s="320" t="s">
        <v>3056</v>
      </c>
      <c r="G23" s="17" t="s">
        <v>1485</v>
      </c>
      <c r="H23" s="320" t="s">
        <v>3056</v>
      </c>
      <c r="K23" s="320" t="s">
        <v>3056</v>
      </c>
      <c r="L23" s="320"/>
      <c r="N23" s="320" t="s">
        <v>3056</v>
      </c>
      <c r="Q23" s="320" t="s">
        <v>3056</v>
      </c>
    </row>
    <row r="24" spans="1:19" x14ac:dyDescent="0.2">
      <c r="A24" s="362" t="s">
        <v>1732</v>
      </c>
      <c r="B24" s="320" t="s">
        <v>3430</v>
      </c>
      <c r="D24" s="107" t="s">
        <v>1086</v>
      </c>
      <c r="E24" s="320" t="s">
        <v>3430</v>
      </c>
      <c r="H24" s="320" t="s">
        <v>3430</v>
      </c>
      <c r="K24" s="320" t="s">
        <v>3430</v>
      </c>
      <c r="N24" s="320" t="s">
        <v>3430</v>
      </c>
      <c r="Q24" s="320" t="s">
        <v>3430</v>
      </c>
    </row>
    <row r="25" spans="1:19" x14ac:dyDescent="0.2">
      <c r="A25" s="363" t="s">
        <v>568</v>
      </c>
      <c r="B25" s="320" t="s">
        <v>3418</v>
      </c>
      <c r="D25" s="17" t="s">
        <v>1225</v>
      </c>
      <c r="E25" s="320" t="s">
        <v>3418</v>
      </c>
      <c r="H25" s="320" t="s">
        <v>3418</v>
      </c>
      <c r="K25" s="320" t="s">
        <v>3418</v>
      </c>
      <c r="N25" s="320" t="s">
        <v>3418</v>
      </c>
      <c r="Q25" s="320" t="s">
        <v>3418</v>
      </c>
    </row>
    <row r="26" spans="1:19" x14ac:dyDescent="0.2">
      <c r="A26" s="364" t="s">
        <v>1086</v>
      </c>
      <c r="D26" s="106" t="s">
        <v>1442</v>
      </c>
      <c r="E26" s="320"/>
      <c r="H26" s="320"/>
      <c r="K26" s="320"/>
      <c r="N26" s="320"/>
      <c r="Q26" s="320"/>
    </row>
    <row r="27" spans="1:19" x14ac:dyDescent="0.2">
      <c r="A27" s="362" t="s">
        <v>1225</v>
      </c>
      <c r="D27" s="107" t="s">
        <v>749</v>
      </c>
      <c r="E27" s="320"/>
      <c r="H27" s="320"/>
      <c r="K27" s="320"/>
      <c r="N27" s="320"/>
      <c r="Q27" s="320"/>
      <c r="S27" s="320" t="s">
        <v>3049</v>
      </c>
    </row>
    <row r="28" spans="1:19" x14ac:dyDescent="0.2">
      <c r="A28" s="363" t="s">
        <v>1441</v>
      </c>
      <c r="D28" s="17" t="s">
        <v>2951</v>
      </c>
      <c r="E28" s="320"/>
      <c r="H28" s="320"/>
      <c r="K28" s="320"/>
      <c r="N28" s="320"/>
      <c r="Q28" s="320"/>
      <c r="S28" s="320" t="s">
        <v>3048</v>
      </c>
    </row>
    <row r="29" spans="1:19" x14ac:dyDescent="0.2">
      <c r="A29" s="364" t="s">
        <v>749</v>
      </c>
      <c r="D29" s="106" t="s">
        <v>3367</v>
      </c>
      <c r="E29" s="320"/>
      <c r="H29" s="320"/>
      <c r="K29" s="320"/>
      <c r="N29" s="320"/>
      <c r="Q29" s="320"/>
      <c r="S29" s="320" t="s">
        <v>3047</v>
      </c>
    </row>
    <row r="30" spans="1:19" x14ac:dyDescent="0.2">
      <c r="A30" s="362" t="s">
        <v>2951</v>
      </c>
      <c r="D30" s="107" t="s">
        <v>73</v>
      </c>
      <c r="S30" s="320" t="s">
        <v>3046</v>
      </c>
    </row>
    <row r="31" spans="1:19" x14ac:dyDescent="0.2">
      <c r="A31" s="363" t="s">
        <v>1443</v>
      </c>
      <c r="D31" s="17" t="s">
        <v>1485</v>
      </c>
      <c r="S31" s="320" t="s">
        <v>3045</v>
      </c>
    </row>
    <row r="32" spans="1:19" x14ac:dyDescent="0.2">
      <c r="A32" s="364" t="s">
        <v>73</v>
      </c>
      <c r="S32" s="320" t="s">
        <v>3050</v>
      </c>
    </row>
    <row r="33" spans="1:19" x14ac:dyDescent="0.2">
      <c r="A33" s="362" t="s">
        <v>2954</v>
      </c>
      <c r="S33" s="320" t="s">
        <v>3051</v>
      </c>
    </row>
    <row r="34" spans="1:19" x14ac:dyDescent="0.2">
      <c r="A34" s="363" t="s">
        <v>283</v>
      </c>
      <c r="S34" s="320" t="s">
        <v>3052</v>
      </c>
    </row>
    <row r="35" spans="1:19" x14ac:dyDescent="0.2">
      <c r="A35" s="364" t="s">
        <v>73</v>
      </c>
      <c r="S35" s="320" t="s">
        <v>3053</v>
      </c>
    </row>
    <row r="36" spans="1:19" x14ac:dyDescent="0.2">
      <c r="A36" s="362" t="s">
        <v>1485</v>
      </c>
      <c r="S36" s="320" t="s">
        <v>3054</v>
      </c>
    </row>
    <row r="37" spans="1:19" x14ac:dyDescent="0.2">
      <c r="S37" s="320" t="s">
        <v>3055</v>
      </c>
    </row>
    <row r="38" spans="1:19" x14ac:dyDescent="0.2">
      <c r="S38" s="320" t="s">
        <v>3056</v>
      </c>
    </row>
    <row r="39" spans="1:19" x14ac:dyDescent="0.2">
      <c r="S39" s="320" t="s">
        <v>3430</v>
      </c>
    </row>
    <row r="40" spans="1:19" x14ac:dyDescent="0.2">
      <c r="S40" s="320" t="s">
        <v>3418</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08" t="str">
        <f ca="1">"AUDIENCIAS ASIGNADAS  AL DIA: " &amp; TEXT(TODAY(),"DD/MM/YYYY")</f>
        <v>AUDIENCIAS ASIGNADAS  AL DIA: 28/10/YYYY</v>
      </c>
      <c r="C1" s="408"/>
      <c r="D1" s="408"/>
      <c r="E1" s="408"/>
      <c r="F1" s="408"/>
      <c r="G1" s="408"/>
      <c r="H1" s="408"/>
      <c r="I1" s="408"/>
    </row>
    <row r="3" spans="2:9" ht="28.5" customHeight="1" x14ac:dyDescent="0.2">
      <c r="B3" s="409" t="s">
        <v>2042</v>
      </c>
      <c r="C3" s="410"/>
      <c r="E3" s="409" t="s">
        <v>2354</v>
      </c>
      <c r="F3" s="410"/>
      <c r="H3" s="409" t="s">
        <v>2381</v>
      </c>
      <c r="I3" s="410"/>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08" t="str">
        <f ca="1">"AUDIENCIAS QUE RESTAN RESOLVER -  AL DIA: " &amp; TEXT(TODAY(),"DD/MM/YYYY")</f>
        <v>AUDIENCIAS QUE RESTAN RESOLVER -  AL DIA: 28/10/YYYY</v>
      </c>
      <c r="C26" s="408"/>
      <c r="D26" s="408"/>
      <c r="E26" s="408"/>
      <c r="F26" s="408"/>
      <c r="G26" s="408"/>
      <c r="H26" s="408"/>
      <c r="I26" s="408"/>
    </row>
    <row r="27" spans="2:9" ht="24.95" customHeight="1" x14ac:dyDescent="0.2"/>
    <row r="28" spans="2:9" ht="24.95" customHeight="1" x14ac:dyDescent="0.2">
      <c r="B28" s="409" t="s">
        <v>2043</v>
      </c>
      <c r="C28" s="410"/>
      <c r="E28" s="409" t="s">
        <v>2355</v>
      </c>
      <c r="F28" s="410"/>
      <c r="H28" s="409" t="s">
        <v>2044</v>
      </c>
      <c r="I28" s="410"/>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3" t="s">
        <v>2951</v>
      </c>
      <c r="F36" s="10">
        <f ca="1">COUNTIFS(EXPEDIENTES!J:J,$E36,EXPEDIENTES!O:O,"NO")</f>
        <v>6</v>
      </c>
    </row>
    <row r="37" spans="2:6" ht="20.100000000000001" customHeight="1" x14ac:dyDescent="0.2">
      <c r="B37" s="195" t="s">
        <v>963</v>
      </c>
      <c r="C37" s="59">
        <f ca="1">SUM(C30:C36)</f>
        <v>58</v>
      </c>
      <c r="E37" s="344" t="s">
        <v>2954</v>
      </c>
      <c r="F37" s="10">
        <f ca="1">COUNTIFS(EXPEDIENTES!J:J,$E37,EXPEDIENTES!O:O,"NO")</f>
        <v>3</v>
      </c>
    </row>
    <row r="38" spans="2:6" s="339" customFormat="1" ht="20.100000000000001" customHeight="1" x14ac:dyDescent="0.2">
      <c r="E38" s="195" t="s">
        <v>370</v>
      </c>
      <c r="F38" s="59">
        <f ca="1">SUM(F30:F37)</f>
        <v>14</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08" t="str">
        <f ca="1">"AUDIENCIAS RESUELTAS AL DIA: " &amp; TEXT(TODAY(),"DD/MM/YYYY")</f>
        <v>AUDIENCIAS RESUELTAS AL DIA: 28/10/YYYY</v>
      </c>
      <c r="C53" s="408"/>
      <c r="D53" s="408"/>
      <c r="E53" s="408"/>
      <c r="F53" s="408"/>
      <c r="G53" s="408"/>
      <c r="H53" s="408"/>
      <c r="I53" s="408"/>
    </row>
    <row r="54" spans="2:9" ht="20.100000000000001" customHeight="1" x14ac:dyDescent="0.2"/>
    <row r="55" spans="2:9" ht="28.35" customHeight="1" x14ac:dyDescent="0.2">
      <c r="B55" s="409" t="s">
        <v>2045</v>
      </c>
      <c r="C55" s="410"/>
      <c r="E55" s="409" t="s">
        <v>2046</v>
      </c>
      <c r="F55" s="410"/>
      <c r="H55" s="409" t="s">
        <v>2047</v>
      </c>
      <c r="I55" s="410"/>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3" t="s">
        <v>2951</v>
      </c>
      <c r="F63" s="10">
        <f ca="1">COUNTIFS(EXPEDIENTES!J:J,$E63,EXPEDIENTES!O:O,"SI")</f>
        <v>15</v>
      </c>
      <c r="G63" s="112"/>
      <c r="H63" s="112"/>
    </row>
    <row r="64" spans="2:9" ht="24.95" customHeight="1" x14ac:dyDescent="0.2">
      <c r="B64" s="195" t="s">
        <v>2033</v>
      </c>
      <c r="C64" s="28">
        <f ca="1">SUM(C57:C63)</f>
        <v>639</v>
      </c>
      <c r="E64" s="344" t="s">
        <v>2954</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411" t="s">
        <v>457</v>
      </c>
      <c r="C68" s="411"/>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7" sqref="A7"/>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5">
        <f>A6/A11</f>
        <v>0.33333333333333331</v>
      </c>
      <c r="C6" s="249" t="s">
        <v>577</v>
      </c>
      <c r="D6" s="60"/>
    </row>
    <row r="7" spans="1:6" ht="30.75" customHeight="1" x14ac:dyDescent="0.2">
      <c r="A7" s="186">
        <f>COUNTIFS(EXPEDIENTES!R:R,"Juicio Abreviado",EXPEDIENTES!H:H,"&gt;=23/10/2023",EXPEDIENTES!H:H,"&lt;=27/10/2023")</f>
        <v>19</v>
      </c>
      <c r="B7" s="385">
        <f>A7/A11</f>
        <v>0.5757575757575758</v>
      </c>
      <c r="C7" s="249" t="s">
        <v>988</v>
      </c>
      <c r="D7" s="60"/>
    </row>
    <row r="8" spans="1:6" ht="30.75" customHeight="1" x14ac:dyDescent="0.2">
      <c r="A8" s="186">
        <f>COUNTIFS(EXPEDIENTES!R:R,"Suspendida",EXPEDIENTES!H:H,"&gt;=23/10/2023",EXPEDIENTES!H:H,"&lt;=27/10/2023")</f>
        <v>1</v>
      </c>
      <c r="B8" s="385">
        <f>A8/A11</f>
        <v>3.0303030303030304E-2</v>
      </c>
      <c r="C8" s="249" t="s">
        <v>911</v>
      </c>
      <c r="D8" s="60"/>
    </row>
    <row r="9" spans="1:6" ht="30.75" customHeight="1" x14ac:dyDescent="0.2">
      <c r="A9" s="186">
        <f>COUNTIFS(EXPEDIENTES!R:R,"Libertad",EXPEDIENTES!H:H,"&gt;=23/10/2023",EXPEDIENTES!H:H,"&lt;=27/10/2023")</f>
        <v>1</v>
      </c>
      <c r="B9" s="385">
        <f>A9/A11</f>
        <v>3.0303030303030304E-2</v>
      </c>
      <c r="C9" s="249" t="s">
        <v>902</v>
      </c>
      <c r="D9" s="60"/>
    </row>
    <row r="10" spans="1:6" ht="32.25" customHeight="1" x14ac:dyDescent="0.2">
      <c r="A10" s="186">
        <f>COUNTIFS(EXPEDIENTES!R:R,"Suspensión de juicio a prueba",EXPEDIENTES!H:H,"&gt;=23/10/2023",EXPEDIENTES!H:H,"&lt;=27/10/2023")</f>
        <v>1</v>
      </c>
      <c r="B10" s="385">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AL47" zoomScale="70" zoomScaleNormal="70" zoomScaleSheetLayoutView="80" zoomScalePageLayoutView="40" workbookViewId="0">
      <selection activeCell="BD8" sqref="BD8"/>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16"/>
      <c r="B1" s="416"/>
      <c r="C1" s="416"/>
      <c r="D1" s="416"/>
      <c r="E1" s="416"/>
      <c r="F1" s="416"/>
      <c r="G1" s="416"/>
      <c r="H1" s="416"/>
      <c r="I1" s="416"/>
      <c r="J1" s="416"/>
      <c r="K1" s="188"/>
      <c r="AQ1" s="416" t="s">
        <v>1998</v>
      </c>
      <c r="AR1" s="416"/>
      <c r="AS1" s="416"/>
      <c r="AT1" s="416"/>
      <c r="AU1" s="416"/>
      <c r="AV1" s="416"/>
      <c r="AW1" s="416"/>
      <c r="AX1" s="416"/>
      <c r="AY1" s="416"/>
      <c r="AZ1" s="416"/>
      <c r="BA1" s="416"/>
    </row>
    <row r="2" spans="1:53" ht="12.75" customHeight="1" x14ac:dyDescent="0.2"/>
    <row r="3" spans="1:53" ht="30.75" customHeight="1" x14ac:dyDescent="0.2">
      <c r="M3" s="188" t="s">
        <v>1321</v>
      </c>
      <c r="N3" s="188" t="s">
        <v>1322</v>
      </c>
      <c r="AK3" s="188" t="s">
        <v>382</v>
      </c>
      <c r="AL3" s="188" t="s">
        <v>31</v>
      </c>
      <c r="AQ3" s="417" t="s">
        <v>1994</v>
      </c>
      <c r="AR3" s="417"/>
      <c r="AS3" s="417"/>
      <c r="AT3" s="417"/>
      <c r="AU3" s="417"/>
      <c r="AV3" s="417"/>
      <c r="AW3" s="417"/>
      <c r="AX3" s="417"/>
      <c r="AY3" s="417"/>
      <c r="AZ3" s="417"/>
      <c r="BA3" s="417"/>
    </row>
    <row r="4" spans="1:53" ht="27" customHeight="1" thickBot="1" x14ac:dyDescent="0.3">
      <c r="A4" s="295"/>
      <c r="B4" s="295"/>
      <c r="C4" s="295"/>
      <c r="M4" s="294" t="s">
        <v>929</v>
      </c>
      <c r="N4" s="293" t="s">
        <v>1298</v>
      </c>
      <c r="O4" s="293" t="s">
        <v>930</v>
      </c>
      <c r="Z4" s="188"/>
      <c r="AK4" s="294" t="s">
        <v>929</v>
      </c>
      <c r="AL4" s="293" t="s">
        <v>1298</v>
      </c>
      <c r="AM4" s="293" t="s">
        <v>930</v>
      </c>
    </row>
    <row r="5" spans="1:53" ht="45" customHeight="1" x14ac:dyDescent="0.2">
      <c r="B5" s="347" t="s">
        <v>929</v>
      </c>
      <c r="C5" s="348" t="s">
        <v>3179</v>
      </c>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B6" s="349">
        <f ca="1">COUNTIFS(EXPEDIENTES!H:H,"&gt;=01/02/2023",EXPEDIENTES!H:H,"&lt;=28/02/2023",EXPEDIENTES!O:O,"=SI")</f>
        <v>4</v>
      </c>
      <c r="C6" s="350" t="s">
        <v>3180</v>
      </c>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B7" s="349">
        <f ca="1">COUNTIFS(EXPEDIENTES!H:H,"&gt;=01/03/2023",EXPEDIENTES!H:H,"&lt;=31/03/2023",EXPEDIENTES!O:O,"=SI")</f>
        <v>84</v>
      </c>
      <c r="C7" s="350" t="s">
        <v>3181</v>
      </c>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B8" s="349">
        <f ca="1">COUNTIFS(EXPEDIENTES!H:H,"&gt;=01/04/2023",EXPEDIENTES!H:H,"&lt;=30/04/2023",EXPEDIENTES!O:O,"=SI")</f>
        <v>63</v>
      </c>
      <c r="C8" s="350" t="s">
        <v>3182</v>
      </c>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B9" s="349">
        <f ca="1">COUNTIFS(EXPEDIENTES!H:H,"&gt;=01/05/2023",EXPEDIENTES!H:H,"&lt;=31/05/2023",EXPEDIENTES!O:O,"=SI")</f>
        <v>44</v>
      </c>
      <c r="C9" s="350" t="s">
        <v>3183</v>
      </c>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B10" s="349">
        <f ca="1">COUNTIFS(EXPEDIENTES!H:H,"&gt;=01/06/2023",EXPEDIENTES!H:H,"&lt;=30/06/2023",EXPEDIENTES!O:O,"=SI")</f>
        <v>87</v>
      </c>
      <c r="C10" s="350" t="s">
        <v>3184</v>
      </c>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B11" s="349">
        <f ca="1">COUNTIFS(EXPEDIENTES!H:H,"&gt;=01/07/2023",EXPEDIENTES!H:H,"&lt;=31/07/2023",EXPEDIENTES!O:O,"=SI")</f>
        <v>128</v>
      </c>
      <c r="C11" s="350" t="s">
        <v>3185</v>
      </c>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B12" s="349">
        <f ca="1">COUNTIFS(EXPEDIENTES!H:H,"&gt;=01/08/2023",EXPEDIENTES!H:H,"&lt;=31/08/2023",EXPEDIENTES!O:O,"=SI")</f>
        <v>128</v>
      </c>
      <c r="C12" s="350" t="s">
        <v>3186</v>
      </c>
      <c r="T12" s="188"/>
      <c r="AQ12" s="200">
        <f ca="1">COUNTIFS(EXPEDIENTES!R:R,$AR12,EXPEDIENTES!O:O,"SI")</f>
        <v>2</v>
      </c>
      <c r="AR12" s="202" t="s">
        <v>910</v>
      </c>
      <c r="AU12" s="191"/>
      <c r="AW12" s="190"/>
      <c r="AX12" s="190"/>
    </row>
    <row r="13" spans="1:53" ht="28.35" customHeight="1" x14ac:dyDescent="0.25">
      <c r="B13" s="349">
        <f ca="1">COUNTIFS(EXPEDIENTES!H:H,"&gt;=01/09/2023",EXPEDIENTES!H:H,"&lt;=30/09/2023",EXPEDIENTES!O:O,"=SI")</f>
        <v>117</v>
      </c>
      <c r="C13" s="350" t="s">
        <v>3187</v>
      </c>
      <c r="T13" s="188"/>
      <c r="AQ13" s="200">
        <f ca="1">COUNTIFS(EXPEDIENTES!R:R,$AR13,EXPEDIENTES!O:O,"SI")</f>
        <v>2</v>
      </c>
      <c r="AR13" s="202" t="s">
        <v>907</v>
      </c>
      <c r="AS13" s="187"/>
      <c r="AT13" s="187"/>
      <c r="AU13" s="187"/>
      <c r="AV13" s="187"/>
      <c r="AW13" s="187"/>
      <c r="AX13" s="187"/>
      <c r="AY13" s="187"/>
      <c r="AZ13" s="188"/>
    </row>
    <row r="14" spans="1:53" ht="28.35" customHeight="1" x14ac:dyDescent="0.25">
      <c r="B14" s="349">
        <f ca="1">COUNTIFS(EXPEDIENTES!H:H,"&gt;=01/10/2023",EXPEDIENTES!H:H,"&lt;=31/10/2023",EXPEDIENTES!O:O,"=SI")</f>
        <v>138</v>
      </c>
      <c r="C14" s="350" t="s">
        <v>3188</v>
      </c>
      <c r="AQ14" s="200">
        <f ca="1">COUNTIFS(EXPEDIENTES!R:R,$AR14,EXPEDIENTES!O:O,"SI")</f>
        <v>3</v>
      </c>
      <c r="AR14" s="201" t="s">
        <v>1901</v>
      </c>
      <c r="AS14" s="198"/>
      <c r="AT14" s="198"/>
      <c r="AU14" s="198"/>
      <c r="AV14" s="198"/>
      <c r="AW14" s="198"/>
      <c r="AX14" s="198"/>
      <c r="AY14" s="198"/>
      <c r="AZ14" s="188"/>
    </row>
    <row r="15" spans="1:53" ht="28.35" customHeight="1" x14ac:dyDescent="0.25">
      <c r="B15" s="349">
        <f ca="1">COUNTIFS(EXPEDIENTES!H:H,"&gt;=01/11/2023",EXPEDIENTES!H:H,"&lt;=30/11/2023",EXPEDIENTES!O:O,"=SI")</f>
        <v>0</v>
      </c>
      <c r="C15" s="350" t="s">
        <v>3189</v>
      </c>
      <c r="AQ15" s="199">
        <f ca="1">SUM(AQ6:AQ14)</f>
        <v>793</v>
      </c>
      <c r="AR15" s="199" t="s">
        <v>370</v>
      </c>
      <c r="AS15" s="198"/>
      <c r="AT15" s="198"/>
      <c r="AU15" s="198"/>
      <c r="AV15" s="198"/>
      <c r="AW15" s="198"/>
      <c r="AX15" s="198"/>
      <c r="AY15" s="198"/>
      <c r="AZ15" s="188"/>
    </row>
    <row r="16" spans="1:53" ht="28.35" customHeight="1" thickBot="1" x14ac:dyDescent="0.25">
      <c r="B16" s="349">
        <f ca="1">COUNTIFS(EXPEDIENTES!H:H,"&gt;=01/12/2023",EXPEDIENTES!H:H,"&lt;=31/12/2023",EXPEDIENTES!O:O,"=SI")</f>
        <v>0</v>
      </c>
      <c r="C16" s="351" t="s">
        <v>3190</v>
      </c>
      <c r="AW16" s="190"/>
      <c r="AX16" s="190"/>
      <c r="AZ16" s="193"/>
    </row>
    <row r="17" spans="2:54" ht="28.35" customHeight="1" x14ac:dyDescent="0.2">
      <c r="B17" s="285">
        <f ca="1">SUM(B6:B16)</f>
        <v>793</v>
      </c>
      <c r="C17" s="283" t="s">
        <v>370</v>
      </c>
      <c r="AQ17" s="194"/>
      <c r="AR17" s="194"/>
      <c r="AS17" s="194"/>
      <c r="AX17" s="190"/>
      <c r="AY17" s="190"/>
    </row>
    <row r="18" spans="2:54" ht="28.35" customHeight="1" x14ac:dyDescent="0.2">
      <c r="AQ18" s="192"/>
      <c r="AR18" s="192"/>
      <c r="AS18" s="192"/>
      <c r="AX18" s="190"/>
      <c r="AY18" s="190"/>
    </row>
    <row r="19" spans="2:54" ht="28.35" customHeight="1" x14ac:dyDescent="0.2"/>
    <row r="20" spans="2:54" ht="28.35" customHeight="1" x14ac:dyDescent="0.2">
      <c r="AQ20" s="189" t="str">
        <f ca="1">"Fuente: OFIJU GAR - Información al "&amp;TEXT(TODAY(),"DD/MM/YYYY")</f>
        <v>Fuente: OFIJU GAR - Información al 28/10/YYYY</v>
      </c>
    </row>
    <row r="21" spans="2:54" ht="28.35" customHeight="1" x14ac:dyDescent="0.2"/>
    <row r="22" spans="2:54" ht="28.35" customHeight="1" x14ac:dyDescent="0.25">
      <c r="AQ22" s="415" t="s">
        <v>1998</v>
      </c>
      <c r="AR22" s="415"/>
      <c r="AS22" s="415"/>
      <c r="AT22" s="415"/>
      <c r="AU22" s="415"/>
      <c r="AV22" s="415"/>
      <c r="AW22" s="415"/>
      <c r="AX22" s="415"/>
      <c r="AY22" s="415"/>
      <c r="AZ22" s="415"/>
      <c r="BA22" s="228"/>
      <c r="BB22" s="228"/>
    </row>
    <row r="24" spans="2:54" ht="26.25" x14ac:dyDescent="0.2">
      <c r="AQ24" s="414" t="s">
        <v>2442</v>
      </c>
      <c r="AR24" s="414"/>
      <c r="AS24" s="414"/>
      <c r="AT24" s="414"/>
      <c r="AU24" s="414"/>
      <c r="AV24" s="414"/>
      <c r="AW24" s="414"/>
      <c r="AX24" s="414"/>
      <c r="AY24" s="414"/>
      <c r="AZ24" s="414"/>
      <c r="BA24" s="229"/>
      <c r="BB24" s="229"/>
    </row>
    <row r="25" spans="2:54" ht="26.25" x14ac:dyDescent="0.2">
      <c r="AQ25" s="414" t="s">
        <v>2933</v>
      </c>
      <c r="AR25" s="414"/>
      <c r="AS25" s="414"/>
      <c r="AT25" s="414"/>
      <c r="AU25" s="414"/>
      <c r="AV25" s="414"/>
      <c r="AW25" s="414"/>
      <c r="AX25" s="414"/>
      <c r="AY25" s="414"/>
      <c r="AZ25" s="414"/>
    </row>
    <row r="26" spans="2:54" ht="24.95" customHeight="1" x14ac:dyDescent="0.2"/>
    <row r="27" spans="2:54" ht="24.95" customHeight="1" x14ac:dyDescent="0.2">
      <c r="M27" s="188" t="s">
        <v>1321</v>
      </c>
      <c r="N27" s="188" t="s">
        <v>1329</v>
      </c>
      <c r="AK27" s="188"/>
      <c r="AL27" s="188"/>
    </row>
    <row r="28" spans="2:54" ht="57" customHeight="1" x14ac:dyDescent="0.2">
      <c r="M28" s="294" t="s">
        <v>929</v>
      </c>
      <c r="N28" s="293" t="s">
        <v>1298</v>
      </c>
      <c r="O28" s="293" t="s">
        <v>930</v>
      </c>
      <c r="AK28" s="294" t="s">
        <v>929</v>
      </c>
      <c r="AL28" s="293" t="s">
        <v>1298</v>
      </c>
      <c r="AM28" s="293" t="s">
        <v>930</v>
      </c>
      <c r="AQ28" s="199" t="s">
        <v>929</v>
      </c>
      <c r="AR28" s="199" t="s">
        <v>930</v>
      </c>
    </row>
    <row r="29" spans="2: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2: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2: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2: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2" t="s">
        <v>2932</v>
      </c>
      <c r="AR34" s="412"/>
    </row>
    <row r="35" spans="1:52" ht="30" customHeight="1" x14ac:dyDescent="0.2">
      <c r="M35" s="285" t="e">
        <f>SUM(M29:M34)</f>
        <v>#VALUE!</v>
      </c>
      <c r="N35" s="284" t="e">
        <f>SUM(N29:N34)</f>
        <v>#VALUE!</v>
      </c>
      <c r="O35" s="283" t="s">
        <v>370</v>
      </c>
      <c r="AK35" s="285" t="e">
        <f>SUM(AK29:AK34)</f>
        <v>#VALUE!</v>
      </c>
      <c r="AL35" s="284" t="e">
        <f>SUM(AL29:AL34)</f>
        <v>#VALUE!</v>
      </c>
      <c r="AM35" s="283" t="s">
        <v>370</v>
      </c>
      <c r="AQ35" s="412"/>
      <c r="AR35" s="412"/>
    </row>
    <row r="36" spans="1:52" ht="30" customHeight="1" x14ac:dyDescent="0.2">
      <c r="AQ36" s="413">
        <f ca="1">(AQ32*100)/[2]EXPEDIENTES!C1</f>
        <v>59.157212317666129</v>
      </c>
      <c r="AR36" s="413"/>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28/10/YYYY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15" t="s">
        <v>1998</v>
      </c>
      <c r="AR42" s="415"/>
      <c r="AS42" s="415"/>
      <c r="AT42" s="415"/>
      <c r="AU42" s="415"/>
      <c r="AV42" s="415"/>
      <c r="AW42" s="415"/>
      <c r="AX42" s="415"/>
      <c r="AY42" s="415"/>
      <c r="AZ42" s="415"/>
    </row>
    <row r="43" spans="1:52" ht="30" customHeight="1" x14ac:dyDescent="0.25">
      <c r="A43" s="296"/>
      <c r="B43" s="296"/>
      <c r="C43" s="296"/>
      <c r="AK43" s="288" t="e">
        <f>COUNTIFS([2]EXPEDIENTES!Q:Q,"Libertad",[2]EXPEDIENTES!J:J,"=Dr. Rodriguez Pipino")</f>
        <v>#VALUE!</v>
      </c>
      <c r="AL43" s="287" t="e">
        <f>AK43/AK51</f>
        <v>#VALUE!</v>
      </c>
      <c r="AM43" s="289" t="s">
        <v>902</v>
      </c>
      <c r="AQ43" s="414" t="s">
        <v>2442</v>
      </c>
      <c r="AR43" s="414"/>
      <c r="AS43" s="414"/>
      <c r="AT43" s="414"/>
      <c r="AU43" s="414"/>
      <c r="AV43" s="414"/>
      <c r="AW43" s="414"/>
      <c r="AX43" s="414"/>
      <c r="AY43" s="414"/>
      <c r="AZ43" s="414"/>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28/10/YYYY</v>
      </c>
    </row>
    <row r="62" spans="1:52" ht="24.95" customHeight="1" x14ac:dyDescent="0.2"/>
    <row r="63" spans="1:52" ht="24.95" customHeight="1" x14ac:dyDescent="0.25">
      <c r="AQ63" s="415" t="s">
        <v>1998</v>
      </c>
      <c r="AR63" s="415"/>
      <c r="AS63" s="415"/>
      <c r="AT63" s="415"/>
      <c r="AU63" s="415"/>
      <c r="AV63" s="415"/>
      <c r="AW63" s="415"/>
      <c r="AX63" s="415"/>
      <c r="AY63" s="415"/>
      <c r="AZ63" s="415"/>
    </row>
    <row r="64" spans="1:52" ht="24.95" customHeight="1" x14ac:dyDescent="0.2">
      <c r="AQ64" s="414" t="s">
        <v>2931</v>
      </c>
      <c r="AR64" s="414"/>
      <c r="AS64" s="414"/>
      <c r="AT64" s="414"/>
      <c r="AU64" s="414"/>
      <c r="AV64" s="414"/>
      <c r="AW64" s="414"/>
      <c r="AX64" s="414"/>
      <c r="AY64" s="414"/>
      <c r="AZ64" s="414"/>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45227</v>
      </c>
    </row>
    <row r="2" spans="1:16384" ht="21.95" customHeight="1" x14ac:dyDescent="0.2">
      <c r="B2" s="418" t="s">
        <v>393</v>
      </c>
      <c r="C2" s="418"/>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3</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9</v>
      </c>
    </row>
    <row r="16" spans="1:16384" ht="21.95" customHeight="1" x14ac:dyDescent="0.2">
      <c r="B16" s="10" t="s">
        <v>2289</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18" t="s">
        <v>448</v>
      </c>
      <c r="C22" s="418"/>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3366</v>
      </c>
    </row>
    <row r="17" spans="1:1" x14ac:dyDescent="0.2">
      <c r="A17" s="1" t="s">
        <v>3367</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3335</v>
      </c>
    </row>
    <row r="153" spans="1:1" x14ac:dyDescent="0.2">
      <c r="A153" s="64" t="s">
        <v>3343</v>
      </c>
    </row>
    <row r="154" spans="1:1" x14ac:dyDescent="0.2">
      <c r="A154" s="41" t="s">
        <v>3370</v>
      </c>
    </row>
    <row r="155" spans="1:1" x14ac:dyDescent="0.2">
      <c r="A155" s="64" t="s">
        <v>3395</v>
      </c>
    </row>
    <row r="156" spans="1:1" x14ac:dyDescent="0.2">
      <c r="A156" s="64" t="s">
        <v>3432</v>
      </c>
    </row>
    <row r="157" spans="1:1" x14ac:dyDescent="0.2">
      <c r="A157" s="64" t="s">
        <v>3435</v>
      </c>
    </row>
    <row r="158" spans="1:1" x14ac:dyDescent="0.2">
      <c r="A158" s="64" t="s">
        <v>3445</v>
      </c>
    </row>
    <row r="159" spans="1:1" x14ac:dyDescent="0.2">
      <c r="A159" s="64" t="s">
        <v>3469</v>
      </c>
    </row>
    <row r="160" spans="1:1" x14ac:dyDescent="0.2">
      <c r="A160" s="64" t="s">
        <v>3498</v>
      </c>
    </row>
    <row r="161" spans="1:1" x14ac:dyDescent="0.2">
      <c r="A161" s="64" t="s">
        <v>3512</v>
      </c>
    </row>
    <row r="162" spans="1:1" x14ac:dyDescent="0.2">
      <c r="A162" s="64" t="s">
        <v>3641</v>
      </c>
    </row>
    <row r="163" spans="1:1" x14ac:dyDescent="0.2">
      <c r="A163" s="64" t="s">
        <v>3668</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53" t="s">
        <v>3004</v>
      </c>
      <c r="B22" s="354" t="s">
        <v>3005</v>
      </c>
      <c r="C22" s="353">
        <v>1</v>
      </c>
      <c r="D22" s="353" t="s">
        <v>29</v>
      </c>
      <c r="E22" s="355">
        <v>45211</v>
      </c>
      <c r="F22" s="355" t="s">
        <v>73</v>
      </c>
      <c r="G22" s="355" t="s">
        <v>33</v>
      </c>
      <c r="H22" s="353">
        <f>IFERROR(VLOOKUP(G22,Jueces!$A$1:$B$11,2,FALSE),"")</f>
        <v>4</v>
      </c>
      <c r="I22" s="353" t="s">
        <v>793</v>
      </c>
      <c r="J22" s="353" t="s">
        <v>711</v>
      </c>
      <c r="K22" s="353" t="s">
        <v>3195</v>
      </c>
      <c r="Z22" s="112"/>
      <c r="AA22" s="112"/>
      <c r="AB22" s="112"/>
      <c r="AC22" s="112"/>
      <c r="AD22" s="112"/>
      <c r="AE22" s="112"/>
      <c r="AF22" s="112"/>
      <c r="AG22" s="112"/>
    </row>
    <row r="23" spans="1:50" ht="89.25" x14ac:dyDescent="0.2">
      <c r="A23" s="353" t="s">
        <v>3039</v>
      </c>
      <c r="B23" s="354" t="s">
        <v>3040</v>
      </c>
      <c r="C23" s="353">
        <v>8</v>
      </c>
      <c r="D23" s="353" t="s">
        <v>2775</v>
      </c>
      <c r="E23" s="355">
        <v>45205</v>
      </c>
      <c r="F23" s="355" t="s">
        <v>73</v>
      </c>
      <c r="G23" s="355" t="s">
        <v>1220</v>
      </c>
      <c r="H23" s="353">
        <f>IFERROR(VLOOKUP(G23,Jueces!$A$1:$B$11,2,FALSE),"")</f>
        <v>1</v>
      </c>
      <c r="I23" s="353" t="s">
        <v>796</v>
      </c>
      <c r="J23" s="353" t="s">
        <v>1087</v>
      </c>
      <c r="K23" s="353"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3303</v>
      </c>
      <c r="B24" s="82" t="s">
        <v>3304</v>
      </c>
      <c r="C24" s="81">
        <v>1</v>
      </c>
      <c r="D24" s="81" t="s">
        <v>2774</v>
      </c>
      <c r="E24" s="83">
        <v>45222</v>
      </c>
      <c r="F24" s="83" t="s">
        <v>1086</v>
      </c>
      <c r="G24" s="83" t="s">
        <v>33</v>
      </c>
      <c r="H24" s="81">
        <f>IFERROR(VLOOKUP(G24,Jueces!$A$1:$B$11,2,FALSE),"")</f>
        <v>4</v>
      </c>
      <c r="I24" s="81" t="s">
        <v>791</v>
      </c>
      <c r="J24" s="81" t="s">
        <v>3335</v>
      </c>
      <c r="K24" s="81" t="s">
        <v>3480</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3598</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19" t="s">
        <v>732</v>
      </c>
      <c r="I1" s="419"/>
      <c r="J1" s="419"/>
      <c r="K1" s="419"/>
      <c r="L1" s="419"/>
      <c r="M1" s="419"/>
      <c r="N1" s="419"/>
      <c r="O1" s="419"/>
      <c r="P1" s="419"/>
      <c r="Q1" s="419"/>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45227</v>
      </c>
    </row>
    <row r="2" spans="2:3" ht="24.95" customHeight="1" x14ac:dyDescent="0.2">
      <c r="B2" s="418" t="s">
        <v>393</v>
      </c>
      <c r="C2" s="418"/>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18" t="s">
        <v>448</v>
      </c>
      <c r="C14" s="418"/>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18" t="s">
        <v>449</v>
      </c>
      <c r="C26" s="418"/>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Disponibilidad</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2023-10-28T21:44:43Z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