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Disponibilidad" sheetId="4"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04" i="1" l="1"/>
  <c r="T904" i="1"/>
  <c r="P904" i="1"/>
  <c r="O904" i="1"/>
  <c r="K904" i="1"/>
  <c r="R903" i="1"/>
  <c r="T903" i="1"/>
  <c r="P903" i="1"/>
  <c r="O903" i="1"/>
  <c r="K903" i="1"/>
  <c r="R902" i="1"/>
  <c r="T902" i="1"/>
  <c r="P902" i="1"/>
  <c r="O902" i="1"/>
  <c r="K902" i="1"/>
  <c r="R901" i="1"/>
  <c r="T901" i="1"/>
  <c r="P901" i="1"/>
  <c r="O901" i="1"/>
  <c r="K901" i="1"/>
  <c r="R900" i="1"/>
  <c r="T900" i="1"/>
  <c r="P900" i="1"/>
  <c r="O900" i="1"/>
  <c r="K900" i="1"/>
  <c r="K899" i="1"/>
  <c r="R899" i="1"/>
  <c r="T899" i="1"/>
  <c r="P899" i="1"/>
  <c r="O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c r="T892" i="1"/>
  <c r="P892" i="1"/>
  <c r="O892" i="1"/>
  <c r="K892" i="1"/>
  <c r="R891" i="1"/>
  <c r="T891" i="1"/>
  <c r="P891" i="1"/>
  <c r="O891" i="1"/>
  <c r="K891" i="1"/>
  <c r="R890" i="1" l="1"/>
  <c r="T890" i="1"/>
  <c r="P890" i="1"/>
  <c r="O890" i="1"/>
  <c r="K890" i="1"/>
  <c r="R889" i="1"/>
  <c r="T889" i="1"/>
  <c r="P889" i="1"/>
  <c r="O889" i="1"/>
  <c r="K889" i="1"/>
  <c r="R888" i="1"/>
  <c r="T888" i="1"/>
  <c r="P888" i="1"/>
  <c r="O888" i="1"/>
  <c r="K888" i="1"/>
  <c r="R887" i="1"/>
  <c r="T887" i="1"/>
  <c r="P887" i="1"/>
  <c r="O887" i="1"/>
  <c r="K887" i="1"/>
  <c r="R886" i="1"/>
  <c r="T886" i="1"/>
  <c r="P886" i="1"/>
  <c r="O886" i="1"/>
  <c r="K886" i="1"/>
  <c r="R885" i="1"/>
  <c r="T885" i="1"/>
  <c r="P885" i="1"/>
  <c r="O885" i="1"/>
  <c r="K885" i="1"/>
  <c r="K884" i="1"/>
  <c r="R884" i="1"/>
  <c r="T884" i="1"/>
  <c r="P884" i="1"/>
  <c r="O884" i="1"/>
  <c r="R883" i="1"/>
  <c r="T883" i="1"/>
  <c r="P883" i="1"/>
  <c r="O883" i="1"/>
  <c r="K883" i="1"/>
  <c r="R882" i="1"/>
  <c r="T882" i="1"/>
  <c r="P882" i="1"/>
  <c r="O882" i="1"/>
  <c r="K882" i="1"/>
  <c r="R881" i="1"/>
  <c r="T881" i="1"/>
  <c r="P881" i="1"/>
  <c r="O881" i="1"/>
  <c r="K881" i="1"/>
  <c r="R880" i="1"/>
  <c r="T880" i="1"/>
  <c r="P880" i="1"/>
  <c r="O880" i="1"/>
  <c r="K880" i="1"/>
  <c r="R879" i="1"/>
  <c r="T879" i="1"/>
  <c r="P879" i="1"/>
  <c r="O879" i="1"/>
  <c r="K879" i="1"/>
  <c r="R878" i="1"/>
  <c r="T878" i="1"/>
  <c r="P878" i="1"/>
  <c r="O878" i="1"/>
  <c r="K878" i="1"/>
  <c r="R877" i="1"/>
  <c r="T877" i="1"/>
  <c r="P877" i="1"/>
  <c r="O877" i="1"/>
  <c r="R876" i="1"/>
  <c r="T876" i="1"/>
  <c r="P876" i="1"/>
  <c r="O876" i="1"/>
  <c r="K876" i="1"/>
  <c r="R875" i="1"/>
  <c r="T875" i="1"/>
  <c r="P875" i="1"/>
  <c r="O875" i="1"/>
  <c r="R874" i="1"/>
  <c r="T874" i="1"/>
  <c r="P874" i="1"/>
  <c r="O874" i="1"/>
  <c r="K874" i="1"/>
  <c r="R872" i="1" l="1"/>
  <c r="T872" i="1"/>
  <c r="P872" i="1"/>
  <c r="O872" i="1"/>
  <c r="K872" i="1"/>
  <c r="R870" i="1"/>
  <c r="T870" i="1"/>
  <c r="P870" i="1"/>
  <c r="O870" i="1"/>
  <c r="K870" i="1"/>
  <c r="R868" i="1"/>
  <c r="T868" i="1"/>
  <c r="P868" i="1"/>
  <c r="O868" i="1"/>
  <c r="K868" i="1"/>
  <c r="R873" i="1"/>
  <c r="T873" i="1"/>
  <c r="P873" i="1"/>
  <c r="O873" i="1"/>
  <c r="K873" i="1"/>
  <c r="R871" i="1"/>
  <c r="T871" i="1"/>
  <c r="P871" i="1"/>
  <c r="O871" i="1"/>
  <c r="R869" i="1"/>
  <c r="T869" i="1"/>
  <c r="P869" i="1"/>
  <c r="O869" i="1"/>
  <c r="R865" i="1"/>
  <c r="T865" i="1"/>
  <c r="P865" i="1"/>
  <c r="O865" i="1"/>
  <c r="K865" i="1"/>
  <c r="R864" i="1" l="1"/>
  <c r="T864" i="1"/>
  <c r="P864" i="1"/>
  <c r="O864" i="1"/>
  <c r="K864" i="1"/>
  <c r="R862" i="1"/>
  <c r="T862" i="1"/>
  <c r="P862" i="1"/>
  <c r="O862" i="1"/>
  <c r="K862" i="1"/>
  <c r="H25" i="17"/>
  <c r="T867" i="1"/>
  <c r="P867" i="1"/>
  <c r="O867" i="1"/>
  <c r="K867" i="1"/>
  <c r="R866" i="1"/>
  <c r="T866" i="1"/>
  <c r="P866" i="1"/>
  <c r="O866" i="1"/>
  <c r="K866" i="1"/>
  <c r="R863" i="1"/>
  <c r="T863" i="1"/>
  <c r="P863" i="1"/>
  <c r="O863" i="1"/>
  <c r="R861" i="1"/>
  <c r="T861" i="1"/>
  <c r="P861" i="1"/>
  <c r="O861" i="1"/>
  <c r="K861" i="1"/>
  <c r="R860" i="1"/>
  <c r="T860" i="1"/>
  <c r="P860" i="1"/>
  <c r="O860" i="1"/>
  <c r="K860" i="1"/>
  <c r="R859" i="1"/>
  <c r="T859" i="1"/>
  <c r="P859" i="1"/>
  <c r="O859" i="1"/>
  <c r="K859" i="1"/>
  <c r="R858" i="1"/>
  <c r="T858" i="1"/>
  <c r="P858" i="1"/>
  <c r="O858" i="1"/>
  <c r="K858" i="1"/>
  <c r="R857" i="1"/>
  <c r="T857" i="1"/>
  <c r="P857" i="1"/>
  <c r="O857" i="1"/>
  <c r="K857" i="1"/>
  <c r="R856" i="1"/>
  <c r="T856" i="1"/>
  <c r="P856" i="1"/>
  <c r="O856" i="1"/>
  <c r="K856" i="1"/>
  <c r="R855" i="1"/>
  <c r="T855" i="1"/>
  <c r="P855" i="1"/>
  <c r="O855" i="1"/>
  <c r="K855" i="1"/>
  <c r="R854" i="1"/>
  <c r="T854" i="1"/>
  <c r="P854" i="1"/>
  <c r="O854" i="1"/>
  <c r="K854" i="1"/>
  <c r="R853" i="1"/>
  <c r="T853" i="1"/>
  <c r="P853" i="1"/>
  <c r="O853" i="1"/>
  <c r="K853" i="1"/>
  <c r="R852" i="1"/>
  <c r="T852" i="1"/>
  <c r="P852" i="1"/>
  <c r="O852" i="1"/>
  <c r="K852" i="1"/>
  <c r="R851" i="1"/>
  <c r="T851" i="1"/>
  <c r="P851" i="1"/>
  <c r="O851" i="1"/>
  <c r="R849" i="1"/>
  <c r="T849" i="1"/>
  <c r="P849" i="1"/>
  <c r="O849" i="1"/>
  <c r="K849" i="1"/>
  <c r="R850" i="1"/>
  <c r="T850" i="1"/>
  <c r="P850" i="1"/>
  <c r="O850" i="1"/>
  <c r="K850" i="1"/>
  <c r="R848" i="1"/>
  <c r="T848" i="1"/>
  <c r="P848" i="1"/>
  <c r="O848" i="1"/>
  <c r="K848" i="1"/>
  <c r="R847" i="1"/>
  <c r="T847" i="1"/>
  <c r="P847" i="1"/>
  <c r="O847" i="1"/>
  <c r="R846" i="1"/>
  <c r="T846" i="1"/>
  <c r="P846" i="1"/>
  <c r="O846" i="1"/>
  <c r="K846" i="1"/>
  <c r="R845" i="1"/>
  <c r="T845" i="1"/>
  <c r="P845" i="1"/>
  <c r="O845" i="1"/>
  <c r="R844" i="1"/>
  <c r="T844" i="1"/>
  <c r="P844" i="1"/>
  <c r="O844" i="1"/>
  <c r="R843" i="1"/>
  <c r="T843" i="1"/>
  <c r="P843" i="1"/>
  <c r="O843" i="1"/>
  <c r="K843" i="1"/>
  <c r="R842" i="1"/>
  <c r="T842" i="1"/>
  <c r="P842" i="1"/>
  <c r="O842" i="1"/>
  <c r="K842" i="1"/>
  <c r="R841" i="1"/>
  <c r="T841" i="1"/>
  <c r="P841" i="1"/>
  <c r="O841" i="1"/>
  <c r="K841" i="1"/>
  <c r="R840" i="1"/>
  <c r="T840" i="1"/>
  <c r="P840" i="1"/>
  <c r="O840" i="1"/>
  <c r="K840" i="1"/>
  <c r="R839" i="1"/>
  <c r="T839" i="1"/>
  <c r="P839" i="1"/>
  <c r="O839" i="1"/>
  <c r="R838" i="1"/>
  <c r="T838" i="1"/>
  <c r="P838" i="1"/>
  <c r="O838" i="1"/>
  <c r="R836" i="1"/>
  <c r="T836" i="1"/>
  <c r="P836" i="1"/>
  <c r="O836" i="1"/>
  <c r="K836" i="1"/>
  <c r="H24" i="17"/>
  <c r="R837" i="1"/>
  <c r="T837" i="1"/>
  <c r="P837" i="1"/>
  <c r="O837" i="1"/>
  <c r="R835" i="1"/>
  <c r="T835" i="1"/>
  <c r="P835" i="1"/>
  <c r="O835" i="1"/>
  <c r="R834" i="1"/>
  <c r="T834" i="1"/>
  <c r="P834" i="1"/>
  <c r="O834" i="1"/>
  <c r="R833" i="1"/>
  <c r="T833" i="1"/>
  <c r="P833" i="1"/>
  <c r="O833" i="1"/>
  <c r="R832" i="1"/>
  <c r="T832" i="1"/>
  <c r="P832" i="1"/>
  <c r="O832" i="1"/>
  <c r="R831" i="1"/>
  <c r="T831" i="1"/>
  <c r="P831" i="1"/>
  <c r="O831" i="1"/>
  <c r="R830" i="1"/>
  <c r="T830" i="1"/>
  <c r="P830" i="1"/>
  <c r="O830" i="1"/>
  <c r="K830" i="1"/>
  <c r="R829" i="1"/>
  <c r="T829" i="1"/>
  <c r="P829" i="1"/>
  <c r="O829" i="1"/>
  <c r="K829" i="1"/>
  <c r="R828" i="1"/>
  <c r="T828" i="1"/>
  <c r="P828" i="1"/>
  <c r="O828" i="1"/>
  <c r="K828" i="1"/>
  <c r="R827" i="1"/>
  <c r="T827" i="1"/>
  <c r="P827" i="1"/>
  <c r="O827" i="1"/>
  <c r="K827" i="1"/>
  <c r="R826" i="1"/>
  <c r="T826" i="1"/>
  <c r="P826" i="1"/>
  <c r="O826" i="1"/>
  <c r="R825" i="1"/>
  <c r="T825" i="1"/>
  <c r="P825" i="1"/>
  <c r="O825" i="1"/>
  <c r="R824" i="1"/>
  <c r="T824" i="1"/>
  <c r="P824" i="1"/>
  <c r="O824" i="1"/>
  <c r="K824" i="1"/>
  <c r="R823" i="1"/>
  <c r="T823" i="1"/>
  <c r="P823" i="1"/>
  <c r="O823" i="1"/>
  <c r="R822" i="1"/>
  <c r="T822" i="1"/>
  <c r="P822" i="1"/>
  <c r="O822" i="1"/>
  <c r="R821" i="1"/>
  <c r="T821" i="1"/>
  <c r="P821" i="1"/>
  <c r="O821" i="1"/>
  <c r="R820" i="1"/>
  <c r="T820" i="1"/>
  <c r="P820" i="1"/>
  <c r="O820" i="1"/>
  <c r="K820" i="1"/>
  <c r="R819" i="1"/>
  <c r="T819" i="1"/>
  <c r="P819" i="1"/>
  <c r="O819" i="1"/>
  <c r="K819" i="1"/>
  <c r="R818" i="1"/>
  <c r="T818" i="1"/>
  <c r="P818" i="1"/>
  <c r="O818" i="1"/>
  <c r="K818" i="1"/>
  <c r="R817" i="1"/>
  <c r="T817" i="1"/>
  <c r="P817" i="1"/>
  <c r="O817" i="1"/>
  <c r="K817" i="1"/>
  <c r="R816" i="1"/>
  <c r="T816" i="1"/>
  <c r="P816" i="1"/>
  <c r="O816" i="1"/>
  <c r="K816" i="1"/>
  <c r="R815" i="1"/>
  <c r="T815" i="1"/>
  <c r="P815" i="1"/>
  <c r="O815" i="1"/>
  <c r="R814" i="1"/>
  <c r="T814" i="1"/>
  <c r="P814" i="1"/>
  <c r="O814" i="1"/>
  <c r="K814" i="1"/>
  <c r="R813" i="1"/>
  <c r="T813" i="1"/>
  <c r="P813" i="1"/>
  <c r="O813" i="1"/>
  <c r="R812" i="1"/>
  <c r="T812" i="1"/>
  <c r="P812" i="1"/>
  <c r="O812" i="1"/>
  <c r="K812" i="1"/>
  <c r="R811" i="1"/>
  <c r="T811" i="1"/>
  <c r="P811" i="1"/>
  <c r="O811" i="1"/>
  <c r="K811" i="1"/>
  <c r="R810" i="1"/>
  <c r="T810" i="1"/>
  <c r="P810" i="1"/>
  <c r="O810" i="1"/>
  <c r="K810" i="1"/>
  <c r="R809" i="1"/>
  <c r="T809" i="1"/>
  <c r="P809" i="1"/>
  <c r="O809" i="1"/>
  <c r="K809" i="1"/>
  <c r="R808" i="1"/>
  <c r="T808" i="1"/>
  <c r="P808" i="1"/>
  <c r="O808" i="1"/>
  <c r="K808" i="1"/>
  <c r="R807" i="1"/>
  <c r="T807" i="1"/>
  <c r="P807" i="1"/>
  <c r="O807" i="1"/>
  <c r="R806" i="1"/>
  <c r="T806" i="1"/>
  <c r="P806" i="1"/>
  <c r="O806" i="1"/>
  <c r="R805" i="1"/>
  <c r="T805" i="1"/>
  <c r="P805" i="1"/>
  <c r="O805" i="1"/>
  <c r="K805" i="1"/>
  <c r="R804" i="1"/>
  <c r="T804" i="1"/>
  <c r="P804" i="1"/>
  <c r="O804" i="1"/>
  <c r="K804" i="1"/>
  <c r="R803" i="1"/>
  <c r="T803" i="1"/>
  <c r="P803" i="1"/>
  <c r="O803" i="1"/>
  <c r="K803" i="1"/>
  <c r="R802" i="1"/>
  <c r="T802" i="1"/>
  <c r="P802" i="1"/>
  <c r="O802" i="1"/>
  <c r="K802" i="1"/>
  <c r="R801" i="1"/>
  <c r="T801" i="1"/>
  <c r="P801" i="1"/>
  <c r="O801" i="1"/>
  <c r="R800" i="1"/>
  <c r="T800" i="1"/>
  <c r="P800" i="1"/>
  <c r="O800" i="1"/>
  <c r="K800" i="1"/>
  <c r="R799" i="1"/>
  <c r="T799" i="1"/>
  <c r="P799" i="1"/>
  <c r="O799" i="1"/>
  <c r="R798" i="1"/>
  <c r="T798" i="1"/>
  <c r="P798" i="1"/>
  <c r="O798" i="1"/>
  <c r="K798" i="1"/>
  <c r="R797" i="1"/>
  <c r="T797" i="1"/>
  <c r="P797" i="1"/>
  <c r="O797" i="1"/>
  <c r="R796" i="1"/>
  <c r="T796" i="1"/>
  <c r="P796" i="1"/>
  <c r="O796" i="1"/>
  <c r="K796" i="1"/>
  <c r="R795" i="1"/>
  <c r="T795" i="1"/>
  <c r="P795" i="1"/>
  <c r="O795" i="1"/>
  <c r="K795" i="1"/>
  <c r="R794" i="1"/>
  <c r="T794" i="1"/>
  <c r="P794" i="1"/>
  <c r="O794" i="1"/>
  <c r="R793" i="1"/>
  <c r="T793" i="1"/>
  <c r="P793" i="1"/>
  <c r="O793" i="1"/>
  <c r="R792" i="1"/>
  <c r="T792" i="1"/>
  <c r="P792" i="1"/>
  <c r="O792" i="1"/>
  <c r="K792" i="1"/>
  <c r="T791" i="1"/>
  <c r="P791" i="1"/>
  <c r="O791" i="1"/>
  <c r="K791" i="1"/>
  <c r="R790" i="1"/>
  <c r="T790" i="1"/>
  <c r="P790" i="1"/>
  <c r="O790" i="1"/>
  <c r="K790" i="1"/>
  <c r="R789" i="1"/>
  <c r="T789" i="1"/>
  <c r="P789" i="1"/>
  <c r="O789" i="1"/>
  <c r="R788" i="1"/>
  <c r="T788" i="1"/>
  <c r="P788" i="1"/>
  <c r="O788" i="1"/>
  <c r="K788" i="1"/>
  <c r="R787" i="1"/>
  <c r="T787" i="1"/>
  <c r="P787" i="1"/>
  <c r="O787" i="1"/>
  <c r="K787" i="1"/>
  <c r="R786" i="1"/>
  <c r="T786" i="1"/>
  <c r="P786" i="1"/>
  <c r="O786" i="1"/>
  <c r="K786" i="1"/>
  <c r="R785" i="1"/>
  <c r="T785" i="1"/>
  <c r="P785" i="1"/>
  <c r="O785" i="1"/>
  <c r="R784" i="1"/>
  <c r="T784" i="1"/>
  <c r="P784" i="1"/>
  <c r="O784" i="1"/>
  <c r="K784" i="1"/>
  <c r="R783" i="1"/>
  <c r="T783" i="1"/>
  <c r="P783" i="1"/>
  <c r="O783" i="1"/>
  <c r="R782" i="1"/>
  <c r="T782" i="1"/>
  <c r="P782" i="1"/>
  <c r="O782" i="1"/>
  <c r="K782" i="1"/>
  <c r="R781" i="1"/>
  <c r="T781" i="1"/>
  <c r="P781" i="1"/>
  <c r="O781" i="1"/>
  <c r="R780" i="1"/>
  <c r="T780" i="1"/>
  <c r="P780" i="1"/>
  <c r="O780" i="1"/>
  <c r="R779" i="1"/>
  <c r="T779" i="1"/>
  <c r="P779" i="1"/>
  <c r="O779" i="1"/>
  <c r="K779" i="1"/>
  <c r="R778" i="1"/>
  <c r="T778" i="1"/>
  <c r="P778" i="1"/>
  <c r="O778" i="1"/>
  <c r="R777" i="1"/>
  <c r="T777" i="1"/>
  <c r="P777" i="1"/>
  <c r="O777" i="1"/>
  <c r="K777" i="1"/>
  <c r="R776" i="1" l="1"/>
  <c r="T776" i="1"/>
  <c r="P776" i="1"/>
  <c r="O776" i="1"/>
  <c r="R775" i="1"/>
  <c r="T775" i="1"/>
  <c r="P775" i="1"/>
  <c r="O775" i="1"/>
  <c r="K775" i="1"/>
  <c r="R774" i="1"/>
  <c r="T774" i="1"/>
  <c r="P774" i="1"/>
  <c r="O774" i="1"/>
  <c r="R773" i="1"/>
  <c r="T773" i="1"/>
  <c r="P773" i="1"/>
  <c r="O773" i="1"/>
  <c r="R772" i="1"/>
  <c r="T772" i="1"/>
  <c r="P772" i="1"/>
  <c r="O772" i="1"/>
  <c r="K772" i="1"/>
  <c r="R771" i="1"/>
  <c r="T771" i="1"/>
  <c r="P771" i="1"/>
  <c r="O771" i="1"/>
  <c r="R770" i="1"/>
  <c r="T770" i="1"/>
  <c r="P770" i="1"/>
  <c r="O770" i="1"/>
  <c r="H23" i="17" l="1"/>
  <c r="R765" i="1"/>
  <c r="T765" i="1"/>
  <c r="P765" i="1"/>
  <c r="O765" i="1"/>
  <c r="K765" i="1"/>
  <c r="R764" i="1"/>
  <c r="T764" i="1"/>
  <c r="P764" i="1"/>
  <c r="O764" i="1"/>
  <c r="R763" i="1"/>
  <c r="T763" i="1"/>
  <c r="P763" i="1"/>
  <c r="O763" i="1"/>
  <c r="K763" i="1"/>
  <c r="R762" i="1"/>
  <c r="T762" i="1"/>
  <c r="P762" i="1"/>
  <c r="O762" i="1"/>
  <c r="K762" i="1"/>
  <c r="R581" i="1"/>
  <c r="R761" i="1"/>
  <c r="T761" i="1"/>
  <c r="P761" i="1"/>
  <c r="O761" i="1"/>
  <c r="K761" i="1"/>
  <c r="T760" i="1"/>
  <c r="P760" i="1"/>
  <c r="O760" i="1"/>
  <c r="R759" i="1"/>
  <c r="T759" i="1"/>
  <c r="P759" i="1"/>
  <c r="O759" i="1"/>
  <c r="R758" i="1"/>
  <c r="T758" i="1"/>
  <c r="P758" i="1"/>
  <c r="O758" i="1"/>
  <c r="K758" i="1"/>
  <c r="R757" i="1"/>
  <c r="T757" i="1"/>
  <c r="P757" i="1"/>
  <c r="O757" i="1"/>
  <c r="K757" i="1"/>
  <c r="H22" i="17"/>
  <c r="R769" i="1" l="1"/>
  <c r="T769" i="1"/>
  <c r="P769" i="1"/>
  <c r="O769" i="1"/>
  <c r="R768" i="1"/>
  <c r="T768" i="1"/>
  <c r="P768" i="1"/>
  <c r="O768" i="1"/>
  <c r="T767" i="1"/>
  <c r="P767" i="1"/>
  <c r="O767" i="1"/>
  <c r="B16" i="24"/>
  <c r="R766" i="1"/>
  <c r="T766" i="1"/>
  <c r="P766" i="1"/>
  <c r="O766" i="1"/>
  <c r="K766" i="1"/>
  <c r="R756" i="1"/>
  <c r="T756" i="1"/>
  <c r="P756" i="1"/>
  <c r="O756" i="1"/>
  <c r="B15" i="24" s="1"/>
  <c r="R755" i="1"/>
  <c r="T755" i="1"/>
  <c r="P755" i="1"/>
  <c r="O755" i="1"/>
  <c r="K755" i="1"/>
  <c r="R754" i="1"/>
  <c r="T754" i="1"/>
  <c r="P754" i="1"/>
  <c r="O754" i="1"/>
  <c r="R753" i="1"/>
  <c r="T753" i="1"/>
  <c r="P753" i="1"/>
  <c r="O753" i="1"/>
  <c r="R752" i="1"/>
  <c r="T752" i="1"/>
  <c r="P752" i="1"/>
  <c r="O752" i="1"/>
  <c r="R751" i="1"/>
  <c r="T751" i="1"/>
  <c r="P751" i="1"/>
  <c r="O751" i="1"/>
  <c r="R750" i="1"/>
  <c r="T750" i="1"/>
  <c r="P750" i="1"/>
  <c r="O750" i="1"/>
  <c r="R749" i="1"/>
  <c r="T749" i="1"/>
  <c r="P749" i="1"/>
  <c r="O749" i="1"/>
  <c r="K749" i="1"/>
  <c r="R748" i="1"/>
  <c r="T748" i="1"/>
  <c r="P748" i="1"/>
  <c r="O748" i="1"/>
  <c r="R747" i="1"/>
  <c r="T747" i="1"/>
  <c r="P747" i="1"/>
  <c r="O747" i="1"/>
  <c r="K747" i="1"/>
  <c r="R746" i="1"/>
  <c r="T746" i="1"/>
  <c r="P746" i="1"/>
  <c r="O746" i="1"/>
  <c r="R745" i="1"/>
  <c r="T745" i="1"/>
  <c r="P745" i="1"/>
  <c r="O745" i="1"/>
  <c r="T744" i="1"/>
  <c r="P744" i="1"/>
  <c r="O744" i="1"/>
  <c r="R743" i="1"/>
  <c r="T743" i="1"/>
  <c r="P743" i="1"/>
  <c r="O743" i="1"/>
  <c r="K743" i="1"/>
  <c r="R742" i="1"/>
  <c r="T742" i="1"/>
  <c r="P742" i="1"/>
  <c r="O742" i="1"/>
  <c r="R741" i="1"/>
  <c r="T741" i="1"/>
  <c r="P741" i="1"/>
  <c r="O741" i="1"/>
  <c r="R740" i="1" l="1"/>
  <c r="T740" i="1"/>
  <c r="P740" i="1"/>
  <c r="O740" i="1"/>
  <c r="R739" i="1"/>
  <c r="T739" i="1"/>
  <c r="P739" i="1"/>
  <c r="O739" i="1"/>
  <c r="R738" i="1"/>
  <c r="T738" i="1"/>
  <c r="P738" i="1"/>
  <c r="O738" i="1"/>
  <c r="K738" i="1"/>
  <c r="R737" i="1"/>
  <c r="T737" i="1"/>
  <c r="P737" i="1"/>
  <c r="O737"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6" i="1"/>
  <c r="P736" i="1"/>
  <c r="O736" i="1"/>
  <c r="K736" i="1"/>
  <c r="R735" i="1"/>
  <c r="T735" i="1"/>
  <c r="P735" i="1"/>
  <c r="O735" i="1"/>
  <c r="AQ61" i="24"/>
  <c r="AQ40" i="24"/>
  <c r="AQ20" i="24"/>
  <c r="F12" i="6"/>
  <c r="F11" i="6"/>
  <c r="R734" i="1"/>
  <c r="P734" i="1"/>
  <c r="O734" i="1"/>
  <c r="K734" i="1"/>
  <c r="R733" i="1" l="1"/>
  <c r="T733" i="1"/>
  <c r="P733" i="1"/>
  <c r="O733" i="1"/>
  <c r="K733" i="1"/>
  <c r="R732" i="1"/>
  <c r="T732" i="1"/>
  <c r="P732" i="1"/>
  <c r="O732" i="1"/>
  <c r="K732" i="1"/>
  <c r="R731" i="1"/>
  <c r="T731" i="1"/>
  <c r="P731" i="1"/>
  <c r="O731" i="1"/>
  <c r="K731" i="1"/>
  <c r="R730" i="1"/>
  <c r="T730" i="1"/>
  <c r="P730" i="1"/>
  <c r="O730" i="1"/>
  <c r="K730" i="1"/>
  <c r="R729" i="1"/>
  <c r="T729" i="1"/>
  <c r="P729" i="1"/>
  <c r="O729" i="1"/>
  <c r="R728" i="1"/>
  <c r="T728" i="1"/>
  <c r="P728" i="1"/>
  <c r="O728" i="1"/>
  <c r="R727" i="1"/>
  <c r="T727" i="1"/>
  <c r="P727" i="1"/>
  <c r="O727" i="1"/>
  <c r="R726" i="1"/>
  <c r="T726" i="1"/>
  <c r="P726" i="1"/>
  <c r="O726" i="1"/>
  <c r="K726" i="1"/>
  <c r="R725" i="1"/>
  <c r="T725" i="1"/>
  <c r="P725" i="1"/>
  <c r="O725" i="1"/>
  <c r="K725" i="1"/>
  <c r="R724" i="1"/>
  <c r="T724" i="1"/>
  <c r="P724" i="1"/>
  <c r="O724" i="1"/>
  <c r="K724" i="1"/>
  <c r="R723" i="1"/>
  <c r="T723" i="1"/>
  <c r="P723" i="1"/>
  <c r="O723" i="1"/>
  <c r="R722" i="1"/>
  <c r="T722" i="1"/>
  <c r="P722" i="1"/>
  <c r="O722" i="1"/>
  <c r="K722" i="1"/>
  <c r="R721" i="1"/>
  <c r="T721" i="1"/>
  <c r="P721" i="1"/>
  <c r="O721" i="1"/>
  <c r="K721" i="1"/>
  <c r="T720" i="1"/>
  <c r="P720" i="1"/>
  <c r="O720" i="1"/>
  <c r="K720" i="1"/>
  <c r="R719" i="1"/>
  <c r="T719" i="1"/>
  <c r="P719" i="1"/>
  <c r="O719" i="1"/>
  <c r="K719" i="1"/>
  <c r="R718" i="1"/>
  <c r="T718" i="1"/>
  <c r="P718" i="1"/>
  <c r="O718" i="1"/>
  <c r="R717" i="1"/>
  <c r="T717" i="1"/>
  <c r="P717" i="1"/>
  <c r="O717" i="1"/>
  <c r="K717" i="1"/>
  <c r="R716" i="1" l="1"/>
  <c r="T716" i="1"/>
  <c r="P716" i="1"/>
  <c r="O716" i="1"/>
  <c r="T715" i="1"/>
  <c r="P715" i="1"/>
  <c r="O715" i="1"/>
  <c r="R714" i="1"/>
  <c r="T714" i="1"/>
  <c r="P714" i="1"/>
  <c r="O714" i="1"/>
  <c r="K714" i="1"/>
  <c r="R713" i="1"/>
  <c r="T713" i="1"/>
  <c r="P713" i="1"/>
  <c r="O713" i="1"/>
  <c r="R712" i="1"/>
  <c r="T712" i="1"/>
  <c r="P712" i="1"/>
  <c r="O712" i="1"/>
  <c r="K712" i="1"/>
  <c r="R711" i="1"/>
  <c r="T711" i="1"/>
  <c r="P711" i="1"/>
  <c r="O711" i="1"/>
  <c r="K711" i="1"/>
  <c r="R710" i="1"/>
  <c r="T710" i="1"/>
  <c r="P710" i="1"/>
  <c r="O710" i="1"/>
  <c r="R709" i="1"/>
  <c r="T709" i="1"/>
  <c r="P709" i="1"/>
  <c r="O709" i="1"/>
  <c r="K709" i="1"/>
  <c r="R708" i="1"/>
  <c r="T708" i="1"/>
  <c r="P708" i="1"/>
  <c r="O708" i="1"/>
  <c r="R707" i="1"/>
  <c r="T707" i="1"/>
  <c r="P707" i="1"/>
  <c r="O707" i="1"/>
  <c r="K707" i="1"/>
  <c r="R706" i="1"/>
  <c r="T706" i="1"/>
  <c r="P706" i="1"/>
  <c r="O706" i="1"/>
  <c r="R705" i="1"/>
  <c r="T705" i="1"/>
  <c r="P705" i="1"/>
  <c r="O705" i="1"/>
  <c r="R704" i="1"/>
  <c r="T704" i="1"/>
  <c r="P704" i="1"/>
  <c r="O704" i="1"/>
  <c r="K704" i="1"/>
  <c r="R703" i="1"/>
  <c r="T703" i="1"/>
  <c r="P703" i="1"/>
  <c r="O703" i="1"/>
  <c r="T702" i="1"/>
  <c r="P702" i="1"/>
  <c r="O702" i="1"/>
  <c r="K702" i="1"/>
  <c r="R701" i="1"/>
  <c r="T701" i="1"/>
  <c r="P701" i="1"/>
  <c r="O701" i="1"/>
  <c r="R700" i="1"/>
  <c r="T700" i="1"/>
  <c r="P700" i="1"/>
  <c r="O700" i="1"/>
  <c r="AQ44" i="3"/>
  <c r="AN44" i="3"/>
  <c r="AK44" i="3"/>
  <c r="AH44" i="3"/>
  <c r="AE44" i="3"/>
  <c r="R699" i="1"/>
  <c r="T699" i="1"/>
  <c r="P699" i="1"/>
  <c r="O699" i="1"/>
  <c r="K699" i="1"/>
  <c r="R698" i="1"/>
  <c r="T698" i="1"/>
  <c r="P698" i="1"/>
  <c r="O698" i="1"/>
  <c r="R697" i="1"/>
  <c r="T697" i="1"/>
  <c r="P697" i="1"/>
  <c r="O697" i="1"/>
  <c r="R696" i="1"/>
  <c r="T696" i="1"/>
  <c r="P696" i="1"/>
  <c r="O696" i="1"/>
  <c r="R695" i="1"/>
  <c r="T695" i="1"/>
  <c r="P695" i="1"/>
  <c r="O695" i="1"/>
  <c r="K695" i="1"/>
  <c r="R694" i="1"/>
  <c r="T694" i="1"/>
  <c r="P694" i="1"/>
  <c r="O694" i="1"/>
  <c r="K694" i="1"/>
  <c r="R693" i="1"/>
  <c r="T693" i="1"/>
  <c r="P693" i="1"/>
  <c r="O693" i="1"/>
  <c r="K693"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2" i="1" l="1"/>
  <c r="T692" i="1"/>
  <c r="P692" i="1"/>
  <c r="O692" i="1"/>
  <c r="R691" i="1"/>
  <c r="T691" i="1"/>
  <c r="P691" i="1"/>
  <c r="O691" i="1"/>
  <c r="K691" i="1"/>
  <c r="R690" i="1"/>
  <c r="T690" i="1"/>
  <c r="P690" i="1"/>
  <c r="O690" i="1"/>
  <c r="K690" i="1"/>
  <c r="R689" i="1"/>
  <c r="T689" i="1"/>
  <c r="P689" i="1"/>
  <c r="O689" i="1"/>
  <c r="R688" i="1"/>
  <c r="T688" i="1"/>
  <c r="P688" i="1"/>
  <c r="O688" i="1"/>
  <c r="R687" i="1"/>
  <c r="T687" i="1"/>
  <c r="P687" i="1"/>
  <c r="O687" i="1"/>
  <c r="R686" i="1"/>
  <c r="T686" i="1"/>
  <c r="P686" i="1"/>
  <c r="O686" i="1"/>
  <c r="K686" i="1"/>
  <c r="R685" i="1"/>
  <c r="T685" i="1"/>
  <c r="P685" i="1"/>
  <c r="O685" i="1"/>
  <c r="K685" i="1"/>
  <c r="R684" i="1"/>
  <c r="T684" i="1"/>
  <c r="P684" i="1"/>
  <c r="O684" i="1"/>
  <c r="K684" i="1"/>
  <c r="R683" i="1"/>
  <c r="T683" i="1"/>
  <c r="P683" i="1"/>
  <c r="O683" i="1"/>
  <c r="K683" i="1"/>
  <c r="R682" i="1"/>
  <c r="T682" i="1"/>
  <c r="P682" i="1"/>
  <c r="O682" i="1"/>
  <c r="R681" i="1"/>
  <c r="T681" i="1"/>
  <c r="P681" i="1"/>
  <c r="O681" i="1"/>
  <c r="K681" i="1"/>
  <c r="R680" i="1"/>
  <c r="T680" i="1"/>
  <c r="P680" i="1"/>
  <c r="O680" i="1"/>
  <c r="R679" i="1"/>
  <c r="T679" i="1"/>
  <c r="P679" i="1"/>
  <c r="O679" i="1"/>
  <c r="R678" i="1"/>
  <c r="T678" i="1"/>
  <c r="P678" i="1"/>
  <c r="O678" i="1"/>
  <c r="K678" i="1"/>
  <c r="R677" i="1"/>
  <c r="T677" i="1"/>
  <c r="P677" i="1"/>
  <c r="O677" i="1"/>
  <c r="K677" i="1"/>
  <c r="R676" i="1"/>
  <c r="T676" i="1"/>
  <c r="P676" i="1"/>
  <c r="O676" i="1"/>
  <c r="K676" i="1"/>
  <c r="R675" i="1"/>
  <c r="T675" i="1"/>
  <c r="P675" i="1"/>
  <c r="O675" i="1"/>
  <c r="K675" i="1"/>
  <c r="H21" i="17"/>
  <c r="R674" i="1"/>
  <c r="T674" i="1"/>
  <c r="P674" i="1"/>
  <c r="O674" i="1"/>
  <c r="T673" i="1"/>
  <c r="P673" i="1"/>
  <c r="O673" i="1"/>
  <c r="K673" i="1"/>
  <c r="R672" i="1"/>
  <c r="T672" i="1"/>
  <c r="P672" i="1"/>
  <c r="O672" i="1"/>
  <c r="K672" i="1"/>
  <c r="R671" i="1"/>
  <c r="T671" i="1"/>
  <c r="P671" i="1"/>
  <c r="O671" i="1"/>
  <c r="K671" i="1"/>
  <c r="R670" i="1"/>
  <c r="T670" i="1"/>
  <c r="P670" i="1"/>
  <c r="O670" i="1"/>
  <c r="K670" i="1"/>
  <c r="R669" i="1"/>
  <c r="T669" i="1"/>
  <c r="P669" i="1"/>
  <c r="O669" i="1"/>
  <c r="K669" i="1"/>
  <c r="R668" i="1"/>
  <c r="T668" i="1"/>
  <c r="P668" i="1"/>
  <c r="O668" i="1"/>
  <c r="K668" i="1"/>
  <c r="K596" i="1"/>
  <c r="R667" i="1"/>
  <c r="T667" i="1"/>
  <c r="P667" i="1"/>
  <c r="O667" i="1"/>
  <c r="R666" i="1"/>
  <c r="T666" i="1"/>
  <c r="P666" i="1"/>
  <c r="O666" i="1"/>
  <c r="K666" i="1"/>
  <c r="K600" i="1"/>
  <c r="R665" i="1"/>
  <c r="T665" i="1"/>
  <c r="P665" i="1"/>
  <c r="O665" i="1"/>
  <c r="R664" i="1"/>
  <c r="T664" i="1"/>
  <c r="P664" i="1"/>
  <c r="O664" i="1"/>
  <c r="K664" i="1"/>
  <c r="R606" i="1"/>
  <c r="R663" i="1"/>
  <c r="T663" i="1"/>
  <c r="P663" i="1"/>
  <c r="O663" i="1"/>
  <c r="R662" i="1"/>
  <c r="T662" i="1"/>
  <c r="P662" i="1"/>
  <c r="O662" i="1"/>
  <c r="K662" i="1"/>
  <c r="R661" i="1"/>
  <c r="T661" i="1"/>
  <c r="P661" i="1"/>
  <c r="O661" i="1"/>
  <c r="K661" i="1"/>
  <c r="R660" i="1"/>
  <c r="T660" i="1"/>
  <c r="P660" i="1"/>
  <c r="O660" i="1"/>
  <c r="R659" i="1"/>
  <c r="T659" i="1"/>
  <c r="P659" i="1"/>
  <c r="O659" i="1"/>
  <c r="K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R642" i="1"/>
  <c r="T642" i="1"/>
  <c r="P642" i="1"/>
  <c r="O642" i="1"/>
  <c r="R640" i="1"/>
  <c r="T640" i="1"/>
  <c r="P640" i="1"/>
  <c r="O640" i="1"/>
  <c r="K640" i="1"/>
  <c r="H20" i="17"/>
  <c r="R641" i="1"/>
  <c r="T641" i="1"/>
  <c r="P641" i="1"/>
  <c r="O641" i="1"/>
  <c r="K641" i="1"/>
  <c r="R639" i="1"/>
  <c r="T639" i="1"/>
  <c r="P639" i="1"/>
  <c r="O639" i="1"/>
  <c r="R638" i="1"/>
  <c r="T638" i="1"/>
  <c r="P638" i="1"/>
  <c r="O638" i="1"/>
  <c r="K638" i="1"/>
  <c r="T637" i="1"/>
  <c r="P637" i="1"/>
  <c r="O637" i="1"/>
  <c r="K637" i="1"/>
  <c r="R636" i="1"/>
  <c r="T636" i="1"/>
  <c r="P636" i="1"/>
  <c r="O636" i="1"/>
  <c r="R635" i="1"/>
  <c r="T635" i="1"/>
  <c r="P635" i="1"/>
  <c r="O635" i="1"/>
  <c r="K635" i="1"/>
  <c r="R634" i="1"/>
  <c r="T634" i="1"/>
  <c r="P634" i="1"/>
  <c r="O634" i="1"/>
  <c r="R633" i="1"/>
  <c r="T633" i="1"/>
  <c r="P633" i="1"/>
  <c r="O633" i="1"/>
  <c r="R632" i="1"/>
  <c r="T632" i="1"/>
  <c r="P632" i="1"/>
  <c r="O632" i="1"/>
  <c r="K632" i="1"/>
  <c r="R631" i="1"/>
  <c r="T631" i="1"/>
  <c r="P631" i="1"/>
  <c r="O631" i="1"/>
  <c r="R630" i="1"/>
  <c r="T630" i="1"/>
  <c r="P630" i="1"/>
  <c r="O630" i="1"/>
  <c r="K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R623" i="1"/>
  <c r="T623" i="1"/>
  <c r="P623" i="1"/>
  <c r="O623" i="1"/>
  <c r="K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R614" i="1"/>
  <c r="T614" i="1"/>
  <c r="P614" i="1"/>
  <c r="O614" i="1"/>
  <c r="K614" i="1"/>
  <c r="R613" i="1"/>
  <c r="T613" i="1"/>
  <c r="P613" i="1"/>
  <c r="O613" i="1"/>
  <c r="K613" i="1"/>
  <c r="R612" i="1"/>
  <c r="T612" i="1"/>
  <c r="P612" i="1"/>
  <c r="O612" i="1"/>
  <c r="K612" i="1"/>
  <c r="R611" i="1"/>
  <c r="T611" i="1"/>
  <c r="P611" i="1"/>
  <c r="O611" i="1"/>
  <c r="K611" i="1"/>
  <c r="R610" i="1"/>
  <c r="T610" i="1"/>
  <c r="P610" i="1"/>
  <c r="O610" i="1"/>
  <c r="K610" i="1"/>
  <c r="R609" i="1"/>
  <c r="T609" i="1"/>
  <c r="P609" i="1"/>
  <c r="O609" i="1"/>
  <c r="K609" i="1"/>
  <c r="E1" i="1"/>
  <c r="H19" i="17"/>
  <c r="H18" i="17"/>
  <c r="R608" i="1"/>
  <c r="T608" i="1"/>
  <c r="P608" i="1"/>
  <c r="O608" i="1"/>
  <c r="R607" i="1"/>
  <c r="T607" i="1"/>
  <c r="P607" i="1"/>
  <c r="O607" i="1"/>
  <c r="K607" i="1"/>
  <c r="T606" i="1"/>
  <c r="P606" i="1"/>
  <c r="O606" i="1"/>
  <c r="R605" i="1"/>
  <c r="T605" i="1"/>
  <c r="P605" i="1"/>
  <c r="O605" i="1"/>
  <c r="R604" i="1"/>
  <c r="T604" i="1"/>
  <c r="P604" i="1"/>
  <c r="O604" i="1"/>
  <c r="R603" i="1"/>
  <c r="T603" i="1"/>
  <c r="P603" i="1"/>
  <c r="O603" i="1"/>
  <c r="K603" i="1"/>
  <c r="R602" i="1"/>
  <c r="T602" i="1"/>
  <c r="P602" i="1"/>
  <c r="O602" i="1"/>
  <c r="K602" i="1"/>
  <c r="R601" i="1"/>
  <c r="T601" i="1"/>
  <c r="P601" i="1"/>
  <c r="O601" i="1"/>
  <c r="R530" i="1"/>
  <c r="R600" i="1"/>
  <c r="T600" i="1"/>
  <c r="P600" i="1"/>
  <c r="O600" i="1"/>
  <c r="R599" i="1"/>
  <c r="T599" i="1"/>
  <c r="P599" i="1"/>
  <c r="O599" i="1"/>
  <c r="K599" i="1"/>
  <c r="R598" i="1"/>
  <c r="T598" i="1"/>
  <c r="P598" i="1"/>
  <c r="O598" i="1"/>
  <c r="K598" i="1"/>
  <c r="R597" i="1"/>
  <c r="T597" i="1"/>
  <c r="P597" i="1"/>
  <c r="O597" i="1"/>
  <c r="K597" i="1"/>
  <c r="R596" i="1"/>
  <c r="T596" i="1"/>
  <c r="P596" i="1"/>
  <c r="O596" i="1"/>
  <c r="R595" i="1"/>
  <c r="T595" i="1"/>
  <c r="P595" i="1"/>
  <c r="O595" i="1"/>
  <c r="K595" i="1"/>
  <c r="R594" i="1"/>
  <c r="T594" i="1"/>
  <c r="P594" i="1"/>
  <c r="O594" i="1"/>
  <c r="K594" i="1"/>
  <c r="R593" i="1"/>
  <c r="T593" i="1"/>
  <c r="P593" i="1"/>
  <c r="O593" i="1"/>
  <c r="K593" i="1"/>
  <c r="R592" i="1"/>
  <c r="T592" i="1"/>
  <c r="P592" i="1"/>
  <c r="O592" i="1"/>
  <c r="K592" i="1"/>
  <c r="R591" i="1"/>
  <c r="T591" i="1"/>
  <c r="P591" i="1"/>
  <c r="O591" i="1"/>
  <c r="K591" i="1"/>
  <c r="R590" i="1"/>
  <c r="T590" i="1"/>
  <c r="P590" i="1"/>
  <c r="O590" i="1"/>
  <c r="R561" i="1"/>
  <c r="R589" i="1"/>
  <c r="T589" i="1"/>
  <c r="P589" i="1"/>
  <c r="O589" i="1"/>
  <c r="R588" i="1"/>
  <c r="T588" i="1"/>
  <c r="P588" i="1"/>
  <c r="O588" i="1"/>
  <c r="K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B14" i="24" l="1"/>
  <c r="B13" i="24"/>
  <c r="F64" i="6"/>
  <c r="F63" i="6"/>
  <c r="F36" i="6"/>
  <c r="F37" i="6"/>
  <c r="C13" i="9"/>
  <c r="C15" i="9"/>
  <c r="C12" i="9"/>
  <c r="C14"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B12" i="24" l="1"/>
  <c r="AQ59" i="24"/>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B11" i="24"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7" i="1"/>
  <c r="R139" i="1"/>
  <c r="R138"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B10" i="24" l="1"/>
  <c r="B9" i="24"/>
  <c r="B8" i="24"/>
  <c r="B7" i="24"/>
  <c r="B6" i="24"/>
  <c r="AQ13" i="24"/>
  <c r="AQ55" i="24"/>
  <c r="AQ52" i="24"/>
  <c r="AQ10" i="24"/>
  <c r="B1" i="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B17" i="24" l="1"/>
  <c r="C64" i="6"/>
  <c r="C37" i="6"/>
  <c r="AQ32" i="24"/>
  <c r="AQ36" i="24" s="1"/>
  <c r="AQ15" i="24"/>
  <c r="AQ76" i="24"/>
  <c r="AQ60" i="24"/>
  <c r="C47" i="9"/>
  <c r="C17" i="9"/>
  <c r="B21" i="23"/>
  <c r="A20" i="23"/>
  <c r="C35" i="20"/>
  <c r="C12" i="20"/>
  <c r="P156" i="1"/>
  <c r="B22" i="23" l="1"/>
  <c r="A21" i="23"/>
  <c r="P12" i="17"/>
  <c r="O12" i="17"/>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<sst xmlns="http://schemas.openxmlformats.org/spreadsheetml/2006/main" count="17672" uniqueCount="3727">
  <si>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</si>
  <si>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</si>
  <si>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</si>
  <si>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</si>
  <si>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</si>
  <si>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</si>
  <si>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</si>
  <si>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</si>
  <si>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</si>
  <si>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</si>
  <si>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</si>
  <si>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</si>
  <si>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</si>
  <si>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</si>
  <si>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</si>
  <si>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</si>
  <si>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</si>
  <si>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</si>
  <si>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</si>
  <si>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</si>
  <si>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</si>
  <si>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</si>
  <si>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</si>
  <si>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</si>
  <si>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</si>
  <si>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</si>
  <si>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</si>
  <si>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</si>
  <si>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</si>
  <si>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</si>
  <si>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</si>
  <si>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</si>
  <si>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</si>
  <si>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</si>
  <si>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</si>
  <si>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</si>
  <si>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</si>
  <si>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</si>
  <si>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</si>
  <si>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</si>
  <si>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</si>
  <si>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</si>
  <si>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</si>
  <si>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</si>
  <si>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</si>
  <si>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</si>
  <si>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</si>
  <si>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</si>
  <si>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</si>
  <si>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</si>
  <si>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</si>
  <si>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</si>
  <si>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</si>
  <si>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</si>
  <si>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</si>
  <si>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</si>
  <si>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</si>
  <si>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</si>
  <si>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</si>
  <si>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</si>
  <si>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</si>
  <si>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</si>
  <si>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</si>
  <si>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</si>
  <si>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</si>
  <si>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</si>
  <si>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</si>
  <si>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</si>
  <si>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</si>
  <si>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</si>
  <si>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</si>
  <si>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</si>
  <si>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</si>
  <si>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</si>
  <si>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</si>
  <si>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</si>
  <si>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</si>
  <si>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</si>
  <si>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</si>
  <si>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</si>
  <si>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</si>
  <si>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</si>
  <si>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</si>
  <si>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</si>
  <si>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</si>
  <si>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</si>
  <si>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</si>
  <si>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</si>
  <si>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</si>
  <si>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</si>
  <si>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</si>
  <si>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</si>
  <si>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</si>
  <si>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</si>
  <si>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</si>
  <si>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</si>
  <si>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</si>
  <si>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</si>
  <si>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</si>
  <si>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</si>
  <si>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</si>
  <si>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</si>
  <si>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</si>
  <si>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</si>
  <si>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</si>
  <si>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</si>
  <si>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</si>
  <si>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</si>
  <si>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</si>
  <si>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</si>
  <si>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</si>
  <si>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</si>
  <si>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</si>
  <si>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</si>
  <si>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</si>
  <si>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</si>
  <si>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</si>
  <si>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</si>
  <si>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</si>
  <si>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</si>
  <si>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</si>
  <si>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</si>
  <si>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</si>
  <si>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</si>
  <si>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</si>
  <si>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</si>
  <si>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</si>
  <si>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</si>
  <si>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</si>
  <si>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</si>
  <si>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</si>
  <si>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</si>
  <si>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</si>
  <si>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</si>
  <si>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</si>
  <si>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</si>
  <si>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</si>
  <si>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</si>
  <si>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</si>
  <si>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</si>
  <si>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</si>
  <si>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</si>
  <si>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</si>
  <si>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</si>
  <si>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</si>
  <si>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</si>
  <si>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</si>
  <si>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</si>
  <si>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</si>
  <si>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</si>
  <si>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</si>
  <si>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</si>
  <si>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</si>
  <si>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</si>
  <si>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</si>
  <si>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</si>
  <si>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</si>
  <si>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</si>
  <si>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</si>
  <si>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</si>
  <si>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</si>
  <si>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</si>
  <si>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</si>
  <si>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</si>
  <si>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</si>
  <si>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</si>
  <si>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</si>
  <si>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</si>
  <si>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</si>
  <si>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</si>
  <si>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</si>
  <si>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</si>
  <si>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</si>
  <si>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</si>
  <si>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</si>
  <si>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</si>
  <si>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</si>
  <si>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</si>
  <si>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</si>
  <si>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</si>
  <si>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</si>
  <si>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</si>
  <si>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</si>
  <si>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</si>
  <si>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</si>
  <si>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</si>
  <si>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</si>
  <si>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</si>
  <si>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</si>
  <si>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</si>
  <si>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</si>
  <si>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</si>
  <si>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</si>
  <si>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</si>
  <si>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</si>
  <si>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</si>
  <si>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</si>
  <si>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</si>
  <si>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</si>
  <si>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</si>
  <si>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</si>
  <si>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</si>
  <si>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</si>
  <si>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</si>
  <si>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</si>
  <si>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</si>
  <si>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</si>
  <si>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</si>
  <si>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</si>
  <si>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</si>
  <si>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</si>
  <si>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</si>
  <si>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</si>
  <si>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</si>
  <si>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</si>
  <si>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</si>
  <si>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</si>
  <si>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</si>
  <si>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</si>
  <si>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</si>
  <si>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</si>
  <si>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</si>
  <si>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</si>
  <si>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</si>
  <si>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</si>
  <si>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</si>
  <si>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</si>
  <si>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</si>
  <si>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</si>
  <si>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</si>
  <si>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</si>
  <si>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</si>
  <si>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</si>
  <si>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</si>
  <si>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</si>
  <si>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</si>
  <si>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</si>
  <si>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</si>
  <si>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</si>
  <si>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</si>
  <si>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</si>
  <si>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</si>
  <si>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</si>
  <si>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</si>
  <si>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</si>
  <si>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</si>
  <si>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</si>
  <si>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</si>
  <si>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</si>
  <si>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</si>
  <si>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</si>
  <si>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</si>
  <si>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</si>
  <si>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</si>
  <si>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</si>
  <si>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</si>
  <si>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</si>
  <si>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</si>
  <si>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</si>
  <si>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</si>
  <si>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</si>
  <si>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</si>
  <si>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</si>
  <si>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</si>
  <si>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</si>
  <si>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</si>
  <si>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</si>
  <si>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</si>
  <si>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</si>
  <si>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</si>
  <si>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</si>
  <si>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</si>
  <si>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</si>
  <si>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</si>
  <si>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</si>
  <si>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</si>
  <si>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</si>
  <si>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</si>
  <si>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</si>
  <si>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</si>
  <si>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</si>
  <si>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</si>
  <si>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</si>
  <si>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</si>
  <si>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</si>
  <si>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</si>
  <si>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</si>
  <si>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</si>
  <si>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</si>
  <si>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</si>
  <si>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</si>
  <si>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</si>
  <si>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</si>
  <si>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</si>
  <si>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</si>
  <si>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</si>
  <si>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</si>
  <si>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</si>
  <si>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</si>
  <si>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</si>
  <si>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</si>
  <si>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</si>
  <si>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</si>
  <si>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</si>
  <si>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</si>
  <si>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</si>
  <si>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</si>
  <si>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</si>
  <si>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</si>
  <si>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</si>
  <si>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</si>
  <si>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</si>
  <si>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</si>
  <si>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</si>
  <si>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</si>
  <si>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</si>
  <si>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</si>
  <si>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</si>
  <si>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</si>
  <si>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</si>
  <si>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</si>
  <si>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</si>
  <si>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</si>
  <si>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</si>
  <si>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</si>
  <si>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</si>
  <si>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</si>
  <si>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</si>
  <si>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</si>
  <si>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</si>
  <si>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</si>
  <si>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</si>
  <si>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</si>
  <si>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</si>
  <si>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</si>
  <si>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</si>
  <si>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</si>
  <si>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</si>
  <si>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</si>
  <si>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</si>
  <si>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</si>
  <si>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</si>
  <si>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</si>
  <si>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</si>
  <si>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</si>
  <si>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</si>
  <si>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</si>
  <si>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</si>
  <si>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</si>
  <si>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</si>
  <si>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</si>
  <si>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</si>
  <si>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</si>
  <si>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</si>
  <si>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</si>
  <si>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</si>
  <si>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</si>
  <si>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</si>
  <si>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</si>
  <si>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</si>
  <si>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</si>
  <si>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</si>
  <si>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</si>
  <si>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</si>
  <si>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</si>
  <si>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</si>
  <si>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</si>
  <si>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</si>
  <si>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</si>
  <si>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</si>
  <si>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</si>
  <si>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</si>
  <si>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</si>
  <si>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</si>
  <si>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</si>
  <si>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</si>
  <si>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</si>
  <si>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</si>
  <si>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</si>
  <si>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</si>
  <si>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</si>
  <si>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</si>
  <si>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</si>
  <si>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</si>
  <si>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</si>
  <si>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</si>
  <si>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</si>
  <si>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</si>
  <si>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</si>
  <si>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</si>
  <si>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</si>
  <si>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</si>
  <si>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</si>
  <si>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</si>
  <si>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</si>
  <si>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</si>
  <si>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</si>
  <si>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</si>
  <si>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</si>
  <si>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</si>
  <si>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</si>
  <si>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</si>
  <si>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</si>
  <si>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</si>
  <si>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</si>
  <si>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</si>
  <si>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</si>
  <si>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</si>
  <si>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</si>
  <si>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</si>
  <si>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</si>
  <si>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</si>
  <si>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</si>
  <si>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</si>
  <si>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</si>
  <si>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</si>
  <si>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</si>
  <si>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</si>
  <si>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</si>
  <si>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</si>
  <si>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</si>
  <si>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</si>
  <si>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</si>
  <si>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</si>
  <si>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</si>
  <si>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</si>
  <si>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</si>
  <si>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</si>
  <si>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</si>
  <si>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</si>
  <si>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</si>
  <si>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</si>
  <si>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</si>
  <si>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</si>
  <si>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</si>
  <si>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</si>
  <si>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</si>
  <si>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</si>
  <si>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</si>
  <si>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</si>
  <si>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</si>
  <si>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</si>
  <si>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</si>
  <si>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</si>
  <si>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</si>
  <si>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</si>
  <si>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</si>
  <si>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</si>
  <si>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</si>
  <si>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</si>
  <si>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</si>
  <si>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</si>
  <si>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</si>
  <si>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</si>
  <si>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</si>
  <si>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</si>
  <si>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</si>
  <si>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</si>
  <si>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</si>
  <si>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</si>
  <si>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</si>
  <si>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</si>
  <si>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</si>
  <si>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</si>
  <si>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</si>
  <si>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</si>
  <si>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</si>
  <si>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</si>
  <si>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</si>
  <si>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</si>
  <si>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</si>
  <si>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</si>
  <si>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</si>
  <si>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</si>
  <si>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</si>
  <si>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</si>
  <si>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</si>
  <si>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</si>
  <si>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</si>
  <si>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</si>
  <si>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</si>
  <si>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</si>
  <si>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</si>
  <si>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</si>
  <si>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</si>
  <si>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</si>
  <si>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</si>
  <si>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</si>
  <si>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</si>
  <si>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</si>
  <si>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</si>
  <si>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</si>
  <si>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</si>
  <si>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</si>
  <si>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</si>
  <si>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</si>
  <si>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</si>
  <si>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</si>
  <si>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</si>
  <si>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</si>
  <si>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</si>
  <si>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</si>
  <si>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</si>
  <si>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</si>
  <si>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</si>
  <si>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</si>
  <si>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</si>
  <si>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</si>
  <si>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</si>
  <si>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</si>
  <si>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</si>
  <si>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</si>
  <si>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</si>
  <si>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</si>
  <si>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</si>
  <si>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</si>
  <si>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</si>
  <si>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</si>
  <si>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</si>
  <si>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</si>
  <si>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</si>
  <si>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</si>
  <si>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</si>
  <si>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</si>
  <si>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</si>
  <si>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</si>
  <si>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</si>
  <si>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</si>
  <si>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</si>
  <si>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</si>
  <si>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</si>
  <si>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</si>
  <si>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</si>
  <si>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</si>
  <si>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</si>
  <si>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</si>
  <si>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</si>
  <si>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</si>
  <si>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</si>
  <si>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</si>
  <si>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</si>
  <si>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</si>
  <si>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</si>
  <si>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</si>
  <si>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</si>
  <si>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</si>
  <si>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</si>
  <si>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</si>
  <si>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</si>
  <si>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</si>
  <si>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</si>
  <si>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</si>
  <si>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</si>
  <si>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</si>
  <si>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</si>
  <si>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</si>
  <si>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</si>
  <si>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</si>
  <si>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</si>
  <si>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</si>
  <si>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</si>
  <si>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</si>
  <si>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</si>
  <si>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</si>
  <si>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</si>
  <si>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</si>
  <si>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</si>
  <si>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</si>
  <si>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</si>
  <si>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</si>
  <si>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</si>
  <si>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</si>
  <si>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</si>
  <si>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</si>
  <si>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</si>
  <si>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</si>
  <si>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</si>
  <si>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</si>
  <si>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</si>
  <si>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</si>
  <si>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</si>
  <si>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</si>
  <si>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</si>
  <si>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</si>
  <si>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</si>
  <si>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</si>
  <si>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</si>
  <si>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</si>
  <si>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</si>
  <si>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</si>
  <si>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</si>
  <si>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</si>
  <si>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</si>
  <si>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</si>
  <si>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</si>
  <si>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</si>
  <si>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</si>
  <si>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</si>
  <si>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</si>
  <si>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</si>
  <si>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</si>
  <si>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</si>
  <si>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</si>
  <si>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</si>
  <si>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</si>
  <si>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</si>
  <si>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</si>
  <si>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</si>
  <si>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</si>
  <si>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</si>
  <si>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</si>
  <si>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</si>
  <si>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</si>
  <si>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</si>
  <si>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</si>
  <si>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</si>
  <si>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</si>
  <si>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</si>
  <si>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</si>
  <si>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</si>
  <si>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</si>
  <si>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</si>
  <si>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</si>
  <si>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</si>
  <si>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</si>
  <si>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</si>
  <si>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</si>
  <si>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</si>
  <si>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</si>
  <si>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</si>
  <si>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</si>
  <si>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</si>
  <si>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</si>
  <si>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</si>
  <si>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</si>
  <si>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</si>
  <si>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</si>
  <si>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</si>
  <si>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</si>
  <si>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</si>
  <si>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</si>
  <si>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</si>
  <si>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</si>
  <si>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</si>
  <si>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</si>
  <si>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</si>
  <si>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</si>
  <si>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</si>
  <si>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</si>
  <si>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</si>
  <si>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</si>
  <si>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</si>
  <si>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</si>
  <si>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</si>
  <si>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</si>
  <si>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</si>
  <si>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</si>
  <si>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</si>
  <si>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</si>
  <si>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</si>
  <si>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</si>
  <si>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</si>
  <si>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</si>
  <si>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</si>
  <si>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</si>
  <si>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</si>
  <si>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</si>
  <si>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</si>
  <si>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</si>
  <si>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</si>
  <si>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</si>
  <si>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</si>
  <si>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</si>
  <si>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</si>
  <si>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</si>
  <si>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</si>
  <si>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</si>
  <si>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</si>
  <si>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</si>
  <si>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</si>
  <si>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</si>
  <si>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</si>
  <si>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</si>
  <si>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</si>
  <si>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</si>
  <si>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</si>
  <si>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</si>
  <si>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</si>
  <si>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</si>
  <si>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</si>
  <si>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</si>
  <si>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</si>
  <si>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</si>
  <si>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</si>
  <si>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</si>
  <si>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</si>
  <si>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</si>
  <si>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</si>
  <si>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</si>
  <si>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</si>
  <si>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</si>
  <si>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</si>
  <si>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</si>
  <si>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</si>
  <si>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</si>
  <si>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</si>
  <si>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</si>
  <si>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</si>
  <si>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</si>
  <si>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</si>
  <si>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</si>
  <si>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</si>
  <si>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</si>
  <si>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</si>
  <si>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</si>
  <si>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</si>
  <si>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</si>
  <si>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</si>
  <si>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</si>
  <si>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</si>
  <si>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</si>
  <si>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</si>
  <si>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</si>
  <si>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</si>
  <si>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</si>
  <si>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</si>
  <si>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</si>
  <si>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</si>
  <si>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</si>
  <si>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</si>
  <si>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</si>
  <si>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</si>
  <si>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</si>
  <si>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</si>
  <si>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</si>
  <si>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</si>
  <si>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</si>
  <si>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</si>
  <si>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</si>
  <si>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</si>
  <si>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</si>
  <si>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</si>
  <si>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</si>
  <si>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</si>
  <si>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</si>
  <si>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</si>
  <si>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</si>
  <si>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</si>
  <si>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</si>
  <si>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</si>
  <si>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</si>
  <si>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</si>
  <si>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</si>
  <si>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</si>
  <si>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</si>
  <si>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</si>
  <si>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</si>
  <si>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</si>
  <si>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</si>
  <si>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</si>
  <si>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</si>
  <si>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</si>
  <si>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</si>
  <si>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</si>
  <si>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</si>
  <si>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</si>
  <si>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</si>
  <si>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</si>
  <si>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</si>
  <si>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</si>
  <si>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</si>
  <si>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</si>
  <si>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</si>
  <si>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</si>
  <si>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</si>
  <si>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</si>
  <si>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</si>
  <si>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</si>
  <si>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</si>
  <si>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</si>
  <si>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</si>
  <si>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</si>
  <si>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</si>
  <si>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</si>
  <si>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</si>
  <si>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</si>
  <si>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</si>
  <si>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</si>
  <si>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</si>
  <si>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</si>
  <si>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</si>
  <si>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</si>
  <si>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</si>
  <si>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</si>
  <si>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</si>
  <si>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</si>
  <si>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</si>
  <si>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</si>
  <si>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</si>
  <si>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</si>
  <si>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</si>
  <si>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</si>
  <si>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</si>
  <si>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</si>
  <si>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</si>
  <si>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</si>
  <si>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</si>
  <si>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</si>
  <si>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</si>
  <si>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</si>
  <si>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</si>
  <si>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</si>
  <si>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</si>
  <si>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</si>
  <si>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</si>
  <si>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</si>
  <si>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</si>
  <si>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</si>
  <si>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</si>
  <si>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</si>
  <si>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</si>
  <si>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</si>
  <si>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</si>
  <si>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</si>
  <si>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</si>
  <si>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</si>
  <si>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</si>
  <si>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</si>
  <si>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</si>
  <si>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</si>
  <si>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</si>
  <si>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</si>
  <si>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</si>
  <si>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</si>
  <si>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</si>
  <si>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</si>
  <si>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</si>
  <si>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</si>
  <si>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</si>
  <si>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</si>
  <si>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</si>
  <si>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</si>
  <si>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</si>
  <si>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</si>
  <si>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</si>
  <si>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</si>
  <si>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</si>
  <si>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</si>
  <si>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</si>
  <si>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</si>
  <si>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</si>
  <si>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</si>
  <si>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</si>
  <si>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</si>
  <si>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</si>
  <si>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</si>
  <si>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</si>
  <si>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</si>
  <si>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</si>
  <si>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</si>
  <si>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</si>
  <si>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</si>
  <si>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</si>
  <si>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</si>
  <si>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</si>
  <si>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</si>
  <si>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</si>
  <si>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</si>
  <si>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</si>
  <si>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</si>
  <si>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</si>
  <si>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</si>
  <si>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</si>
  <si>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</si>
  <si>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</si>
  <si>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</si>
  <si>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</si>
  <si>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</si>
  <si>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</si>
  <si>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</si>
  <si>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</si>
  <si>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</si>
  <si>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</si>
  <si>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</si>
  <si>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</si>
  <si>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</si>
  <si>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</si>
  <si>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</si>
  <si>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</si>
  <si>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</si>
  <si>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</si>
  <si>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</si>
  <si>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</si>
  <si>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</si>
  <si>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</si>
  <si>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</si>
  <si>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</si>
  <si>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</si>
  <si>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</si>
  <si>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</si>
  <si>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</si>
  <si>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</si>
  <si>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</si>
  <si>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</si>
  <si>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</si>
  <si>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</si>
  <si>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</si>
  <si>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</si>
  <si>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</si>
  <si>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</si>
  <si>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</si>
  <si>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</si>
  <si>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</si>
  <si>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</si>
  <si>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</si>
  <si>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</si>
  <si>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</si>
  <si>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</si>
  <si>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</si>
  <si>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</si>
  <si>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</si>
  <si>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</si>
  <si>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</si>
  <si>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</si>
  <si>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</si>
  <si>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</si>
  <si>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</si>
  <si>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</si>
  <si>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</si>
  <si>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</si>
  <si>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</si>
  <si>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</si>
  <si>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</si>
  <si>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</si>
  <si>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</si>
  <si>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</si>
  <si>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</si>
  <si>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</si>
  <si>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</si>
  <si>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</si>
  <si>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</si>
  <si>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</si>
  <si>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</si>
  <si>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</si>
  <si>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</si>
  <si>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</si>
  <si>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</si>
  <si>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</si>
  <si>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</si>
  <si>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</si>
  <si>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</si>
  <si>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</si>
  <si>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</si>
  <si>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</si>
  <si>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</si>
  <si>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</si>
  <si>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</si>
  <si>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</si>
  <si>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</si>
  <si>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</si>
  <si>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</si>
  <si>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</si>
  <si>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</si>
  <si>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</si>
  <si>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</si>
  <si>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</si>
  <si>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</si>
  <si>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</si>
  <si>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</si>
  <si>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</si>
  <si>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</si>
  <si>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</si>
  <si>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</si>
  <si>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</si>
  <si>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</si>
  <si>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</si>
  <si>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</si>
  <si>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</si>
  <si>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</si>
  <si>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</si>
  <si>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</si>
  <si>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</si>
  <si>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</si>
  <si>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</si>
  <si>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</si>
  <si>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</si>
  <si>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</si>
  <si>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</si>
  <si>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</si>
  <si>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</si>
  <si>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</si>
  <si>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</si>
  <si>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</si>
  <si>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</si>
  <si>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</si>
  <si>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</si>
  <si>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</si>
  <si>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</si>
  <si>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</si>
  <si>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</si>
  <si>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</si>
  <si>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</si>
  <si>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</si>
  <si>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</si>
  <si>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</si>
  <si>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</si>
  <si>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</si>
  <si>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</si>
  <si>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</si>
  <si>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</si>
  <si>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</si>
  <si>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</si>
  <si>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</si>
  <si>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</si>
  <si>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</si>
  <si>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</si>
  <si>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</si>
  <si>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</si>
  <si>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</si>
  <si>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</si>
  <si>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</si>
  <si>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</si>
  <si>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</si>
  <si>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</si>
  <si>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</si>
  <si>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</si>
  <si>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</si>
  <si>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</si>
  <si>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</si>
  <si>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</si>
  <si>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</si>
  <si>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</si>
  <si>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</si>
  <si>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</si>
  <si>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</si>
  <si>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</si>
  <si>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</si>
  <si>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</si>
  <si>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</si>
  <si>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</si>
  <si>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</si>
  <si>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</si>
  <si>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</si>
  <si>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</si>
  <si>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</si>
  <si>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</si>
  <si>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</si>
  <si>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</si>
  <si>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</si>
  <si>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</si>
  <si>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</si>
  <si>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</si>
  <si>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</si>
  <si>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</si>
  <si>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</si>
  <si>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</si>
  <si>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</si>
  <si>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</si>
  <si>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</si>
  <si>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</si>
  <si>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</si>
  <si>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</si>
  <si>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</si>
  <si>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</si>
  <si>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</si>
  <si>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</si>
  <si>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</si>
  <si>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</si>
  <si>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</si>
  <si>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</si>
  <si>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</si>
  <si>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</si>
  <si>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</si>
  <si>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</si>
  <si>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</si>
  <si>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</si>
  <si>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</si>
  <si>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</si>
  <si>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</si>
  <si>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</si>
  <si>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</si>
  <si>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</si>
  <si>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</si>
  <si>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</si>
  <si>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</si>
  <si>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</si>
  <si>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</si>
  <si>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</si>
  <si>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</si>
  <si>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</si>
  <si>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</si>
  <si>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</si>
  <si>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</si>
  <si>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</si>
  <si>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</si>
  <si>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</si>
  <si>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</si>
  <si>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</si>
  <si>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</si>
  <si>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</si>
  <si>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</si>
  <si>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</si>
  <si>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</si>
  <si>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</si>
  <si>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</si>
  <si>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</si>
  <si>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</si>
  <si>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</si>
  <si>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</si>
  <si>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</si>
  <si>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</si>
  <si>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</si>
  <si>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</si>
  <si>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</si>
  <si>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</si>
  <si>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</si>
  <si>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</si>
  <si>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</si>
  <si>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</si>
  <si>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</si>
  <si>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</si>
  <si>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</si>
  <si>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</si>
  <si>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</si>
  <si>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</si>
  <si>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</si>
  <si>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</si>
  <si>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</si>
  <si>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</si>
  <si>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</si>
  <si>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</si>
  <si>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</si>
  <si>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</si>
  <si>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</si>
  <si>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</si>
  <si>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</si>
  <si>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</si>
  <si>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</si>
  <si>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</si>
  <si>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</si>
  <si>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</si>
  <si>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</si>
  <si>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</si>
  <si>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</si>
  <si>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</si>
  <si>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</si>
  <si>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</si>
  <si>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</si>
  <si>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</si>
  <si>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</si>
  <si>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</si>
  <si>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</si>
  <si>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</si>
  <si>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</si>
  <si>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</si>
  <si>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</si>
  <si>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</si>
  <si>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</si>
  <si>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</si>
  <si>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</si>
  <si>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</si>
  <si>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</si>
  <si>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</si>
  <si>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</si>
  <si>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</si>
  <si>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</si>
  <si>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</si>
  <si>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</si>
  <si>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</si>
  <si>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</si>
  <si>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</si>
  <si>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</si>
  <si>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</si>
  <si>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</si>
  <si>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</si>
  <si>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</si>
  <si>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</si>
  <si>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</si>
  <si>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</si>
  <si>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</si>
  <si>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</si>
  <si>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</si>
  <si>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</si>
  <si>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</si>
  <si>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</si>
  <si>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</si>
  <si>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</si>
  <si>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</si>
  <si>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</si>
  <si>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</si>
  <si>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</si>
  <si>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</si>
  <si>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</si>
  <si>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</si>
  <si>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</si>
  <si>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</si>
  <si>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</si>
  <si>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</si>
  <si>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</si>
  <si>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</si>
  <si>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</si>
  <si>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</si>
  <si>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</si>
  <si>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</si>
  <si>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</si>
  <si>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</si>
  <si>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</si>
  <si>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</si>
  <si>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</si>
  <si>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</si>
  <si>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</si>
  <si>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</si>
  <si>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</si>
  <si>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</si>
  <si>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</si>
  <si>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</si>
  <si>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</si>
  <si>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</si>
  <si>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</si>
  <si>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</si>
  <si>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</si>
  <si>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</si>
  <si>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</si>
  <si>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</si>
  <si>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</si>
  <si>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</si>
  <si>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</si>
  <si>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</si>
  <si>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</si>
  <si>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</si>
  <si>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</si>
  <si>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</si>
  <si>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</si>
  <si>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</si>
  <si>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</si>
  <si>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</si>
  <si>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</si>
  <si>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</si>
  <si>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</si>
  <si>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</si>
  <si>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</si>
  <si>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</si>
  <si>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</si>
  <si>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</si>
  <si>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</si>
  <si>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</si>
  <si>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</si>
  <si>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</si>
  <si>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</si>
  <si>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</si>
  <si>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</si>
  <si>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</si>
  <si>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</si>
  <si>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</si>
  <si>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</si>
  <si>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</si>
  <si>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</si>
  <si>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</si>
  <si>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</si>
  <si>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</si>
  <si>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</si>
  <si>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</si>
  <si>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</si>
  <si>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</si>
  <si>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</si>
  <si>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</si>
  <si>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</si>
  <si>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</si>
  <si>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</si>
  <si>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</si>
  <si>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</si>
  <si>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</si>
  <si>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</si>
  <si>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</si>
  <si>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</si>
  <si>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</si>
  <si>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</si>
  <si>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</si>
  <si>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</si>
  <si>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</si>
  <si>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</si>
  <si>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</si>
  <si>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</si>
  <si>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</si>
  <si>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</si>
  <si>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</si>
  <si>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</si>
  <si>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</si>
  <si>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</si>
  <si>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</si>
  <si>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</si>
  <si>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</si>
  <si>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</si>
  <si>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</si>
  <si>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</si>
  <si>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</si>
  <si>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</si>
  <si>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</si>
  <si>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</si>
  <si>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</si>
  <si>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</si>
  <si>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</si>
  <si>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</si>
  <si>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</si>
  <si>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</si>
  <si>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</si>
  <si>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</si>
  <si>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</si>
  <si>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</si>
  <si>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</si>
  <si>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</si>
  <si>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</si>
  <si>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</si>
  <si>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</si>
  <si>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</si>
  <si>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</si>
  <si>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</si>
  <si>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</si>
  <si>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</si>
  <si>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</si>
  <si>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</si>
  <si>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</si>
  <si>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</si>
  <si>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</si>
  <si>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</si>
  <si>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</si>
  <si>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</si>
  <si>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</si>
  <si>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</si>
  <si>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</si>
  <si>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</si>
  <si>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</si>
  <si>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</si>
  <si>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</si>
  <si>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</si>
  <si>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</si>
  <si>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</si>
  <si>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</si>
  <si>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</si>
  <si>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</si>
  <si>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</si>
  <si>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</si>
  <si>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</si>
  <si>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</si>
  <si>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</si>
  <si>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</si>
  <si>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</si>
  <si>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</si>
  <si>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</si>
  <si>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</si>
  <si>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</si>
  <si>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</si>
  <si>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</si>
  <si>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</si>
  <si>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</si>
  <si>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</si>
  <si>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</si>
  <si>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</si>
  <si>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</si>
  <si>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</si>
  <si>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</si>
  <si>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</si>
  <si>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</si>
  <si>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</si>
  <si>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</si>
  <si>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</si>
  <si>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</si>
  <si>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</si>
  <si>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</si>
  <si>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</si>
  <si>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</si>
  <si>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</si>
  <si>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</si>
  <si>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</si>
  <si>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</si>
  <si>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</si>
  <si>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</si>
  <si>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</si>
  <si>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</si>
  <si>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</si>
  <si>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</si>
  <si>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</si>
  <si>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</si>
  <si>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</si>
  <si>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</si>
  <si>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</si>
  <si>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</si>
  <si>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</si>
  <si>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</si>
  <si>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</si>
  <si>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</si>
  <si>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</si>
  <si>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</si>
  <si>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</si>
  <si>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</si>
  <si>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</si>
  <si>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</si>
  <si>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</si>
  <si>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</si>
  <si>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</si>
  <si>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</si>
  <si>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</si>
  <si>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</si>
  <si>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</si>
  <si>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</si>
  <si>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</si>
  <si>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</si>
  <si>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</si>
  <si>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</si>
  <si>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</si>
  <si>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</si>
  <si>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</si>
  <si>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</si>
  <si>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</si>
  <si>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</si>
  <si>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</si>
  <si>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</si>
  <si>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</si>
  <si>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</si>
  <si>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</si>
  <si>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</si>
  <si>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</si>
  <si>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</si>
  <si>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</si>
  <si>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</si>
  <si>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</si>
  <si>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</si>
  <si>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</si>
  <si>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</si>
  <si>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</si>
  <si>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</si>
  <si>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</si>
  <si>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</si>
  <si>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</si>
  <si>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</si>
  <si>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</si>
  <si>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</si>
  <si>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</si>
  <si>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</si>
  <si>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</si>
  <si>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</si>
  <si>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</si>
  <si>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</si>
  <si>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</si>
  <si>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</si>
  <si>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</si>
  <si>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</si>
  <si>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</si>
  <si>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</si>
  <si>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</si>
  <si>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</si>
  <si>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</si>
  <si>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</si>
  <si>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</si>
  <si>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</si>
  <si>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</si>
  <si>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</si>
  <si>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</si>
  <si>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</si>
  <si>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</si>
  <si>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</si>
  <si>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</si>
  <si>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</si>
  <si>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</si>
  <si>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</si>
  <si>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</si>
  <si>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</si>
  <si>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</si>
  <si>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</si>
  <si>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</si>
  <si>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</si>
  <si>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</si>
  <si>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</si>
  <si>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</si>
  <si>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</si>
  <si>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</si>
  <si>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</si>
  <si>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</si>
  <si>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</si>
  <si>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</si>
  <si>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</si>
  <si>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</si>
  <si>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</si>
  <si>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</si>
  <si>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</si>
  <si>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</si>
  <si>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</si>
  <si>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</si>
  <si>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</si>
  <si>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</si>
  <si>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</si>
  <si>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</si>
  <si>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</si>
  <si>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</si>
  <si>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</si>
  <si>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</si>
  <si>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</si>
  <si>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</si>
  <si>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</si>
  <si>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</si>
  <si>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</si>
  <si>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</si>
  <si>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</si>
  <si>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</si>
  <si>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</si>
  <si>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</si>
  <si>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</si>
  <si>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</si>
  <si>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</si>
  <si>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</si>
  <si>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</si>
  <si>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</si>
  <si>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</si>
  <si>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</si>
  <si>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</si>
  <si>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</si>
  <si>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</si>
  <si>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</si>
  <si>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</si>
  <si>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</si>
  <si>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</si>
  <si>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</si>
  <si>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</si>
  <si>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</si>
  <si>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</si>
  <si>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</si>
  <si>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</si>
  <si>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</si>
  <si>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</si>
  <si>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</si>
  <si>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</si>
  <si>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</si>
  <si>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</si>
  <si>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</si>
  <si>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</si>
  <si>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</si>
  <si>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</si>
  <si>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</si>
  <si>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</si>
  <si>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</si>
  <si>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</si>
  <si>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</si>
  <si>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</si>
  <si>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</si>
  <si>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</si>
  <si>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</si>
  <si>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</si>
  <si>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</si>
  <si>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</si>
  <si>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</si>
  <si>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</si>
  <si>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</si>
  <si>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</si>
  <si>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</si>
  <si>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</si>
  <si>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</si>
  <si>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</si>
  <si>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</si>
  <si>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</si>
  <si>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</si>
  <si>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</si>
  <si>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</si>
  <si>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</si>
  <si>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</si>
  <si>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</si>
  <si>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</si>
  <si>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</si>
  <si>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</si>
  <si>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</si>
  <si>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</si>
  <si>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</si>
  <si>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</si>
  <si>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</si>
  <si>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</si>
  <si>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</si>
  <si>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</si>
  <si>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</si>
  <si>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</si>
  <si>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</si>
  <si>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</si>
  <si>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</si>
  <si>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</si>
  <si>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</si>
  <si>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</si>
  <si>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</si>
  <si>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</si>
  <si>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</si>
  <si>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</si>
  <si>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</si>
  <si>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</si>
  <si>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</si>
  <si>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</si>
  <si>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</si>
  <si>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</si>
  <si>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</si>
  <si>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</si>
  <si>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</si>
  <si>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</si>
  <si>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</si>
  <si>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</si>
  <si>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</si>
  <si>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</si>
  <si>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</si>
  <si>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</si>
  <si>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</si>
  <si>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</si>
  <si>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</si>
  <si>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</si>
  <si>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</si>
  <si>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</si>
  <si>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</si>
  <si>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</si>
  <si>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</si>
  <si>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</si>
  <si>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</si>
  <si>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</si>
  <si>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</si>
  <si>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</si>
  <si>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</si>
  <si>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</si>
  <si>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</si>
  <si>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</si>
  <si>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</si>
  <si>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</si>
  <si>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</si>
  <si>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</si>
  <si>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</si>
  <si>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</si>
  <si>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</si>
  <si>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</si>
  <si>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</si>
  <si>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</si>
  <si>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</si>
  <si>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</si>
  <si>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</si>
  <si>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</si>
  <si>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</si>
  <si>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</si>
  <si>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</si>
  <si>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</si>
  <si>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</si>
  <si>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</si>
  <si>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</si>
  <si>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</si>
  <si>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</si>
  <si>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</si>
  <si>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</si>
  <si>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</si>
  <si>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</si>
  <si>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</si>
  <si>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</si>
  <si>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</si>
  <si>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</si>
  <si>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</si>
  <si>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</si>
  <si>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</si>
  <si>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</si>
  <si>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</si>
  <si>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</si>
  <si>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</si>
  <si>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</si>
  <si>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</si>
  <si>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</si>
  <si>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</si>
  <si>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</si>
  <si>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</si>
  <si>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</si>
  <si>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</si>
  <si>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</si>
  <si>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</si>
  <si>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</si>
  <si>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</si>
  <si>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</si>
  <si>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</si>
  <si>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</si>
  <si>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</si>
  <si>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</si>
  <si>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</si>
  <si>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</si>
  <si>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</si>
  <si>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</si>
  <si>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</si>
  <si>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</si>
  <si>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</si>
  <si>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</si>
  <si>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</si>
  <si>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</si>
  <si>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</si>
  <si>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</si>
  <si>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</si>
  <si>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</si>
  <si>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</si>
  <si>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</si>
  <si>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</si>
  <si>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</si>
  <si>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</si>
  <si>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</si>
  <si>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</si>
  <si>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</si>
  <si>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</si>
  <si>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</si>
  <si>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</si>
  <si>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</si>
  <si>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</si>
  <si>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</si>
  <si>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</si>
  <si>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</si>
  <si>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</si>
  <si>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</si>
  <si>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</si>
  <si>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</si>
  <si>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</si>
  <si>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</si>
  <si>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</si>
  <si>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</si>
  <si>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</si>
  <si>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</si>
  <si>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</si>
  <si>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</si>
  <si>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</si>
  <si>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</si>
  <si>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</si>
  <si>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</si>
  <si>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</si>
  <si>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</si>
  <si>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</si>
  <si>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</si>
  <si>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</si>
  <si>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</si>
  <si>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</si>
  <si>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</si>
  <si>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</si>
  <si>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</si>
  <si>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</si>
  <si>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</si>
  <si>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</si>
  <si>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</si>
  <si>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</si>
  <si>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</si>
  <si>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</si>
  <si>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</si>
  <si>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</si>
  <si>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</si>
  <si>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</si>
  <si>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</si>
  <si>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</si>
  <si>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</si>
  <si>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</si>
  <si>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</si>
  <si>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</si>
  <si>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</si>
  <si>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</si>
  <si>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</si>
  <si>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</si>
  <si>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</si>
  <si>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</si>
  <si>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</si>
  <si>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</si>
  <si>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</si>
  <si>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</si>
  <si>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</si>
  <si>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</si>
  <si>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</si>
  <si>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</si>
  <si>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</si>
  <si>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</si>
  <si>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</si>
  <si>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</si>
  <si>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</si>
  <si>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</si>
  <si>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</si>
  <si>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</si>
  <si>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</si>
  <si>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</si>
  <si>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</si>
  <si>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</si>
  <si>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</si>
  <si>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</si>
  <si>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</si>
  <si>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</si>
  <si>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</si>
  <si>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</si>
  <si>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</si>
  <si>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</si>
  <si>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</si>
  <si>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</si>
  <si>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</si>
  <si>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</si>
  <si>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</si>
  <si>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</si>
  <si>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</si>
  <si>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</si>
  <si>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</si>
  <si>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</si>
  <si>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</si>
  <si>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</si>
  <si>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</si>
  <si>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</si>
  <si>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</si>
  <si>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</si>
  <si>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</si>
  <si>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</si>
  <si>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</si>
  <si>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</si>
  <si>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</si>
  <si>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</si>
  <si>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</si>
  <si>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</si>
  <si>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</si>
  <si>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</si>
  <si>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</si>
  <si>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</si>
  <si>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</si>
  <si>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</si>
  <si>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</si>
  <si>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</si>
  <si>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</si>
  <si>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</si>
  <si>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</si>
  <si>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</si>
  <si>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</si>
  <si>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</si>
  <si>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</si>
  <si>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</si>
  <si>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</si>
  <si>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</si>
  <si>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</si>
  <si>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</si>
  <si>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</si>
  <si>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</si>
  <si>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</si>
  <si>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</si>
  <si>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</si>
  <si>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</si>
  <si>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</si>
  <si>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</si>
  <si>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</si>
  <si>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</si>
  <si>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</si>
  <si>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</si>
  <si>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</si>
  <si>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</si>
  <si>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</si>
  <si>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</si>
  <si>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</si>
  <si>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</si>
  <si>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</si>
  <si>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</si>
  <si>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</si>
  <si>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</si>
  <si>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</si>
  <si>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</si>
  <si>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</si>
  <si>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</si>
  <si>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</si>
  <si>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</si>
  <si>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</si>
  <si>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</si>
  <si>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</si>
  <si>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</si>
  <si>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</si>
  <si>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</si>
  <si>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</si>
  <si>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</si>
  <si>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</si>
  <si>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</si>
  <si>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</si>
  <si>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</si>
  <si>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</si>
  <si>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</si>
  <si>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</si>
  <si>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</si>
  <si>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</si>
  <si>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</si>
  <si>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</si>
  <si>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</si>
  <si>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</si>
  <si>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</si>
  <si>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</si>
  <si>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</si>
  <si>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</si>
  <si>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</si>
  <si>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</si>
  <si>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</si>
  <si>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</si>
  <si>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</si>
  <si>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</si>
  <si>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</si>
  <si>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</si>
  <si>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</si>
  <si>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</si>
  <si>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</si>
  <si>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</si>
  <si>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</si>
  <si>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</si>
  <si>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</si>
  <si>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</si>
  <si>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</si>
  <si>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</si>
  <si>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</si>
  <si>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</si>
  <si>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</si>
  <si>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</si>
  <si>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</si>
  <si>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</si>
  <si>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</si>
  <si>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</si>
  <si>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</si>
  <si>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</si>
  <si>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</si>
  <si>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</si>
  <si>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</si>
  <si>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</si>
  <si>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</si>
  <si>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</si>
  <si>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</si>
  <si>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</si>
  <si>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</si>
  <si>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</si>
  <si>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</si>
  <si>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</si>
  <si>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</si>
  <si>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</si>
  <si>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</si>
  <si>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</si>
  <si>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</si>
  <si>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</si>
  <si>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</si>
  <si>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</si>
  <si>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</si>
  <si>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</si>
  <si>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</si>
  <si>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</si>
  <si>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</si>
  <si>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</si>
  <si>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</si>
  <si>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</si>
  <si>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</si>
  <si>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</si>
  <si>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</si>
  <si>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</si>
  <si>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</si>
  <si>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</si>
  <si>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</si>
  <si>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</si>
  <si>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</si>
  <si>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</si>
  <si>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</si>
  <si>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</si>
  <si>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</si>
  <si>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</si>
  <si>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</si>
  <si>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</si>
  <si>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</si>
  <si>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</si>
  <si>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</si>
  <si>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</si>
  <si>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</si>
  <si>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</si>
  <si>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</si>
  <si>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</si>
  <si>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</si>
  <si>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</si>
  <si>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</si>
  <si>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</si>
  <si>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</si>
  <si>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</si>
  <si>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</si>
  <si>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</si>
  <si>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</si>
  <si>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</si>
  <si>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</si>
  <si>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</si>
  <si>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</si>
  <si>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</si>
  <si>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</si>
  <si>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</si>
  <si>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</si>
  <si>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</si>
  <si>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</si>
  <si>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</si>
  <si>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</si>
  <si>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</si>
  <si>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</si>
  <si>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</si>
  <si>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</si>
  <si>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</si>
  <si>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</si>
  <si>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</si>
  <si>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</si>
  <si>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</si>
  <si>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</si>
  <si>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</si>
  <si>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</si>
  <si>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</si>
  <si>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</si>
  <si>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</si>
  <si>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</si>
  <si>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</si>
  <si>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</si>
  <si>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</si>
  <si>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</si>
  <si>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</si>
  <si>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</si>
  <si>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</si>
  <si>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</si>
  <si>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</si>
  <si>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</si>
  <si>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</si>
  <si>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</si>
  <si>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</si>
  <si>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</si>
  <si>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</si>
  <si>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</si>
  <si>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</si>
  <si>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</si>
  <si>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</si>
  <si>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</si>
  <si>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</si>
  <si>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</si>
  <si>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</si>
  <si>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</si>
  <si>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</si>
  <si>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</si>
  <si>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</si>
  <si>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</si>
  <si>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</si>
  <si>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</si>
  <si>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</si>
  <si>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</si>
  <si>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</si>
  <si>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</si>
  <si>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</si>
  <si>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</si>
  <si>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</si>
  <si>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</si>
  <si>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</si>
  <si>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</si>
  <si>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</si>
  <si>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</si>
  <si>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</si>
  <si>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</si>
  <si>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</si>
  <si>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</si>
  <si>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</si>
  <si>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</si>
  <si>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</si>
  <si>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</si>
  <si>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</si>
  <si>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</si>
  <si>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</si>
  <si>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</si>
  <si>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</si>
  <si>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</si>
  <si>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</si>
  <si>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</si>
  <si>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</si>
  <si>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</si>
  <si>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</si>
  <si>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</si>
  <si>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</si>
  <si>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</si>
  <si>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</si>
  <si>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</si>
  <si>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</si>
  <si>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</si>
  <si>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</si>
  <si>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</si>
  <si>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</si>
  <si>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</si>
  <si>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</si>
  <si>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</si>
  <si>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</si>
  <si>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</si>
  <si>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</si>
  <si>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</si>
  <si>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</si>
  <si>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</si>
  <si>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</si>
  <si>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</si>
  <si>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</si>
  <si>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</si>
  <si>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</si>
  <si>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</si>
  <si>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</si>
  <si>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</si>
  <si>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</si>
  <si>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</si>
  <si>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</si>
  <si>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</si>
  <si>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</si>
  <si>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</si>
  <si>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</si>
  <si>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</si>
  <si>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</si>
  <si>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</si>
  <si>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</si>
  <si>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</si>
  <si>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</si>
  <si>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</si>
  <si>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</si>
  <si>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</si>
  <si>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</si>
  <si>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</si>
  <si>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</si>
  <si>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</si>
  <si>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</si>
  <si>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</si>
  <si>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</si>
  <si>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</si>
  <si>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</si>
  <si>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</si>
  <si>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</si>
  <si>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</si>
  <si>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</si>
  <si>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</si>
  <si>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</si>
  <si>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</si>
  <si>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</si>
  <si>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</si>
  <si>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</si>
  <si>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</si>
  <si>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</si>
  <si>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</si>
  <si>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</si>
  <si>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</si>
  <si>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</si>
  <si>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</si>
  <si>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</si>
  <si>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</si>
  <si>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</si>
  <si>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</si>
  <si>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</si>
  <si>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</si>
  <si>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</si>
  <si>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</si>
  <si>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</si>
  <si>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</si>
  <si>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</si>
  <si>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</si>
  <si>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</si>
  <si>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</si>
  <si>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</si>
  <si>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</si>
  <si>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</si>
  <si>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</si>
  <si>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</si>
  <si>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</si>
  <si>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</si>
  <si>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</si>
  <si>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</si>
  <si>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</si>
  <si>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</si>
  <si>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</si>
  <si>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</si>
  <si>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</si>
  <si>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</si>
  <si>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</si>
  <si>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</si>
  <si>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</si>
  <si>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</si>
  <si>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</si>
  <si>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</si>
  <si>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</si>
  <si>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</si>
  <si>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</si>
  <si>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</si>
  <si>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</si>
  <si>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</si>
  <si>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</si>
  <si>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</si>
  <si>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</si>
  <si>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</si>
  <si>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</si>
  <si>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</si>
  <si>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</si>
  <si>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</si>
  <si>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</si>
  <si>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</si>
  <si>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</si>
  <si>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</si>
  <si>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</si>
  <si>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</si>
  <si>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</si>
  <si>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</si>
  <si>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</si>
  <si>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</si>
  <si>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</si>
  <si>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</si>
  <si>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</si>
  <si>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</si>
  <si>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</si>
  <si>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</si>
  <si>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</si>
  <si>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</si>
  <si>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</si>
  <si>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</si>
  <si>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</si>
  <si>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</si>
  <si>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</si>
  <si>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</si>
  <si>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</si>
  <si>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</si>
  <si>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</si>
  <si>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</si>
  <si>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</si>
  <si>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</si>
  <si>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</si>
  <si>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</si>
  <si>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</si>
  <si>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</si>
  <si>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</si>
  <si>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</si>
  <si>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</si>
  <si>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</si>
  <si>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</si>
  <si>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</si>
  <si>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</si>
  <si>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</si>
  <si>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</si>
  <si>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</si>
  <si>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</si>
  <si>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</si>
  <si>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</si>
  <si>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</si>
  <si>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</si>
  <si>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</si>
  <si>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</si>
  <si>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</si>
  <si>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</si>
  <si>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</si>
  <si>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</si>
  <si>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</si>
  <si>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</si>
  <si>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</si>
  <si>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</si>
  <si>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</si>
  <si>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</si>
  <si>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</si>
  <si>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</si>
  <si>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</si>
  <si>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</si>
  <si>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</si>
  <si>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</si>
  <si>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</si>
  <si>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</si>
  <si>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</si>
  <si>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</si>
  <si>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</si>
  <si>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</si>
  <si>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</si>
  <si>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</si>
  <si>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</si>
  <si>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</si>
  <si>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</si>
  <si>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</si>
  <si>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</si>
  <si>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</si>
  <si>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</si>
  <si>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</si>
  <si>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</si>
  <si>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</si>
  <si>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</si>
  <si>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</si>
  <si>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</si>
  <si>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</si>
  <si>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</si>
  <si>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</si>
  <si>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</si>
  <si>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</si>
  <si>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</si>
  <si>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</si>
  <si>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</si>
  <si>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</si>
  <si>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</si>
  <si>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</si>
  <si>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</si>
  <si>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</si>
  <si>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</si>
  <si>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</si>
  <si>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</si>
  <si>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</si>
  <si>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</si>
  <si>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</si>
  <si>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</si>
  <si>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</si>
  <si>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</si>
  <si>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</si>
  <si>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</si>
  <si>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</si>
  <si>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</si>
  <si>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</si>
  <si>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</si>
  <si>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</si>
  <si>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</si>
  <si>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</si>
  <si>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</si>
  <si>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</si>
  <si>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</si>
  <si>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</si>
  <si>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</si>
  <si>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</si>
  <si>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</si>
  <si>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</si>
  <si>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</si>
  <si>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</si>
  <si>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</si>
  <si>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</si>
  <si>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</si>
  <si>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</si>
  <si>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</si>
  <si>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</si>
  <si>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</si>
  <si>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</si>
  <si>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</si>
  <si>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</si>
  <si>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</si>
  <si>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</si>
  <si>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</si>
  <si>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</si>
  <si>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</si>
  <si>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</si>
  <si>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</si>
  <si>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</si>
  <si>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</si>
  <si>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</si>
  <si>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</si>
  <si>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</si>
  <si>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</si>
  <si>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</si>
  <si>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</si>
  <si>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</si>
  <si>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</si>
  <si>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</si>
  <si>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</si>
  <si>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</si>
  <si>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</si>
  <si>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</si>
  <si>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</si>
  <si>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</si>
  <si>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</si>
  <si>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</si>
  <si>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</si>
  <si>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</si>
  <si>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</si>
  <si>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</si>
  <si>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</si>
  <si>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</si>
  <si>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</si>
  <si>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</si>
  <si>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</si>
  <si>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</si>
  <si>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</si>
  <si>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</si>
  <si>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</si>
  <si>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</si>
  <si>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</si>
  <si>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</si>
  <si>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</si>
  <si>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</si>
  <si>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</si>
  <si>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</si>
  <si>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</si>
  <si>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</si>
  <si>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</si>
  <si>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</si>
  <si>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</si>
  <si>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</si>
  <si>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</si>
  <si>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</si>
  <si>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</si>
  <si>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</si>
  <si>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</si>
  <si>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</si>
  <si>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</si>
  <si>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</si>
  <si>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</si>
  <si>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</si>
  <si>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</si>
  <si>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</si>
  <si>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</si>
  <si>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</si>
  <si>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</si>
  <si>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</si>
  <si>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</si>
  <si>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</si>
  <si>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</si>
  <si>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</si>
  <si>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</si>
  <si>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</si>
  <si>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</si>
  <si>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</si>
  <si>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</si>
  <si>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</si>
  <si>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</si>
  <si>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</si>
  <si>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</si>
  <si>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</si>
  <si>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</si>
  <si>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</si>
  <si>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</si>
  <si>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</si>
  <si>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</si>
  <si>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</si>
  <si>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</si>
  <si>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</si>
  <si>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</si>
  <si>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</si>
  <si>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</si>
  <si>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</si>
  <si>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</si>
  <si>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</si>
  <si>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</si>
  <si>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</si>
  <si>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</si>
  <si>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</si>
  <si>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</si>
  <si>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</si>
  <si>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</si>
  <si>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</si>
  <si>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</si>
  <si>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</si>
  <si>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</si>
  <si>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</si>
  <si>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</si>
  <si>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</si>
  <si>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</si>
  <si>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</si>
  <si>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</si>
  <si>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</si>
  <si>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</si>
  <si>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</si>
  <si>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</si>
  <si>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</si>
  <si>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</si>
  <si>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</si>
  <si>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</si>
  <si>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</si>
  <si>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</si>
  <si>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</si>
  <si>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</si>
  <si>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</si>
  <si>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</si>
  <si>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</si>
  <si>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</si>
  <si>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</si>
  <si>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</si>
  <si>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</si>
  <si>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</si>
  <si>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</si>
  <si>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</si>
  <si>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</si>
  <si>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</si>
  <si>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</si>
  <si>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</si>
  <si>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</si>
  <si>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</si>
  <si>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</si>
  <si>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</si>
  <si>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</si>
  <si>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</si>
  <si>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</si>
  <si>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</si>
  <si>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</si>
  <si>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</si>
  <si>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</si>
  <si>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</si>
  <si>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</si>
  <si>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</si>
  <si>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</si>
  <si>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</si>
  <si>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</si>
  <si>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</si>
  <si>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</si>
  <si>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</si>
  <si>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</si>
  <si>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</si>
  <si>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</si>
  <si>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</si>
  <si>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</si>
  <si>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</si>
  <si>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</si>
  <si>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</si>
  <si>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</si>
  <si>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</si>
  <si>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</si>
  <si>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</si>
  <si>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</si>
  <si>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</si>
  <si>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</si>
  <si>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</si>
  <si>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</si>
  <si>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</si>
  <si>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</si>
  <si>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</si>
  <si>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</si>
  <si>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</si>
  <si>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</si>
  <si>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</si>
  <si>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</si>
  <si>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</si>
  <si>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</si>
  <si>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</si>
  <si>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</si>
  <si>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</si>
  <si>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</si>
  <si>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</si>
  <si>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</si>
  <si>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</si>
  <si>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</si>
  <si>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</si>
  <si>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</si>
  <si>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</si>
  <si>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</si>
  <si>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</si>
  <si>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</si>
  <si>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</si>
  <si>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</si>
  <si>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</si>
  <si>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</si>
  <si>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</si>
  <si>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</si>
  <si>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</si>
  <si>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</si>
  <si>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</si>
  <si>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</si>
  <si>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</si>
  <si>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</si>
  <si>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</si>
  <si>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</si>
  <si>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</si>
  <si>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</si>
  <si>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</si>
  <si>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</si>
  <si>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</si>
  <si>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</si>
  <si>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</si>
  <si>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</si>
  <si>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</si>
  <si>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</si>
  <si>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</si>
  <si>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</si>
  <si>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</si>
  <si>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</si>
  <si>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</si>
  <si>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</si>
  <si>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</si>
  <si>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</si>
  <si>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</si>
  <si>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</si>
  <si>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</si>
  <si>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</si>
  <si>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</si>
  <si>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</si>
  <si>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</si>
  <si>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</si>
  <si>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</si>
  <si>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</si>
  <si>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</si>
  <si>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</si>
  <si>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</si>
  <si>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</si>
  <si>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</si>
  <si>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</si>
  <si>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</si>
  <si>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</si>
  <si>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</si>
  <si>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</si>
  <si>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</si>
  <si>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</si>
  <si>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</si>
  <si>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</si>
  <si>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</si>
  <si>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</si>
  <si>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</si>
  <si>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</si>
  <si>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</si>
  <si>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</si>
  <si>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</si>
  <si>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</si>
  <si>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</si>
  <si>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</si>
  <si>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</si>
  <si>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</si>
  <si>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</si>
  <si>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</si>
  <si>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</si>
  <si>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</si>
  <si>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</si>
  <si>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</si>
  <si>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</si>
  <si>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</si>
  <si>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</si>
  <si>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</si>
  <si>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</si>
  <si>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</si>
  <si>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</si>
  <si>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</si>
  <si>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</si>
  <si>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</si>
  <si>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</si>
  <si>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</si>
  <si>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</si>
  <si>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</si>
  <si>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</si>
  <si>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</si>
  <si>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</si>
  <si>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</si>
  <si>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</si>
  <si>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</si>
  <si>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</si>
  <si>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</si>
  <si>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</si>
  <si>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</si>
  <si>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</si>
  <si>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</si>
  <si>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</si>
  <si>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</si>
  <si>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</si>
  <si>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</si>
  <si>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</si>
  <si>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</si>
  <si>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</si>
  <si>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</si>
  <si>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</si>
  <si>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</si>
  <si>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</si>
  <si>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</si>
  <si>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</si>
  <si>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</si>
  <si>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</si>
  <si>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</si>
  <si>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</si>
  <si>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</si>
  <si>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</si>
  <si>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</si>
  <si>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</si>
  <si>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</si>
  <si>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</si>
  <si>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</si>
  <si>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</si>
  <si>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</si>
  <si>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</si>
  <si>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</si>
  <si>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</si>
  <si>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</si>
  <si>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</si>
  <si>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</si>
  <si>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</si>
  <si>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</si>
  <si>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</si>
  <si>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</si>
  <si>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</si>
  <si>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</si>
  <si>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</si>
  <si>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</si>
  <si>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</si>
  <si>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</si>
  <si>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</si>
  <si>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</si>
  <si>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</si>
  <si>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</si>
  <si>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</si>
  <si>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</si>
  <si>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</si>
  <si>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</si>
  <si>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</si>
  <si>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</si>
  <si>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</si>
  <si>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</si>
  <si>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</si>
  <si>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</si>
  <si>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</si>
  <si>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</si>
  <si>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</si>
  <si>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</si>
  <si>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</si>
  <si>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</si>
  <si>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</si>
  <si>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</si>
  <si>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</si>
  <si>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</si>
  <si>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</si>
  <si>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</si>
  <si>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</si>
  <si>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</si>
  <si>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</si>
  <si>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</si>
  <si>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</si>
  <si>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</si>
  <si>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</si>
  <si>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</si>
  <si>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</si>
  <si>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</si>
  <si>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</si>
  <si>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</si>
  <si>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</si>
  <si>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</si>
  <si>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</si>
  <si>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</si>
  <si>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</si>
  <si>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</si>
  <si>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</si>
  <si>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</si>
  <si>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</si>
  <si>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</si>
  <si>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</si>
  <si>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</si>
  <si>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</si>
  <si>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</si>
  <si>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</si>
  <si>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</si>
  <si>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</si>
  <si>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</si>
  <si>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</si>
  <si>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</si>
  <si>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</si>
  <si>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</si>
  <si>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</si>
  <si>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</si>
  <si>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</si>
  <si>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</si>
  <si>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</si>
  <si>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</si>
  <si>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</si>
  <si>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</si>
  <si>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</si>
  <si>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</si>
  <si>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</si>
  <si>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</si>
  <si>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</si>
  <si>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</si>
  <si>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</si>
  <si>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</si>
  <si>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</si>
  <si>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</si>
  <si>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</si>
  <si>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</si>
  <si>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</si>
  <si>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</si>
  <si>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</si>
  <si>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</si>
  <si>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</si>
  <si>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</si>
  <si>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</si>
  <si>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</si>
  <si>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</si>
  <si>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</si>
  <si>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</si>
  <si>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</si>
  <si>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</si>
  <si>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</si>
  <si>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</si>
  <si>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</si>
  <si>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</si>
  <si>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</si>
  <si>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</si>
  <si>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</si>
  <si>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</si>
  <si>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</si>
  <si>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</si>
  <si>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</si>
  <si>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</si>
  <si>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</si>
  <si>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</si>
  <si>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</si>
  <si>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</si>
  <si>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</si>
  <si>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</si>
  <si>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</si>
  <si>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</si>
  <si>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</si>
  <si>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</si>
  <si>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</si>
  <si>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</si>
  <si>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</si>
  <si>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</si>
  <si>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</si>
  <si>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</si>
  <si>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</si>
  <si>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</si>
  <si>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</si>
  <si>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</si>
  <si>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</si>
  <si>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</si>
  <si>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</si>
  <si>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</si>
  <si>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</si>
  <si>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</si>
  <si>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</si>
  <si>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</si>
  <si>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</si>
  <si>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</si>
  <si>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</si>
  <si>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</si>
  <si>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</si>
  <si>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</si>
  <si>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</si>
  <si>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</si>
  <si>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</si>
  <si>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</si>
  <si>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</si>
  <si>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</si>
  <si>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</si>
  <si>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</si>
  <si>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</si>
  <si>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</si>
  <si>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</si>
  <si>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</si>
  <si>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</si>
  <si>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</si>
  <si>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</si>
  <si>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</si>
  <si>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</si>
  <si>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</si>
  <si>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</si>
  <si>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</si>
  <si>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</si>
  <si>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</si>
  <si>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</si>
  <si>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</si>
  <si>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</si>
  <si>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</si>
  <si>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</si>
  <si>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</si>
  <si>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</si>
  <si>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</si>
  <si>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</si>
  <si>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</si>
  <si>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</si>
  <si>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</si>
  <si>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</si>
  <si>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</si>
  <si>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</si>
  <si>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</si>
  <si>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</si>
  <si>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</si>
  <si>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</si>
  <si>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</si>
  <si>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</si>
  <si>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</si>
  <si>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</si>
  <si>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</si>
  <si>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</si>
  <si>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</si>
  <si>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</si>
  <si>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</si>
  <si>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</si>
  <si>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</si>
  <si>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</si>
  <si>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</si>
  <si>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</si>
  <si>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</si>
  <si>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</si>
  <si>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</si>
  <si>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</si>
  <si>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</si>
  <si>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</si>
  <si>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</si>
  <si>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</si>
  <si>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</si>
  <si>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</si>
  <si>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</si>
  <si>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</si>
  <si>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</si>
  <si>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</si>
  <si>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</si>
  <si>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</si>
  <si>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</si>
  <si>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</si>
  <si>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</si>
  <si>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</si>
  <si>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</si>
  <si>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</si>
  <si>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</si>
  <si>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</si>
  <si>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</si>
  <si>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</si>
  <si>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</si>
  <si>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</si>
  <si>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</si>
  <si>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</si>
  <si>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</si>
  <si>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</si>
  <si>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</si>
  <si>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</si>
  <si>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</si>
  <si>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</si>
  <si>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</si>
  <si>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</si>
  <si>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</si>
  <si>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</si>
  <si>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</si>
  <si>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</si>
  <si>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</si>
  <si>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</si>
  <si>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</si>
  <si>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</si>
  <si>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</si>
  <si>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</si>
  <si>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</si>
  <si>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</si>
  <si>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</si>
  <si>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</si>
  <si>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</si>
  <si>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</si>
  <si>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</si>
  <si>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</si>
  <si>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</si>
  <si>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</si>
  <si>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</si>
  <si>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</si>
  <si>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</si>
  <si>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</si>
  <si>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</si>
  <si>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</si>
  <si>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</si>
  <si>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</si>
  <si>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</si>
  <si>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</si>
  <si>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</si>
  <si>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</si>
  <si>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</si>
  <si>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</si>
  <si>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</si>
  <si>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</si>
  <si>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</si>
  <si>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</si>
  <si>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</si>
  <si>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</si>
  <si>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</si>
  <si>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</si>
  <si>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</si>
  <si>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</si>
  <si>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</si>
  <si>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</si>
  <si>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</si>
  <si>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</si>
  <si>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</si>
  <si>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</si>
  <si>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</si>
  <si>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</si>
  <si>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</si>
  <si>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</si>
  <si>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</si>
  <si>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</si>
  <si>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</si>
  <si>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</si>
  <si>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</si>
  <si>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</si>
  <si>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</si>
  <si>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</si>
  <si>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</si>
  <si>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</si>
  <si>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</si>
  <si>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</si>
  <si>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</si>
  <si>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</si>
  <si>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</si>
  <si>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</si>
  <si>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</si>
  <si>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</si>
  <si>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</si>
  <si>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</si>
  <si>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</si>
  <si>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</si>
  <si>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</si>
  <si>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</si>
  <si>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</si>
  <si>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</si>
  <si>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</si>
  <si>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</si>
  <si>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</si>
  <si>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</si>
  <si>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</si>
  <si>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</si>
  <si>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</si>
  <si>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</si>
  <si>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</si>
  <si>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</si>
  <si>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</si>
  <si>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</si>
  <si>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</si>
  <si>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</si>
  <si>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</si>
  <si>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</si>
  <si>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</si>
  <si>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</si>
  <si>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</si>
  <si>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</si>
  <si>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</si>
  <si>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</si>
  <si>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</si>
  <si>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</si>
  <si>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</si>
  <si>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</si>
  <si>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</si>
  <si>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</si>
  <si>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</si>
  <si>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</si>
  <si>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</si>
  <si>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</si>
  <si>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</si>
  <si>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</si>
  <si>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</si>
  <si>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</si>
  <si>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</si>
  <si>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</si>
  <si>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</si>
  <si>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</si>
  <si>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</si>
  <si>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</si>
  <si>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</si>
  <si>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</si>
  <si>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</si>
  <si>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</si>
  <si>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</si>
  <si>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</si>
  <si>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</si>
  <si>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</si>
  <si>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</si>
  <si>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</si>
  <si>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</si>
  <si>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</si>
  <si>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</si>
  <si>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</si>
  <si>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</si>
  <si>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</si>
  <si>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</si>
  <si>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</si>
  <si>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</si>
  <si>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</si>
  <si>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</si>
  <si>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</si>
  <si>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</si>
  <si>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</si>
  <si>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</si>
  <si>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</si>
  <si>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</si>
  <si>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</si>
  <si>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</si>
  <si>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</si>
  <si>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</si>
  <si>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</si>
  <si>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</si>
  <si>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</si>
  <si>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</si>
  <si>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</si>
  <si>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</si>
  <si>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</si>
  <si>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</si>
  <si>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</si>
  <si>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</si>
  <si>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</si>
  <si>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</si>
  <si>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</si>
  <si>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</si>
  <si>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</si>
  <si>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</si>
  <si>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</si>
  <si>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</si>
  <si>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</si>
  <si>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</si>
  <si>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</si>
  <si>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</si>
  <si>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</si>
  <si>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</si>
  <si>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</si>
  <si>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</si>
  <si>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</si>
  <si>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</si>
  <si>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</si>
  <si>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</si>
  <si>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</si>
  <si>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</si>
  <si>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</si>
  <si>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</si>
  <si>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</si>
  <si>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</si>
  <si>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</si>
  <si>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</si>
  <si>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</si>
  <si>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</si>
  <si>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</si>
  <si>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</si>
  <si>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</si>
  <si>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</si>
  <si>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</si>
  <si>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</si>
  <si>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</si>
  <si>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</si>
  <si>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</si>
  <si>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</si>
  <si>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</si>
  <si>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</si>
  <si>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</si>
  <si>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</si>
  <si>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</si>
  <si>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</si>
  <si>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</si>
  <si>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</si>
  <si>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</si>
  <si>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</si>
  <si>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</si>
  <si>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</si>
  <si>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</si>
  <si>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</si>
  <si>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</si>
  <si>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</si>
  <si>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</si>
  <si>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</si>
  <si>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</si>
  <si>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</si>
  <si>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</si>
  <si>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</si>
  <si>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</si>
  <si>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</si>
  <si>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</si>
  <si>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</si>
  <si>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</si>
  <si>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</si>
  <si>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</si>
  <si>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</si>
  <si>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</si>
  <si>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</si>
  <si>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</si>
  <si>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</si>
  <si>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</si>
  <si>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</si>
  <si>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</si>
  <si>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</si>
  <si>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</si>
  <si>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</si>
  <si>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</si>
  <si>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</si>
  <si>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</si>
  <si>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</si>
  <si>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</si>
  <si>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</si>
  <si>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</si>
  <si>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</si>
  <si>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</si>
  <si>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</si>
  <si>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</si>
  <si>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</si>
  <si>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</si>
  <si>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</si>
  <si>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</si>
  <si>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</si>
  <si>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</si>
  <si>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</si>
  <si>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</si>
  <si>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</si>
  <si>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</si>
  <si>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</si>
  <si>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</si>
  <si>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</si>
  <si>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</si>
  <si>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</si>
  <si>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</si>
  <si>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</si>
  <si>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</si>
  <si>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</si>
  <si>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</si>
  <si>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</si>
  <si>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</si>
  <si>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</si>
  <si>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</si>
  <si>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</si>
  <si>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</si>
  <si>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</si>
  <si>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</si>
  <si>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</si>
  <si>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</si>
  <si>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</si>
  <si>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</si>
  <si>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</si>
  <si>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</si>
  <si>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</si>
  <si>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</si>
  <si>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</si>
  <si>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</si>
  <si>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</si>
  <si>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</si>
  <si>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</si>
  <si>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</si>
  <si>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</si>
  <si>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</si>
  <si>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</si>
  <si>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</si>
  <si>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</si>
  <si>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</si>
  <si>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</si>
  <si>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</si>
  <si>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</si>
  <si>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</si>
  <si>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</si>
  <si>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</si>
  <si>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</si>
  <si>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</si>
  <si>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</si>
  <si>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</si>
  <si>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</si>
  <si>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</si>
  <si>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</si>
  <si>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</si>
  <si>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</si>
  <si>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</si>
  <si>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</si>
  <si>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</si>
  <si>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</si>
  <si>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</si>
  <si>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</si>
  <si>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</si>
  <si>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</si>
  <si>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</si>
  <si>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</si>
  <si>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</si>
  <si>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</si>
  <si>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</si>
  <si>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</si>
  <si>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</si>
  <si>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</si>
  <si>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</si>
  <si>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</si>
  <si>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</si>
  <si>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</si>
  <si>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</si>
  <si>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</si>
  <si>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</si>
  <si>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</si>
  <si>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</si>
  <si>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</si>
  <si>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</si>
  <si>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</si>
  <si>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</si>
  <si>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</si>
  <si>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</si>
  <si>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</si>
  <si>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</si>
  <si>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</si>
  <si>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</si>
  <si>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</si>
  <si>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</si>
  <si>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</si>
  <si>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</si>
  <si>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</si>
  <si>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</si>
  <si>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</si>
  <si>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</si>
  <si>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</si>
  <si>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</si>
  <si>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</si>
  <si>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</si>
  <si>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</si>
  <si>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</si>
  <si>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</si>
  <si>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</si>
  <si>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</si>
  <si>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</si>
  <si>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</si>
  <si>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</si>
  <si>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</si>
  <si>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</si>
  <si>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</si>
  <si>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</si>
  <si>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</si>
  <si>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</si>
  <si>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</si>
  <si>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</si>
  <si>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</si>
  <si>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</si>
  <si>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</si>
  <si>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</si>
  <si>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</si>
  <si>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</si>
  <si>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</si>
  <si>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</si>
  <si>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</si>
  <si>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</si>
  <si>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</si>
  <si>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</si>
  <si>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</si>
  <si>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</si>
  <si>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</si>
  <si>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</si>
  <si>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</si>
  <si>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</si>
  <si>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</si>
  <si>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</si>
  <si>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</si>
  <si>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</si>
  <si>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</si>
  <si>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</si>
  <si>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</si>
  <si>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</si>
  <si>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</si>
  <si>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</si>
  <si>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</si>
  <si>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</si>
  <si>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</si>
  <si>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</si>
  <si>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</si>
  <si>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</si>
  <si>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</si>
  <si>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</si>
  <si>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</si>
  <si>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</si>
  <si>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</si>
  <si>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</si>
  <si>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</si>
  <si>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</si>
  <si>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</si>
  <si>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</si>
  <si>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</si>
  <si>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</si>
  <si>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</si>
  <si>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</si>
  <si>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</si>
  <si>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</si>
  <si>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</si>
  <si>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</si>
  <si>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</si>
  <si>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</si>
  <si>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</si>
  <si>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</si>
  <si>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</si>
  <si>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</si>
  <si>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</si>
  <si>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</si>
  <si>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</si>
  <si>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</si>
  <si>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</si>
  <si>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</si>
  <si>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</si>
  <si>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</si>
  <si>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</si>
  <si>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</si>
  <si>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</si>
  <si>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</si>
  <si>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</si>
  <si>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</si>
  <si>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</si>
  <si>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</si>
  <si>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</si>
  <si>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</si>
  <si>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</si>
  <si>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</si>
  <si>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</si>
  <si>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</si>
  <si>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</si>
  <si>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</si>
  <si>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</si>
  <si>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</si>
  <si>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</si>
  <si>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</si>
  <si>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</si>
  <si>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</si>
  <si>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</si>
  <si>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</si>
  <si>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</si>
  <si>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</si>
  <si>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</si>
  <si>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</si>
  <si>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</si>
  <si>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</si>
  <si>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</si>
  <si>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</si>
  <si>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</si>
  <si>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</si>
  <si>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</si>
  <si>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</si>
  <si>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</si>
  <si>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</si>
  <si>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</si>
  <si>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</si>
  <si>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</si>
  <si>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</si>
  <si>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</si>
  <si>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</si>
  <si>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</si>
  <si>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</si>
  <si>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</si>
  <si>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</si>
  <si>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</si>
  <si>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</si>
  <si>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</si>
  <si>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</si>
  <si>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</si>
  <si>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</si>
  <si>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</si>
  <si>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</si>
  <si>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</si>
  <si>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</si>
  <si>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</si>
  <si>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</si>
  <si>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</si>
  <si>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</si>
  <si>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</si>
  <si>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</si>
  <si>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</si>
  <si>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</si>
  <si>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</si>
  <si>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</si>
  <si>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</si>
  <si>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</si>
  <si>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</si>
  <si>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</si>
  <si>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</si>
  <si>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</si>
  <si>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</si>
  <si>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</si>
  <si>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</si>
  <si>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</si>
  <si>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</si>
  <si>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</si>
  <si>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</si>
  <si>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</si>
  <si>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</si>
  <si>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</si>
  <si>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</si>
  <si>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</si>
  <si>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</si>
  <si>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</si>
  <si>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</si>
  <si>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</si>
  <si>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</si>
  <si>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</si>
  <si>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</si>
  <si>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</si>
  <si>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</si>
  <si>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</si>
  <si>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</si>
  <si>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</si>
  <si>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</si>
  <si>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</si>
  <si>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</si>
  <si>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</si>
  <si>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</si>
  <si>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</si>
  <si>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</si>
  <si>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</si>
  <si>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</si>
  <si>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</si>
  <si>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</si>
  <si>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</si>
  <si>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</si>
  <si>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</si>
  <si>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</si>
  <si>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</si>
  <si>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</si>
  <si>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</si>
  <si>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</si>
  <si>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</si>
  <si>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</si>
  <si>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</si>
  <si>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</si>
  <si>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</si>
  <si>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</si>
  <si>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</si>
  <si>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</si>
  <si>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</si>
  <si>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</si>
  <si>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</si>
  <si>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</si>
  <si>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</si>
  <si>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</si>
  <si>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</si>
  <si>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</si>
  <si>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</si>
  <si>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</si>
  <si>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</si>
  <si>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</si>
  <si>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</si>
  <si>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</si>
  <si>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</si>
  <si>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</si>
  <si>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</si>
  <si>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</si>
  <si>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</si>
  <si>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</si>
  <si>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</si>
  <si>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</si>
  <si>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</si>
  <si>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</si>
  <si>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</si>
  <si>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</si>
  <si>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</si>
  <si>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</si>
  <si>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</si>
  <si>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</si>
  <si>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</si>
  <si>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</si>
  <si>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</si>
  <si>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</si>
  <si>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</si>
  <si>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</si>
  <si>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</si>
  <si>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</si>
  <si>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</si>
  <si>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</si>
  <si>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</si>
  <si>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</si>
  <si>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</si>
  <si>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</si>
  <si>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</si>
  <si>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</si>
  <si>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</si>
  <si>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</si>
  <si>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</si>
  <si>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</si>
  <si>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</si>
  <si>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</si>
  <si>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</si>
  <si>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</si>
  <si>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</si>
  <si>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</si>
  <si>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</si>
  <si>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</si>
  <si>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</si>
  <si>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</si>
  <si>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</si>
  <si>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</si>
  <si>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</si>
  <si>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</si>
  <si>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</si>
  <si>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</si>
  <si>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</si>
  <si>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</si>
  <si>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</si>
  <si>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</si>
  <si>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</si>
  <si>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</si>
  <si>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</si>
  <si>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</si>
  <si>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</si>
  <si>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</si>
  <si>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</si>
  <si>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</si>
  <si>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</si>
  <si>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</si>
  <si>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</si>
  <si>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</si>
  <si>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</si>
  <si>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</si>
  <si>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</si>
  <si>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</si>
  <si>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</si>
  <si>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</si>
  <si>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</si>
  <si>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</si>
  <si>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</si>
  <si>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</si>
  <si>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</si>
  <si>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</si>
  <si>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</si>
  <si>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</si>
  <si>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</si>
  <si>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</si>
  <si>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</si>
  <si>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</si>
  <si>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</si>
  <si>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</si>
  <si>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</si>
  <si>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</si>
  <si>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</si>
  <si>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</si>
  <si>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</si>
  <si>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</si>
  <si>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</si>
  <si>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</si>
  <si>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</si>
  <si>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</si>
  <si>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</si>
  <si>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</si>
  <si>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</si>
  <si>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</si>
  <si>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</si>
  <si>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</si>
  <si>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</si>
  <si>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</si>
  <si>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</si>
  <si>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</si>
  <si>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</si>
  <si>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</si>
  <si>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</si>
  <si>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</si>
  <si>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</si>
  <si>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</si>
  <si>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</si>
  <si>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</si>
  <si>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</si>
  <si>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</si>
  <si>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</si>
  <si>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</si>
  <si>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</si>
  <si>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</si>
  <si>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</si>
  <si>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</si>
  <si>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</si>
  <si>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</si>
  <si>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</si>
  <si>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</si>
  <si>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</si>
  <si>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</si>
  <si>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</si>
  <si>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</si>
  <si>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</si>
  <si>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</si>
  <si>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</si>
  <si>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</si>
  <si>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</si>
  <si>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</si>
  <si>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</si>
  <si>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</si>
  <si>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</si>
  <si>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</si>
  <si>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</si>
  <si>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</si>
  <si>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</si>
  <si>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</si>
  <si>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</si>
  <si>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</si>
  <si>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</si>
  <si>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</si>
  <si>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</si>
  <si>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</si>
  <si>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</si>
  <si>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</si>
  <si>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</si>
  <si>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</si>
  <si>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</si>
  <si>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</si>
  <si>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</si>
  <si>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</si>
  <si>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</si>
  <si>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</si>
  <si>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</si>
  <si>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</si>
  <si>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</si>
  <si>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</si>
  <si>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</si>
  <si>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</si>
  <si>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</si>
  <si>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</si>
  <si>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</si>
  <si>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</si>
  <si>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</si>
  <si>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</si>
  <si>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</si>
  <si>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</si>
  <si>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</si>
  <si>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</si>
  <si>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</si>
  <si>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</si>
  <si>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</si>
  <si>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</si>
  <si>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</si>
  <si>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</si>
  <si>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</si>
  <si>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</si>
  <si>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</si>
  <si>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</si>
  <si>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</si>
  <si>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</si>
  <si>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</si>
  <si>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</si>
  <si>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</si>
  <si>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</si>
  <si>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</si>
  <si>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</si>
  <si>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</si>
  <si>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</si>
  <si>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</si>
  <si>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</si>
  <si>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</si>
  <si>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</si>
  <si>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</si>
  <si>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</si>
  <si>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</si>
  <si>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</si>
  <si>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</si>
  <si>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</si>
  <si>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</si>
  <si>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</si>
  <si>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</si>
  <si>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</si>
  <si>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</si>
  <si>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</si>
  <si>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</si>
  <si>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</si>
  <si>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</si>
  <si>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</si>
  <si>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</si>
  <si>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</si>
  <si>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</si>
  <si>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</si>
  <si>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</si>
  <si>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</si>
  <si>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</si>
  <si>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</si>
  <si>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</si>
  <si>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</si>
  <si>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</si>
  <si>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</si>
  <si>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</si>
  <si>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</si>
  <si>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</si>
  <si>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</si>
  <si>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</si>
  <si>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</si>
  <si>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</si>
  <si>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</si>
  <si>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</si>
  <si>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</si>
  <si>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</si>
  <si>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</si>
  <si>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</si>
  <si>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</si>
  <si>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</si>
  <si>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</si>
  <si>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</si>
  <si>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</si>
  <si>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</si>
  <si>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Dia desde ingreso de escrito hasta la fecha de audiencia</t>
  </si>
  <si>
    <t>Promedio diario en el mes</t>
  </si>
  <si>
    <t>Septiembre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</si>
</sst>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4"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sz val="9"/>
      <color rgb="FF2E8B57"/>
      <name val="Courier New"/>
      <family val="3"/>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2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0" fontId="47" fillId="0" borderId="0" xfId="0" applyFont="1"/>
    <xf numFmtId="14" fontId="2" fillId="4" borderId="12"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49" fontId="2" fillId="0" borderId="2"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2" fillId="10" borderId="0" xfId="0" applyFont="1" applyFill="1" applyBorder="1" applyAlignment="1">
      <alignment horizontal="center" vertical="center" wrapText="1"/>
    </xf>
    <xf numFmtId="0" fontId="34" fillId="4" borderId="2" xfId="0" applyFont="1" applyFill="1" applyBorder="1"/>
    <xf numFmtId="0" fontId="10" fillId="4" borderId="0" xfId="0" applyFont="1" applyFill="1" applyBorder="1" applyAlignment="1">
      <alignment horizontal="center" vertical="center" wrapText="1"/>
    </xf>
    <xf numFmtId="0" fontId="43" fillId="4" borderId="1"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0" fillId="4" borderId="2" xfId="0"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57150</xdr:rowOff>
        </xdr:from>
        <xdr:to>
          <xdr:col>8</xdr:col>
          <xdr:colOff>438150</xdr:colOff>
          <xdr:row>3</xdr:row>
          <xdr:rowOff>19050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5.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977"/>
  <sheetViews>
    <sheetView showGridLines="0" tabSelected="1" zoomScale="60" zoomScaleNormal="6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72                                      -                 37</v>
      </c>
      <c r="C1" s="233">
        <f ca="1" xml:space="preserve"> COUNTIF(O:O,"SI")</f>
        <v>793</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3460</v>
      </c>
    </row>
    <row r="3" spans="1:29" ht="5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6"/>
    </row>
    <row r="4" spans="1:29" ht="64.5"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6"/>
    </row>
    <row r="6" spans="1:29" ht="38.25"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6"/>
    </row>
    <row r="7" spans="1:29" ht="38.25"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6"/>
    </row>
    <row r="8" spans="1:29" ht="25.5"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6"/>
    </row>
    <row r="9" spans="1:29" ht="25.5"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6"/>
    </row>
    <row r="10" spans="1:29" ht="25.5"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6"/>
    </row>
    <row r="11" spans="1:29" ht="63.75"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6"/>
    </row>
    <row r="12" spans="1:29" ht="5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6"/>
    </row>
    <row r="13" spans="1:29" ht="25.5"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6"/>
    </row>
    <row r="14" spans="1:29" ht="25.5"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6"/>
    </row>
    <row r="15" spans="1:29" ht="5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6"/>
    </row>
    <row r="16" spans="1:29" ht="76.5"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6"/>
    </row>
    <row r="17" spans="1:29" ht="63.75"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6"/>
    </row>
    <row r="18" spans="1:29" ht="25.5"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6"/>
    </row>
    <row r="19" spans="1:29" ht="5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6"/>
    </row>
    <row r="20" spans="1:29" ht="76.5"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6"/>
    </row>
    <row r="21" spans="1:29" ht="25.5"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6"/>
    </row>
    <row r="22" spans="1:29" ht="25.5"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6"/>
    </row>
    <row r="23" spans="1:29" ht="38.25" x14ac:dyDescent="0.2">
      <c r="A23" s="6">
        <v>20</v>
      </c>
      <c r="B23" s="5">
        <v>44986</v>
      </c>
      <c r="C23" s="391">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6"/>
    </row>
    <row r="24" spans="1:29" ht="38.25" x14ac:dyDescent="0.2">
      <c r="A24" s="6">
        <v>21</v>
      </c>
      <c r="B24" s="5">
        <v>44986</v>
      </c>
      <c r="C24" s="391">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6"/>
    </row>
    <row r="25" spans="1:29" ht="38.25" x14ac:dyDescent="0.2">
      <c r="A25" s="6">
        <v>22</v>
      </c>
      <c r="B25" s="5">
        <v>44987</v>
      </c>
      <c r="C25" s="391">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6"/>
    </row>
    <row r="26" spans="1:29" ht="63.75"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6"/>
    </row>
    <row r="27" spans="1:29" ht="5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6"/>
    </row>
    <row r="28" spans="1:29" ht="25.5" x14ac:dyDescent="0.2">
      <c r="A28" s="6">
        <v>25</v>
      </c>
      <c r="B28" s="5">
        <v>44986</v>
      </c>
      <c r="C28" s="391">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6"/>
    </row>
    <row r="29" spans="1:29" ht="51" x14ac:dyDescent="0.2">
      <c r="A29" s="6">
        <v>26</v>
      </c>
      <c r="B29" s="5">
        <v>44992</v>
      </c>
      <c r="C29" s="391">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6"/>
    </row>
    <row r="30" spans="1:29" ht="38.25"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6"/>
    </row>
    <row r="31" spans="1:29" ht="51" x14ac:dyDescent="0.2">
      <c r="A31" s="6">
        <v>28</v>
      </c>
      <c r="B31" s="5">
        <v>44987</v>
      </c>
      <c r="C31" s="391"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6"/>
    </row>
    <row r="32" spans="1:29" ht="5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6"/>
    </row>
    <row r="33" spans="1:29" ht="51" x14ac:dyDescent="0.2">
      <c r="A33" s="6">
        <v>30</v>
      </c>
      <c r="B33" s="5">
        <v>44987</v>
      </c>
      <c r="C33" s="391">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6"/>
    </row>
    <row r="34" spans="1:29" ht="89.25"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6"/>
    </row>
    <row r="35" spans="1:29" ht="89.25"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6"/>
    </row>
    <row r="36" spans="1:29" ht="5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6"/>
    </row>
    <row r="37" spans="1:29" ht="5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6"/>
    </row>
    <row r="38" spans="1:29" ht="5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6"/>
    </row>
    <row r="39" spans="1:29" ht="5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6"/>
    </row>
    <row r="40" spans="1:29" ht="38.25"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6"/>
    </row>
    <row r="41" spans="1:29" ht="76.5"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6"/>
    </row>
    <row r="42" spans="1:29" ht="63.75"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6"/>
    </row>
    <row r="43" spans="1:29" ht="25.5"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6"/>
    </row>
    <row r="44" spans="1:29" ht="38.25"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6"/>
    </row>
    <row r="45" spans="1:29" ht="76.5"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6"/>
    </row>
    <row r="46" spans="1:29" ht="38.25"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6"/>
    </row>
    <row r="47" spans="1:29" ht="63.75"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6"/>
    </row>
    <row r="48" spans="1:29" ht="5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6"/>
    </row>
    <row r="49" spans="1:29" ht="25.5"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6"/>
    </row>
    <row r="50" spans="1:29" ht="5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6"/>
    </row>
    <row r="51" spans="1:29" ht="5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6"/>
    </row>
    <row r="52" spans="1:29" ht="5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6"/>
    </row>
    <row r="53" spans="1:29" ht="38.25"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6"/>
    </row>
    <row r="54" spans="1:29" ht="38.25"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6"/>
    </row>
    <row r="55" spans="1:29" ht="25.5"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6"/>
    </row>
    <row r="56" spans="1:29" ht="5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6"/>
    </row>
    <row r="57" spans="1:29" ht="89.25"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6"/>
    </row>
    <row r="58" spans="1:29" ht="63.75"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6"/>
    </row>
    <row r="59" spans="1:29" ht="63.75"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6"/>
    </row>
    <row r="60" spans="1:29" ht="25.5"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6"/>
    </row>
    <row r="61" spans="1:29" ht="38.25"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6"/>
    </row>
    <row r="62" spans="1:29" ht="63.75"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6"/>
    </row>
    <row r="63" spans="1:29" ht="76.5"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6"/>
    </row>
    <row r="64" spans="1:29" ht="5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6"/>
    </row>
    <row r="65" spans="1:29" ht="63.75"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6"/>
    </row>
    <row r="66" spans="1:29" ht="25.5"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6"/>
    </row>
    <row r="67" spans="1:29" ht="5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6"/>
    </row>
    <row r="68" spans="1:29" ht="38.25"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6"/>
    </row>
    <row r="69" spans="1:29" ht="38.25"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6"/>
    </row>
    <row r="70" spans="1:29" ht="89.25"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6"/>
    </row>
    <row r="71" spans="1:29" ht="63.75"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6"/>
    </row>
    <row r="72" spans="1:29" ht="38.25"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6"/>
    </row>
    <row r="73" spans="1:29" ht="25.5"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6"/>
    </row>
    <row r="74" spans="1:29" ht="5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6"/>
    </row>
    <row r="75" spans="1:29" ht="63.75"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6"/>
    </row>
    <row r="76" spans="1:29" ht="38.25"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6"/>
    </row>
    <row r="77" spans="1:29" ht="76.5"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6"/>
    </row>
    <row r="78" spans="1:29" ht="38.25"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6"/>
    </row>
    <row r="79" spans="1:29" ht="25.5"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6"/>
    </row>
    <row r="80" spans="1:29" ht="89.25"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6"/>
    </row>
    <row r="81" spans="1:29" ht="38.25"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6"/>
    </row>
    <row r="82" spans="1:29" ht="89.25"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6"/>
    </row>
    <row r="83" spans="1:29" ht="5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6"/>
    </row>
    <row r="84" spans="1:29" ht="38.25"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6"/>
    </row>
    <row r="85" spans="1:29" ht="38.25"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6"/>
    </row>
    <row r="86" spans="1:29" ht="25.5"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6"/>
    </row>
    <row r="87" spans="1:29" ht="38.25"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6"/>
    </row>
    <row r="88" spans="1:29" ht="95.25"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6"/>
    </row>
    <row r="89" spans="1:29" ht="76.5"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6"/>
    </row>
    <row r="90" spans="1:29" ht="46.5"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6"/>
    </row>
    <row r="91" spans="1:29" ht="25.5"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6"/>
    </row>
    <row r="92" spans="1:29" ht="76.5"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6"/>
    </row>
    <row r="93" spans="1:29" s="7" customFormat="1" ht="25.5"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6"/>
    </row>
    <row r="94" spans="1:29" ht="76.5"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6"/>
    </row>
    <row r="96" spans="1:29" ht="76.5"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6"/>
    </row>
    <row r="98" spans="1:29" ht="25.5"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6"/>
    </row>
    <row r="99" spans="1:29" ht="38.25"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6"/>
    </row>
    <row r="100" spans="1:29" ht="38.25"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6"/>
    </row>
    <row r="101" spans="1:29" ht="38.25"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6"/>
    </row>
    <row r="102" spans="1:29" ht="63.75"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6"/>
    </row>
    <row r="103" spans="1:29" ht="5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6"/>
    </row>
    <row r="104" spans="1:29" ht="38.25"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6"/>
    </row>
    <row r="105" spans="1:29" ht="38.25"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6"/>
    </row>
    <row r="106" spans="1:29" ht="5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6"/>
    </row>
    <row r="107" spans="1:29" ht="63.75"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6"/>
    </row>
    <row r="108" spans="1:29" ht="5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6"/>
    </row>
    <row r="109" spans="1:29" ht="38.25"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6"/>
    </row>
    <row r="110" spans="1:29" ht="38.25"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6"/>
    </row>
    <row r="111" spans="1:29" ht="76.5"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6"/>
    </row>
    <row r="112" spans="1:29" ht="38.25"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6"/>
    </row>
    <row r="113" spans="1:29" ht="5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6"/>
    </row>
    <row r="114" spans="1:29" ht="38.25"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6"/>
    </row>
    <row r="115" spans="1:29" ht="38.25"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6"/>
    </row>
    <row r="116" spans="1:29" ht="63.75"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6"/>
    </row>
    <row r="117" spans="1:29" ht="38.25"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6"/>
    </row>
    <row r="118" spans="1:29" ht="38.25"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6"/>
    </row>
    <row r="119" spans="1:29" ht="89.25"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6"/>
    </row>
    <row r="120" spans="1:29" ht="38.25"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6"/>
    </row>
    <row r="121" spans="1:29" ht="38.25"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6"/>
    </row>
    <row r="122" spans="1:29" ht="38.25"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6"/>
    </row>
    <row r="123" spans="1:29" ht="5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6"/>
    </row>
    <row r="124" spans="1:29" ht="38.25"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6"/>
    </row>
    <row r="125" spans="1:29" ht="5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6"/>
    </row>
    <row r="126" spans="1:29" ht="102"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6"/>
    </row>
    <row r="127" spans="1:29" ht="5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6"/>
    </row>
    <row r="128" spans="1:29" ht="5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6"/>
    </row>
    <row r="129" spans="1:29" ht="38.25"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6"/>
    </row>
    <row r="130" spans="1:29" ht="25.5"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6"/>
    </row>
    <row r="131" spans="1:29" ht="63.75"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6"/>
    </row>
    <row r="132" spans="1:29" ht="38.25"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6"/>
    </row>
    <row r="133" spans="1:29" ht="63.75"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6"/>
    </row>
    <row r="134" spans="1:29" ht="38.25"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6"/>
    </row>
    <row r="135" spans="1:29" ht="25.5"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6"/>
    </row>
    <row r="136" spans="1:29" ht="25.5"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6"/>
    </row>
    <row r="137" spans="1:29" ht="38.25" x14ac:dyDescent="0.2">
      <c r="A137" s="6">
        <v>134</v>
      </c>
      <c r="B137" s="18">
        <v>45030</v>
      </c>
      <c r="C137" s="14">
        <v>0.45833333333333331</v>
      </c>
      <c r="D137" s="6" t="s">
        <v>379</v>
      </c>
      <c r="E137" s="40" t="s">
        <v>381</v>
      </c>
      <c r="F137" s="6">
        <v>4</v>
      </c>
      <c r="G137" s="6" t="s">
        <v>32</v>
      </c>
      <c r="H137" s="18">
        <v>45036</v>
      </c>
      <c r="I137" s="6" t="s">
        <v>989</v>
      </c>
      <c r="J137" s="18" t="s">
        <v>33</v>
      </c>
      <c r="K137" s="6">
        <f>IFERROR(VLOOKUP(J137,Jueces!$A$1:$B$11,2,FALSE),"")</f>
        <v>4</v>
      </c>
      <c r="L137" s="6" t="s">
        <v>380</v>
      </c>
      <c r="M137" s="6" t="s">
        <v>695</v>
      </c>
      <c r="N137" s="6" t="s">
        <v>577</v>
      </c>
      <c r="O137" s="49" t="str">
        <f t="shared" ca="1" si="8"/>
        <v>SI</v>
      </c>
      <c r="P137" s="49" t="str">
        <f t="shared" si="9"/>
        <v>DIANOSOL</v>
      </c>
      <c r="Q137" s="6" t="s">
        <v>151</v>
      </c>
      <c r="R137" s="6" t="str">
        <f>VLOOKUP($Q137,Resultados!$A$1:$B$49,2,FALSE)</f>
        <v>Prisión Preventiva</v>
      </c>
      <c r="S137" s="6"/>
      <c r="T137" s="71" t="str">
        <f t="shared" si="10"/>
        <v>NO</v>
      </c>
      <c r="U137" s="71">
        <f t="shared" si="11"/>
        <v>4</v>
      </c>
      <c r="V137" s="6"/>
      <c r="W137" s="6"/>
      <c r="X137" s="6"/>
      <c r="Y137" s="6"/>
      <c r="Z137" s="71"/>
      <c r="AA137" s="71"/>
      <c r="AB137" s="71"/>
      <c r="AC137" s="366"/>
    </row>
    <row r="138" spans="1:29" ht="63.75" x14ac:dyDescent="0.2">
      <c r="A138" s="6">
        <v>135</v>
      </c>
      <c r="B138" s="18">
        <v>45012</v>
      </c>
      <c r="C138" s="14">
        <v>0.5</v>
      </c>
      <c r="D138" s="6" t="s">
        <v>522</v>
      </c>
      <c r="E138" s="40" t="s">
        <v>524</v>
      </c>
      <c r="F138" s="6">
        <v>4</v>
      </c>
      <c r="G138" s="6" t="s">
        <v>283</v>
      </c>
      <c r="H138" s="18">
        <v>45036</v>
      </c>
      <c r="I138" s="6" t="s">
        <v>73</v>
      </c>
      <c r="J138" s="18" t="s">
        <v>78</v>
      </c>
      <c r="K138" s="6">
        <f>IFERROR(VLOOKUP(J138,Jueces!$A$1:$B$11,2,FALSE),"")</f>
        <v>8</v>
      </c>
      <c r="L138" s="6" t="s">
        <v>313</v>
      </c>
      <c r="M138" s="6" t="s">
        <v>695</v>
      </c>
      <c r="N138" s="6" t="s">
        <v>664</v>
      </c>
      <c r="O138" s="49" t="str">
        <f t="shared" ca="1" si="8"/>
        <v>SI</v>
      </c>
      <c r="P138" s="49" t="str">
        <f t="shared" si="9"/>
        <v>DIANOSOL</v>
      </c>
      <c r="Q138" s="6" t="s">
        <v>899</v>
      </c>
      <c r="R138" s="6" t="str">
        <f>VLOOKUP($Q138,Resultados!$A$1:$B$49,2,FALSE)</f>
        <v>Libertad</v>
      </c>
      <c r="S138" s="6"/>
      <c r="T138" s="71" t="str">
        <f t="shared" si="10"/>
        <v>NO</v>
      </c>
      <c r="U138" s="71">
        <f t="shared" si="11"/>
        <v>4</v>
      </c>
      <c r="V138" s="6"/>
      <c r="W138" s="6"/>
      <c r="X138" s="6"/>
      <c r="Y138" s="6"/>
      <c r="Z138" s="71"/>
      <c r="AA138" s="71"/>
      <c r="AB138" s="71"/>
      <c r="AC138" s="366"/>
    </row>
    <row r="139" spans="1:29" ht="25.5" x14ac:dyDescent="0.2">
      <c r="A139" s="6">
        <v>136</v>
      </c>
      <c r="B139" s="18">
        <v>45014</v>
      </c>
      <c r="C139" s="14">
        <v>0.33333333333333331</v>
      </c>
      <c r="D139" s="6" t="s">
        <v>555</v>
      </c>
      <c r="E139" s="40" t="s">
        <v>557</v>
      </c>
      <c r="F139" s="6">
        <v>4</v>
      </c>
      <c r="G139" s="6" t="s">
        <v>568</v>
      </c>
      <c r="H139" s="18">
        <v>45036</v>
      </c>
      <c r="I139" s="6" t="s">
        <v>73</v>
      </c>
      <c r="J139" s="18" t="s">
        <v>33</v>
      </c>
      <c r="K139" s="6">
        <f>IFERROR(VLOOKUP(J139,Jueces!$A$1:$B$11,2,FALSE),"")</f>
        <v>4</v>
      </c>
      <c r="L139" s="6" t="s">
        <v>366</v>
      </c>
      <c r="M139" s="6" t="s">
        <v>690</v>
      </c>
      <c r="N139" s="6" t="s">
        <v>663</v>
      </c>
      <c r="O139" s="49" t="str">
        <f t="shared" ca="1" si="8"/>
        <v>SI</v>
      </c>
      <c r="P139" s="49" t="str">
        <f t="shared" si="9"/>
        <v>DIANOSOL</v>
      </c>
      <c r="Q139" s="6" t="s">
        <v>904</v>
      </c>
      <c r="R139" s="6" t="str">
        <f>VLOOKUP($Q139,Resultados!$A$1:$B$49,2,FALSE)</f>
        <v>Juicio Abreviado</v>
      </c>
      <c r="S139" s="6"/>
      <c r="T139" s="71" t="str">
        <f t="shared" si="10"/>
        <v>NO</v>
      </c>
      <c r="U139" s="71">
        <f t="shared" si="11"/>
        <v>4</v>
      </c>
      <c r="V139" s="6"/>
      <c r="W139" s="6"/>
      <c r="X139" s="6"/>
      <c r="Y139" s="6"/>
      <c r="Z139" s="71"/>
      <c r="AA139" s="71"/>
      <c r="AB139" s="71"/>
      <c r="AC139" s="366"/>
    </row>
    <row r="140" spans="1:29" ht="38.25"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6"/>
    </row>
    <row r="141" spans="1:29" ht="5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6"/>
    </row>
    <row r="142" spans="1:29" ht="38.25"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6"/>
    </row>
    <row r="143" spans="1:29" ht="5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6"/>
    </row>
    <row r="144" spans="1:29" ht="63.75"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6"/>
    </row>
    <row r="145" spans="1:29" ht="63.75"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6"/>
    </row>
    <row r="146" spans="1:29" ht="89.25"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6"/>
    </row>
    <row r="147" spans="1:29" ht="63.75"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6"/>
    </row>
    <row r="148" spans="1:29" ht="153"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6"/>
    </row>
    <row r="149" spans="1:29" ht="76.5"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6"/>
    </row>
    <row r="150" spans="1:29" ht="76.5"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6"/>
    </row>
    <row r="151" spans="1:29" ht="76.5"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6"/>
    </row>
    <row r="152" spans="1:29" ht="25.5"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6"/>
    </row>
    <row r="153" spans="1:29" ht="5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6"/>
    </row>
    <row r="154" spans="1:29" ht="5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6"/>
    </row>
    <row r="155" spans="1:29" ht="63.75"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6"/>
    </row>
    <row r="156" spans="1:29" ht="63.75"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6"/>
    </row>
    <row r="157" spans="1:29" ht="102"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6"/>
    </row>
    <row r="158" spans="1:29" ht="63.75"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6"/>
    </row>
    <row r="159" spans="1:29" ht="38.25"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6"/>
    </row>
    <row r="160" spans="1:29" ht="5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6"/>
    </row>
    <row r="161" spans="1:29" ht="5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6"/>
    </row>
    <row r="162" spans="1:29" ht="63.75"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6"/>
    </row>
    <row r="163" spans="1:29" ht="5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6"/>
    </row>
    <row r="164" spans="1:29" ht="5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6"/>
    </row>
    <row r="165" spans="1:29" ht="38.25"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6"/>
    </row>
    <row r="166" spans="1:29" ht="89.25"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6"/>
    </row>
    <row r="167" spans="1:29" ht="25.5"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6"/>
    </row>
    <row r="168" spans="1:29" ht="25.5"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6"/>
    </row>
    <row r="169" spans="1:29" ht="25.5"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6"/>
    </row>
    <row r="170" spans="1:29" ht="25.5"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6"/>
    </row>
    <row r="171" spans="1:29" ht="25.5"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6"/>
    </row>
    <row r="172" spans="1:29" ht="25.5"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6"/>
    </row>
    <row r="173" spans="1:29" ht="25.5"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6"/>
    </row>
    <row r="174" spans="1:29" ht="63.75"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6"/>
    </row>
    <row r="175" spans="1:29" ht="25.5"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6"/>
    </row>
    <row r="176" spans="1:29" ht="76.5"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6"/>
    </row>
    <row r="177" spans="1:29" ht="38.25"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6"/>
    </row>
    <row r="178" spans="1:29" ht="89.25"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6"/>
    </row>
    <row r="179" spans="1:29" ht="25.5"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6"/>
    </row>
    <row r="180" spans="1:29" ht="25.5"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6"/>
    </row>
    <row r="181" spans="1:29" ht="38.25"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6"/>
    </row>
    <row r="182" spans="1:29" ht="25.5"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6"/>
    </row>
    <row r="183" spans="1:29" ht="25.5"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6"/>
    </row>
    <row r="184" spans="1:29" ht="5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6"/>
    </row>
    <row r="185" spans="1:29" ht="25.5"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6"/>
    </row>
    <row r="186" spans="1:29" ht="5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6"/>
    </row>
    <row r="187" spans="1:29" ht="38.25"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6"/>
    </row>
    <row r="188" spans="1:29" ht="5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6"/>
    </row>
    <row r="189" spans="1:29" ht="5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6"/>
    </row>
    <row r="190" spans="1:29" ht="38.25"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6"/>
    </row>
    <row r="191" spans="1:29" ht="127.5"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6"/>
    </row>
    <row r="192" spans="1:29" ht="63.75"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6"/>
    </row>
    <row r="193" spans="1:29" ht="25.5"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6"/>
    </row>
    <row r="194" spans="1:29" ht="165.75"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6"/>
    </row>
    <row r="195" spans="1:29" ht="25.5"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6"/>
    </row>
    <row r="196" spans="1:29" ht="63.75"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6"/>
    </row>
    <row r="197" spans="1:29" ht="25.5"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6"/>
    </row>
    <row r="198" spans="1:29" ht="38.25"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6"/>
    </row>
    <row r="199" spans="1:29" ht="38.25"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6"/>
    </row>
    <row r="200" spans="1:29" ht="5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6"/>
    </row>
    <row r="201" spans="1:29" ht="25.5"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6"/>
    </row>
    <row r="202" spans="1:29" ht="89.25"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6"/>
    </row>
    <row r="203" spans="1:29" ht="5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6"/>
    </row>
    <row r="204" spans="1:29" ht="140.25"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6"/>
    </row>
    <row r="205" spans="1:29" ht="38.25"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6"/>
    </row>
    <row r="206" spans="1:29" ht="25.5"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6"/>
    </row>
    <row r="207" spans="1:29" ht="51" outlineLevel="1" x14ac:dyDescent="0.2">
      <c r="A207" s="6">
        <v>204</v>
      </c>
      <c r="B207" s="68">
        <v>43963</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6"/>
    </row>
    <row r="208" spans="1:29" ht="38.25"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6"/>
    </row>
    <row r="209" spans="1:29" ht="38.25"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6"/>
    </row>
    <row r="210" spans="1:29" ht="25.5"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6"/>
    </row>
    <row r="211" spans="1:29" ht="5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6"/>
    </row>
    <row r="212" spans="1:29" ht="63.75"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6"/>
    </row>
    <row r="213" spans="1:29" ht="5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6"/>
    </row>
    <row r="214" spans="1:29" ht="38.25"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6"/>
    </row>
    <row r="215" spans="1:29" ht="5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6"/>
    </row>
    <row r="216" spans="1:29" ht="25.5"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6"/>
    </row>
    <row r="217" spans="1:29" ht="5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6"/>
    </row>
    <row r="218" spans="1:29" ht="38.25"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6"/>
    </row>
    <row r="219" spans="1:29" ht="5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6"/>
    </row>
    <row r="220" spans="1:29" ht="76.5"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6"/>
    </row>
    <row r="221" spans="1:29" ht="25.5"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6"/>
    </row>
    <row r="222" spans="1:29" ht="89.25"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6"/>
    </row>
    <row r="223" spans="1:29" ht="38.25"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6"/>
    </row>
    <row r="224" spans="1:29" ht="5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6"/>
    </row>
    <row r="225" spans="1:29" ht="5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6"/>
    </row>
    <row r="226" spans="1:29" ht="5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6"/>
    </row>
    <row r="227" spans="1:29" ht="63.75"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6"/>
    </row>
    <row r="228" spans="1:29" ht="5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6"/>
    </row>
    <row r="229" spans="1:29" ht="5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6"/>
    </row>
    <row r="230" spans="1:29" ht="5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6"/>
    </row>
    <row r="231" spans="1:29" ht="25.5"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6"/>
    </row>
    <row r="232" spans="1:29" ht="5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6"/>
    </row>
    <row r="233" spans="1:29" ht="63.75"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6"/>
    </row>
    <row r="234" spans="1:29" ht="5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6"/>
    </row>
    <row r="235" spans="1:29" ht="38.25"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6"/>
    </row>
    <row r="236" spans="1:29" ht="38.25"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6"/>
    </row>
    <row r="237" spans="1:29" ht="38.25"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6"/>
    </row>
    <row r="238" spans="1:29" ht="38.25"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98"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6"/>
    </row>
    <row r="239" spans="1:29" ht="76.5"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6"/>
    </row>
    <row r="240" spans="1:29" ht="5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99" t="str">
        <f t="shared" si="17"/>
        <v>NO</v>
      </c>
      <c r="U240" s="399"/>
      <c r="V240" s="56"/>
      <c r="W240" s="66"/>
      <c r="X240" s="66" t="s">
        <v>1208</v>
      </c>
      <c r="Y240" s="66"/>
      <c r="Z240" s="121"/>
      <c r="AA240" s="279"/>
      <c r="AB240" s="330"/>
      <c r="AC240" s="366"/>
    </row>
    <row r="241" spans="1:29" ht="38.25"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6"/>
    </row>
    <row r="242" spans="1:29" ht="5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6"/>
    </row>
    <row r="243" spans="1:29" ht="63.75"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6"/>
    </row>
    <row r="244" spans="1:29" ht="76.5"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6"/>
    </row>
    <row r="245" spans="1:29" ht="38.25"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6"/>
    </row>
    <row r="246" spans="1:29" ht="5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6"/>
    </row>
    <row r="247" spans="1:29" ht="25.5"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6"/>
    </row>
    <row r="248" spans="1:29" ht="63.75"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6"/>
    </row>
    <row r="249" spans="1:29" ht="5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6"/>
    </row>
    <row r="250" spans="1:29" ht="38.25"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6"/>
    </row>
    <row r="251" spans="1:29" ht="38.25"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6"/>
    </row>
    <row r="252" spans="1:29" ht="38.25"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6"/>
    </row>
    <row r="253" spans="1:29" ht="5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6"/>
    </row>
    <row r="254" spans="1:29" ht="76.5"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6"/>
    </row>
    <row r="255" spans="1:29" ht="25.5"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6"/>
    </row>
    <row r="256" spans="1:29" ht="5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8"/>
      <c r="AB256" s="279" t="s">
        <v>1174</v>
      </c>
      <c r="AC256" s="366"/>
    </row>
    <row r="257" spans="1:29" ht="89.25"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6"/>
    </row>
    <row r="258" spans="1:29" ht="38.25"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6"/>
    </row>
    <row r="259" spans="1:29" ht="5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6"/>
    </row>
    <row r="260" spans="1:29" ht="38.25"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6"/>
    </row>
    <row r="261" spans="1:29" ht="5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6"/>
    </row>
    <row r="262" spans="1:29" ht="38.25"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6"/>
    </row>
    <row r="263" spans="1:29" ht="89.25"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6"/>
    </row>
    <row r="264" spans="1:29" ht="25.5"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404" t="s">
        <v>748</v>
      </c>
      <c r="AA264" s="121" t="s">
        <v>743</v>
      </c>
      <c r="AB264" s="279" t="s">
        <v>1175</v>
      </c>
      <c r="AC264" s="366"/>
    </row>
    <row r="265" spans="1:29" ht="38.25" outlineLevel="1" x14ac:dyDescent="0.2">
      <c r="A265" s="6">
        <v>263</v>
      </c>
      <c r="B265" s="18">
        <v>45098</v>
      </c>
      <c r="C265" s="14">
        <v>0.38263888888888892</v>
      </c>
      <c r="D265" s="6" t="s">
        <v>1213</v>
      </c>
      <c r="E265" s="40" t="s">
        <v>1426</v>
      </c>
      <c r="F265" s="386">
        <v>2</v>
      </c>
      <c r="G265" s="18" t="s">
        <v>43</v>
      </c>
      <c r="H265" s="18">
        <v>45106</v>
      </c>
      <c r="I265" s="18" t="s">
        <v>1086</v>
      </c>
      <c r="J265" s="18" t="s">
        <v>1221</v>
      </c>
      <c r="K265" s="386">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6"/>
    </row>
    <row r="266" spans="1:29" ht="5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6"/>
    </row>
    <row r="267" spans="1:29" ht="38.25"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6"/>
    </row>
    <row r="268" spans="1:29" ht="63.75"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6"/>
    </row>
    <row r="269" spans="1:29" ht="5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6"/>
    </row>
    <row r="270" spans="1:29" ht="38.25"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6"/>
    </row>
    <row r="271" spans="1:29" ht="5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6"/>
    </row>
    <row r="272" spans="1:29" ht="25.5"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6"/>
    </row>
    <row r="273" spans="1:29" ht="5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6"/>
    </row>
    <row r="274" spans="1:29" ht="38.25"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6"/>
    </row>
    <row r="275" spans="1:29" ht="38.25"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6"/>
    </row>
    <row r="276" spans="1:29" ht="63.75"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73"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6"/>
    </row>
    <row r="277" spans="1:29" ht="63.75"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6"/>
    </row>
    <row r="278" spans="1:29" ht="38.25"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6"/>
    </row>
    <row r="279" spans="1:29" ht="5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6"/>
    </row>
    <row r="280" spans="1:29" ht="38.25"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6"/>
    </row>
    <row r="281" spans="1:29" ht="25.5"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6"/>
    </row>
    <row r="282" spans="1:29" ht="5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6"/>
    </row>
    <row r="283" spans="1:29" ht="38.25"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6"/>
    </row>
    <row r="284" spans="1:29" ht="38.25"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6"/>
    </row>
    <row r="285" spans="1:29" ht="38.25"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6"/>
    </row>
    <row r="286" spans="1:29" ht="76.5"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6"/>
    </row>
    <row r="287" spans="1:29" ht="5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6"/>
    </row>
    <row r="288" spans="1:29" ht="38.25"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6"/>
    </row>
    <row r="289" spans="1:29" ht="63.75"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6"/>
    </row>
    <row r="290" spans="1:29" ht="89.25"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6"/>
    </row>
    <row r="291" spans="1:29" ht="89.25"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6"/>
    </row>
    <row r="292" spans="1:29" ht="63.75"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6"/>
    </row>
    <row r="293" spans="1:29" ht="63.75"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6"/>
    </row>
    <row r="294" spans="1:29" ht="89.25"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6"/>
    </row>
    <row r="295" spans="1:29" ht="38.25"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6"/>
    </row>
    <row r="296" spans="1:29" ht="38.25"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6"/>
    </row>
    <row r="297" spans="1:29" ht="89.25"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6"/>
    </row>
    <row r="298" spans="1:29" ht="63.75"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6"/>
    </row>
    <row r="299" spans="1:29" ht="5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6"/>
    </row>
    <row r="300" spans="1:29" ht="38.25"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6"/>
    </row>
    <row r="301" spans="1:29" ht="38.25"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6"/>
    </row>
    <row r="302" spans="1:29" ht="114.75"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6"/>
    </row>
    <row r="303" spans="1:29" ht="25.5"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6"/>
    </row>
    <row r="304" spans="1:29" ht="25.5"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6"/>
    </row>
    <row r="305" spans="1:29" ht="38.25"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6"/>
    </row>
    <row r="306" spans="1:29" ht="38.25"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6"/>
    </row>
    <row r="307" spans="1:29" ht="102"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6"/>
    </row>
    <row r="308" spans="1:29" ht="38.25"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6"/>
    </row>
    <row r="309" spans="1:29" ht="38.25"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6"/>
    </row>
    <row r="310" spans="1:29" ht="38.25"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6"/>
    </row>
    <row r="311" spans="1:29" ht="5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6"/>
    </row>
    <row r="312" spans="1:29" ht="89.25"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6"/>
    </row>
    <row r="313" spans="1:29" ht="38.25"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6"/>
    </row>
    <row r="314" spans="1:29" ht="191.25"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6"/>
    </row>
    <row r="315" spans="1:29" ht="38.25"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6"/>
    </row>
    <row r="316" spans="1:29" ht="5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7" t="s">
        <v>1311</v>
      </c>
      <c r="Y316" s="66"/>
      <c r="Z316" s="121" t="s">
        <v>770</v>
      </c>
      <c r="AA316" s="121" t="s">
        <v>1171</v>
      </c>
      <c r="AB316" s="121" t="s">
        <v>1175</v>
      </c>
      <c r="AC316" s="366"/>
    </row>
    <row r="317" spans="1:29" ht="5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6"/>
    </row>
    <row r="318" spans="1:29" ht="5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6"/>
    </row>
    <row r="319" spans="1:29" ht="76.5"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6"/>
    </row>
    <row r="320" spans="1:29" ht="76.5"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6"/>
    </row>
    <row r="321" spans="1:29" ht="5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6"/>
    </row>
    <row r="322" spans="1:29" ht="5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7" t="s">
        <v>1657</v>
      </c>
      <c r="Y322" s="66"/>
      <c r="Z322" s="121" t="s">
        <v>1042</v>
      </c>
      <c r="AA322" s="121" t="s">
        <v>1171</v>
      </c>
      <c r="AB322" s="121" t="s">
        <v>1177</v>
      </c>
      <c r="AC322" s="366"/>
    </row>
    <row r="323" spans="1:29" ht="5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6"/>
    </row>
    <row r="324" spans="1:29" ht="5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6"/>
    </row>
    <row r="325" spans="1:29" ht="5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6"/>
    </row>
    <row r="326" spans="1:29" ht="63.75"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6"/>
    </row>
    <row r="327" spans="1:29" ht="102"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6"/>
    </row>
    <row r="328" spans="1:29" ht="38.25"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6"/>
    </row>
    <row r="329" spans="1:29" ht="89.25"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6"/>
    </row>
    <row r="330" spans="1:29" ht="5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6"/>
    </row>
    <row r="331" spans="1:29" ht="63.75"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6"/>
    </row>
    <row r="332" spans="1:29" ht="63.75"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6"/>
    </row>
    <row r="333" spans="1:29" ht="76.5"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6"/>
    </row>
    <row r="334" spans="1:29" ht="127.5"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6"/>
    </row>
    <row r="335" spans="1:29" ht="38.25"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6"/>
    </row>
    <row r="336" spans="1:29" ht="38.25"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6"/>
    </row>
    <row r="337" spans="1:29" ht="38.25"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6"/>
    </row>
    <row r="338" spans="1:29" ht="38.25"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6"/>
    </row>
    <row r="339" spans="1:29" ht="5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6"/>
    </row>
    <row r="340" spans="1:29" ht="63.75"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6"/>
    </row>
    <row r="341" spans="1:29" ht="25.5"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6"/>
    </row>
    <row r="342" spans="1:29" ht="63.75"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6"/>
    </row>
    <row r="343" spans="1:29" ht="76.5"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6"/>
    </row>
    <row r="344" spans="1:29" ht="63.75"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6"/>
    </row>
    <row r="345" spans="1:29" ht="102"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400" t="s">
        <v>1831</v>
      </c>
      <c r="Y345" s="66"/>
      <c r="Z345" s="121" t="s">
        <v>743</v>
      </c>
      <c r="AA345" s="75"/>
      <c r="AB345" s="75"/>
      <c r="AC345" s="366"/>
    </row>
    <row r="346" spans="1:29" ht="63.75"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6"/>
    </row>
    <row r="347" spans="1:29" ht="38.25"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6"/>
    </row>
    <row r="348" spans="1:29" ht="102"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6"/>
    </row>
    <row r="349" spans="1:29" ht="38.25"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7"/>
      <c r="Y349" s="66"/>
      <c r="Z349" s="121" t="s">
        <v>743</v>
      </c>
      <c r="AA349" s="75"/>
      <c r="AB349" s="75"/>
      <c r="AC349" s="366"/>
    </row>
    <row r="350" spans="1:29" ht="5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6"/>
    </row>
    <row r="351" spans="1:29" ht="38.25"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6"/>
    </row>
    <row r="352" spans="1:29" ht="63.75"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6"/>
    </row>
    <row r="353" spans="1:29" ht="5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6"/>
    </row>
    <row r="354" spans="1:29" ht="63.75"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6"/>
    </row>
    <row r="355" spans="1:29" ht="5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6"/>
    </row>
    <row r="356" spans="1:29" ht="38.25"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6"/>
    </row>
    <row r="357" spans="1:29" ht="63.75"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6"/>
    </row>
    <row r="358" spans="1:29" ht="5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7" t="s">
        <v>1755</v>
      </c>
      <c r="Y358" s="66"/>
      <c r="Z358" s="121" t="s">
        <v>1918</v>
      </c>
      <c r="AA358" s="75"/>
      <c r="AB358" s="75"/>
      <c r="AC358" s="366"/>
    </row>
    <row r="359" spans="1:29" ht="63.75"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6"/>
    </row>
    <row r="360" spans="1:29" ht="76.5"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6"/>
    </row>
    <row r="361" spans="1:29" ht="89.25"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6"/>
    </row>
    <row r="362" spans="1:29" ht="76.5"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6"/>
    </row>
    <row r="363" spans="1:29" ht="127.5"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6"/>
    </row>
    <row r="364" spans="1:29" ht="76.5"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6"/>
    </row>
    <row r="365" spans="1:29" ht="127.5"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6"/>
    </row>
    <row r="366" spans="1:29" ht="5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6"/>
    </row>
    <row r="367" spans="1:29" ht="5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6"/>
    </row>
    <row r="368" spans="1:29" ht="5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6"/>
    </row>
    <row r="369" spans="1:29" ht="63.75"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6"/>
    </row>
    <row r="370" spans="1:29" ht="25.5"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6"/>
    </row>
    <row r="371" spans="1:29" ht="127.5"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6"/>
    </row>
    <row r="372" spans="1:29" ht="76.5"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6"/>
    </row>
    <row r="373" spans="1:29" ht="76.5"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6"/>
    </row>
    <row r="374" spans="1:29" ht="5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6"/>
    </row>
    <row r="375" spans="1:29" ht="127.5"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7"/>
      <c r="Y375" s="66"/>
      <c r="Z375" s="121" t="s">
        <v>1042</v>
      </c>
      <c r="AA375" s="75"/>
      <c r="AB375" s="75"/>
      <c r="AC375" s="366"/>
    </row>
    <row r="376" spans="1:29" ht="5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6"/>
    </row>
    <row r="377" spans="1:29" ht="114.75"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6"/>
    </row>
    <row r="378" spans="1:29" ht="102"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6"/>
    </row>
    <row r="379" spans="1:29" ht="63.75"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6"/>
    </row>
    <row r="380" spans="1:29" ht="76.5"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6"/>
    </row>
    <row r="381" spans="1:29" ht="89.25"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406"/>
      <c r="AB381" s="75"/>
      <c r="AC381" s="366"/>
    </row>
    <row r="382" spans="1:29" ht="25.5"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6"/>
    </row>
    <row r="383" spans="1:29" ht="38.25"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6"/>
    </row>
    <row r="384" spans="1:29" ht="38.25"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6"/>
    </row>
    <row r="385" spans="1:29" ht="114.75"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6"/>
    </row>
    <row r="386" spans="1:29" ht="39.950000000000003"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6"/>
    </row>
    <row r="387" spans="1:29" ht="39.950000000000003"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6"/>
    </row>
    <row r="388" spans="1:29" ht="39.950000000000003"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6"/>
    </row>
    <row r="389" spans="1:29" ht="39.950000000000003"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6"/>
    </row>
    <row r="390" spans="1:29" ht="39.950000000000003"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6"/>
    </row>
    <row r="391" spans="1:29" ht="39.950000000000003"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6"/>
    </row>
    <row r="392" spans="1:29" ht="39.950000000000003"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6"/>
    </row>
    <row r="393" spans="1:29" ht="38.25"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6"/>
    </row>
    <row r="394" spans="1:29" ht="39.950000000000003"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6"/>
    </row>
    <row r="395" spans="1:29" ht="39.950000000000003"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6"/>
    </row>
    <row r="396" spans="1:29" ht="5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6"/>
    </row>
    <row r="397" spans="1:29" ht="39.950000000000003"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6"/>
    </row>
    <row r="398" spans="1:29" ht="39.950000000000003"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6"/>
    </row>
    <row r="399" spans="1:29" ht="39.950000000000003"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6"/>
    </row>
    <row r="400" spans="1:29" ht="39.950000000000003"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6"/>
    </row>
    <row r="401" spans="1:29" ht="39.950000000000003"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6"/>
    </row>
    <row r="402" spans="1:29" ht="39.950000000000003"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6"/>
    </row>
    <row r="403" spans="1:29" ht="153"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6"/>
    </row>
    <row r="404" spans="1:29" ht="76.5"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6"/>
    </row>
    <row r="405" spans="1:29" ht="76.5"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6"/>
    </row>
    <row r="406" spans="1:29" ht="39.950000000000003" customHeight="1" x14ac:dyDescent="0.2">
      <c r="A406" s="66">
        <v>404</v>
      </c>
      <c r="B406" s="68">
        <v>45126</v>
      </c>
      <c r="C406" s="73">
        <v>0.52638888888888891</v>
      </c>
      <c r="D406" s="66" t="s">
        <v>1881</v>
      </c>
      <c r="E406" s="67" t="s">
        <v>2017</v>
      </c>
      <c r="F406" s="66">
        <v>2</v>
      </c>
      <c r="G406" s="66" t="s">
        <v>283</v>
      </c>
      <c r="H406" s="68">
        <v>45135</v>
      </c>
      <c r="I406" s="68" t="s">
        <v>73</v>
      </c>
      <c r="J406" s="68" t="s">
        <v>31</v>
      </c>
      <c r="K406" s="66">
        <f>IFERROR(VLOOKUP(J406,Jueces!$A$1:$B$11,2,FALSE),"")</f>
        <v>2</v>
      </c>
      <c r="L406" s="66" t="s">
        <v>813</v>
      </c>
      <c r="M406" s="66" t="s">
        <v>1838</v>
      </c>
      <c r="N406" s="66" t="s">
        <v>577</v>
      </c>
      <c r="O406" s="66" t="str">
        <f t="shared" ca="1" si="24"/>
        <v>SI</v>
      </c>
      <c r="P406" s="66" t="str">
        <f t="shared" si="25"/>
        <v>DIANOSOL</v>
      </c>
      <c r="Q406" s="66" t="s">
        <v>151</v>
      </c>
      <c r="R406" s="66" t="str">
        <f>VLOOKUP($Q406,Resultados!$A$1:$B$49,2,FALSE)</f>
        <v>Prisión Preventiva</v>
      </c>
      <c r="S406" s="73">
        <v>0.35902777777777778</v>
      </c>
      <c r="T406" s="75" t="str">
        <f t="shared" si="23"/>
        <v>NO</v>
      </c>
      <c r="U406" s="75"/>
      <c r="V406" s="66"/>
      <c r="W406" s="73">
        <v>0.37083333333333335</v>
      </c>
      <c r="X406" s="387" t="s">
        <v>2025</v>
      </c>
      <c r="Y406" s="66"/>
      <c r="Z406" s="121" t="s">
        <v>748</v>
      </c>
      <c r="AA406" s="121" t="s">
        <v>743</v>
      </c>
      <c r="AB406" s="121" t="s">
        <v>1175</v>
      </c>
      <c r="AC406" s="366"/>
    </row>
    <row r="407" spans="1:29" ht="39.950000000000003"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6"/>
    </row>
    <row r="408" spans="1:29" ht="39.950000000000003"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6"/>
    </row>
    <row r="409" spans="1:29" ht="63.75"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7"/>
      <c r="Y409" s="66"/>
      <c r="Z409" s="121" t="s">
        <v>770</v>
      </c>
      <c r="AA409" s="121" t="s">
        <v>1169</v>
      </c>
      <c r="AB409" s="121" t="s">
        <v>1176</v>
      </c>
      <c r="AC409" s="366"/>
    </row>
    <row r="410" spans="1:29" ht="51" x14ac:dyDescent="0.2">
      <c r="A410" s="66">
        <v>408</v>
      </c>
      <c r="B410" s="68">
        <v>45126</v>
      </c>
      <c r="C410" s="66" t="s">
        <v>1639</v>
      </c>
      <c r="D410" s="66" t="s">
        <v>1887</v>
      </c>
      <c r="E410" s="67" t="s">
        <v>1888</v>
      </c>
      <c r="F410" s="66">
        <v>4</v>
      </c>
      <c r="G410" s="66" t="s">
        <v>1441</v>
      </c>
      <c r="H410" s="68">
        <v>45133</v>
      </c>
      <c r="I410" s="68" t="s">
        <v>1210</v>
      </c>
      <c r="J410" s="68" t="s">
        <v>1221</v>
      </c>
      <c r="K410" s="66">
        <f>IFERROR(VLOOKUP(J410,Jueces!$A$1:$B$11,2,FALSE),"")</f>
        <v>7</v>
      </c>
      <c r="L410" s="66" t="s">
        <v>801</v>
      </c>
      <c r="M410" s="66" t="s">
        <v>695</v>
      </c>
      <c r="N410" s="66" t="s">
        <v>1983</v>
      </c>
      <c r="O410" s="66" t="str">
        <f t="shared" ca="1" si="24"/>
        <v>SI</v>
      </c>
      <c r="P410" s="66" t="str">
        <f t="shared" si="25"/>
        <v>DIANOSOL</v>
      </c>
      <c r="Q410" s="66" t="s">
        <v>899</v>
      </c>
      <c r="R410" s="66" t="str">
        <f>VLOOKUP($Q410,Resultados!$A$1:$B$49,2,FALSE)</f>
        <v>Libertad</v>
      </c>
      <c r="S410" s="73">
        <v>0.4368055555555555</v>
      </c>
      <c r="T410" s="75" t="str">
        <f t="shared" si="23"/>
        <v>NO</v>
      </c>
      <c r="U410" s="75"/>
      <c r="V410" s="66"/>
      <c r="W410" s="73">
        <v>0.46180555555555558</v>
      </c>
      <c r="X410" s="66" t="s">
        <v>1984</v>
      </c>
      <c r="Y410" s="66"/>
      <c r="Z410" s="121" t="s">
        <v>743</v>
      </c>
      <c r="AA410" s="121" t="s">
        <v>743</v>
      </c>
      <c r="AB410" s="121" t="s">
        <v>1177</v>
      </c>
      <c r="AC410" s="366"/>
    </row>
    <row r="411" spans="1:29" ht="39.950000000000003" customHeight="1" x14ac:dyDescent="0.2">
      <c r="A411" s="66">
        <v>409</v>
      </c>
      <c r="B411" s="68">
        <v>45127</v>
      </c>
      <c r="C411" s="73">
        <v>0.4604166666666667</v>
      </c>
      <c r="D411" s="66" t="s">
        <v>1909</v>
      </c>
      <c r="E411" s="67" t="s">
        <v>1905</v>
      </c>
      <c r="F411" s="66">
        <v>2</v>
      </c>
      <c r="G411" s="66" t="s">
        <v>43</v>
      </c>
      <c r="H411" s="68">
        <v>45138</v>
      </c>
      <c r="I411" s="68" t="s">
        <v>1086</v>
      </c>
      <c r="J411" s="68" t="s">
        <v>1221</v>
      </c>
      <c r="K411" s="66">
        <f>IFERROR(VLOOKUP(J411,Jueces!$A$1:$B$11,2,FALSE),"")</f>
        <v>7</v>
      </c>
      <c r="L411" s="66" t="s">
        <v>801</v>
      </c>
      <c r="M411" s="197" t="s">
        <v>695</v>
      </c>
      <c r="N411" s="66" t="s">
        <v>1753</v>
      </c>
      <c r="O411" s="66" t="str">
        <f t="shared" ca="1" si="24"/>
        <v>SI</v>
      </c>
      <c r="P411" s="66" t="str">
        <f t="shared" si="25"/>
        <v>DIANOSOL</v>
      </c>
      <c r="Q411" s="66" t="s">
        <v>151</v>
      </c>
      <c r="R411" s="66" t="str">
        <f>VLOOKUP($Q411,Resultados!$A$1:$B$49,2,FALSE)</f>
        <v>Prisión Preventiva</v>
      </c>
      <c r="S411" s="73">
        <v>0.42499999999999999</v>
      </c>
      <c r="T411" s="75" t="str">
        <f t="shared" si="23"/>
        <v>NO</v>
      </c>
      <c r="U411" s="75"/>
      <c r="V411" s="66"/>
      <c r="W411" s="73">
        <v>0.48125000000000001</v>
      </c>
      <c r="X411" s="66"/>
      <c r="Y411" s="66"/>
      <c r="Z411" s="121" t="s">
        <v>748</v>
      </c>
      <c r="AA411" s="121" t="s">
        <v>1169</v>
      </c>
      <c r="AB411" s="121" t="s">
        <v>1175</v>
      </c>
      <c r="AC411" s="366"/>
    </row>
    <row r="412" spans="1:29" ht="39.950000000000003" customHeight="1" x14ac:dyDescent="0.2">
      <c r="A412" s="66">
        <v>410</v>
      </c>
      <c r="B412" s="68">
        <v>45127</v>
      </c>
      <c r="C412" s="73">
        <v>0.54166666666666663</v>
      </c>
      <c r="D412" s="66" t="s">
        <v>1906</v>
      </c>
      <c r="E412" s="67" t="s">
        <v>2073</v>
      </c>
      <c r="F412" s="66">
        <v>4</v>
      </c>
      <c r="G412" s="66" t="s">
        <v>1442</v>
      </c>
      <c r="H412" s="68">
        <v>45135</v>
      </c>
      <c r="I412" s="68" t="s">
        <v>1086</v>
      </c>
      <c r="J412" s="68" t="s">
        <v>1220</v>
      </c>
      <c r="K412" s="66" t="s">
        <v>1925</v>
      </c>
      <c r="L412" s="66" t="s">
        <v>812</v>
      </c>
      <c r="M412" s="66" t="s">
        <v>2022</v>
      </c>
      <c r="N412" s="66" t="s">
        <v>2023</v>
      </c>
      <c r="O412" s="66" t="str">
        <f t="shared" ca="1" si="24"/>
        <v>SI</v>
      </c>
      <c r="P412" s="66" t="str">
        <f t="shared" si="25"/>
        <v>DIANOSOL</v>
      </c>
      <c r="Q412" s="66" t="s">
        <v>1512</v>
      </c>
      <c r="R412" s="66" t="str">
        <f>VLOOKUP($Q412,Resultados!$A$1:$B$49,2,FALSE)</f>
        <v>Juicio Abreviado</v>
      </c>
      <c r="S412" s="73">
        <v>0.38125000000000003</v>
      </c>
      <c r="T412" s="75" t="str">
        <f t="shared" si="23"/>
        <v>SI</v>
      </c>
      <c r="U412" s="75"/>
      <c r="V412" s="66"/>
      <c r="W412" s="73">
        <v>0.3923611111111111</v>
      </c>
      <c r="X412" s="66" t="s">
        <v>2024</v>
      </c>
      <c r="Y412" s="66"/>
      <c r="Z412" s="121" t="s">
        <v>1041</v>
      </c>
      <c r="AA412" s="121" t="s">
        <v>743</v>
      </c>
      <c r="AB412" s="121" t="s">
        <v>1174</v>
      </c>
      <c r="AC412" s="366"/>
    </row>
    <row r="413" spans="1:29" ht="51" x14ac:dyDescent="0.2">
      <c r="A413" s="66">
        <v>411</v>
      </c>
      <c r="B413" s="68">
        <v>45127</v>
      </c>
      <c r="C413" s="73">
        <v>0.52916666666666667</v>
      </c>
      <c r="D413" s="66" t="s">
        <v>1907</v>
      </c>
      <c r="E413" s="67" t="s">
        <v>1930</v>
      </c>
      <c r="F413" s="66">
        <v>5</v>
      </c>
      <c r="G413" s="66" t="s">
        <v>283</v>
      </c>
      <c r="H413" s="68">
        <v>45138</v>
      </c>
      <c r="I413" s="68" t="s">
        <v>73</v>
      </c>
      <c r="J413" s="68" t="s">
        <v>35</v>
      </c>
      <c r="K413" s="66">
        <f>IFERROR(VLOOKUP(J413,Jueces!$A$1:$B$11,2,FALSE),"")</f>
        <v>3</v>
      </c>
      <c r="L413" s="66" t="s">
        <v>809</v>
      </c>
      <c r="M413" s="66" t="s">
        <v>1875</v>
      </c>
      <c r="N413" s="66" t="s">
        <v>2063</v>
      </c>
      <c r="O413" s="66" t="str">
        <f t="shared" ca="1" si="24"/>
        <v>SI</v>
      </c>
      <c r="P413" s="66" t="str">
        <f t="shared" si="25"/>
        <v>DIANOSOL</v>
      </c>
      <c r="Q413" s="66" t="s">
        <v>904</v>
      </c>
      <c r="R413" s="66" t="str">
        <f>VLOOKUP($Q413,Resultados!$A$1:$B$49,2,FALSE)</f>
        <v>Juicio Abreviado</v>
      </c>
      <c r="S413" s="66" t="s">
        <v>686</v>
      </c>
      <c r="T413" s="75" t="str">
        <f t="shared" si="23"/>
        <v>NO</v>
      </c>
      <c r="U413" s="75"/>
      <c r="V413" s="66"/>
      <c r="W413" s="66" t="s">
        <v>1292</v>
      </c>
      <c r="X413" s="173" t="s">
        <v>2064</v>
      </c>
      <c r="Y413" s="66"/>
      <c r="Z413" s="121" t="s">
        <v>1041</v>
      </c>
      <c r="AA413" s="121" t="s">
        <v>1171</v>
      </c>
      <c r="AB413" s="121" t="s">
        <v>1174</v>
      </c>
      <c r="AC413" s="366"/>
    </row>
    <row r="414" spans="1:29" ht="89.25"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6"/>
    </row>
    <row r="415" spans="1:29" ht="25.5" x14ac:dyDescent="0.2">
      <c r="A415" s="66">
        <v>413</v>
      </c>
      <c r="B415" s="68">
        <v>45128</v>
      </c>
      <c r="C415" s="73">
        <v>0.33333333333333331</v>
      </c>
      <c r="D415" s="66" t="s">
        <v>1926</v>
      </c>
      <c r="E415" s="67" t="s">
        <v>2131</v>
      </c>
      <c r="F415" s="66">
        <v>4</v>
      </c>
      <c r="G415" s="66" t="s">
        <v>1442</v>
      </c>
      <c r="H415" s="68">
        <v>45139</v>
      </c>
      <c r="I415" s="68" t="s">
        <v>73</v>
      </c>
      <c r="J415" s="68" t="s">
        <v>31</v>
      </c>
      <c r="K415" s="66">
        <f>IFERROR(VLOOKUP(J415,Jueces!$A$1:$B$11,2,FALSE),"")</f>
        <v>2</v>
      </c>
      <c r="L415" s="66" t="s">
        <v>1702</v>
      </c>
      <c r="M415" s="66" t="s">
        <v>695</v>
      </c>
      <c r="N415" s="66" t="s">
        <v>2075</v>
      </c>
      <c r="O415" s="66" t="str">
        <f t="shared" ca="1" si="24"/>
        <v>SI</v>
      </c>
      <c r="P415" s="66" t="str">
        <f t="shared" si="25"/>
        <v>DIANOSOL</v>
      </c>
      <c r="Q415" s="66" t="s">
        <v>911</v>
      </c>
      <c r="R415" s="66" t="s">
        <v>949</v>
      </c>
      <c r="S415" s="66"/>
      <c r="T415" s="75" t="str">
        <f t="shared" si="23"/>
        <v>SI</v>
      </c>
      <c r="U415" s="75"/>
      <c r="V415" s="66"/>
      <c r="W415" s="66"/>
      <c r="X415" s="66"/>
      <c r="Y415" s="66"/>
      <c r="Z415" s="121" t="s">
        <v>1042</v>
      </c>
      <c r="AA415" s="121" t="s">
        <v>1171</v>
      </c>
      <c r="AB415" s="121" t="s">
        <v>1175</v>
      </c>
      <c r="AC415" s="366"/>
    </row>
    <row r="416" spans="1:29" ht="38.25" x14ac:dyDescent="0.2">
      <c r="A416" s="66">
        <v>414</v>
      </c>
      <c r="B416" s="68">
        <v>45128</v>
      </c>
      <c r="C416" s="73">
        <v>0.4465277777777778</v>
      </c>
      <c r="D416" s="66" t="s">
        <v>1927</v>
      </c>
      <c r="E416" s="67" t="s">
        <v>2018</v>
      </c>
      <c r="F416" s="66">
        <v>5</v>
      </c>
      <c r="G416" s="66" t="s">
        <v>43</v>
      </c>
      <c r="H416" s="68">
        <v>45135</v>
      </c>
      <c r="I416" s="68" t="s">
        <v>73</v>
      </c>
      <c r="J416" s="68" t="s">
        <v>1225</v>
      </c>
      <c r="K416" s="66">
        <f>IFERROR(VLOOKUP(J416,Jueces!$A$1:$B$11,2,FALSE),"")</f>
        <v>6</v>
      </c>
      <c r="L416" s="66" t="s">
        <v>789</v>
      </c>
      <c r="M416" s="66" t="s">
        <v>1875</v>
      </c>
      <c r="N416" s="66" t="s">
        <v>899</v>
      </c>
      <c r="O416" s="66" t="str">
        <f t="shared" ca="1" si="24"/>
        <v>SI</v>
      </c>
      <c r="P416" s="66" t="str">
        <f t="shared" si="25"/>
        <v>DIANOSOL</v>
      </c>
      <c r="Q416" s="66" t="s">
        <v>899</v>
      </c>
      <c r="R416" s="66" t="str">
        <f>VLOOKUP($Q416,Resultados!$A$1:$B$49,2,FALSE)</f>
        <v>Libertad</v>
      </c>
      <c r="S416" s="73">
        <v>0.3354166666666667</v>
      </c>
      <c r="T416" s="75" t="str">
        <f t="shared" si="23"/>
        <v>NO</v>
      </c>
      <c r="U416" s="75"/>
      <c r="V416" s="66"/>
      <c r="W416" s="73">
        <v>0.37986111111111115</v>
      </c>
      <c r="X416" s="66"/>
      <c r="Y416" s="66"/>
      <c r="Z416" s="121" t="s">
        <v>743</v>
      </c>
      <c r="AA416" s="121" t="s">
        <v>1169</v>
      </c>
      <c r="AB416" s="121" t="s">
        <v>1177</v>
      </c>
      <c r="AC416" s="366"/>
    </row>
    <row r="417" spans="1:29" ht="51" x14ac:dyDescent="0.2">
      <c r="A417" s="66">
        <v>415</v>
      </c>
      <c r="B417" s="68">
        <v>45128</v>
      </c>
      <c r="C417" s="73">
        <v>0.33333333333333331</v>
      </c>
      <c r="D417" s="66" t="s">
        <v>1928</v>
      </c>
      <c r="E417" s="67" t="s">
        <v>2074</v>
      </c>
      <c r="F417" s="66">
        <v>4</v>
      </c>
      <c r="G417" s="66" t="s">
        <v>29</v>
      </c>
      <c r="H417" s="68">
        <v>45138</v>
      </c>
      <c r="I417" s="68" t="s">
        <v>73</v>
      </c>
      <c r="J417" s="68" t="s">
        <v>78</v>
      </c>
      <c r="K417" s="66">
        <f>IFERROR(VLOOKUP(J417,Jueces!$A$1:$B$11,2,FALSE),"")</f>
        <v>8</v>
      </c>
      <c r="L417" s="66" t="s">
        <v>793</v>
      </c>
      <c r="M417" s="66" t="s">
        <v>1838</v>
      </c>
      <c r="N417" s="66" t="s">
        <v>2061</v>
      </c>
      <c r="O417" s="66" t="str">
        <f t="shared" ca="1" si="24"/>
        <v>SI</v>
      </c>
      <c r="P417" s="66" t="str">
        <f t="shared" si="25"/>
        <v>DIANOSOL</v>
      </c>
      <c r="Q417" s="66" t="s">
        <v>905</v>
      </c>
      <c r="R417" s="66" t="str">
        <f>VLOOKUP($Q417,Resultados!$A$1:$B$49,2,FALSE)</f>
        <v>Juicio Abreviado</v>
      </c>
      <c r="S417" s="66" t="s">
        <v>2060</v>
      </c>
      <c r="T417" s="75" t="str">
        <f t="shared" si="23"/>
        <v>NO</v>
      </c>
      <c r="U417" s="75"/>
      <c r="V417" s="66"/>
      <c r="W417" s="66" t="s">
        <v>1279</v>
      </c>
      <c r="X417" s="66"/>
      <c r="Y417" s="66"/>
      <c r="Z417" s="121" t="s">
        <v>1042</v>
      </c>
      <c r="AA417" s="121" t="s">
        <v>1169</v>
      </c>
      <c r="AB417" s="121" t="s">
        <v>1176</v>
      </c>
      <c r="AC417" s="366"/>
    </row>
    <row r="418" spans="1:29" ht="39.950000000000003" customHeight="1" x14ac:dyDescent="0.2">
      <c r="A418" s="66">
        <v>416</v>
      </c>
      <c r="B418" s="68">
        <v>45128</v>
      </c>
      <c r="C418" s="73">
        <v>0.33333333333333331</v>
      </c>
      <c r="D418" s="66" t="s">
        <v>1929</v>
      </c>
      <c r="E418" s="67" t="s">
        <v>2014</v>
      </c>
      <c r="F418" s="66">
        <v>4</v>
      </c>
      <c r="G418" s="66" t="s">
        <v>29</v>
      </c>
      <c r="H418" s="68">
        <v>45134</v>
      </c>
      <c r="I418" s="68" t="s">
        <v>1086</v>
      </c>
      <c r="J418" s="68" t="s">
        <v>1223</v>
      </c>
      <c r="K418" s="66" t="s">
        <v>1925</v>
      </c>
      <c r="L418" s="66" t="s">
        <v>2001</v>
      </c>
      <c r="M418" s="66" t="s">
        <v>2000</v>
      </c>
      <c r="N418" s="66" t="s">
        <v>621</v>
      </c>
      <c r="O418" s="66" t="str">
        <f t="shared" ca="1" si="24"/>
        <v>SI</v>
      </c>
      <c r="P418" s="66" t="str">
        <f t="shared" si="25"/>
        <v>DIANOSOL</v>
      </c>
      <c r="Q418" s="66" t="s">
        <v>151</v>
      </c>
      <c r="R418" s="66" t="str">
        <f>VLOOKUP($Q418,Resultados!$A$1:$B$49,2,FALSE)</f>
        <v>Prisión Preventiva</v>
      </c>
      <c r="S418" s="73">
        <v>0.39583333333333331</v>
      </c>
      <c r="T418" s="75" t="str">
        <f t="shared" si="23"/>
        <v>NO</v>
      </c>
      <c r="U418" s="75"/>
      <c r="V418" s="66"/>
      <c r="W418" s="73">
        <v>0.42777777777777781</v>
      </c>
      <c r="X418" s="66"/>
      <c r="Y418" s="66"/>
      <c r="Z418" s="121" t="s">
        <v>1041</v>
      </c>
      <c r="AA418" s="121" t="s">
        <v>1169</v>
      </c>
      <c r="AB418" s="121" t="s">
        <v>1174</v>
      </c>
      <c r="AC418" s="366"/>
    </row>
    <row r="419" spans="1:29" ht="39.950000000000003" customHeight="1" x14ac:dyDescent="0.2">
      <c r="A419" s="66">
        <v>417</v>
      </c>
      <c r="B419" s="68">
        <v>45131</v>
      </c>
      <c r="C419" s="73">
        <v>0.40625</v>
      </c>
      <c r="D419" s="66" t="s">
        <v>1931</v>
      </c>
      <c r="E419" s="67" t="s">
        <v>2164</v>
      </c>
      <c r="F419" s="66">
        <v>4</v>
      </c>
      <c r="G419" s="66" t="s">
        <v>568</v>
      </c>
      <c r="H419" s="68">
        <v>45152</v>
      </c>
      <c r="I419" s="68" t="s">
        <v>1086</v>
      </c>
      <c r="J419" s="68" t="s">
        <v>33</v>
      </c>
      <c r="K419" s="66">
        <f>IFERROR(VLOOKUP(J419,Jueces!$A$1:$B$11,2,FALSE),"")</f>
        <v>4</v>
      </c>
      <c r="L419" s="66" t="s">
        <v>811</v>
      </c>
      <c r="M419" s="66" t="s">
        <v>1838</v>
      </c>
      <c r="N419" s="66" t="s">
        <v>2332</v>
      </c>
      <c r="O419" s="66" t="str">
        <f t="shared" ca="1" si="24"/>
        <v>SI</v>
      </c>
      <c r="P419" s="66" t="str">
        <f t="shared" si="25"/>
        <v>DIANOSOL</v>
      </c>
      <c r="Q419" s="66" t="s">
        <v>1512</v>
      </c>
      <c r="R419" s="66" t="str">
        <f>VLOOKUP($Q419,Resultados!$A$1:$B$49,2,FALSE)</f>
        <v>Juicio Abreviado</v>
      </c>
      <c r="S419" s="73">
        <v>0.39999999999999997</v>
      </c>
      <c r="T419" s="75" t="str">
        <f t="shared" si="23"/>
        <v>NO</v>
      </c>
      <c r="U419" s="75"/>
      <c r="V419" s="66"/>
      <c r="W419" s="73">
        <v>0.41319444444444442</v>
      </c>
      <c r="X419" s="66" t="s">
        <v>2296</v>
      </c>
      <c r="Y419" s="66"/>
      <c r="Z419" s="121" t="s">
        <v>1041</v>
      </c>
      <c r="AA419" s="121" t="s">
        <v>1171</v>
      </c>
      <c r="AB419" s="121" t="s">
        <v>1174</v>
      </c>
      <c r="AC419" s="366"/>
    </row>
    <row r="420" spans="1:29" ht="39.950000000000003" customHeight="1" x14ac:dyDescent="0.2">
      <c r="A420" s="66">
        <v>418</v>
      </c>
      <c r="B420" s="68">
        <v>45131</v>
      </c>
      <c r="C420" s="73">
        <v>0.50208333333333333</v>
      </c>
      <c r="D420" s="66" t="s">
        <v>1935</v>
      </c>
      <c r="E420" s="67" t="s">
        <v>2222</v>
      </c>
      <c r="F420" s="66">
        <v>4</v>
      </c>
      <c r="G420" s="66" t="s">
        <v>1441</v>
      </c>
      <c r="H420" s="68">
        <v>45146</v>
      </c>
      <c r="I420" s="68" t="s">
        <v>1086</v>
      </c>
      <c r="J420" s="68" t="s">
        <v>1221</v>
      </c>
      <c r="K420" s="66">
        <f>IFERROR(VLOOKUP(J420,Jueces!$A$1:$B$11,2,FALSE),"")</f>
        <v>7</v>
      </c>
      <c r="L420" s="66" t="s">
        <v>796</v>
      </c>
      <c r="M420" s="66" t="s">
        <v>1997</v>
      </c>
      <c r="N420" s="66" t="s">
        <v>2205</v>
      </c>
      <c r="O420" s="66" t="str">
        <f t="shared" ca="1" si="24"/>
        <v>SI</v>
      </c>
      <c r="P420" s="66" t="str">
        <f t="shared" si="25"/>
        <v>DIANOSOL</v>
      </c>
      <c r="Q420" s="66" t="s">
        <v>905</v>
      </c>
      <c r="R420" s="66" t="str">
        <f>VLOOKUP($Q420,Resultados!$A$1:$B$49,2,FALSE)</f>
        <v>Juicio Abreviado</v>
      </c>
      <c r="S420" s="73">
        <v>0.41944444444444445</v>
      </c>
      <c r="T420" s="75" t="str">
        <f t="shared" si="23"/>
        <v>NO</v>
      </c>
      <c r="U420" s="75"/>
      <c r="V420" s="66"/>
      <c r="W420" s="73">
        <v>0.4375</v>
      </c>
      <c r="X420" s="66" t="s">
        <v>2206</v>
      </c>
      <c r="Y420" s="66"/>
      <c r="Z420" s="121" t="s">
        <v>743</v>
      </c>
      <c r="AA420" s="121" t="s">
        <v>1169</v>
      </c>
      <c r="AB420" s="121" t="s">
        <v>1177</v>
      </c>
      <c r="AC420" s="366"/>
    </row>
    <row r="421" spans="1:29" ht="39.950000000000003" customHeight="1" x14ac:dyDescent="0.2">
      <c r="A421" s="66">
        <v>419</v>
      </c>
      <c r="B421" s="68">
        <v>45131</v>
      </c>
      <c r="C421" s="73">
        <v>0.51736111111111105</v>
      </c>
      <c r="D421" s="66" t="s">
        <v>1936</v>
      </c>
      <c r="E421" s="67" t="s">
        <v>1937</v>
      </c>
      <c r="F421" s="66">
        <v>5</v>
      </c>
      <c r="G421" s="66" t="s">
        <v>1442</v>
      </c>
      <c r="H421" s="68">
        <v>45138</v>
      </c>
      <c r="I421" s="68" t="s">
        <v>1086</v>
      </c>
      <c r="J421" s="68" t="s">
        <v>1224</v>
      </c>
      <c r="K421" s="66" t="s">
        <v>1326</v>
      </c>
      <c r="L421" s="66" t="s">
        <v>791</v>
      </c>
      <c r="M421" s="66" t="s">
        <v>1875</v>
      </c>
      <c r="N421" s="66" t="s">
        <v>2041</v>
      </c>
      <c r="O421" s="66" t="str">
        <f t="shared" ca="1" si="24"/>
        <v>SI</v>
      </c>
      <c r="P421" s="66" t="str">
        <f t="shared" si="25"/>
        <v>DIANOSOL</v>
      </c>
      <c r="Q421" s="66" t="s">
        <v>904</v>
      </c>
      <c r="R421" s="66" t="str">
        <f>VLOOKUP($Q421,Resultados!$A$1:$B$49,2,FALSE)</f>
        <v>Juicio Abreviado</v>
      </c>
      <c r="S421" s="66" t="s">
        <v>1135</v>
      </c>
      <c r="T421" s="75" t="str">
        <f t="shared" si="23"/>
        <v>SI</v>
      </c>
      <c r="U421" s="75"/>
      <c r="V421" s="66"/>
      <c r="W421" s="66" t="s">
        <v>1747</v>
      </c>
      <c r="X421" s="66"/>
      <c r="Y421" s="66"/>
      <c r="Z421" s="121" t="s">
        <v>743</v>
      </c>
      <c r="AA421" s="121" t="s">
        <v>1171</v>
      </c>
      <c r="AB421" s="121" t="s">
        <v>1177</v>
      </c>
      <c r="AC421" s="366"/>
    </row>
    <row r="422" spans="1:29" ht="39.950000000000003" customHeight="1" x14ac:dyDescent="0.2">
      <c r="A422" s="66">
        <v>420</v>
      </c>
      <c r="B422" s="68">
        <v>45131</v>
      </c>
      <c r="C422" s="73">
        <v>0.53402777777777777</v>
      </c>
      <c r="D422" s="66" t="s">
        <v>1940</v>
      </c>
      <c r="E422" s="67" t="s">
        <v>2071</v>
      </c>
      <c r="F422" s="66">
        <v>4</v>
      </c>
      <c r="G422" s="66" t="s">
        <v>568</v>
      </c>
      <c r="H422" s="68">
        <v>45138</v>
      </c>
      <c r="I422" s="68" t="s">
        <v>1086</v>
      </c>
      <c r="J422" s="68" t="s">
        <v>35</v>
      </c>
      <c r="K422" s="66" t="s">
        <v>1520</v>
      </c>
      <c r="L422" s="66" t="s">
        <v>793</v>
      </c>
      <c r="M422" s="66" t="s">
        <v>1838</v>
      </c>
      <c r="N422" s="66" t="s">
        <v>2058</v>
      </c>
      <c r="O422" s="66" t="str">
        <f t="shared" ca="1" si="24"/>
        <v>SI</v>
      </c>
      <c r="P422" s="66" t="str">
        <f t="shared" si="25"/>
        <v>DIANOSOL</v>
      </c>
      <c r="Q422" s="66" t="s">
        <v>899</v>
      </c>
      <c r="R422" s="66" t="str">
        <f>VLOOKUP($Q422,Resultados!$A$1:$B$49,2,FALSE)</f>
        <v>Libertad</v>
      </c>
      <c r="S422" s="66" t="s">
        <v>1243</v>
      </c>
      <c r="T422" s="75" t="str">
        <f t="shared" si="23"/>
        <v>NO</v>
      </c>
      <c r="U422" s="75"/>
      <c r="V422" s="66"/>
      <c r="W422" s="66" t="s">
        <v>2057</v>
      </c>
      <c r="X422" s="66" t="s">
        <v>2059</v>
      </c>
      <c r="Y422" s="66"/>
      <c r="Z422" s="121" t="s">
        <v>770</v>
      </c>
      <c r="AA422" s="121" t="s">
        <v>743</v>
      </c>
      <c r="AB422" s="121" t="s">
        <v>1176</v>
      </c>
      <c r="AC422" s="366"/>
    </row>
    <row r="423" spans="1:29" ht="39.950000000000003" customHeight="1" x14ac:dyDescent="0.2">
      <c r="A423" s="66">
        <v>421</v>
      </c>
      <c r="B423" s="68">
        <v>45132</v>
      </c>
      <c r="C423" s="73">
        <v>0.52083333333333337</v>
      </c>
      <c r="D423" s="66" t="s">
        <v>1962</v>
      </c>
      <c r="E423" s="67" t="s">
        <v>2128</v>
      </c>
      <c r="F423" s="66">
        <v>4</v>
      </c>
      <c r="G423" s="66" t="s">
        <v>32</v>
      </c>
      <c r="H423" s="68">
        <v>45139</v>
      </c>
      <c r="I423" s="68" t="s">
        <v>1450</v>
      </c>
      <c r="J423" s="68" t="s">
        <v>1224</v>
      </c>
      <c r="K423" s="66" t="s">
        <v>1326</v>
      </c>
      <c r="L423" s="66" t="s">
        <v>811</v>
      </c>
      <c r="M423" s="66" t="s">
        <v>1838</v>
      </c>
      <c r="N423" s="66" t="s">
        <v>2096</v>
      </c>
      <c r="O423" s="66" t="str">
        <f t="shared" ca="1" si="24"/>
        <v>SI</v>
      </c>
      <c r="P423" s="66" t="str">
        <f t="shared" si="25"/>
        <v>DIANOSOL</v>
      </c>
      <c r="Q423" s="66" t="s">
        <v>1512</v>
      </c>
      <c r="R423" s="66" t="str">
        <f>VLOOKUP($Q423,Resultados!$A$1:$B$49,2,FALSE)</f>
        <v>Juicio Abreviado</v>
      </c>
      <c r="S423" s="73">
        <v>0.4284722222222222</v>
      </c>
      <c r="T423" s="75" t="str">
        <f t="shared" si="23"/>
        <v>NO</v>
      </c>
      <c r="U423" s="75"/>
      <c r="V423" s="66"/>
      <c r="W423" s="73">
        <v>0.44236111111111115</v>
      </c>
      <c r="X423" s="66"/>
      <c r="Y423" s="66"/>
      <c r="Z423" s="121" t="s">
        <v>770</v>
      </c>
      <c r="AA423" s="121" t="s">
        <v>1169</v>
      </c>
      <c r="AB423" s="121" t="s">
        <v>1175</v>
      </c>
      <c r="AC423" s="366"/>
    </row>
    <row r="424" spans="1:29" ht="39.950000000000003" customHeight="1" x14ac:dyDescent="0.2">
      <c r="A424" s="66">
        <v>422</v>
      </c>
      <c r="B424" s="68">
        <v>45131</v>
      </c>
      <c r="C424" s="73">
        <v>0.53749999999999998</v>
      </c>
      <c r="D424" s="66" t="s">
        <v>1939</v>
      </c>
      <c r="E424" s="67" t="s">
        <v>2127</v>
      </c>
      <c r="F424" s="66">
        <v>4</v>
      </c>
      <c r="G424" s="66" t="s">
        <v>568</v>
      </c>
      <c r="H424" s="68">
        <v>45140</v>
      </c>
      <c r="I424" s="68" t="s">
        <v>73</v>
      </c>
      <c r="J424" s="68" t="s">
        <v>1220</v>
      </c>
      <c r="K424" s="66">
        <f>IFERROR(VLOOKUP(J424,Jueces!$A$1:$B$11,2,FALSE),"")</f>
        <v>1</v>
      </c>
      <c r="L424" s="66" t="s">
        <v>789</v>
      </c>
      <c r="M424" s="66" t="s">
        <v>2121</v>
      </c>
      <c r="N424" s="66" t="s">
        <v>2120</v>
      </c>
      <c r="O424" s="66" t="str">
        <f t="shared" ca="1" si="24"/>
        <v>SI</v>
      </c>
      <c r="P424" s="66" t="str">
        <f t="shared" si="25"/>
        <v>DIANOSOL</v>
      </c>
      <c r="Q424" s="66" t="s">
        <v>899</v>
      </c>
      <c r="R424" s="66" t="str">
        <f>VLOOKUP($Q424,Resultados!$A$1:$B$49,2,FALSE)</f>
        <v>Libertad</v>
      </c>
      <c r="S424" s="73">
        <v>0.50208333333333333</v>
      </c>
      <c r="T424" s="75" t="str">
        <f t="shared" si="23"/>
        <v>NO</v>
      </c>
      <c r="U424" s="75"/>
      <c r="V424" s="66"/>
      <c r="W424" s="73">
        <v>0.52986111111111112</v>
      </c>
      <c r="X424" s="66" t="s">
        <v>2122</v>
      </c>
      <c r="Y424" s="66"/>
      <c r="Z424" s="121" t="s">
        <v>1042</v>
      </c>
      <c r="AA424" s="121" t="s">
        <v>1169</v>
      </c>
      <c r="AB424" s="121" t="s">
        <v>1173</v>
      </c>
      <c r="AC424" s="366"/>
    </row>
    <row r="425" spans="1:29" ht="39.950000000000003" customHeight="1" x14ac:dyDescent="0.2">
      <c r="A425" s="66">
        <v>423</v>
      </c>
      <c r="B425" s="68">
        <v>45132</v>
      </c>
      <c r="C425" s="73">
        <v>0.40763888888888888</v>
      </c>
      <c r="D425" s="66" t="s">
        <v>1959</v>
      </c>
      <c r="E425" s="67" t="s">
        <v>2126</v>
      </c>
      <c r="F425" s="66">
        <v>4</v>
      </c>
      <c r="G425" s="66" t="s">
        <v>29</v>
      </c>
      <c r="H425" s="68">
        <v>45140</v>
      </c>
      <c r="I425" s="68" t="s">
        <v>73</v>
      </c>
      <c r="J425" s="68" t="s">
        <v>33</v>
      </c>
      <c r="K425" s="66">
        <f>IFERROR(VLOOKUP(J425,Jueces!$A$1:$B$11,2,FALSE),"")</f>
        <v>4</v>
      </c>
      <c r="L425" s="66" t="s">
        <v>813</v>
      </c>
      <c r="M425" s="66" t="s">
        <v>695</v>
      </c>
      <c r="N425" s="66" t="s">
        <v>2116</v>
      </c>
      <c r="O425" s="66" t="str">
        <f t="shared" ca="1" si="24"/>
        <v>SI</v>
      </c>
      <c r="P425" s="66" t="str">
        <f t="shared" si="25"/>
        <v>DIANOSOL</v>
      </c>
      <c r="Q425" s="66" t="s">
        <v>899</v>
      </c>
      <c r="R425" s="66" t="s">
        <v>902</v>
      </c>
      <c r="S425" s="73">
        <v>0.33333333333333331</v>
      </c>
      <c r="T425" s="75" t="str">
        <f t="shared" si="23"/>
        <v>NO</v>
      </c>
      <c r="U425" s="75"/>
      <c r="V425" s="66"/>
      <c r="W425" s="73">
        <v>0.37986111111111115</v>
      </c>
      <c r="X425" s="66"/>
      <c r="Y425" s="66"/>
      <c r="Z425" s="121" t="s">
        <v>748</v>
      </c>
      <c r="AA425" s="121" t="s">
        <v>1171</v>
      </c>
      <c r="AB425" s="121" t="s">
        <v>1175</v>
      </c>
      <c r="AC425" s="366"/>
    </row>
    <row r="426" spans="1:29" ht="39.950000000000003" customHeight="1" x14ac:dyDescent="0.2">
      <c r="A426" s="66">
        <v>424</v>
      </c>
      <c r="B426" s="68">
        <v>45131</v>
      </c>
      <c r="C426" s="73">
        <v>0.52013888888888882</v>
      </c>
      <c r="D426" s="66" t="s">
        <v>1941</v>
      </c>
      <c r="E426" s="67" t="s">
        <v>1979</v>
      </c>
      <c r="F426" s="66">
        <v>4</v>
      </c>
      <c r="G426" s="66" t="s">
        <v>32</v>
      </c>
      <c r="H426" s="68">
        <v>45140</v>
      </c>
      <c r="I426" s="68" t="s">
        <v>73</v>
      </c>
      <c r="J426" s="68" t="s">
        <v>1222</v>
      </c>
      <c r="K426" s="66" t="s">
        <v>1520</v>
      </c>
      <c r="L426" s="66" t="s">
        <v>811</v>
      </c>
      <c r="M426" s="66" t="s">
        <v>1838</v>
      </c>
      <c r="N426" s="66" t="s">
        <v>2117</v>
      </c>
      <c r="O426" s="66" t="str">
        <f t="shared" ca="1" si="24"/>
        <v>SI</v>
      </c>
      <c r="P426" s="66" t="str">
        <f t="shared" si="25"/>
        <v>DIANOSOL</v>
      </c>
      <c r="Q426" s="66" t="s">
        <v>904</v>
      </c>
      <c r="R426" s="66" t="str">
        <f>VLOOKUP($Q426,Resultados!$A$1:$B$49,2,FALSE)</f>
        <v>Juicio Abreviado</v>
      </c>
      <c r="S426" s="73">
        <v>0.36527777777777781</v>
      </c>
      <c r="T426" s="75" t="str">
        <f t="shared" ref="T426:T472" si="26">IF(G426=$J$1,"SI","NO")</f>
        <v>NO</v>
      </c>
      <c r="U426" s="75"/>
      <c r="V426" s="66"/>
      <c r="W426" s="73">
        <v>0.37222222222222223</v>
      </c>
      <c r="X426" s="66"/>
      <c r="Y426" s="66"/>
      <c r="Z426" s="121" t="s">
        <v>743</v>
      </c>
      <c r="AA426" s="121" t="s">
        <v>743</v>
      </c>
      <c r="AB426" s="121" t="s">
        <v>1176</v>
      </c>
      <c r="AC426" s="366"/>
    </row>
    <row r="427" spans="1:29" ht="39.950000000000003" customHeight="1" x14ac:dyDescent="0.2">
      <c r="A427" s="66">
        <v>425</v>
      </c>
      <c r="B427" s="68">
        <v>45132</v>
      </c>
      <c r="C427" s="73">
        <v>0.33333333333333331</v>
      </c>
      <c r="D427" s="66" t="s">
        <v>1957</v>
      </c>
      <c r="E427" s="67" t="s">
        <v>1980</v>
      </c>
      <c r="F427" s="66">
        <v>4</v>
      </c>
      <c r="G427" s="66" t="s">
        <v>283</v>
      </c>
      <c r="H427" s="68">
        <v>45141</v>
      </c>
      <c r="I427" s="68" t="s">
        <v>1086</v>
      </c>
      <c r="J427" s="68" t="s">
        <v>35</v>
      </c>
      <c r="K427" s="66">
        <f>IFERROR(VLOOKUP(J427,Jueces!$A$1:$B$11,2,FALSE),"")</f>
        <v>3</v>
      </c>
      <c r="L427" s="66" t="s">
        <v>807</v>
      </c>
      <c r="M427" s="66" t="s">
        <v>1838</v>
      </c>
      <c r="N427" s="66" t="s">
        <v>510</v>
      </c>
      <c r="O427" s="66" t="str">
        <f t="shared" ca="1" si="24"/>
        <v>SI</v>
      </c>
      <c r="P427" s="66" t="str">
        <f t="shared" si="25"/>
        <v>DIANOSOL</v>
      </c>
      <c r="Q427" s="66" t="s">
        <v>899</v>
      </c>
      <c r="R427" s="66" t="str">
        <f>VLOOKUP($Q427,Resultados!$A$1:$B$49,2,FALSE)</f>
        <v>Libertad</v>
      </c>
      <c r="S427" s="66"/>
      <c r="T427" s="75" t="str">
        <f t="shared" si="26"/>
        <v>NO</v>
      </c>
      <c r="U427" s="75"/>
      <c r="V427" s="66"/>
      <c r="W427" s="66"/>
      <c r="X427" s="66"/>
      <c r="Y427" s="66"/>
      <c r="Z427" s="121" t="s">
        <v>748</v>
      </c>
      <c r="AA427" s="121" t="s">
        <v>743</v>
      </c>
      <c r="AB427" s="121" t="s">
        <v>1173</v>
      </c>
      <c r="AC427" s="366"/>
    </row>
    <row r="428" spans="1:29" ht="39.950000000000003" customHeight="1" x14ac:dyDescent="0.2">
      <c r="A428" s="66">
        <v>426</v>
      </c>
      <c r="B428" s="68">
        <v>45132</v>
      </c>
      <c r="C428" s="73">
        <v>0.44513888888888892</v>
      </c>
      <c r="D428" s="66" t="s">
        <v>1960</v>
      </c>
      <c r="E428" s="67" t="s">
        <v>2144</v>
      </c>
      <c r="F428" s="66">
        <v>4</v>
      </c>
      <c r="G428" s="66" t="s">
        <v>32</v>
      </c>
      <c r="H428" s="68">
        <v>45142</v>
      </c>
      <c r="I428" s="68" t="s">
        <v>73</v>
      </c>
      <c r="J428" s="68" t="s">
        <v>1223</v>
      </c>
      <c r="K428" s="66" t="s">
        <v>1346</v>
      </c>
      <c r="L428" s="66" t="s">
        <v>802</v>
      </c>
      <c r="M428" s="66" t="s">
        <v>1838</v>
      </c>
      <c r="N428" s="66" t="s">
        <v>577</v>
      </c>
      <c r="O428" s="66" t="str">
        <f t="shared" ref="O428:O491" ca="1" si="27">IF(H428&lt;&gt;"",IF(H428&lt;=TODAY(),"SI","NO"),"LIMBO")</f>
        <v>SI</v>
      </c>
      <c r="P428" s="66" t="str">
        <f t="shared" si="25"/>
        <v>DIANOSOL</v>
      </c>
      <c r="Q428" s="66" t="s">
        <v>151</v>
      </c>
      <c r="R428" s="66" t="str">
        <f>VLOOKUP($Q428,Resultados!$A$1:$B$49,2,FALSE)</f>
        <v>Prisión Preventiva</v>
      </c>
      <c r="S428" s="66"/>
      <c r="T428" s="75" t="str">
        <f t="shared" si="26"/>
        <v>NO</v>
      </c>
      <c r="U428" s="75"/>
      <c r="V428" s="66"/>
      <c r="W428" s="66"/>
      <c r="X428" s="66"/>
      <c r="Y428" s="66"/>
      <c r="Z428" s="121" t="s">
        <v>2151</v>
      </c>
      <c r="AA428" s="121" t="s">
        <v>1169</v>
      </c>
      <c r="AB428" s="121" t="s">
        <v>1174</v>
      </c>
      <c r="AC428" s="366"/>
    </row>
    <row r="429" spans="1:29" ht="39.950000000000003" customHeight="1" x14ac:dyDescent="0.2">
      <c r="A429" s="66">
        <v>427</v>
      </c>
      <c r="B429" s="68">
        <v>45132</v>
      </c>
      <c r="C429" s="73">
        <v>0.33333333333333331</v>
      </c>
      <c r="D429" s="66" t="s">
        <v>1958</v>
      </c>
      <c r="E429" s="67" t="s">
        <v>2039</v>
      </c>
      <c r="F429" s="66">
        <v>4</v>
      </c>
      <c r="G429" s="66" t="s">
        <v>1442</v>
      </c>
      <c r="H429" s="68">
        <v>45140</v>
      </c>
      <c r="I429" s="68" t="s">
        <v>1086</v>
      </c>
      <c r="J429" s="68" t="s">
        <v>33</v>
      </c>
      <c r="K429" s="66">
        <f>IFERROR(VLOOKUP(J429,Jueces!$A$1:$B$11,2,FALSE),"")</f>
        <v>4</v>
      </c>
      <c r="L429" s="66" t="s">
        <v>806</v>
      </c>
      <c r="M429" s="66" t="s">
        <v>2035</v>
      </c>
      <c r="N429" s="66" t="s">
        <v>2115</v>
      </c>
      <c r="O429" s="66" t="str">
        <f t="shared" ca="1" si="27"/>
        <v>SI</v>
      </c>
      <c r="P429" s="66" t="str">
        <f t="shared" si="25"/>
        <v>DIANOSOL</v>
      </c>
      <c r="Q429" s="66" t="s">
        <v>913</v>
      </c>
      <c r="R429" s="66" t="str">
        <f>VLOOKUP($Q429,Resultados!$A$1:$B$49,2,FALSE)</f>
        <v>Prision domiciliaria</v>
      </c>
      <c r="S429" s="73">
        <v>0.39166666666666666</v>
      </c>
      <c r="T429" s="75" t="str">
        <f t="shared" si="26"/>
        <v>SI</v>
      </c>
      <c r="U429" s="75"/>
      <c r="V429" s="66"/>
      <c r="W429" s="73">
        <v>0.42430555555555555</v>
      </c>
      <c r="X429" s="66"/>
      <c r="Y429" s="66"/>
      <c r="Z429" s="121" t="s">
        <v>1042</v>
      </c>
      <c r="AA429" s="121" t="s">
        <v>1169</v>
      </c>
      <c r="AB429" s="121" t="s">
        <v>1175</v>
      </c>
      <c r="AC429" s="366"/>
    </row>
    <row r="430" spans="1:29" ht="39.950000000000003" customHeight="1" x14ac:dyDescent="0.2">
      <c r="A430" s="66">
        <v>428</v>
      </c>
      <c r="B430" s="68">
        <v>45132</v>
      </c>
      <c r="C430" s="73">
        <v>0.4916666666666667</v>
      </c>
      <c r="D430" s="66" t="s">
        <v>1995</v>
      </c>
      <c r="E430" s="67" t="s">
        <v>1961</v>
      </c>
      <c r="F430" s="66">
        <v>2</v>
      </c>
      <c r="G430" s="66" t="s">
        <v>29</v>
      </c>
      <c r="H430" s="68">
        <v>45145</v>
      </c>
      <c r="I430" s="68" t="s">
        <v>73</v>
      </c>
      <c r="J430" s="68" t="s">
        <v>33</v>
      </c>
      <c r="K430" s="66">
        <v>4</v>
      </c>
      <c r="L430" s="66" t="s">
        <v>1070</v>
      </c>
      <c r="M430" s="66" t="s">
        <v>1985</v>
      </c>
      <c r="N430" s="66" t="s">
        <v>2166</v>
      </c>
      <c r="O430" s="66" t="str">
        <f t="shared" ca="1" si="27"/>
        <v>SI</v>
      </c>
      <c r="P430" s="66" t="str">
        <f t="shared" si="25"/>
        <v>DIANOSOL</v>
      </c>
      <c r="Q430" s="66" t="s">
        <v>151</v>
      </c>
      <c r="R430" s="66" t="str">
        <f>VLOOKUP($Q430,Resultados!$A$1:$B$49,2,FALSE)</f>
        <v>Prisión Preventiva</v>
      </c>
      <c r="S430" s="73">
        <v>0.3444444444444445</v>
      </c>
      <c r="T430" s="75" t="str">
        <f t="shared" si="26"/>
        <v>NO</v>
      </c>
      <c r="U430" s="75"/>
      <c r="V430" s="66"/>
      <c r="W430" s="73">
        <v>0.3576388888888889</v>
      </c>
      <c r="X430" s="66" t="s">
        <v>2168</v>
      </c>
      <c r="Y430" s="66"/>
      <c r="Z430" s="121" t="s">
        <v>1042</v>
      </c>
      <c r="AA430" s="121" t="s">
        <v>1171</v>
      </c>
      <c r="AB430" s="121" t="s">
        <v>1173</v>
      </c>
      <c r="AC430" s="366"/>
    </row>
    <row r="431" spans="1:29" ht="39.950000000000003" customHeight="1" x14ac:dyDescent="0.2">
      <c r="A431" s="66">
        <v>429</v>
      </c>
      <c r="B431" s="68">
        <v>45132</v>
      </c>
      <c r="C431" s="73">
        <v>0.51041666666666663</v>
      </c>
      <c r="D431" s="66" t="s">
        <v>1963</v>
      </c>
      <c r="E431" s="67" t="s">
        <v>1964</v>
      </c>
      <c r="F431" s="66">
        <v>5</v>
      </c>
      <c r="G431" s="66" t="s">
        <v>1443</v>
      </c>
      <c r="H431" s="68">
        <v>45140</v>
      </c>
      <c r="I431" s="68" t="s">
        <v>73</v>
      </c>
      <c r="J431" s="68" t="s">
        <v>78</v>
      </c>
      <c r="K431" s="66">
        <f>IFERROR(VLOOKUP(J431,Jueces!$A$1:$B$11,2,FALSE),"")</f>
        <v>8</v>
      </c>
      <c r="L431" s="66" t="s">
        <v>1522</v>
      </c>
      <c r="M431" s="66" t="s">
        <v>1965</v>
      </c>
      <c r="N431" s="66" t="s">
        <v>2118</v>
      </c>
      <c r="O431" s="66" t="str">
        <f t="shared" ca="1" si="27"/>
        <v>SI</v>
      </c>
      <c r="P431" s="66" t="str">
        <f t="shared" si="25"/>
        <v>DIANOSOL</v>
      </c>
      <c r="Q431" s="66" t="s">
        <v>151</v>
      </c>
      <c r="R431" s="66" t="str">
        <f>VLOOKUP($Q431,Resultados!$A$1:$B$49,2,FALSE)</f>
        <v>Prisión Preventiva</v>
      </c>
      <c r="S431" s="73">
        <v>0.3576388888888889</v>
      </c>
      <c r="T431" s="75" t="str">
        <f t="shared" si="26"/>
        <v>NO</v>
      </c>
      <c r="U431" s="75"/>
      <c r="V431" s="66"/>
      <c r="W431" s="73">
        <v>0.375</v>
      </c>
      <c r="X431" s="66"/>
      <c r="Y431" s="66"/>
      <c r="Z431" s="121" t="s">
        <v>770</v>
      </c>
      <c r="AA431" s="121" t="s">
        <v>743</v>
      </c>
      <c r="AB431" s="121" t="s">
        <v>1177</v>
      </c>
      <c r="AC431" s="366"/>
    </row>
    <row r="432" spans="1:29" ht="39.950000000000003" customHeight="1" x14ac:dyDescent="0.2">
      <c r="A432" s="66">
        <v>430</v>
      </c>
      <c r="B432" s="68">
        <v>45133</v>
      </c>
      <c r="C432" s="73">
        <v>0.50624999999999998</v>
      </c>
      <c r="D432" s="66" t="s">
        <v>1987</v>
      </c>
      <c r="E432" s="67" t="s">
        <v>2148</v>
      </c>
      <c r="F432" s="66">
        <v>4</v>
      </c>
      <c r="G432" s="66" t="s">
        <v>1443</v>
      </c>
      <c r="H432" s="68">
        <v>45142</v>
      </c>
      <c r="I432" s="68" t="s">
        <v>1086</v>
      </c>
      <c r="J432" s="68" t="s">
        <v>1223</v>
      </c>
      <c r="K432" s="66" t="s">
        <v>1925</v>
      </c>
      <c r="L432" s="66" t="s">
        <v>1453</v>
      </c>
      <c r="M432" s="66" t="s">
        <v>2003</v>
      </c>
      <c r="N432" s="66" t="s">
        <v>2034</v>
      </c>
      <c r="O432" s="66" t="str">
        <f t="shared" ca="1" si="27"/>
        <v>SI</v>
      </c>
      <c r="P432" s="66" t="str">
        <f t="shared" si="25"/>
        <v>DIANOSOL</v>
      </c>
      <c r="Q432" s="66" t="s">
        <v>151</v>
      </c>
      <c r="R432" s="66" t="str">
        <f>VLOOKUP($Q432,Resultados!$A$1:$B$49,2,FALSE)</f>
        <v>Prisión Preventiva</v>
      </c>
      <c r="S432" s="73">
        <v>0.38680555555555557</v>
      </c>
      <c r="T432" s="75" t="str">
        <f t="shared" si="26"/>
        <v>NO</v>
      </c>
      <c r="U432" s="75"/>
      <c r="V432" s="66"/>
      <c r="W432" s="73">
        <v>0.40277777777777773</v>
      </c>
      <c r="X432" s="66" t="s">
        <v>2152</v>
      </c>
      <c r="Y432" s="66"/>
      <c r="Z432" s="121" t="s">
        <v>748</v>
      </c>
      <c r="AA432" s="121" t="s">
        <v>1169</v>
      </c>
      <c r="AB432" s="121" t="s">
        <v>1177</v>
      </c>
      <c r="AC432" s="366"/>
    </row>
    <row r="433" spans="1:29" ht="39.950000000000003" customHeight="1" x14ac:dyDescent="0.2">
      <c r="A433" s="66">
        <v>431</v>
      </c>
      <c r="B433" s="68">
        <v>45133</v>
      </c>
      <c r="C433" s="73">
        <v>0.51388888888888895</v>
      </c>
      <c r="D433" s="66" t="s">
        <v>1988</v>
      </c>
      <c r="E433" s="67" t="s">
        <v>2150</v>
      </c>
      <c r="F433" s="66">
        <v>4</v>
      </c>
      <c r="G433" s="66" t="s">
        <v>568</v>
      </c>
      <c r="H433" s="68">
        <v>45142</v>
      </c>
      <c r="I433" s="68" t="s">
        <v>2020</v>
      </c>
      <c r="J433" s="68" t="s">
        <v>33</v>
      </c>
      <c r="K433" s="66">
        <f>IFERROR(VLOOKUP(J433,Jueces!$A$1:$B$11,2,FALSE),"")</f>
        <v>4</v>
      </c>
      <c r="L433" s="66" t="s">
        <v>797</v>
      </c>
      <c r="M433" s="66" t="s">
        <v>1838</v>
      </c>
      <c r="N433" s="66" t="s">
        <v>1901</v>
      </c>
      <c r="O433" s="66" t="str">
        <f t="shared" ca="1" si="27"/>
        <v>SI</v>
      </c>
      <c r="P433" s="66" t="str">
        <f t="shared" si="25"/>
        <v>DIANOSOL</v>
      </c>
      <c r="Q433" s="66" t="s">
        <v>1901</v>
      </c>
      <c r="R433" s="66" t="str">
        <f>VLOOKUP($Q433,Resultados!$A$1:$B$49,2,FALSE)</f>
        <v>Sobreseimiento</v>
      </c>
      <c r="S433" s="73">
        <v>0.53749999999999998</v>
      </c>
      <c r="T433" s="75" t="str">
        <f t="shared" si="26"/>
        <v>NO</v>
      </c>
      <c r="U433" s="75"/>
      <c r="V433" s="66"/>
      <c r="W433" s="73">
        <v>0.54513888888888895</v>
      </c>
      <c r="X433" s="66"/>
      <c r="Y433" s="66"/>
      <c r="Z433" s="121" t="s">
        <v>1041</v>
      </c>
      <c r="AA433" s="121" t="s">
        <v>743</v>
      </c>
      <c r="AB433" s="121" t="s">
        <v>1176</v>
      </c>
      <c r="AC433" s="366"/>
    </row>
    <row r="434" spans="1:29" ht="51" x14ac:dyDescent="0.2">
      <c r="A434" s="66">
        <v>432</v>
      </c>
      <c r="B434" s="68">
        <v>45132</v>
      </c>
      <c r="C434" s="73">
        <v>0.33333333333333331</v>
      </c>
      <c r="D434" s="66" t="s">
        <v>1752</v>
      </c>
      <c r="E434" s="67" t="s">
        <v>1989</v>
      </c>
      <c r="F434" s="66">
        <v>4</v>
      </c>
      <c r="G434" s="66" t="s">
        <v>283</v>
      </c>
      <c r="H434" s="68">
        <v>45140</v>
      </c>
      <c r="I434" s="68" t="s">
        <v>1086</v>
      </c>
      <c r="J434" s="68" t="s">
        <v>1223</v>
      </c>
      <c r="K434" s="66" t="s">
        <v>1346</v>
      </c>
      <c r="L434" s="66" t="s">
        <v>2110</v>
      </c>
      <c r="M434" s="66" t="s">
        <v>1990</v>
      </c>
      <c r="N434" s="66" t="s">
        <v>2119</v>
      </c>
      <c r="O434" s="66" t="str">
        <f t="shared" ca="1" si="27"/>
        <v>SI</v>
      </c>
      <c r="P434" s="66" t="str">
        <f t="shared" si="25"/>
        <v>DIANOSOL</v>
      </c>
      <c r="Q434" s="66" t="s">
        <v>904</v>
      </c>
      <c r="R434" s="66" t="str">
        <f>VLOOKUP($Q434,Resultados!$A$1:$B$49,2,FALSE)</f>
        <v>Juicio Abreviado</v>
      </c>
      <c r="S434" s="73">
        <v>0.37847222222222227</v>
      </c>
      <c r="T434" s="75" t="str">
        <f t="shared" si="26"/>
        <v>NO</v>
      </c>
      <c r="U434" s="75"/>
      <c r="V434" s="66"/>
      <c r="W434" s="73">
        <v>0.39930555555555558</v>
      </c>
      <c r="X434" s="66" t="s">
        <v>2109</v>
      </c>
      <c r="Y434" s="66"/>
      <c r="Z434" s="121" t="s">
        <v>1041</v>
      </c>
      <c r="AA434" s="121" t="s">
        <v>1171</v>
      </c>
      <c r="AB434" s="121" t="s">
        <v>1173</v>
      </c>
      <c r="AC434" s="366"/>
    </row>
    <row r="435" spans="1:29" ht="39.950000000000003" customHeight="1" x14ac:dyDescent="0.2">
      <c r="A435" s="66">
        <v>433</v>
      </c>
      <c r="B435" s="68">
        <v>45134</v>
      </c>
      <c r="C435" s="73">
        <v>0.33333333333333331</v>
      </c>
      <c r="D435" s="66" t="s">
        <v>2002</v>
      </c>
      <c r="E435" s="67" t="s">
        <v>2149</v>
      </c>
      <c r="F435" s="66">
        <v>4</v>
      </c>
      <c r="G435" s="66" t="s">
        <v>1441</v>
      </c>
      <c r="H435" s="68">
        <v>45142</v>
      </c>
      <c r="I435" s="68" t="s">
        <v>1086</v>
      </c>
      <c r="J435" s="68" t="s">
        <v>78</v>
      </c>
      <c r="K435" s="66">
        <f>IFERROR(VLOOKUP(J435,Jueces!$A$1:$B$11,2,FALSE),"")</f>
        <v>8</v>
      </c>
      <c r="L435" s="66" t="s">
        <v>797</v>
      </c>
      <c r="M435" s="66" t="s">
        <v>1969</v>
      </c>
      <c r="N435" s="66" t="s">
        <v>482</v>
      </c>
      <c r="O435" s="66" t="str">
        <f t="shared" ca="1" si="27"/>
        <v>SI</v>
      </c>
      <c r="P435" s="66" t="str">
        <f t="shared" si="25"/>
        <v>DIANOSOL</v>
      </c>
      <c r="Q435" s="66" t="s">
        <v>151</v>
      </c>
      <c r="R435" s="66" t="str">
        <f>VLOOKUP($Q435,Resultados!$A$1:$B$49,2,FALSE)</f>
        <v>Prisión Preventiva</v>
      </c>
      <c r="S435" s="73">
        <v>0.3923611111111111</v>
      </c>
      <c r="T435" s="75" t="str">
        <f t="shared" si="26"/>
        <v>NO</v>
      </c>
      <c r="U435" s="75"/>
      <c r="V435" s="66"/>
      <c r="W435" s="73">
        <v>0.41111111111111115</v>
      </c>
      <c r="X435" s="66" t="s">
        <v>2025</v>
      </c>
      <c r="Y435" s="66"/>
      <c r="Z435" s="121" t="s">
        <v>770</v>
      </c>
      <c r="AA435" s="121" t="s">
        <v>1171</v>
      </c>
      <c r="AB435" s="121" t="s">
        <v>1174</v>
      </c>
      <c r="AC435" s="366"/>
    </row>
    <row r="436" spans="1:29" ht="39.950000000000003" customHeight="1" x14ac:dyDescent="0.2">
      <c r="A436" s="66">
        <v>434</v>
      </c>
      <c r="B436" s="68">
        <v>45134</v>
      </c>
      <c r="C436" s="73">
        <v>0.3611111111111111</v>
      </c>
      <c r="D436" s="66" t="s">
        <v>1996</v>
      </c>
      <c r="E436" s="67" t="s">
        <v>2145</v>
      </c>
      <c r="F436" s="66">
        <v>1</v>
      </c>
      <c r="G436" s="66" t="s">
        <v>29</v>
      </c>
      <c r="H436" s="68">
        <v>45142</v>
      </c>
      <c r="I436" s="68" t="s">
        <v>73</v>
      </c>
      <c r="J436" s="68" t="s">
        <v>1221</v>
      </c>
      <c r="K436" s="66">
        <f>IFERROR(VLOOKUP(J436,Jueces!$A$1:$B$11,2,FALSE),"")</f>
        <v>7</v>
      </c>
      <c r="L436" s="66" t="s">
        <v>582</v>
      </c>
      <c r="M436" s="66" t="s">
        <v>767</v>
      </c>
      <c r="N436" s="66" t="s">
        <v>2153</v>
      </c>
      <c r="O436" s="66" t="str">
        <f t="shared" ca="1" si="27"/>
        <v>SI</v>
      </c>
      <c r="P436" s="66" t="str">
        <f t="shared" si="25"/>
        <v>DIANOSOL</v>
      </c>
      <c r="Q436" s="66" t="s">
        <v>905</v>
      </c>
      <c r="R436" s="66" t="str">
        <f>VLOOKUP($Q436,Resultados!$A$1:$B$49,2,FALSE)</f>
        <v>Juicio Abreviado</v>
      </c>
      <c r="S436" s="73">
        <v>0.36249999999999999</v>
      </c>
      <c r="T436" s="75" t="str">
        <f t="shared" si="26"/>
        <v>NO</v>
      </c>
      <c r="U436" s="75"/>
      <c r="V436" s="66"/>
      <c r="W436" s="73">
        <v>0.37847222222222227</v>
      </c>
      <c r="X436" s="66" t="s">
        <v>2154</v>
      </c>
      <c r="Y436" s="66"/>
      <c r="Z436" s="121" t="s">
        <v>748</v>
      </c>
      <c r="AA436" s="121" t="s">
        <v>1169</v>
      </c>
      <c r="AB436" s="121" t="s">
        <v>1176</v>
      </c>
      <c r="AC436" s="366"/>
    </row>
    <row r="437" spans="1:29" ht="139.5" customHeight="1" x14ac:dyDescent="0.2">
      <c r="A437" s="6">
        <v>435</v>
      </c>
      <c r="B437" s="18">
        <v>45134</v>
      </c>
      <c r="C437" s="14">
        <v>0.50694444444444442</v>
      </c>
      <c r="D437" s="6" t="s">
        <v>2008</v>
      </c>
      <c r="E437" s="40" t="s">
        <v>2009</v>
      </c>
      <c r="F437" s="6">
        <v>5</v>
      </c>
      <c r="G437" s="6" t="s">
        <v>1442</v>
      </c>
      <c r="H437" s="18">
        <v>45141</v>
      </c>
      <c r="I437" s="18" t="s">
        <v>73</v>
      </c>
      <c r="J437" s="18" t="s">
        <v>1220</v>
      </c>
      <c r="K437" s="6" t="s">
        <v>1925</v>
      </c>
      <c r="L437" s="6" t="s">
        <v>813</v>
      </c>
      <c r="M437" s="6" t="s">
        <v>1965</v>
      </c>
      <c r="N437" s="6" t="s">
        <v>2134</v>
      </c>
      <c r="O437" s="387" t="str">
        <f t="shared" ca="1" si="27"/>
        <v>SI</v>
      </c>
      <c r="P437" s="387" t="str">
        <f t="shared" si="25"/>
        <v>DIANOSOL</v>
      </c>
      <c r="Q437" s="6" t="s">
        <v>904</v>
      </c>
      <c r="R437" s="6" t="str">
        <f>VLOOKUP($Q437,Resultados!$A$1:$B$49,2,FALSE)</f>
        <v>Juicio Abreviado</v>
      </c>
      <c r="S437" s="6"/>
      <c r="T437" s="388" t="str">
        <f t="shared" si="26"/>
        <v>SI</v>
      </c>
      <c r="U437" s="388"/>
      <c r="V437" s="387"/>
      <c r="W437" s="6"/>
      <c r="X437" s="6"/>
      <c r="Y437" s="6"/>
      <c r="Z437" s="121" t="s">
        <v>1042</v>
      </c>
      <c r="AA437" s="279" t="s">
        <v>1171</v>
      </c>
      <c r="AB437" s="121" t="s">
        <v>1174</v>
      </c>
      <c r="AC437" s="366"/>
    </row>
    <row r="438" spans="1:29" ht="39.950000000000003" customHeight="1" x14ac:dyDescent="0.2">
      <c r="A438" s="66">
        <v>436</v>
      </c>
      <c r="B438" s="68">
        <v>45135</v>
      </c>
      <c r="C438" s="73">
        <v>0.35416666666666669</v>
      </c>
      <c r="D438" s="66" t="s">
        <v>2032</v>
      </c>
      <c r="E438" s="67" t="s">
        <v>2146</v>
      </c>
      <c r="F438" s="66">
        <v>5</v>
      </c>
      <c r="G438" s="66" t="s">
        <v>1442</v>
      </c>
      <c r="H438" s="68">
        <v>45142</v>
      </c>
      <c r="I438" s="68" t="s">
        <v>73</v>
      </c>
      <c r="J438" s="68" t="s">
        <v>1222</v>
      </c>
      <c r="K438" s="66" t="s">
        <v>1326</v>
      </c>
      <c r="L438" s="66" t="s">
        <v>812</v>
      </c>
      <c r="M438" s="66" t="s">
        <v>1965</v>
      </c>
      <c r="N438" s="66" t="s">
        <v>151</v>
      </c>
      <c r="O438" s="66" t="str">
        <f t="shared" ca="1" si="27"/>
        <v>SI</v>
      </c>
      <c r="P438" s="66" t="str">
        <f t="shared" si="25"/>
        <v>DIANOSOL</v>
      </c>
      <c r="Q438" s="66" t="s">
        <v>151</v>
      </c>
      <c r="R438" s="66" t="str">
        <f>VLOOKUP($Q438,Resultados!$A$1:$B$49,2,FALSE)</f>
        <v>Prisión Preventiva</v>
      </c>
      <c r="S438" s="73">
        <v>0.3611111111111111</v>
      </c>
      <c r="T438" s="75" t="str">
        <f t="shared" si="26"/>
        <v>SI</v>
      </c>
      <c r="U438" s="75"/>
      <c r="V438" s="66"/>
      <c r="W438" s="73">
        <v>0.375</v>
      </c>
      <c r="X438" s="66" t="s">
        <v>2155</v>
      </c>
      <c r="Y438" s="66"/>
      <c r="Z438" s="121" t="s">
        <v>770</v>
      </c>
      <c r="AA438" s="121" t="s">
        <v>743</v>
      </c>
      <c r="AB438" s="121" t="s">
        <v>1173</v>
      </c>
      <c r="AC438" s="366"/>
    </row>
    <row r="439" spans="1:29" ht="39.950000000000003" customHeight="1" x14ac:dyDescent="0.2">
      <c r="A439" s="66">
        <v>437</v>
      </c>
      <c r="B439" s="68">
        <v>45135</v>
      </c>
      <c r="C439" s="73">
        <v>0.35416666666666669</v>
      </c>
      <c r="D439" s="66" t="s">
        <v>2051</v>
      </c>
      <c r="E439" s="67" t="s">
        <v>2147</v>
      </c>
      <c r="F439" s="66">
        <v>5</v>
      </c>
      <c r="G439" s="66" t="s">
        <v>43</v>
      </c>
      <c r="H439" s="68">
        <v>45142</v>
      </c>
      <c r="I439" s="68" t="s">
        <v>73</v>
      </c>
      <c r="J439" s="68" t="s">
        <v>35</v>
      </c>
      <c r="K439" s="66" t="s">
        <v>1520</v>
      </c>
      <c r="L439" s="66" t="s">
        <v>797</v>
      </c>
      <c r="M439" s="66" t="s">
        <v>1993</v>
      </c>
      <c r="N439" s="66" t="s">
        <v>577</v>
      </c>
      <c r="O439" s="66" t="str">
        <f t="shared" ca="1" si="27"/>
        <v>SI</v>
      </c>
      <c r="P439" s="66" t="str">
        <f t="shared" si="25"/>
        <v>DIANOSOL</v>
      </c>
      <c r="Q439" s="66" t="s">
        <v>151</v>
      </c>
      <c r="R439" s="66" t="str">
        <f>VLOOKUP($Q439,Resultados!$A$1:$B$49,2,FALSE)</f>
        <v>Prisión Preventiva</v>
      </c>
      <c r="S439" s="73">
        <v>0.34583333333333338</v>
      </c>
      <c r="T439" s="75" t="str">
        <f t="shared" si="26"/>
        <v>NO</v>
      </c>
      <c r="U439" s="75"/>
      <c r="V439" s="66"/>
      <c r="W439" s="73">
        <v>0.36041666666666666</v>
      </c>
      <c r="X439" s="66" t="s">
        <v>2156</v>
      </c>
      <c r="Y439" s="66"/>
      <c r="Z439" s="121" t="s">
        <v>1041</v>
      </c>
      <c r="AA439" s="121" t="s">
        <v>743</v>
      </c>
      <c r="AB439" s="121" t="s">
        <v>1175</v>
      </c>
      <c r="AC439" s="366"/>
    </row>
    <row r="440" spans="1:29" ht="39.950000000000003" customHeight="1" x14ac:dyDescent="0.2">
      <c r="A440" s="66">
        <v>438</v>
      </c>
      <c r="B440" s="68">
        <v>45135</v>
      </c>
      <c r="C440" s="73">
        <v>0.41736111111111113</v>
      </c>
      <c r="D440" s="66" t="s">
        <v>2028</v>
      </c>
      <c r="E440" s="67" t="s">
        <v>2029</v>
      </c>
      <c r="F440" s="66">
        <v>5</v>
      </c>
      <c r="G440" s="66" t="s">
        <v>1443</v>
      </c>
      <c r="H440" s="68">
        <v>45141</v>
      </c>
      <c r="I440" s="68" t="s">
        <v>1450</v>
      </c>
      <c r="J440" s="68" t="s">
        <v>31</v>
      </c>
      <c r="K440" s="66" t="s">
        <v>1925</v>
      </c>
      <c r="L440" s="66" t="s">
        <v>569</v>
      </c>
      <c r="M440" s="66" t="s">
        <v>1693</v>
      </c>
      <c r="N440" s="66" t="s">
        <v>2141</v>
      </c>
      <c r="O440" s="66" t="str">
        <f t="shared" ca="1" si="27"/>
        <v>SI</v>
      </c>
      <c r="P440" s="66" t="str">
        <f t="shared" si="25"/>
        <v>DIANOSOL</v>
      </c>
      <c r="Q440" s="66" t="s">
        <v>905</v>
      </c>
      <c r="R440" s="66" t="str">
        <f>VLOOKUP($Q440,Resultados!$A$1:$B$49,2,FALSE)</f>
        <v>Juicio Abreviado</v>
      </c>
      <c r="S440" s="66"/>
      <c r="T440" s="75" t="str">
        <f t="shared" si="26"/>
        <v>NO</v>
      </c>
      <c r="U440" s="75"/>
      <c r="V440" s="66"/>
      <c r="W440" s="66"/>
      <c r="X440" s="66"/>
      <c r="Y440" s="6"/>
      <c r="Z440" s="121" t="s">
        <v>1041</v>
      </c>
      <c r="AA440" s="279" t="s">
        <v>1171</v>
      </c>
      <c r="AB440" s="121" t="s">
        <v>1177</v>
      </c>
      <c r="AC440" s="366"/>
    </row>
    <row r="441" spans="1:29" ht="39.950000000000003" customHeight="1" x14ac:dyDescent="0.2">
      <c r="A441" s="66">
        <v>439</v>
      </c>
      <c r="B441" s="68">
        <v>45135</v>
      </c>
      <c r="C441" s="73">
        <v>0.49861111111111112</v>
      </c>
      <c r="D441" s="66" t="s">
        <v>2038</v>
      </c>
      <c r="E441" s="67" t="s">
        <v>2085</v>
      </c>
      <c r="F441" s="66">
        <v>5</v>
      </c>
      <c r="G441" s="66" t="s">
        <v>43</v>
      </c>
      <c r="H441" s="68">
        <v>45141</v>
      </c>
      <c r="I441" s="68" t="s">
        <v>1086</v>
      </c>
      <c r="J441" s="68" t="s">
        <v>1221</v>
      </c>
      <c r="K441" s="66">
        <f>IFERROR(VLOOKUP(J441,Jueces!$A$1:$B$11,2,FALSE),"")</f>
        <v>7</v>
      </c>
      <c r="L441" s="66" t="s">
        <v>789</v>
      </c>
      <c r="M441" s="66" t="s">
        <v>1965</v>
      </c>
      <c r="N441" s="66" t="s">
        <v>1753</v>
      </c>
      <c r="O441" s="66" t="str">
        <f t="shared" ca="1" si="27"/>
        <v>SI</v>
      </c>
      <c r="P441" s="66" t="str">
        <f t="shared" si="25"/>
        <v>DIANOSOL</v>
      </c>
      <c r="Q441" s="66" t="s">
        <v>151</v>
      </c>
      <c r="R441" s="66" t="str">
        <f>VLOOKUP($Q441,Resultados!$A$1:$B$49,2,FALSE)</f>
        <v>Prisión Preventiva</v>
      </c>
      <c r="S441" s="66"/>
      <c r="T441" s="75" t="str">
        <f t="shared" si="26"/>
        <v>NO</v>
      </c>
      <c r="U441" s="75"/>
      <c r="V441" s="66"/>
      <c r="W441" s="66"/>
      <c r="X441" s="66"/>
      <c r="Y441" s="387"/>
      <c r="Z441" s="121" t="s">
        <v>770</v>
      </c>
      <c r="AA441" s="121" t="s">
        <v>1169</v>
      </c>
      <c r="AB441" s="121" t="s">
        <v>1175</v>
      </c>
      <c r="AC441" s="366"/>
    </row>
    <row r="442" spans="1:29" ht="76.5" x14ac:dyDescent="0.2">
      <c r="A442" s="66">
        <v>440</v>
      </c>
      <c r="B442" s="68">
        <v>45135</v>
      </c>
      <c r="C442" s="73">
        <v>0.48888888888888887</v>
      </c>
      <c r="D442" s="66" t="s">
        <v>2036</v>
      </c>
      <c r="E442" s="67" t="s">
        <v>2037</v>
      </c>
      <c r="F442" s="66">
        <v>5</v>
      </c>
      <c r="G442" s="66" t="s">
        <v>43</v>
      </c>
      <c r="H442" s="68">
        <v>45145</v>
      </c>
      <c r="I442" s="68" t="s">
        <v>73</v>
      </c>
      <c r="J442" s="68" t="s">
        <v>1220</v>
      </c>
      <c r="K442" s="66">
        <f>IFERROR(VLOOKUP(J442,Jueces!$A$1:$B$11,2,FALSE),"")</f>
        <v>1</v>
      </c>
      <c r="L442" s="66" t="s">
        <v>813</v>
      </c>
      <c r="M442" s="66" t="s">
        <v>1965</v>
      </c>
      <c r="N442" s="66" t="s">
        <v>621</v>
      </c>
      <c r="O442" s="66" t="str">
        <f t="shared" ca="1" si="27"/>
        <v>SI</v>
      </c>
      <c r="P442" s="66" t="str">
        <f t="shared" si="25"/>
        <v>DIANOSOL</v>
      </c>
      <c r="Q442" s="66" t="s">
        <v>151</v>
      </c>
      <c r="R442" s="66" t="str">
        <f>VLOOKUP($Q442,Resultados!$A$1:$B$49,2,FALSE)</f>
        <v>Prisión Preventiva</v>
      </c>
      <c r="S442" s="73">
        <v>0.42083333333333334</v>
      </c>
      <c r="T442" s="75" t="str">
        <f t="shared" si="26"/>
        <v>NO</v>
      </c>
      <c r="U442" s="75"/>
      <c r="V442" s="66"/>
      <c r="W442" s="73">
        <v>0.43888888888888888</v>
      </c>
      <c r="X442" s="66"/>
      <c r="Y442" s="66"/>
      <c r="Z442" s="121" t="s">
        <v>748</v>
      </c>
      <c r="AA442" s="121" t="s">
        <v>743</v>
      </c>
      <c r="AB442" s="121" t="s">
        <v>1175</v>
      </c>
      <c r="AC442" s="366"/>
    </row>
    <row r="443" spans="1:29" ht="39.950000000000003" customHeight="1" x14ac:dyDescent="0.2">
      <c r="A443" s="66">
        <v>441</v>
      </c>
      <c r="B443" s="68">
        <v>45138</v>
      </c>
      <c r="C443" s="73">
        <v>0.33333333333333331</v>
      </c>
      <c r="D443" s="66" t="s">
        <v>2052</v>
      </c>
      <c r="E443" s="67" t="s">
        <v>2053</v>
      </c>
      <c r="F443" s="66">
        <v>5</v>
      </c>
      <c r="G443" s="66" t="s">
        <v>568</v>
      </c>
      <c r="H443" s="68">
        <v>45145</v>
      </c>
      <c r="I443" s="68" t="s">
        <v>73</v>
      </c>
      <c r="J443" s="68" t="s">
        <v>1222</v>
      </c>
      <c r="K443" s="66" t="s">
        <v>1326</v>
      </c>
      <c r="L443" s="66" t="s">
        <v>812</v>
      </c>
      <c r="M443" s="66" t="s">
        <v>1875</v>
      </c>
      <c r="N443" s="66" t="s">
        <v>2165</v>
      </c>
      <c r="O443" s="66" t="str">
        <f t="shared" ca="1" si="27"/>
        <v>SI</v>
      </c>
      <c r="P443" s="66" t="str">
        <f t="shared" si="25"/>
        <v>DIANOSOL</v>
      </c>
      <c r="Q443" s="66" t="s">
        <v>904</v>
      </c>
      <c r="R443" s="66" t="str">
        <f>VLOOKUP($Q443,Resultados!$A$1:$B$49,2,FALSE)</f>
        <v>Juicio Abreviado</v>
      </c>
      <c r="S443" s="73">
        <v>0.34722222222222227</v>
      </c>
      <c r="T443" s="75" t="str">
        <f t="shared" si="26"/>
        <v>NO</v>
      </c>
      <c r="U443" s="75"/>
      <c r="V443" s="66"/>
      <c r="W443" s="73">
        <v>0.3527777777777778</v>
      </c>
      <c r="X443" s="66" t="s">
        <v>2167</v>
      </c>
      <c r="Y443" s="66"/>
      <c r="Z443" s="121" t="s">
        <v>743</v>
      </c>
      <c r="AA443" s="121" t="s">
        <v>1169</v>
      </c>
      <c r="AB443" s="121" t="s">
        <v>1177</v>
      </c>
      <c r="AC443" s="366"/>
    </row>
    <row r="444" spans="1:29" ht="39.950000000000003" customHeight="1" x14ac:dyDescent="0.2">
      <c r="A444" s="66">
        <v>442</v>
      </c>
      <c r="B444" s="68">
        <v>45138</v>
      </c>
      <c r="C444" s="73">
        <v>0.40486111111111112</v>
      </c>
      <c r="D444" s="213" t="s">
        <v>2054</v>
      </c>
      <c r="E444" s="67" t="s">
        <v>2098</v>
      </c>
      <c r="F444" s="66">
        <v>1</v>
      </c>
      <c r="G444" s="66" t="s">
        <v>43</v>
      </c>
      <c r="H444" s="68">
        <v>45147</v>
      </c>
      <c r="I444" s="68" t="s">
        <v>73</v>
      </c>
      <c r="J444" s="68" t="s">
        <v>1220</v>
      </c>
      <c r="K444" s="66">
        <f>IFERROR(VLOOKUP(J444,Jueces!$A$1:$B$11,2,FALSE),"")</f>
        <v>1</v>
      </c>
      <c r="L444" s="66" t="s">
        <v>791</v>
      </c>
      <c r="M444" s="66" t="s">
        <v>694</v>
      </c>
      <c r="N444" s="66" t="s">
        <v>2242</v>
      </c>
      <c r="O444" s="66" t="str">
        <f t="shared" ca="1" si="27"/>
        <v>SI</v>
      </c>
      <c r="P444" s="66" t="str">
        <f t="shared" si="25"/>
        <v>DIANOSOL</v>
      </c>
      <c r="Q444" s="66" t="s">
        <v>151</v>
      </c>
      <c r="R444" s="66" t="str">
        <f>VLOOKUP($Q444,Resultados!$A$1:$B$49,2,FALSE)</f>
        <v>Prisión Preventiva</v>
      </c>
      <c r="S444" s="73">
        <v>0.37222222222222223</v>
      </c>
      <c r="T444" s="75" t="str">
        <f t="shared" si="26"/>
        <v>NO</v>
      </c>
      <c r="U444" s="75"/>
      <c r="V444" s="66"/>
      <c r="W444" s="73">
        <v>0.39444444444444443</v>
      </c>
      <c r="X444" s="66"/>
      <c r="Y444" s="66"/>
      <c r="Z444" s="121" t="s">
        <v>1041</v>
      </c>
      <c r="AA444" s="121" t="s">
        <v>743</v>
      </c>
      <c r="AB444" s="121" t="s">
        <v>1174</v>
      </c>
      <c r="AC444" s="366"/>
    </row>
    <row r="445" spans="1:29" ht="39.950000000000003" customHeight="1" x14ac:dyDescent="0.2">
      <c r="A445" s="66">
        <v>443</v>
      </c>
      <c r="B445" s="68">
        <v>45138</v>
      </c>
      <c r="C445" s="73">
        <v>0.53055555555555556</v>
      </c>
      <c r="D445" s="66" t="s">
        <v>2067</v>
      </c>
      <c r="E445" s="67" t="s">
        <v>2068</v>
      </c>
      <c r="F445" s="66">
        <v>2</v>
      </c>
      <c r="G445" s="66" t="s">
        <v>32</v>
      </c>
      <c r="H445" s="68">
        <v>45145</v>
      </c>
      <c r="I445" s="68" t="s">
        <v>1086</v>
      </c>
      <c r="J445" s="68" t="s">
        <v>35</v>
      </c>
      <c r="K445" s="66">
        <v>1</v>
      </c>
      <c r="L445" s="66" t="s">
        <v>807</v>
      </c>
      <c r="M445" s="66" t="s">
        <v>1965</v>
      </c>
      <c r="N445" s="66" t="s">
        <v>899</v>
      </c>
      <c r="O445" s="66" t="str">
        <f t="shared" ca="1" si="27"/>
        <v>SI</v>
      </c>
      <c r="P445" s="66" t="str">
        <f t="shared" si="25"/>
        <v>DIANOSOL</v>
      </c>
      <c r="Q445" s="66" t="s">
        <v>899</v>
      </c>
      <c r="R445" s="66" t="str">
        <f>VLOOKUP($Q445,Resultados!$A$1:$B$49,2,FALSE)</f>
        <v>Libertad</v>
      </c>
      <c r="S445" s="73">
        <v>0.37708333333333338</v>
      </c>
      <c r="T445" s="75" t="str">
        <f t="shared" si="26"/>
        <v>NO</v>
      </c>
      <c r="U445" s="75"/>
      <c r="V445" s="66"/>
      <c r="W445" s="73">
        <v>0.39374999999999999</v>
      </c>
      <c r="X445" s="66"/>
      <c r="Y445" s="66"/>
      <c r="Z445" s="121" t="s">
        <v>1042</v>
      </c>
      <c r="AA445" s="121" t="s">
        <v>743</v>
      </c>
      <c r="AB445" s="121" t="s">
        <v>1174</v>
      </c>
      <c r="AC445" s="366"/>
    </row>
    <row r="446" spans="1:29" ht="39.950000000000003" customHeight="1" x14ac:dyDescent="0.2">
      <c r="A446" s="66">
        <v>444</v>
      </c>
      <c r="B446" s="68">
        <v>45138</v>
      </c>
      <c r="C446" s="73">
        <v>0.47152777777777777</v>
      </c>
      <c r="D446" s="66" t="s">
        <v>2070</v>
      </c>
      <c r="E446" s="67" t="s">
        <v>2069</v>
      </c>
      <c r="F446" s="66">
        <v>5</v>
      </c>
      <c r="G446" s="66" t="s">
        <v>32</v>
      </c>
      <c r="H446" s="68">
        <v>45146</v>
      </c>
      <c r="I446" s="68" t="s">
        <v>73</v>
      </c>
      <c r="J446" s="68" t="s">
        <v>1223</v>
      </c>
      <c r="K446" s="66" t="s">
        <v>1326</v>
      </c>
      <c r="L446" s="66" t="s">
        <v>811</v>
      </c>
      <c r="M446" s="66" t="s">
        <v>1875</v>
      </c>
      <c r="N446" s="66" t="s">
        <v>2195</v>
      </c>
      <c r="O446" s="66" t="str">
        <f t="shared" ca="1" si="27"/>
        <v>SI</v>
      </c>
      <c r="P446" s="66" t="str">
        <f t="shared" si="25"/>
        <v>DIANOSOL</v>
      </c>
      <c r="Q446" s="66" t="s">
        <v>904</v>
      </c>
      <c r="R446" s="66" t="str">
        <f>VLOOKUP($Q446,Resultados!$A$1:$B$49,2,FALSE)</f>
        <v>Juicio Abreviado</v>
      </c>
      <c r="S446" s="73">
        <v>0.36527777777777781</v>
      </c>
      <c r="T446" s="75" t="str">
        <f t="shared" si="26"/>
        <v>NO</v>
      </c>
      <c r="U446" s="75"/>
      <c r="V446" s="66"/>
      <c r="W446" s="73">
        <v>0.375</v>
      </c>
      <c r="X446" s="66" t="s">
        <v>2156</v>
      </c>
      <c r="Y446" s="66"/>
      <c r="Z446" s="121" t="s">
        <v>743</v>
      </c>
      <c r="AA446" s="121" t="s">
        <v>743</v>
      </c>
      <c r="AB446" s="121" t="s">
        <v>1177</v>
      </c>
      <c r="AC446" s="366"/>
    </row>
    <row r="447" spans="1:29" ht="39.950000000000003" customHeight="1" x14ac:dyDescent="0.2">
      <c r="A447" s="66">
        <v>445</v>
      </c>
      <c r="B447" s="68">
        <v>45139</v>
      </c>
      <c r="C447" s="73">
        <v>0.39097222222222222</v>
      </c>
      <c r="D447" s="66" t="s">
        <v>2078</v>
      </c>
      <c r="E447" s="67" t="s">
        <v>2079</v>
      </c>
      <c r="F447" s="66">
        <v>5</v>
      </c>
      <c r="G447" s="66" t="s">
        <v>283</v>
      </c>
      <c r="H447" s="68">
        <v>45145</v>
      </c>
      <c r="I447" s="68" t="s">
        <v>73</v>
      </c>
      <c r="J447" s="68" t="s">
        <v>31</v>
      </c>
      <c r="K447" s="66">
        <f>IFERROR(VLOOKUP(J447,Jueces!$A$1:$B$11,2,FALSE),"")</f>
        <v>2</v>
      </c>
      <c r="L447" s="66" t="s">
        <v>807</v>
      </c>
      <c r="M447" s="66" t="s">
        <v>2080</v>
      </c>
      <c r="N447" s="66" t="s">
        <v>899</v>
      </c>
      <c r="O447" s="66" t="str">
        <f t="shared" ca="1" si="27"/>
        <v>SI</v>
      </c>
      <c r="P447" s="66" t="str">
        <f t="shared" si="25"/>
        <v>DIANOSOL</v>
      </c>
      <c r="Q447" s="66" t="s">
        <v>899</v>
      </c>
      <c r="R447" s="66" t="str">
        <f>VLOOKUP($Q447,Resultados!$A$1:$B$49,2,FALSE)</f>
        <v>Libertad</v>
      </c>
      <c r="S447" s="73">
        <v>0.45555555555555555</v>
      </c>
      <c r="T447" s="75" t="str">
        <f t="shared" si="26"/>
        <v>NO</v>
      </c>
      <c r="U447" s="75"/>
      <c r="V447" s="66"/>
      <c r="W447" s="73">
        <v>0.47430555555555554</v>
      </c>
      <c r="X447" s="66" t="s">
        <v>2171</v>
      </c>
      <c r="Y447" s="66"/>
      <c r="Z447" s="121" t="s">
        <v>770</v>
      </c>
      <c r="AA447" s="121" t="s">
        <v>1171</v>
      </c>
      <c r="AB447" s="121" t="s">
        <v>1176</v>
      </c>
      <c r="AC447" s="366"/>
    </row>
    <row r="448" spans="1:29" ht="39.950000000000003" customHeight="1" x14ac:dyDescent="0.2">
      <c r="A448" s="66">
        <v>446</v>
      </c>
      <c r="B448" s="68">
        <v>45139</v>
      </c>
      <c r="C448" s="73">
        <v>0.43472222222222223</v>
      </c>
      <c r="D448" s="66" t="s">
        <v>2084</v>
      </c>
      <c r="E448" s="67" t="s">
        <v>2101</v>
      </c>
      <c r="F448" s="66">
        <v>5</v>
      </c>
      <c r="G448" s="66" t="s">
        <v>1441</v>
      </c>
      <c r="H448" s="68">
        <v>45145</v>
      </c>
      <c r="I448" s="68" t="s">
        <v>73</v>
      </c>
      <c r="J448" s="68" t="s">
        <v>78</v>
      </c>
      <c r="K448" s="66">
        <f>IFERROR(VLOOKUP(J448,Jueces!$A$1:$B$11,2,FALSE),"")</f>
        <v>8</v>
      </c>
      <c r="L448" s="66" t="s">
        <v>798</v>
      </c>
      <c r="M448" s="66" t="s">
        <v>2097</v>
      </c>
      <c r="N448" s="66" t="s">
        <v>2169</v>
      </c>
      <c r="O448" s="66" t="str">
        <f t="shared" ca="1" si="27"/>
        <v>SI</v>
      </c>
      <c r="P448" s="66" t="str">
        <f t="shared" si="25"/>
        <v>DIANOSOL</v>
      </c>
      <c r="Q448" s="66" t="s">
        <v>151</v>
      </c>
      <c r="R448" s="66" t="str">
        <f>VLOOKUP($Q448,Resultados!$A$1:$B$49,2,FALSE)</f>
        <v>Prisión Preventiva</v>
      </c>
      <c r="S448" s="73">
        <v>0.37847222222222227</v>
      </c>
      <c r="T448" s="75" t="str">
        <f t="shared" si="26"/>
        <v>NO</v>
      </c>
      <c r="U448" s="75"/>
      <c r="V448" s="66"/>
      <c r="W448" s="73">
        <v>0.39513888888888887</v>
      </c>
      <c r="X448" s="66" t="s">
        <v>2170</v>
      </c>
      <c r="Y448" s="66"/>
      <c r="Z448" s="121" t="s">
        <v>1041</v>
      </c>
      <c r="AA448" s="121" t="s">
        <v>1169</v>
      </c>
      <c r="AB448" s="121" t="s">
        <v>1173</v>
      </c>
      <c r="AC448" s="366"/>
    </row>
    <row r="449" spans="1:29" ht="39.950000000000003" customHeight="1" x14ac:dyDescent="0.2">
      <c r="A449" s="66">
        <v>447</v>
      </c>
      <c r="B449" s="68">
        <v>45139</v>
      </c>
      <c r="C449" s="73">
        <v>0.43888888888888888</v>
      </c>
      <c r="D449" s="66" t="s">
        <v>2086</v>
      </c>
      <c r="E449" s="67" t="s">
        <v>2087</v>
      </c>
      <c r="F449" s="66">
        <v>4</v>
      </c>
      <c r="G449" s="66" t="s">
        <v>568</v>
      </c>
      <c r="H449" s="68">
        <v>45149</v>
      </c>
      <c r="I449" s="68" t="s">
        <v>73</v>
      </c>
      <c r="J449" s="68" t="s">
        <v>35</v>
      </c>
      <c r="K449" s="66">
        <f>IFERROR(VLOOKUP(J449,Jueces!$A$1:$B$11,2,FALSE),"")</f>
        <v>3</v>
      </c>
      <c r="L449" s="66" t="s">
        <v>801</v>
      </c>
      <c r="M449" s="66" t="s">
        <v>1875</v>
      </c>
      <c r="N449" s="66" t="s">
        <v>577</v>
      </c>
      <c r="O449" s="66" t="str">
        <f t="shared" ca="1" si="27"/>
        <v>SI</v>
      </c>
      <c r="P449" s="66" t="str">
        <f t="shared" si="25"/>
        <v>DIANOSOL</v>
      </c>
      <c r="Q449" s="66" t="s">
        <v>151</v>
      </c>
      <c r="R449" s="66" t="str">
        <f>VLOOKUP($Q449,Resultados!$A$1:$B$49,2,FALSE)</f>
        <v>Prisión Preventiva</v>
      </c>
      <c r="S449" s="73">
        <v>0.34861111111111115</v>
      </c>
      <c r="T449" s="75" t="str">
        <f t="shared" si="26"/>
        <v>NO</v>
      </c>
      <c r="U449" s="75"/>
      <c r="V449" s="66"/>
      <c r="W449" s="73">
        <v>0.38958333333333334</v>
      </c>
      <c r="X449" s="66"/>
      <c r="Y449" s="66"/>
      <c r="Z449" s="121" t="s">
        <v>1041</v>
      </c>
      <c r="AA449" s="121" t="s">
        <v>1169</v>
      </c>
      <c r="AB449" s="121" t="s">
        <v>1175</v>
      </c>
      <c r="AC449" s="366"/>
    </row>
    <row r="450" spans="1:29" ht="39.950000000000003" customHeight="1" x14ac:dyDescent="0.2">
      <c r="A450" s="66">
        <v>448</v>
      </c>
      <c r="B450" s="68">
        <v>45139</v>
      </c>
      <c r="C450" s="73">
        <v>0.49861111111111112</v>
      </c>
      <c r="D450" s="66" t="s">
        <v>2099</v>
      </c>
      <c r="E450" s="67" t="s">
        <v>2100</v>
      </c>
      <c r="F450" s="66">
        <v>5</v>
      </c>
      <c r="G450" s="66" t="s">
        <v>43</v>
      </c>
      <c r="H450" s="68">
        <v>45146</v>
      </c>
      <c r="I450" s="68" t="s">
        <v>73</v>
      </c>
      <c r="J450" s="68" t="s">
        <v>1220</v>
      </c>
      <c r="K450" s="66" t="s">
        <v>1520</v>
      </c>
      <c r="L450" s="66" t="s">
        <v>809</v>
      </c>
      <c r="M450" s="66" t="s">
        <v>1965</v>
      </c>
      <c r="N450" s="66" t="s">
        <v>2198</v>
      </c>
      <c r="O450" s="66" t="str">
        <f t="shared" ca="1" si="27"/>
        <v>SI</v>
      </c>
      <c r="P450" s="66" t="str">
        <f t="shared" si="25"/>
        <v>DIANOSOL</v>
      </c>
      <c r="Q450" s="66" t="s">
        <v>904</v>
      </c>
      <c r="R450" s="66" t="str">
        <f>VLOOKUP($Q450,Resultados!$A$1:$B$49,2,FALSE)</f>
        <v>Juicio Abreviado</v>
      </c>
      <c r="S450" s="73">
        <v>0.36805555555555558</v>
      </c>
      <c r="T450" s="75" t="str">
        <f t="shared" si="26"/>
        <v>NO</v>
      </c>
      <c r="U450" s="75"/>
      <c r="V450" s="66"/>
      <c r="W450" s="73">
        <v>0.38125000000000003</v>
      </c>
      <c r="X450" s="66"/>
      <c r="Y450" s="66"/>
      <c r="Z450" s="121" t="s">
        <v>770</v>
      </c>
      <c r="AA450" s="121" t="s">
        <v>1171</v>
      </c>
      <c r="AB450" s="121" t="s">
        <v>1176</v>
      </c>
      <c r="AC450" s="366"/>
    </row>
    <row r="451" spans="1:29" ht="39.950000000000003" customHeight="1" x14ac:dyDescent="0.2">
      <c r="A451" s="66">
        <v>449</v>
      </c>
      <c r="B451" s="68">
        <v>45139</v>
      </c>
      <c r="C451" s="73">
        <v>0.50347222222222221</v>
      </c>
      <c r="D451" s="66" t="s">
        <v>2106</v>
      </c>
      <c r="E451" s="67" t="s">
        <v>2102</v>
      </c>
      <c r="F451" s="66">
        <v>7</v>
      </c>
      <c r="G451" s="66" t="s">
        <v>1442</v>
      </c>
      <c r="H451" s="68">
        <v>45146</v>
      </c>
      <c r="I451" s="68" t="s">
        <v>73</v>
      </c>
      <c r="J451" s="68" t="s">
        <v>78</v>
      </c>
      <c r="K451" s="66">
        <f>IFERROR(VLOOKUP(J451,Jueces!$A$1:$B$11,2,FALSE),"")</f>
        <v>8</v>
      </c>
      <c r="L451" s="66" t="s">
        <v>1306</v>
      </c>
      <c r="M451" s="66" t="s">
        <v>2103</v>
      </c>
      <c r="N451" s="66" t="s">
        <v>2196</v>
      </c>
      <c r="O451" s="66" t="str">
        <f t="shared" ca="1" si="27"/>
        <v>SI</v>
      </c>
      <c r="P451" s="66" t="str">
        <f t="shared" ref="P451:P514" si="28">IF($P$1=H451,"DIASOL", "DIANOSOL")</f>
        <v>DIANOSOL</v>
      </c>
      <c r="Q451" s="66" t="s">
        <v>904</v>
      </c>
      <c r="R451" s="66" t="str">
        <f>VLOOKUP($Q451,Resultados!$A$1:$B$49,2,FALSE)</f>
        <v>Juicio Abreviado</v>
      </c>
      <c r="S451" s="73">
        <v>0.36319444444444443</v>
      </c>
      <c r="T451" s="75" t="str">
        <f t="shared" si="26"/>
        <v>SI</v>
      </c>
      <c r="U451" s="75"/>
      <c r="V451" s="66"/>
      <c r="W451" s="73">
        <v>0.38055555555555554</v>
      </c>
      <c r="X451" s="66" t="s">
        <v>2197</v>
      </c>
      <c r="Y451" s="66"/>
      <c r="Z451" s="121" t="s">
        <v>1041</v>
      </c>
      <c r="AA451" s="121" t="s">
        <v>1169</v>
      </c>
      <c r="AB451" s="121" t="s">
        <v>1173</v>
      </c>
      <c r="AC451" s="366"/>
    </row>
    <row r="452" spans="1:29" ht="39.950000000000003" customHeight="1" x14ac:dyDescent="0.2">
      <c r="A452" s="66">
        <v>450</v>
      </c>
      <c r="B452" s="68">
        <v>45139</v>
      </c>
      <c r="C452" s="73">
        <v>0.51180555555555551</v>
      </c>
      <c r="D452" s="66" t="s">
        <v>2104</v>
      </c>
      <c r="E452" s="67" t="s">
        <v>2105</v>
      </c>
      <c r="F452" s="66">
        <v>5</v>
      </c>
      <c r="G452" s="66" t="s">
        <v>1443</v>
      </c>
      <c r="H452" s="68">
        <v>45146</v>
      </c>
      <c r="I452" s="68" t="s">
        <v>73</v>
      </c>
      <c r="J452" s="68" t="s">
        <v>1221</v>
      </c>
      <c r="K452" s="66">
        <f>IFERROR(VLOOKUP(J452,Jueces!$A$1:$B$11,2,FALSE),"")</f>
        <v>7</v>
      </c>
      <c r="L452" s="66" t="s">
        <v>813</v>
      </c>
      <c r="M452" s="66" t="s">
        <v>2125</v>
      </c>
      <c r="N452" s="66" t="s">
        <v>235</v>
      </c>
      <c r="O452" s="66" t="str">
        <f t="shared" ca="1" si="27"/>
        <v>SI</v>
      </c>
      <c r="P452" s="66" t="str">
        <f t="shared" si="28"/>
        <v>DIANOSOL</v>
      </c>
      <c r="Q452" s="66" t="s">
        <v>151</v>
      </c>
      <c r="R452" s="66" t="str">
        <f>VLOOKUP($Q452,Resultados!$A$1:$B$49,2,FALSE)</f>
        <v>Prisión Preventiva</v>
      </c>
      <c r="S452" s="66" t="s">
        <v>76</v>
      </c>
      <c r="T452" s="75" t="str">
        <f t="shared" si="26"/>
        <v>NO</v>
      </c>
      <c r="U452" s="75"/>
      <c r="V452" s="66"/>
      <c r="W452" s="73">
        <v>0.39652777777777781</v>
      </c>
      <c r="X452" s="66" t="s">
        <v>2204</v>
      </c>
      <c r="Y452" s="66"/>
      <c r="Z452" s="121" t="s">
        <v>1042</v>
      </c>
      <c r="AA452" s="121" t="s">
        <v>743</v>
      </c>
      <c r="AB452" s="121" t="s">
        <v>1174</v>
      </c>
      <c r="AC452" s="366"/>
    </row>
    <row r="453" spans="1:29" ht="39.950000000000003" customHeight="1" x14ac:dyDescent="0.2">
      <c r="A453" s="66">
        <v>451</v>
      </c>
      <c r="B453" s="68">
        <v>45140</v>
      </c>
      <c r="C453" s="73">
        <v>0.35416666666666669</v>
      </c>
      <c r="D453" s="66" t="s">
        <v>2113</v>
      </c>
      <c r="E453" s="67" t="s">
        <v>2309</v>
      </c>
      <c r="F453" s="66">
        <v>5</v>
      </c>
      <c r="G453" s="66" t="s">
        <v>32</v>
      </c>
      <c r="H453" s="68">
        <v>45147</v>
      </c>
      <c r="I453" s="68" t="s">
        <v>73</v>
      </c>
      <c r="J453" s="68" t="s">
        <v>35</v>
      </c>
      <c r="K453" s="66">
        <v>3</v>
      </c>
      <c r="L453" s="66" t="s">
        <v>809</v>
      </c>
      <c r="M453" s="66" t="s">
        <v>1965</v>
      </c>
      <c r="N453" s="66" t="s">
        <v>2420</v>
      </c>
      <c r="O453" s="66" t="str">
        <f t="shared" ca="1" si="27"/>
        <v>SI</v>
      </c>
      <c r="P453" s="66" t="str">
        <f t="shared" si="28"/>
        <v>DIANOSOL</v>
      </c>
      <c r="Q453" s="66" t="s">
        <v>911</v>
      </c>
      <c r="R453" s="66" t="str">
        <f>VLOOKUP($Q453,Resultados!$A$1:$B$49,2,FALSE)</f>
        <v>Suspendida</v>
      </c>
      <c r="S453" s="66" t="s">
        <v>2421</v>
      </c>
      <c r="T453" s="75" t="str">
        <f t="shared" si="26"/>
        <v>NO</v>
      </c>
      <c r="U453" s="75"/>
      <c r="V453" s="66"/>
      <c r="W453" s="66" t="s">
        <v>1391</v>
      </c>
      <c r="X453" s="173" t="s">
        <v>2422</v>
      </c>
      <c r="Y453" s="66"/>
      <c r="Z453" s="121" t="s">
        <v>1042</v>
      </c>
      <c r="AA453" s="121" t="s">
        <v>1169</v>
      </c>
      <c r="AB453" s="121" t="s">
        <v>1173</v>
      </c>
      <c r="AC453" s="366"/>
    </row>
    <row r="454" spans="1:29" ht="39.950000000000003" customHeight="1" x14ac:dyDescent="0.2">
      <c r="A454" s="66">
        <v>452</v>
      </c>
      <c r="B454" s="68">
        <v>45140</v>
      </c>
      <c r="C454" s="73">
        <v>0.34861111111111115</v>
      </c>
      <c r="D454" s="66" t="s">
        <v>2114</v>
      </c>
      <c r="E454" s="67" t="s">
        <v>2247</v>
      </c>
      <c r="F454" s="66">
        <v>5</v>
      </c>
      <c r="G454" s="66" t="s">
        <v>1443</v>
      </c>
      <c r="H454" s="68">
        <v>45148</v>
      </c>
      <c r="I454" s="68" t="s">
        <v>73</v>
      </c>
      <c r="J454" s="68" t="s">
        <v>31</v>
      </c>
      <c r="K454" s="66">
        <f>IFERROR(VLOOKUP(J454,Jueces!$A$1:$B$11,2,FALSE),"")</f>
        <v>2</v>
      </c>
      <c r="L454" s="66" t="s">
        <v>809</v>
      </c>
      <c r="M454" s="66" t="s">
        <v>2254</v>
      </c>
      <c r="N454" s="66" t="s">
        <v>2252</v>
      </c>
      <c r="O454" s="66" t="str">
        <f t="shared" ca="1" si="27"/>
        <v>SI</v>
      </c>
      <c r="P454" s="66" t="str">
        <f t="shared" si="28"/>
        <v>DIANOSOL</v>
      </c>
      <c r="Q454" s="66" t="s">
        <v>904</v>
      </c>
      <c r="R454" s="66" t="str">
        <f>VLOOKUP($Q454,Resultados!$A$1:$B$49,2,FALSE)</f>
        <v>Juicio Abreviado</v>
      </c>
      <c r="S454" s="66" t="s">
        <v>1017</v>
      </c>
      <c r="T454" s="75" t="str">
        <f t="shared" si="26"/>
        <v>NO</v>
      </c>
      <c r="U454" s="75"/>
      <c r="V454" s="66"/>
      <c r="W454" s="66" t="s">
        <v>1065</v>
      </c>
      <c r="X454" s="66" t="s">
        <v>2253</v>
      </c>
      <c r="Y454" s="66"/>
      <c r="Z454" s="121" t="s">
        <v>1041</v>
      </c>
      <c r="AA454" s="121" t="s">
        <v>1169</v>
      </c>
      <c r="AB454" s="121" t="s">
        <v>1174</v>
      </c>
      <c r="AC454" s="366"/>
    </row>
    <row r="455" spans="1:29" ht="39.950000000000003" customHeight="1" x14ac:dyDescent="0.2">
      <c r="A455" s="66">
        <v>453</v>
      </c>
      <c r="B455" s="68">
        <v>45140</v>
      </c>
      <c r="C455" s="73">
        <v>0.52222222222222225</v>
      </c>
      <c r="D455" s="66" t="s">
        <v>2123</v>
      </c>
      <c r="E455" s="67" t="s">
        <v>2124</v>
      </c>
      <c r="F455" s="66">
        <v>5</v>
      </c>
      <c r="G455" s="66" t="s">
        <v>1442</v>
      </c>
      <c r="H455" s="68">
        <v>45147</v>
      </c>
      <c r="I455" s="68" t="s">
        <v>1086</v>
      </c>
      <c r="J455" s="68" t="s">
        <v>1224</v>
      </c>
      <c r="K455" s="66" t="s">
        <v>1346</v>
      </c>
      <c r="L455" s="66" t="s">
        <v>807</v>
      </c>
      <c r="M455" s="66" t="s">
        <v>2142</v>
      </c>
      <c r="N455" s="66" t="s">
        <v>2240</v>
      </c>
      <c r="O455" s="66" t="str">
        <f t="shared" ca="1" si="27"/>
        <v>SI</v>
      </c>
      <c r="P455" s="66" t="str">
        <f t="shared" si="28"/>
        <v>DIANOSOL</v>
      </c>
      <c r="Q455" s="66" t="s">
        <v>904</v>
      </c>
      <c r="R455" s="66" t="str">
        <f>VLOOKUP($Q455,Resultados!$A$1:$B$49,2,FALSE)</f>
        <v>Juicio Abreviado</v>
      </c>
      <c r="S455" s="73">
        <v>0.3840277777777778</v>
      </c>
      <c r="T455" s="75" t="str">
        <f t="shared" si="26"/>
        <v>SI</v>
      </c>
      <c r="U455" s="75"/>
      <c r="V455" s="66"/>
      <c r="W455" s="73">
        <v>0.3979166666666667</v>
      </c>
      <c r="X455" s="66" t="s">
        <v>2241</v>
      </c>
      <c r="Y455" s="66"/>
      <c r="Z455" s="121" t="s">
        <v>743</v>
      </c>
      <c r="AA455" s="121" t="s">
        <v>1171</v>
      </c>
      <c r="AB455" s="121" t="s">
        <v>1177</v>
      </c>
      <c r="AC455" s="366"/>
    </row>
    <row r="456" spans="1:29" ht="127.5" x14ac:dyDescent="0.2">
      <c r="A456" s="66">
        <v>454</v>
      </c>
      <c r="B456" s="68">
        <v>45140</v>
      </c>
      <c r="C456" s="73">
        <v>0.41041666666666665</v>
      </c>
      <c r="D456" s="66" t="s">
        <v>2111</v>
      </c>
      <c r="E456" s="67" t="s">
        <v>2138</v>
      </c>
      <c r="F456" s="66">
        <v>1</v>
      </c>
      <c r="G456" s="66" t="s">
        <v>1441</v>
      </c>
      <c r="H456" s="68">
        <v>45154</v>
      </c>
      <c r="I456" s="68" t="s">
        <v>547</v>
      </c>
      <c r="J456" s="68" t="s">
        <v>1220</v>
      </c>
      <c r="K456" s="66">
        <f>IFERROR(VLOOKUP(J456,Jueces!$A$1:$B$11,2,FALSE),"")</f>
        <v>1</v>
      </c>
      <c r="L456" s="66" t="s">
        <v>192</v>
      </c>
      <c r="M456" s="66" t="s">
        <v>1286</v>
      </c>
      <c r="N456" s="66" t="s">
        <v>2349</v>
      </c>
      <c r="O456" s="66" t="str">
        <f t="shared" ca="1" si="27"/>
        <v>SI</v>
      </c>
      <c r="P456" s="66" t="str">
        <f t="shared" si="28"/>
        <v>DIANOSOL</v>
      </c>
      <c r="Q456" s="66" t="s">
        <v>151</v>
      </c>
      <c r="R456" s="66" t="str">
        <f>VLOOKUP($Q456,Resultados!$A$1:$B$49,2,FALSE)</f>
        <v>Prisión Preventiva</v>
      </c>
      <c r="S456" s="73">
        <v>0.46111111111111108</v>
      </c>
      <c r="T456" s="75" t="str">
        <f t="shared" si="26"/>
        <v>NO</v>
      </c>
      <c r="U456" s="75"/>
      <c r="V456" s="66"/>
      <c r="W456" s="73">
        <v>0.4777777777777778</v>
      </c>
      <c r="X456" s="66" t="s">
        <v>2259</v>
      </c>
      <c r="Y456" s="66"/>
      <c r="Z456" s="121" t="s">
        <v>1042</v>
      </c>
      <c r="AA456" s="121" t="s">
        <v>743</v>
      </c>
      <c r="AB456" s="121" t="s">
        <v>1175</v>
      </c>
      <c r="AC456" s="366"/>
    </row>
    <row r="457" spans="1:29" ht="39.950000000000003" customHeight="1" x14ac:dyDescent="0.2">
      <c r="A457" s="66">
        <v>455</v>
      </c>
      <c r="B457" s="68">
        <v>45141</v>
      </c>
      <c r="C457" s="73">
        <v>0.33333333333333331</v>
      </c>
      <c r="D457" s="66" t="s">
        <v>1109</v>
      </c>
      <c r="E457" s="67" t="s">
        <v>2133</v>
      </c>
      <c r="F457" s="66">
        <v>2</v>
      </c>
      <c r="G457" s="66" t="s">
        <v>1443</v>
      </c>
      <c r="H457" s="68">
        <v>45147</v>
      </c>
      <c r="I457" s="68" t="s">
        <v>73</v>
      </c>
      <c r="J457" s="68" t="s">
        <v>31</v>
      </c>
      <c r="K457" s="66">
        <v>8</v>
      </c>
      <c r="L457" s="66" t="s">
        <v>811</v>
      </c>
      <c r="M457" s="66" t="s">
        <v>711</v>
      </c>
      <c r="N457" s="66" t="s">
        <v>2246</v>
      </c>
      <c r="O457" s="66" t="str">
        <f t="shared" ca="1" si="27"/>
        <v>SI</v>
      </c>
      <c r="P457" s="66" t="str">
        <f t="shared" si="28"/>
        <v>DIANOSOL</v>
      </c>
      <c r="Q457" s="66" t="s">
        <v>904</v>
      </c>
      <c r="R457" s="66" t="str">
        <f>VLOOKUP($Q457,Resultados!$A$1:$B$49,2,FALSE)</f>
        <v>Juicio Abreviado</v>
      </c>
      <c r="S457" s="66" t="s">
        <v>73</v>
      </c>
      <c r="T457" s="75" t="str">
        <f t="shared" si="26"/>
        <v>NO</v>
      </c>
      <c r="U457" s="75"/>
      <c r="V457" s="66"/>
      <c r="W457" s="66" t="s">
        <v>1130</v>
      </c>
      <c r="X457" s="66"/>
      <c r="Y457" s="66"/>
      <c r="Z457" s="121" t="s">
        <v>748</v>
      </c>
      <c r="AA457" s="121" t="s">
        <v>1171</v>
      </c>
      <c r="AB457" s="121" t="s">
        <v>1175</v>
      </c>
      <c r="AC457" s="366"/>
    </row>
    <row r="458" spans="1:29" ht="39.950000000000003" customHeight="1" x14ac:dyDescent="0.2">
      <c r="A458" s="66">
        <v>456</v>
      </c>
      <c r="B458" s="68">
        <v>45141</v>
      </c>
      <c r="C458" s="73">
        <v>0.44375000000000003</v>
      </c>
      <c r="D458" s="66" t="s">
        <v>2135</v>
      </c>
      <c r="E458" s="67" t="s">
        <v>2136</v>
      </c>
      <c r="F458" s="66">
        <v>6</v>
      </c>
      <c r="G458" s="66" t="s">
        <v>29</v>
      </c>
      <c r="H458" s="68">
        <v>45147</v>
      </c>
      <c r="I458" s="68" t="s">
        <v>1210</v>
      </c>
      <c r="J458" s="68" t="s">
        <v>1224</v>
      </c>
      <c r="K458" s="66">
        <v>2</v>
      </c>
      <c r="L458" s="66" t="s">
        <v>807</v>
      </c>
      <c r="M458" s="66" t="s">
        <v>2125</v>
      </c>
      <c r="N458" s="66" t="s">
        <v>2243</v>
      </c>
      <c r="O458" s="66" t="str">
        <f t="shared" ca="1" si="27"/>
        <v>SI</v>
      </c>
      <c r="P458" s="66" t="str">
        <f t="shared" si="28"/>
        <v>DIANOSOL</v>
      </c>
      <c r="Q458" s="66" t="s">
        <v>909</v>
      </c>
      <c r="R458" s="66" t="str">
        <f>VLOOKUP($Q458,Resultados!$A$1:$B$49,2,FALSE)</f>
        <v>Suspensión de juicio a prueba</v>
      </c>
      <c r="S458" s="73">
        <v>0.39999999999999997</v>
      </c>
      <c r="T458" s="75" t="str">
        <f t="shared" si="26"/>
        <v>NO</v>
      </c>
      <c r="U458" s="75"/>
      <c r="V458" s="66"/>
      <c r="W458" s="73">
        <v>0.4375</v>
      </c>
      <c r="X458" s="66"/>
      <c r="Y458" s="66"/>
      <c r="Z458" s="121" t="s">
        <v>770</v>
      </c>
      <c r="AA458" s="121" t="s">
        <v>1169</v>
      </c>
      <c r="AB458" s="121" t="s">
        <v>1176</v>
      </c>
      <c r="AC458" s="366"/>
    </row>
    <row r="459" spans="1:29" ht="39.950000000000003" customHeight="1" x14ac:dyDescent="0.2">
      <c r="A459" s="66">
        <v>457</v>
      </c>
      <c r="B459" s="68">
        <v>45142</v>
      </c>
      <c r="C459" s="73">
        <v>0.4284722222222222</v>
      </c>
      <c r="D459" s="66" t="s">
        <v>2157</v>
      </c>
      <c r="E459" s="67" t="s">
        <v>2248</v>
      </c>
      <c r="F459" s="66">
        <v>7</v>
      </c>
      <c r="G459" s="66" t="s">
        <v>1441</v>
      </c>
      <c r="H459" s="68">
        <v>45148</v>
      </c>
      <c r="I459" s="68" t="s">
        <v>73</v>
      </c>
      <c r="J459" s="68" t="s">
        <v>35</v>
      </c>
      <c r="K459" s="66">
        <f>IFERROR(VLOOKUP(J459,Jueces!$A$1:$B$11,2,FALSE),"")</f>
        <v>3</v>
      </c>
      <c r="L459" s="66" t="s">
        <v>807</v>
      </c>
      <c r="M459" s="66" t="s">
        <v>2048</v>
      </c>
      <c r="N459" s="66" t="s">
        <v>2261</v>
      </c>
      <c r="O459" s="66" t="str">
        <f t="shared" ca="1" si="27"/>
        <v>SI</v>
      </c>
      <c r="P459" s="66" t="str">
        <f t="shared" si="28"/>
        <v>DIANOSOL</v>
      </c>
      <c r="Q459" s="66" t="s">
        <v>899</v>
      </c>
      <c r="R459" s="66" t="str">
        <f>VLOOKUP($Q459,Resultados!$A$1:$B$49,2,FALSE)</f>
        <v>Libertad</v>
      </c>
      <c r="S459" s="66" t="s">
        <v>73</v>
      </c>
      <c r="T459" s="75" t="str">
        <f t="shared" si="26"/>
        <v>NO</v>
      </c>
      <c r="U459" s="75"/>
      <c r="V459" s="66"/>
      <c r="W459" s="66" t="s">
        <v>1538</v>
      </c>
      <c r="X459" s="66"/>
      <c r="Y459" s="66"/>
      <c r="Z459" s="121" t="s">
        <v>748</v>
      </c>
      <c r="AA459" s="121" t="s">
        <v>1171</v>
      </c>
      <c r="AB459" s="121" t="s">
        <v>1175</v>
      </c>
      <c r="AC459" s="366"/>
    </row>
    <row r="460" spans="1:29" ht="39.950000000000003" customHeight="1" x14ac:dyDescent="0.2">
      <c r="A460" s="66">
        <v>458</v>
      </c>
      <c r="B460" s="68">
        <v>45141</v>
      </c>
      <c r="C460" s="66" t="s">
        <v>1562</v>
      </c>
      <c r="D460" s="66" t="s">
        <v>2065</v>
      </c>
      <c r="E460" s="67" t="s">
        <v>2137</v>
      </c>
      <c r="F460" s="66">
        <v>4</v>
      </c>
      <c r="G460" s="66" t="s">
        <v>568</v>
      </c>
      <c r="H460" s="68">
        <v>45146</v>
      </c>
      <c r="I460" s="68" t="s">
        <v>73</v>
      </c>
      <c r="J460" s="68" t="s">
        <v>33</v>
      </c>
      <c r="K460" s="66">
        <f>IFERROR(VLOOKUP(J460,Jueces!$A$1:$B$11,2,FALSE),"")</f>
        <v>4</v>
      </c>
      <c r="L460" s="66" t="s">
        <v>802</v>
      </c>
      <c r="M460" s="66" t="s">
        <v>1838</v>
      </c>
      <c r="N460" s="66" t="s">
        <v>151</v>
      </c>
      <c r="O460" s="66" t="str">
        <f t="shared" ca="1" si="27"/>
        <v>SI</v>
      </c>
      <c r="P460" s="66" t="str">
        <f t="shared" si="28"/>
        <v>DIANOSOL</v>
      </c>
      <c r="Q460" s="66" t="s">
        <v>151</v>
      </c>
      <c r="R460" s="66" t="str">
        <f>VLOOKUP($Q460,Resultados!$A$1:$B$49,2,FALSE)</f>
        <v>Prisión Preventiva</v>
      </c>
      <c r="S460" s="73">
        <v>0.35416666666666669</v>
      </c>
      <c r="T460" s="75" t="str">
        <f t="shared" si="26"/>
        <v>NO</v>
      </c>
      <c r="U460" s="75"/>
      <c r="V460" s="66"/>
      <c r="W460" s="73">
        <v>0.37291666666666662</v>
      </c>
      <c r="X460" s="66"/>
      <c r="Y460" s="66"/>
      <c r="Z460" s="121" t="s">
        <v>748</v>
      </c>
      <c r="AA460" s="121" t="s">
        <v>1169</v>
      </c>
      <c r="AB460" s="121" t="s">
        <v>1175</v>
      </c>
      <c r="AC460" s="366"/>
    </row>
    <row r="461" spans="1:29" ht="39.950000000000003"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6"/>
    </row>
    <row r="462" spans="1:29" ht="39.950000000000003" customHeight="1" x14ac:dyDescent="0.2">
      <c r="A462" s="66">
        <v>460</v>
      </c>
      <c r="B462" s="68">
        <v>45145</v>
      </c>
      <c r="C462" s="73">
        <v>0.375</v>
      </c>
      <c r="D462" s="66" t="s">
        <v>2159</v>
      </c>
      <c r="E462" s="67" t="s">
        <v>2217</v>
      </c>
      <c r="F462" s="66">
        <v>6</v>
      </c>
      <c r="G462" s="66" t="s">
        <v>29</v>
      </c>
      <c r="H462" s="68">
        <v>45154</v>
      </c>
      <c r="I462" s="68" t="s">
        <v>73</v>
      </c>
      <c r="J462" s="68" t="s">
        <v>1220</v>
      </c>
      <c r="K462" s="66">
        <f>IFERROR(VLOOKUP(J462,Jueces!$A$1:$B$11,2,FALSE),"")</f>
        <v>1</v>
      </c>
      <c r="L462" s="66" t="s">
        <v>812</v>
      </c>
      <c r="M462" s="66" t="s">
        <v>2125</v>
      </c>
      <c r="N462" s="66" t="s">
        <v>2340</v>
      </c>
      <c r="O462" s="66" t="str">
        <f t="shared" ca="1" si="27"/>
        <v>SI</v>
      </c>
      <c r="P462" s="66" t="str">
        <f t="shared" si="28"/>
        <v>DIANOSOL</v>
      </c>
      <c r="Q462" s="66" t="s">
        <v>904</v>
      </c>
      <c r="R462" s="66" t="str">
        <f>VLOOKUP($Q462,Resultados!$A$1:$B$49,2,FALSE)</f>
        <v>Juicio Abreviado</v>
      </c>
      <c r="S462" s="66" t="s">
        <v>1065</v>
      </c>
      <c r="T462" s="75" t="str">
        <f t="shared" si="26"/>
        <v>NO</v>
      </c>
      <c r="U462" s="75"/>
      <c r="V462" s="66"/>
      <c r="W462" s="66" t="s">
        <v>1458</v>
      </c>
      <c r="X462" s="66" t="s">
        <v>2341</v>
      </c>
      <c r="Y462" s="66"/>
      <c r="Z462" s="121" t="s">
        <v>1041</v>
      </c>
      <c r="AA462" s="121" t="s">
        <v>1171</v>
      </c>
      <c r="AB462" s="121" t="s">
        <v>1174</v>
      </c>
      <c r="AC462" s="366"/>
    </row>
    <row r="463" spans="1:29" ht="39.950000000000003" customHeight="1" x14ac:dyDescent="0.2">
      <c r="A463" s="66">
        <v>461</v>
      </c>
      <c r="B463" s="68">
        <v>45145</v>
      </c>
      <c r="C463" s="73">
        <v>0.37708333333333338</v>
      </c>
      <c r="D463" s="66" t="s">
        <v>2160</v>
      </c>
      <c r="E463" s="67" t="s">
        <v>2161</v>
      </c>
      <c r="F463" s="66">
        <v>6</v>
      </c>
      <c r="G463" s="66" t="s">
        <v>1441</v>
      </c>
      <c r="H463" s="68">
        <v>45152</v>
      </c>
      <c r="I463" s="68" t="s">
        <v>73</v>
      </c>
      <c r="J463" s="68" t="s">
        <v>35</v>
      </c>
      <c r="K463" s="66">
        <f>IFERROR(VLOOKUP(J463,Jueces!$A$1:$B$11,2,FALSE),"")</f>
        <v>3</v>
      </c>
      <c r="L463" s="66" t="s">
        <v>811</v>
      </c>
      <c r="M463" s="66" t="s">
        <v>2125</v>
      </c>
      <c r="N463" s="66" t="s">
        <v>2293</v>
      </c>
      <c r="O463" s="66" t="str">
        <f t="shared" ca="1" si="27"/>
        <v>SI</v>
      </c>
      <c r="P463" s="66" t="str">
        <f t="shared" si="28"/>
        <v>DIANOSOL</v>
      </c>
      <c r="Q463" s="66" t="s">
        <v>904</v>
      </c>
      <c r="R463" s="66" t="str">
        <f>VLOOKUP($Q463,Resultados!$A$1:$B$49,2,FALSE)</f>
        <v>Juicio Abreviado</v>
      </c>
      <c r="S463" s="73">
        <v>0.35486111111111113</v>
      </c>
      <c r="T463" s="75" t="str">
        <f t="shared" si="26"/>
        <v>NO</v>
      </c>
      <c r="U463" s="75"/>
      <c r="V463" s="66"/>
      <c r="W463" s="73">
        <v>0.35902777777777778</v>
      </c>
      <c r="X463" s="66"/>
      <c r="Y463" s="66"/>
      <c r="Z463" s="121" t="s">
        <v>748</v>
      </c>
      <c r="AA463" s="121" t="s">
        <v>743</v>
      </c>
      <c r="AB463" s="121" t="s">
        <v>1175</v>
      </c>
      <c r="AC463" s="366"/>
    </row>
    <row r="464" spans="1:29" ht="39.950000000000003" customHeight="1" x14ac:dyDescent="0.2">
      <c r="A464" s="66">
        <v>462</v>
      </c>
      <c r="B464" s="68">
        <v>45145</v>
      </c>
      <c r="C464" s="73">
        <v>0.38055555555555554</v>
      </c>
      <c r="D464" s="66" t="s">
        <v>2162</v>
      </c>
      <c r="E464" s="67" t="s">
        <v>2188</v>
      </c>
      <c r="F464" s="66">
        <v>6</v>
      </c>
      <c r="G464" s="66" t="s">
        <v>29</v>
      </c>
      <c r="H464" s="68">
        <v>45149</v>
      </c>
      <c r="I464" s="68" t="s">
        <v>73</v>
      </c>
      <c r="J464" s="68" t="s">
        <v>31</v>
      </c>
      <c r="K464" s="66">
        <f>IFERROR(VLOOKUP(J464,Jueces!$A$1:$B$11,2,FALSE),"")</f>
        <v>2</v>
      </c>
      <c r="L464" s="66" t="s">
        <v>812</v>
      </c>
      <c r="M464" s="66" t="s">
        <v>2125</v>
      </c>
      <c r="N464" s="66" t="s">
        <v>2270</v>
      </c>
      <c r="O464" s="66" t="str">
        <f t="shared" ca="1" si="27"/>
        <v>SI</v>
      </c>
      <c r="P464" s="66" t="str">
        <f t="shared" si="28"/>
        <v>DIANOSOL</v>
      </c>
      <c r="Q464" s="66" t="s">
        <v>909</v>
      </c>
      <c r="R464" s="66" t="str">
        <f>VLOOKUP($Q464,Resultados!$A$1:$B$49,2,FALSE)</f>
        <v>Suspensión de juicio a prueba</v>
      </c>
      <c r="S464" s="73">
        <v>0.36944444444444446</v>
      </c>
      <c r="T464" s="75" t="str">
        <f t="shared" si="26"/>
        <v>NO</v>
      </c>
      <c r="U464" s="75"/>
      <c r="V464" s="66"/>
      <c r="W464" s="73">
        <v>0.37847222222222227</v>
      </c>
      <c r="X464" s="66"/>
      <c r="Y464" s="66"/>
      <c r="Z464" s="121" t="s">
        <v>748</v>
      </c>
      <c r="AA464" s="121" t="s">
        <v>743</v>
      </c>
      <c r="AB464" s="121" t="s">
        <v>1176</v>
      </c>
      <c r="AC464" s="366"/>
    </row>
    <row r="465" spans="1:29" ht="63.75"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6"/>
    </row>
    <row r="466" spans="1:29" ht="39.950000000000003" customHeight="1" x14ac:dyDescent="0.2">
      <c r="A466" s="66">
        <v>464</v>
      </c>
      <c r="B466" s="68">
        <v>45145</v>
      </c>
      <c r="C466" s="73">
        <v>0.48472222222222222</v>
      </c>
      <c r="D466" s="66" t="s">
        <v>2172</v>
      </c>
      <c r="E466" s="67" t="s">
        <v>2173</v>
      </c>
      <c r="F466" s="66">
        <v>5</v>
      </c>
      <c r="G466" s="66" t="s">
        <v>43</v>
      </c>
      <c r="H466" s="68">
        <v>45149</v>
      </c>
      <c r="I466" s="68" t="s">
        <v>73</v>
      </c>
      <c r="J466" s="68" t="s">
        <v>1221</v>
      </c>
      <c r="K466" s="66">
        <f>IFERROR(VLOOKUP(J466,Jueces!$A$1:$B$11,2,FALSE),"")</f>
        <v>7</v>
      </c>
      <c r="L466" s="66" t="s">
        <v>811</v>
      </c>
      <c r="M466" s="66" t="s">
        <v>1965</v>
      </c>
      <c r="N466" s="66" t="s">
        <v>2272</v>
      </c>
      <c r="O466" s="66" t="str">
        <f t="shared" ca="1" si="27"/>
        <v>SI</v>
      </c>
      <c r="P466" s="66" t="str">
        <f t="shared" si="28"/>
        <v>DIANOSOL</v>
      </c>
      <c r="Q466" s="66" t="s">
        <v>904</v>
      </c>
      <c r="R466" s="66" t="str">
        <f>VLOOKUP($Q466,Resultados!$A$1:$B$49,2,FALSE)</f>
        <v>Juicio Abreviado</v>
      </c>
      <c r="S466" s="73">
        <v>0.35833333333333334</v>
      </c>
      <c r="T466" s="75" t="str">
        <f t="shared" si="26"/>
        <v>NO</v>
      </c>
      <c r="U466" s="75"/>
      <c r="V466" s="66"/>
      <c r="W466" s="73">
        <v>0.36249999999999999</v>
      </c>
      <c r="X466" s="66"/>
      <c r="Y466" s="66"/>
      <c r="Z466" s="121" t="s">
        <v>743</v>
      </c>
      <c r="AA466" s="121" t="s">
        <v>743</v>
      </c>
      <c r="AB466" s="121" t="s">
        <v>1173</v>
      </c>
      <c r="AC466" s="366"/>
    </row>
    <row r="467" spans="1:29" ht="39.950000000000003" customHeight="1" x14ac:dyDescent="0.2">
      <c r="A467" s="66">
        <v>465</v>
      </c>
      <c r="B467" s="68">
        <v>45145</v>
      </c>
      <c r="C467" s="73">
        <v>0.50069444444444444</v>
      </c>
      <c r="D467" s="66" t="s">
        <v>2174</v>
      </c>
      <c r="E467" s="67" t="s">
        <v>2250</v>
      </c>
      <c r="F467" s="66">
        <v>5</v>
      </c>
      <c r="G467" s="66" t="s">
        <v>1442</v>
      </c>
      <c r="H467" s="68">
        <v>45148</v>
      </c>
      <c r="I467" s="73" t="s">
        <v>1086</v>
      </c>
      <c r="J467" s="68" t="s">
        <v>1220</v>
      </c>
      <c r="K467" s="66">
        <f>IFERROR(VLOOKUP(J467,Jueces!$A$1:$B$11,2,FALSE),"")</f>
        <v>1</v>
      </c>
      <c r="L467" s="66" t="s">
        <v>813</v>
      </c>
      <c r="M467" s="66" t="s">
        <v>2260</v>
      </c>
      <c r="N467" s="66" t="s">
        <v>1753</v>
      </c>
      <c r="O467" s="66" t="str">
        <f t="shared" ca="1" si="27"/>
        <v>SI</v>
      </c>
      <c r="P467" s="66" t="str">
        <f t="shared" si="28"/>
        <v>DIANOSOL</v>
      </c>
      <c r="Q467" s="66" t="s">
        <v>151</v>
      </c>
      <c r="R467" s="66" t="str">
        <f>VLOOKUP($Q467,Resultados!$A$1:$B$49,2,FALSE)</f>
        <v>Prisión Preventiva</v>
      </c>
      <c r="S467" s="73">
        <v>0.39861111111111108</v>
      </c>
      <c r="T467" s="75" t="str">
        <f t="shared" si="26"/>
        <v>SI</v>
      </c>
      <c r="U467" s="75"/>
      <c r="V467" s="66"/>
      <c r="W467" s="73">
        <v>0.40763888888888888</v>
      </c>
      <c r="X467" s="66"/>
      <c r="Y467" s="66"/>
      <c r="Z467" s="121" t="s">
        <v>770</v>
      </c>
      <c r="AA467" s="121" t="s">
        <v>1171</v>
      </c>
      <c r="AB467" s="121" t="s">
        <v>1176</v>
      </c>
      <c r="AC467" s="366"/>
    </row>
    <row r="468" spans="1:29" ht="39.950000000000003" customHeight="1" x14ac:dyDescent="0.2">
      <c r="A468" s="66">
        <v>466</v>
      </c>
      <c r="B468" s="68">
        <v>45145</v>
      </c>
      <c r="C468" s="66" t="s">
        <v>2175</v>
      </c>
      <c r="D468" s="66" t="s">
        <v>2176</v>
      </c>
      <c r="E468" s="67" t="s">
        <v>2177</v>
      </c>
      <c r="F468" s="66">
        <v>5</v>
      </c>
      <c r="G468" s="66" t="s">
        <v>1441</v>
      </c>
      <c r="H468" s="68">
        <v>45149</v>
      </c>
      <c r="I468" s="68" t="s">
        <v>1086</v>
      </c>
      <c r="J468" s="68" t="s">
        <v>33</v>
      </c>
      <c r="K468" s="66">
        <f>IFERROR(VLOOKUP(J468,Jueces!$A$1:$B$11,2,FALSE),"")</f>
        <v>4</v>
      </c>
      <c r="L468" s="66" t="s">
        <v>811</v>
      </c>
      <c r="M468" s="66" t="s">
        <v>1965</v>
      </c>
      <c r="N468" s="66" t="s">
        <v>2271</v>
      </c>
      <c r="O468" s="66" t="str">
        <f t="shared" ca="1" si="27"/>
        <v>SI</v>
      </c>
      <c r="P468" s="66" t="str">
        <f t="shared" si="28"/>
        <v>DIANOSOL</v>
      </c>
      <c r="Q468" s="66" t="s">
        <v>904</v>
      </c>
      <c r="R468" s="66" t="str">
        <f>VLOOKUP($Q468,Resultados!$A$1:$B$49,2,FALSE)</f>
        <v>Juicio Abreviado</v>
      </c>
      <c r="S468" s="73">
        <v>0.37986111111111115</v>
      </c>
      <c r="T468" s="75" t="str">
        <f t="shared" si="26"/>
        <v>NO</v>
      </c>
      <c r="U468" s="75"/>
      <c r="V468" s="66"/>
      <c r="W468" s="73">
        <v>0.38750000000000001</v>
      </c>
      <c r="X468" s="66"/>
      <c r="Y468" s="66"/>
      <c r="Z468" s="121" t="s">
        <v>1042</v>
      </c>
      <c r="AA468" s="121" t="s">
        <v>1171</v>
      </c>
      <c r="AB468" s="121" t="s">
        <v>1173</v>
      </c>
      <c r="AC468" s="366"/>
    </row>
    <row r="469" spans="1:29" ht="39.950000000000003" customHeight="1" x14ac:dyDescent="0.2">
      <c r="A469" s="66">
        <v>467</v>
      </c>
      <c r="B469" s="68">
        <v>45145</v>
      </c>
      <c r="C469" s="73">
        <v>0.41805555555555557</v>
      </c>
      <c r="D469" s="66" t="s">
        <v>2178</v>
      </c>
      <c r="E469" s="67" t="s">
        <v>2249</v>
      </c>
      <c r="F469" s="66">
        <v>5</v>
      </c>
      <c r="G469" s="66" t="s">
        <v>29</v>
      </c>
      <c r="H469" s="68">
        <v>45148</v>
      </c>
      <c r="I469" s="68" t="s">
        <v>73</v>
      </c>
      <c r="J469" s="68" t="s">
        <v>1222</v>
      </c>
      <c r="K469" s="66" t="s">
        <v>2182</v>
      </c>
      <c r="L469" s="66" t="s">
        <v>812</v>
      </c>
      <c r="M469" s="66" t="s">
        <v>1965</v>
      </c>
      <c r="N469" s="66" t="s">
        <v>2255</v>
      </c>
      <c r="O469" s="66" t="str">
        <f t="shared" ca="1" si="27"/>
        <v>SI</v>
      </c>
      <c r="P469" s="66" t="str">
        <f t="shared" si="28"/>
        <v>DIANOSOL</v>
      </c>
      <c r="Q469" s="66" t="s">
        <v>909</v>
      </c>
      <c r="R469" s="66" t="str">
        <f>VLOOKUP($Q469,Resultados!$A$1:$B$49,2,FALSE)</f>
        <v>Suspensión de juicio a prueba</v>
      </c>
      <c r="S469" s="66" t="s">
        <v>2256</v>
      </c>
      <c r="T469" s="75" t="str">
        <f t="shared" si="26"/>
        <v>NO</v>
      </c>
      <c r="U469" s="75"/>
      <c r="V469" s="66"/>
      <c r="W469" s="66" t="s">
        <v>1587</v>
      </c>
      <c r="X469" s="66" t="s">
        <v>2155</v>
      </c>
      <c r="Y469" s="66"/>
      <c r="Z469" s="121" t="s">
        <v>743</v>
      </c>
      <c r="AA469" s="121" t="s">
        <v>1169</v>
      </c>
      <c r="AB469" s="121" t="s">
        <v>1177</v>
      </c>
      <c r="AC469" s="366"/>
    </row>
    <row r="470" spans="1:29" ht="39.950000000000003" customHeight="1" x14ac:dyDescent="0.2">
      <c r="A470" s="66">
        <v>468</v>
      </c>
      <c r="B470" s="68">
        <v>45145</v>
      </c>
      <c r="C470" s="73">
        <v>0.51111111111111118</v>
      </c>
      <c r="D470" s="66" t="s">
        <v>2180</v>
      </c>
      <c r="E470" s="67" t="s">
        <v>2181</v>
      </c>
      <c r="F470" s="66">
        <v>5</v>
      </c>
      <c r="G470" s="66" t="s">
        <v>1443</v>
      </c>
      <c r="H470" s="68">
        <v>45152</v>
      </c>
      <c r="I470" s="68" t="s">
        <v>73</v>
      </c>
      <c r="J470" s="68" t="s">
        <v>78</v>
      </c>
      <c r="K470" s="66">
        <v>8</v>
      </c>
      <c r="L470" s="66" t="s">
        <v>1702</v>
      </c>
      <c r="M470" s="66" t="s">
        <v>1028</v>
      </c>
      <c r="N470" s="66" t="s">
        <v>2229</v>
      </c>
      <c r="O470" s="66" t="str">
        <f t="shared" ca="1" si="27"/>
        <v>SI</v>
      </c>
      <c r="P470" s="66" t="str">
        <f t="shared" si="28"/>
        <v>DIANOSOL</v>
      </c>
      <c r="Q470" s="66" t="s">
        <v>151</v>
      </c>
      <c r="R470" s="66" t="str">
        <f>VLOOKUP($Q470,Resultados!$A$1:$B$49,2,FALSE)</f>
        <v>Prisión Preventiva</v>
      </c>
      <c r="S470" s="73">
        <v>0.36319444444444443</v>
      </c>
      <c r="T470" s="75" t="str">
        <f t="shared" si="26"/>
        <v>NO</v>
      </c>
      <c r="U470" s="75"/>
      <c r="V470" s="66"/>
      <c r="W470" s="73">
        <v>0.39305555555555555</v>
      </c>
      <c r="X470" s="66" t="s">
        <v>2295</v>
      </c>
      <c r="Y470" s="66"/>
      <c r="Z470" s="121" t="s">
        <v>743</v>
      </c>
      <c r="AA470" s="121" t="s">
        <v>743</v>
      </c>
      <c r="AB470" s="121" t="s">
        <v>1177</v>
      </c>
      <c r="AC470" s="366"/>
    </row>
    <row r="471" spans="1:29" ht="39.950000000000003"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6"/>
    </row>
    <row r="472" spans="1:29" ht="39.950000000000003" customHeight="1" x14ac:dyDescent="0.2">
      <c r="A472" s="66">
        <v>470</v>
      </c>
      <c r="B472" s="68">
        <v>45145</v>
      </c>
      <c r="C472" s="73">
        <v>0.44305555555555554</v>
      </c>
      <c r="D472" s="66" t="s">
        <v>2186</v>
      </c>
      <c r="E472" s="67" t="s">
        <v>2187</v>
      </c>
      <c r="F472" s="66">
        <v>4</v>
      </c>
      <c r="G472" s="66" t="s">
        <v>29</v>
      </c>
      <c r="H472" s="68">
        <v>45153</v>
      </c>
      <c r="I472" s="68" t="s">
        <v>73</v>
      </c>
      <c r="J472" s="68" t="s">
        <v>31</v>
      </c>
      <c r="K472" s="66">
        <f>IFERROR(VLOOKUP(J472,Jueces!$A$1:$B$11,2,FALSE),"")</f>
        <v>2</v>
      </c>
      <c r="L472" s="66" t="s">
        <v>798</v>
      </c>
      <c r="M472" s="66" t="s">
        <v>695</v>
      </c>
      <c r="N472" s="66" t="s">
        <v>2310</v>
      </c>
      <c r="O472" s="66" t="str">
        <f t="shared" ca="1" si="27"/>
        <v>SI</v>
      </c>
      <c r="P472" s="66" t="str">
        <f t="shared" si="28"/>
        <v>DIANOSOL</v>
      </c>
      <c r="Q472" s="66" t="s">
        <v>902</v>
      </c>
      <c r="R472" s="66" t="str">
        <f>VLOOKUP($Q472,Resultados!$A$1:$B$49,2,FALSE)</f>
        <v>Libertad</v>
      </c>
      <c r="S472" s="73">
        <v>0.3527777777777778</v>
      </c>
      <c r="T472" s="75" t="str">
        <f t="shared" si="26"/>
        <v>NO</v>
      </c>
      <c r="U472" s="75"/>
      <c r="V472" s="66"/>
      <c r="W472" s="73">
        <v>0.38194444444444442</v>
      </c>
      <c r="X472" s="66" t="s">
        <v>2312</v>
      </c>
      <c r="Y472" s="66"/>
      <c r="Z472" s="121" t="s">
        <v>743</v>
      </c>
      <c r="AA472" s="121" t="s">
        <v>1171</v>
      </c>
      <c r="AB472" s="121" t="s">
        <v>1177</v>
      </c>
      <c r="AC472" s="366"/>
    </row>
    <row r="473" spans="1:29" ht="39.950000000000003" customHeight="1" x14ac:dyDescent="0.2">
      <c r="A473" s="66">
        <v>471</v>
      </c>
      <c r="B473" s="68">
        <v>45145</v>
      </c>
      <c r="C473" s="73">
        <v>0.53749999999999998</v>
      </c>
      <c r="D473" s="66" t="s">
        <v>2189</v>
      </c>
      <c r="E473" s="67" t="s">
        <v>2190</v>
      </c>
      <c r="F473" s="66">
        <v>5</v>
      </c>
      <c r="G473" s="66" t="s">
        <v>1443</v>
      </c>
      <c r="H473" s="68">
        <v>45168</v>
      </c>
      <c r="I473" s="68" t="s">
        <v>1086</v>
      </c>
      <c r="J473" s="68" t="s">
        <v>1224</v>
      </c>
      <c r="K473" s="66" t="s">
        <v>1925</v>
      </c>
      <c r="L473" s="66" t="s">
        <v>796</v>
      </c>
      <c r="M473" s="66" t="s">
        <v>2207</v>
      </c>
      <c r="N473" s="66" t="s">
        <v>2538</v>
      </c>
      <c r="O473" s="66" t="str">
        <f t="shared" ca="1" si="27"/>
        <v>SI</v>
      </c>
      <c r="P473" s="66" t="str">
        <f t="shared" si="28"/>
        <v>DIANOSOL</v>
      </c>
      <c r="Q473" s="66" t="s">
        <v>909</v>
      </c>
      <c r="R473" s="66" t="str">
        <f>VLOOKUP($Q473,Resultados!$A$1:$B$49,2,FALSE)</f>
        <v>Suspensión de juicio a prueba</v>
      </c>
      <c r="S473" s="73">
        <v>0.375</v>
      </c>
      <c r="T473" s="75"/>
      <c r="U473" s="75"/>
      <c r="V473" s="66"/>
      <c r="W473" s="66" t="s">
        <v>1229</v>
      </c>
      <c r="X473" s="230" t="s">
        <v>2537</v>
      </c>
      <c r="Y473" s="66"/>
      <c r="Z473" s="121" t="s">
        <v>770</v>
      </c>
      <c r="AA473" s="121" t="s">
        <v>1169</v>
      </c>
      <c r="AB473" s="121" t="s">
        <v>1175</v>
      </c>
      <c r="AC473" s="366"/>
    </row>
    <row r="474" spans="1:29" ht="39.950000000000003" customHeight="1" x14ac:dyDescent="0.2">
      <c r="A474" s="66">
        <v>472</v>
      </c>
      <c r="B474" s="68">
        <v>45145</v>
      </c>
      <c r="C474" s="73">
        <v>0.52777777777777779</v>
      </c>
      <c r="D474" s="66" t="s">
        <v>2192</v>
      </c>
      <c r="E474" s="67" t="s">
        <v>2193</v>
      </c>
      <c r="F474" s="66">
        <v>6</v>
      </c>
      <c r="G474" s="66" t="s">
        <v>1442</v>
      </c>
      <c r="H474" s="68">
        <v>45152</v>
      </c>
      <c r="I474" s="68" t="s">
        <v>1086</v>
      </c>
      <c r="J474" s="68" t="s">
        <v>1223</v>
      </c>
      <c r="K474" s="66" t="s">
        <v>1925</v>
      </c>
      <c r="L474" s="66" t="s">
        <v>2090</v>
      </c>
      <c r="M474" s="66" t="s">
        <v>2125</v>
      </c>
      <c r="N474" s="66" t="s">
        <v>621</v>
      </c>
      <c r="O474" s="66" t="str">
        <f t="shared" ca="1" si="27"/>
        <v>SI</v>
      </c>
      <c r="P474" s="66" t="str">
        <f t="shared" si="28"/>
        <v>DIANOSOL</v>
      </c>
      <c r="Q474" s="66" t="s">
        <v>151</v>
      </c>
      <c r="R474" s="66" t="str">
        <f>VLOOKUP($Q474,Resultados!$A$1:$B$49,2,FALSE)</f>
        <v>Prisión Preventiva</v>
      </c>
      <c r="S474" s="73">
        <v>0.38194444444444442</v>
      </c>
      <c r="T474" s="75"/>
      <c r="U474" s="75"/>
      <c r="V474" s="66"/>
      <c r="W474" s="73">
        <v>0.3923611111111111</v>
      </c>
      <c r="X474" s="66"/>
      <c r="Y474" s="66"/>
      <c r="Z474" s="121" t="s">
        <v>748</v>
      </c>
      <c r="AA474" s="121" t="s">
        <v>1169</v>
      </c>
      <c r="AB474" s="121" t="s">
        <v>1175</v>
      </c>
      <c r="AC474" s="366"/>
    </row>
    <row r="475" spans="1:29" ht="39.950000000000003" customHeight="1" x14ac:dyDescent="0.2">
      <c r="A475" s="66">
        <v>473</v>
      </c>
      <c r="B475" s="68">
        <v>45146</v>
      </c>
      <c r="C475" s="73">
        <v>0.33333333333333331</v>
      </c>
      <c r="D475" s="66" t="s">
        <v>2191</v>
      </c>
      <c r="E475" s="67" t="s">
        <v>2221</v>
      </c>
      <c r="F475" s="66">
        <v>6</v>
      </c>
      <c r="G475" s="66" t="s">
        <v>1442</v>
      </c>
      <c r="H475" s="68">
        <v>45160</v>
      </c>
      <c r="I475" s="68" t="s">
        <v>73</v>
      </c>
      <c r="J475" s="68" t="s">
        <v>31</v>
      </c>
      <c r="K475" s="66" t="s">
        <v>2343</v>
      </c>
      <c r="L475" s="66" t="s">
        <v>809</v>
      </c>
      <c r="M475" s="66" t="s">
        <v>2125</v>
      </c>
      <c r="N475" s="66" t="s">
        <v>2408</v>
      </c>
      <c r="O475" s="66" t="str">
        <f t="shared" ca="1" si="27"/>
        <v>SI</v>
      </c>
      <c r="P475" s="66" t="str">
        <f t="shared" si="28"/>
        <v>DIANOSOL</v>
      </c>
      <c r="Q475" s="66" t="s">
        <v>151</v>
      </c>
      <c r="R475" s="66" t="str">
        <f>VLOOKUP($Q475,Resultados!$A$1:$B$49,2,FALSE)</f>
        <v>Prisión Preventiva</v>
      </c>
      <c r="S475" s="73">
        <v>0.36527777777777781</v>
      </c>
      <c r="T475" s="75" t="str">
        <f t="shared" ref="T475:T538" si="29">IF(G475=$J$1,"SI","NO")</f>
        <v>SI</v>
      </c>
      <c r="U475" s="75"/>
      <c r="V475" s="66"/>
      <c r="W475" s="73">
        <v>0.38194444444444442</v>
      </c>
      <c r="X475" s="253" t="s">
        <v>2409</v>
      </c>
      <c r="Y475" s="66"/>
      <c r="Z475" s="121" t="s">
        <v>1041</v>
      </c>
      <c r="AA475" s="121" t="s">
        <v>743</v>
      </c>
      <c r="AB475" s="121" t="s">
        <v>1173</v>
      </c>
      <c r="AC475" s="366"/>
    </row>
    <row r="476" spans="1:29" ht="39.950000000000003" customHeight="1" x14ac:dyDescent="0.2">
      <c r="A476" s="66">
        <v>474</v>
      </c>
      <c r="B476" s="68">
        <v>45146</v>
      </c>
      <c r="C476" s="73">
        <v>0.3354166666666667</v>
      </c>
      <c r="D476" s="66" t="s">
        <v>2218</v>
      </c>
      <c r="E476" s="67" t="s">
        <v>2199</v>
      </c>
      <c r="F476" s="66">
        <v>6</v>
      </c>
      <c r="G476" s="66" t="s">
        <v>283</v>
      </c>
      <c r="H476" s="68">
        <v>45153</v>
      </c>
      <c r="I476" s="68" t="s">
        <v>73</v>
      </c>
      <c r="J476" s="68" t="s">
        <v>1221</v>
      </c>
      <c r="K476" s="66" t="s">
        <v>2304</v>
      </c>
      <c r="L476" s="66" t="s">
        <v>1070</v>
      </c>
      <c r="M476" s="66" t="s">
        <v>2125</v>
      </c>
      <c r="N476" s="66" t="s">
        <v>2331</v>
      </c>
      <c r="O476" s="66" t="str">
        <f t="shared" ca="1" si="27"/>
        <v>SI</v>
      </c>
      <c r="P476" s="66" t="str">
        <f t="shared" si="28"/>
        <v>DIANOSOL</v>
      </c>
      <c r="Q476" s="66" t="s">
        <v>151</v>
      </c>
      <c r="R476" s="66" t="str">
        <f>VLOOKUP($Q476,Resultados!$A$1:$B$49,2,FALSE)</f>
        <v>Prisión Preventiva</v>
      </c>
      <c r="S476" s="73">
        <v>0.3666666666666667</v>
      </c>
      <c r="T476" s="75" t="str">
        <f t="shared" si="29"/>
        <v>NO</v>
      </c>
      <c r="U476" s="75"/>
      <c r="V476" s="66"/>
      <c r="W476" s="73">
        <v>0.38263888888888892</v>
      </c>
      <c r="X476" s="66" t="s">
        <v>2311</v>
      </c>
      <c r="Y476" s="66"/>
      <c r="Z476" s="121" t="s">
        <v>1041</v>
      </c>
      <c r="AA476" s="121" t="s">
        <v>1169</v>
      </c>
      <c r="AB476" s="121" t="s">
        <v>1174</v>
      </c>
      <c r="AC476" s="366"/>
    </row>
    <row r="477" spans="1:29" ht="39.950000000000003" customHeight="1" x14ac:dyDescent="0.2">
      <c r="A477" s="66">
        <v>475</v>
      </c>
      <c r="B477" s="68">
        <v>45146</v>
      </c>
      <c r="C477" s="73">
        <v>0.3347222222222222</v>
      </c>
      <c r="D477" s="66" t="s">
        <v>2234</v>
      </c>
      <c r="E477" s="67" t="s">
        <v>2216</v>
      </c>
      <c r="F477" s="66">
        <v>6</v>
      </c>
      <c r="G477" s="66" t="s">
        <v>32</v>
      </c>
      <c r="H477" s="68">
        <v>45154</v>
      </c>
      <c r="I477" s="68" t="s">
        <v>1086</v>
      </c>
      <c r="J477" s="68" t="s">
        <v>1222</v>
      </c>
      <c r="K477" s="66" t="s">
        <v>1346</v>
      </c>
      <c r="L477" s="66" t="s">
        <v>812</v>
      </c>
      <c r="M477" s="66" t="s">
        <v>2125</v>
      </c>
      <c r="N477" s="66" t="s">
        <v>2338</v>
      </c>
      <c r="O477" s="66" t="str">
        <f t="shared" ca="1" si="27"/>
        <v>SI</v>
      </c>
      <c r="P477" s="66" t="str">
        <f t="shared" si="28"/>
        <v>DIANOSOL</v>
      </c>
      <c r="Q477" s="66" t="s">
        <v>904</v>
      </c>
      <c r="R477" s="66" t="str">
        <f>VLOOKUP($Q477,Resultados!$A$1:$B$49,2,FALSE)</f>
        <v>Juicio Abreviado</v>
      </c>
      <c r="S477" s="73">
        <v>0.4055555555555555</v>
      </c>
      <c r="T477" s="75" t="str">
        <f t="shared" si="29"/>
        <v>NO</v>
      </c>
      <c r="U477" s="75"/>
      <c r="V477" s="66"/>
      <c r="W477" s="73">
        <v>0.4069444444444445</v>
      </c>
      <c r="X477" s="66" t="s">
        <v>2339</v>
      </c>
      <c r="Y477" s="66"/>
      <c r="Z477" s="121" t="s">
        <v>743</v>
      </c>
      <c r="AA477" s="121" t="s">
        <v>1169</v>
      </c>
      <c r="AB477" s="121" t="s">
        <v>1176</v>
      </c>
      <c r="AC477" s="366"/>
    </row>
    <row r="478" spans="1:29" ht="38.25" x14ac:dyDescent="0.2">
      <c r="A478" s="66">
        <v>476</v>
      </c>
      <c r="B478" s="68">
        <v>45146</v>
      </c>
      <c r="C478" s="73">
        <v>0.33333333333333331</v>
      </c>
      <c r="D478" s="66" t="s">
        <v>2200</v>
      </c>
      <c r="E478" s="67" t="s">
        <v>2220</v>
      </c>
      <c r="F478" s="66">
        <v>6</v>
      </c>
      <c r="G478" s="66" t="s">
        <v>32</v>
      </c>
      <c r="H478" s="68">
        <v>45152</v>
      </c>
      <c r="I478" s="68" t="s">
        <v>73</v>
      </c>
      <c r="J478" s="68" t="s">
        <v>1222</v>
      </c>
      <c r="K478" s="66">
        <v>5</v>
      </c>
      <c r="L478" s="66" t="s">
        <v>809</v>
      </c>
      <c r="M478" s="66" t="s">
        <v>2219</v>
      </c>
      <c r="N478" s="66" t="s">
        <v>2320</v>
      </c>
      <c r="O478" s="66" t="str">
        <f t="shared" ca="1" si="27"/>
        <v>SI</v>
      </c>
      <c r="P478" s="66" t="str">
        <f t="shared" si="28"/>
        <v>DIANOSOL</v>
      </c>
      <c r="Q478" s="66" t="s">
        <v>904</v>
      </c>
      <c r="R478" s="66" t="str">
        <f>VLOOKUP($Q478,Resultados!$A$1:$B$49,2,FALSE)</f>
        <v>Juicio Abreviado</v>
      </c>
      <c r="S478" s="73">
        <v>0.35069444444444442</v>
      </c>
      <c r="T478" s="75" t="str">
        <f t="shared" si="29"/>
        <v>NO</v>
      </c>
      <c r="U478" s="75"/>
      <c r="V478" s="66"/>
      <c r="W478" s="73">
        <v>0.35416666666666669</v>
      </c>
      <c r="X478" s="66" t="s">
        <v>2294</v>
      </c>
      <c r="Y478" s="66"/>
      <c r="Z478" s="121" t="s">
        <v>770</v>
      </c>
      <c r="AA478" s="121" t="s">
        <v>1169</v>
      </c>
      <c r="AB478" s="121" t="s">
        <v>1176</v>
      </c>
      <c r="AC478" s="366"/>
    </row>
    <row r="479" spans="1:29" ht="51" x14ac:dyDescent="0.2">
      <c r="A479" s="66">
        <v>477</v>
      </c>
      <c r="B479" s="68">
        <v>45146</v>
      </c>
      <c r="C479" s="73">
        <v>0.4145833333333333</v>
      </c>
      <c r="D479" s="66" t="s">
        <v>2201</v>
      </c>
      <c r="E479" s="67" t="s">
        <v>2202</v>
      </c>
      <c r="F479" s="66">
        <v>2</v>
      </c>
      <c r="G479" s="66" t="s">
        <v>568</v>
      </c>
      <c r="H479" s="68">
        <v>45154</v>
      </c>
      <c r="I479" s="68" t="s">
        <v>1086</v>
      </c>
      <c r="J479" s="68" t="s">
        <v>33</v>
      </c>
      <c r="K479" s="66">
        <f>IFERROR(VLOOKUP(J479,Jueces!$A$1:$B$11,2,FALSE),"")</f>
        <v>4</v>
      </c>
      <c r="L479" s="66" t="s">
        <v>803</v>
      </c>
      <c r="M479" s="66" t="s">
        <v>2265</v>
      </c>
      <c r="N479" s="66" t="s">
        <v>2345</v>
      </c>
      <c r="O479" s="66" t="str">
        <f t="shared" ca="1" si="27"/>
        <v>SI</v>
      </c>
      <c r="P479" s="66" t="str">
        <f t="shared" si="28"/>
        <v>DIANOSOL</v>
      </c>
      <c r="Q479" s="66" t="s">
        <v>151</v>
      </c>
      <c r="R479" s="66" t="str">
        <f>VLOOKUP($Q479,Resultados!$A$1:$B$49,2,FALSE)</f>
        <v>Prisión Preventiva</v>
      </c>
      <c r="S479" s="73">
        <v>0.37708333333333338</v>
      </c>
      <c r="T479" s="75" t="str">
        <f t="shared" si="29"/>
        <v>NO</v>
      </c>
      <c r="U479" s="75"/>
      <c r="V479" s="66"/>
      <c r="W479" s="73">
        <v>0.39097222222222222</v>
      </c>
      <c r="X479" s="6"/>
      <c r="Y479" s="66"/>
      <c r="Z479" s="121" t="s">
        <v>770</v>
      </c>
      <c r="AA479" s="121" t="s">
        <v>1171</v>
      </c>
      <c r="AB479" s="121" t="s">
        <v>1174</v>
      </c>
      <c r="AC479" s="366"/>
    </row>
    <row r="480" spans="1:29" ht="39.950000000000003" customHeight="1" x14ac:dyDescent="0.2">
      <c r="A480" s="66">
        <v>478</v>
      </c>
      <c r="B480" s="68">
        <v>45146</v>
      </c>
      <c r="C480" s="73">
        <v>0.41805555555555557</v>
      </c>
      <c r="D480" s="66" t="s">
        <v>2203</v>
      </c>
      <c r="E480" s="67" t="s">
        <v>2393</v>
      </c>
      <c r="F480" s="66">
        <v>8</v>
      </c>
      <c r="G480" s="66" t="s">
        <v>1442</v>
      </c>
      <c r="H480" s="68">
        <v>45156</v>
      </c>
      <c r="I480" s="68" t="s">
        <v>73</v>
      </c>
      <c r="J480" s="68" t="s">
        <v>35</v>
      </c>
      <c r="K480" s="66">
        <f>IFERROR(VLOOKUP(J480,Jueces!$A$1:$B$11,2,FALSE),"")</f>
        <v>3</v>
      </c>
      <c r="L480" s="66" t="s">
        <v>1070</v>
      </c>
      <c r="M480" s="66" t="s">
        <v>2230</v>
      </c>
      <c r="N480" s="66" t="s">
        <v>2276</v>
      </c>
      <c r="O480" s="66" t="str">
        <f t="shared" ca="1" si="27"/>
        <v>SI</v>
      </c>
      <c r="P480" s="66" t="str">
        <f t="shared" si="28"/>
        <v>DIANOSOL</v>
      </c>
      <c r="Q480" s="66" t="s">
        <v>151</v>
      </c>
      <c r="R480" s="66" t="str">
        <f>VLOOKUP($Q480,Resultados!$A$1:$B$49,2,FALSE)</f>
        <v>Prisión Preventiva</v>
      </c>
      <c r="S480" s="66" t="s">
        <v>1134</v>
      </c>
      <c r="T480" s="75" t="str">
        <f t="shared" si="29"/>
        <v>SI</v>
      </c>
      <c r="U480" s="75"/>
      <c r="V480" s="66"/>
      <c r="W480" s="66" t="s">
        <v>1497</v>
      </c>
      <c r="X480" s="66" t="s">
        <v>2155</v>
      </c>
      <c r="Y480" s="66"/>
      <c r="Z480" s="121" t="s">
        <v>748</v>
      </c>
      <c r="AA480" s="121" t="s">
        <v>1169</v>
      </c>
      <c r="AB480" s="121" t="s">
        <v>1176</v>
      </c>
      <c r="AC480" s="366"/>
    </row>
    <row r="481" spans="1:29" ht="76.5" x14ac:dyDescent="0.2">
      <c r="A481" s="66">
        <v>479</v>
      </c>
      <c r="B481" s="68">
        <v>45146</v>
      </c>
      <c r="C481" s="73">
        <v>0.45277777777777778</v>
      </c>
      <c r="D481" s="66" t="s">
        <v>2208</v>
      </c>
      <c r="E481" s="67" t="s">
        <v>2209</v>
      </c>
      <c r="F481" s="66">
        <v>6</v>
      </c>
      <c r="G481" s="66" t="s">
        <v>1443</v>
      </c>
      <c r="H481" s="68">
        <v>45149</v>
      </c>
      <c r="I481" s="73" t="s">
        <v>73</v>
      </c>
      <c r="J481" s="68" t="s">
        <v>1223</v>
      </c>
      <c r="K481" s="66" t="s">
        <v>2266</v>
      </c>
      <c r="L481" s="66" t="s">
        <v>508</v>
      </c>
      <c r="M481" s="66" t="s">
        <v>2125</v>
      </c>
      <c r="N481" s="66" t="s">
        <v>2273</v>
      </c>
      <c r="O481" s="66" t="str">
        <f t="shared" ca="1" si="27"/>
        <v>SI</v>
      </c>
      <c r="P481" s="66" t="str">
        <f t="shared" si="28"/>
        <v>DIANOSOL</v>
      </c>
      <c r="Q481" s="66" t="s">
        <v>151</v>
      </c>
      <c r="R481" s="66" t="str">
        <f>VLOOKUP($Q481,Resultados!$A$1:$B$49,2,FALSE)</f>
        <v>Prisión Preventiva</v>
      </c>
      <c r="S481" s="73">
        <v>0.34861111111111115</v>
      </c>
      <c r="T481" s="75" t="str">
        <f t="shared" si="29"/>
        <v>NO</v>
      </c>
      <c r="U481" s="75"/>
      <c r="V481" s="66"/>
      <c r="W481" s="73">
        <v>0.4145833333333333</v>
      </c>
      <c r="X481" s="66"/>
      <c r="Y481" s="66"/>
      <c r="Z481" s="121" t="s">
        <v>770</v>
      </c>
      <c r="AA481" s="121" t="s">
        <v>1169</v>
      </c>
      <c r="AB481" s="121" t="s">
        <v>1174</v>
      </c>
      <c r="AC481" s="366"/>
    </row>
    <row r="482" spans="1:29" ht="39.950000000000003" customHeight="1" x14ac:dyDescent="0.2">
      <c r="A482" s="66">
        <v>480</v>
      </c>
      <c r="B482" s="68">
        <v>45146</v>
      </c>
      <c r="C482" s="66" t="s">
        <v>2210</v>
      </c>
      <c r="D482" s="66" t="s">
        <v>2211</v>
      </c>
      <c r="E482" s="67" t="s">
        <v>2212</v>
      </c>
      <c r="F482" s="66">
        <v>2</v>
      </c>
      <c r="G482" s="66" t="s">
        <v>43</v>
      </c>
      <c r="H482" s="68">
        <v>45153</v>
      </c>
      <c r="I482" s="68" t="s">
        <v>73</v>
      </c>
      <c r="J482" s="68" t="s">
        <v>1222</v>
      </c>
      <c r="K482" s="66" t="s">
        <v>1925</v>
      </c>
      <c r="L482" s="66" t="s">
        <v>809</v>
      </c>
      <c r="M482" s="66" t="s">
        <v>1965</v>
      </c>
      <c r="N482" s="66" t="s">
        <v>621</v>
      </c>
      <c r="O482" s="66" t="str">
        <f t="shared" ca="1" si="27"/>
        <v>SI</v>
      </c>
      <c r="P482" s="66" t="str">
        <f t="shared" si="28"/>
        <v>DIANOSOL</v>
      </c>
      <c r="Q482" s="66" t="s">
        <v>151</v>
      </c>
      <c r="R482" s="66" t="str">
        <f>VLOOKUP($Q482,Resultados!$A$1:$B$49,2,FALSE)</f>
        <v>Prisión Preventiva</v>
      </c>
      <c r="S482" s="73">
        <v>0.35069444444444442</v>
      </c>
      <c r="T482" s="75" t="str">
        <f t="shared" si="29"/>
        <v>NO</v>
      </c>
      <c r="U482" s="75"/>
      <c r="V482" s="66"/>
      <c r="W482" s="73">
        <v>0.3576388888888889</v>
      </c>
      <c r="X482" s="66"/>
      <c r="Y482" s="66"/>
      <c r="Z482" s="121" t="s">
        <v>1042</v>
      </c>
      <c r="AA482" s="121" t="s">
        <v>1171</v>
      </c>
      <c r="AB482" s="121" t="s">
        <v>1173</v>
      </c>
      <c r="AC482" s="366"/>
    </row>
    <row r="483" spans="1:29" ht="25.5" x14ac:dyDescent="0.2">
      <c r="A483" s="66">
        <v>481</v>
      </c>
      <c r="B483" s="68">
        <v>45146</v>
      </c>
      <c r="C483" s="73">
        <v>0.51458333333333328</v>
      </c>
      <c r="D483" s="66" t="s">
        <v>2213</v>
      </c>
      <c r="E483" s="67" t="s">
        <v>2214</v>
      </c>
      <c r="F483" s="66">
        <v>6</v>
      </c>
      <c r="G483" s="66" t="s">
        <v>32</v>
      </c>
      <c r="H483" s="68">
        <v>45153</v>
      </c>
      <c r="I483" s="68" t="s">
        <v>547</v>
      </c>
      <c r="J483" s="68" t="s">
        <v>1220</v>
      </c>
      <c r="K483" s="66">
        <f>IFERROR(VLOOKUP(J483,Jueces!$A$1:$B$11,2,FALSE),"")</f>
        <v>1</v>
      </c>
      <c r="L483" s="66" t="s">
        <v>809</v>
      </c>
      <c r="M483" s="66" t="s">
        <v>2125</v>
      </c>
      <c r="N483" s="66" t="s">
        <v>2319</v>
      </c>
      <c r="O483" s="66" t="str">
        <f t="shared" ca="1" si="27"/>
        <v>SI</v>
      </c>
      <c r="P483" s="66" t="str">
        <f t="shared" si="28"/>
        <v>DIANOSOL</v>
      </c>
      <c r="Q483" s="66" t="s">
        <v>904</v>
      </c>
      <c r="R483" s="66" t="str">
        <f>VLOOKUP($Q483,Resultados!$A$1:$B$49,2,FALSE)</f>
        <v>Juicio Abreviado</v>
      </c>
      <c r="S483" s="73">
        <v>0.47152777777777777</v>
      </c>
      <c r="T483" s="75" t="str">
        <f t="shared" si="29"/>
        <v>NO</v>
      </c>
      <c r="U483" s="75"/>
      <c r="V483" s="66"/>
      <c r="W483" s="73">
        <v>0.47430555555555554</v>
      </c>
      <c r="X483" s="66"/>
      <c r="Y483" s="66"/>
      <c r="Z483" s="121" t="s">
        <v>770</v>
      </c>
      <c r="AA483" s="121" t="s">
        <v>1169</v>
      </c>
      <c r="AB483" s="121" t="s">
        <v>1176</v>
      </c>
      <c r="AC483" s="366"/>
    </row>
    <row r="484" spans="1:29" ht="39.950000000000003" customHeight="1" x14ac:dyDescent="0.2">
      <c r="A484" s="66">
        <v>482</v>
      </c>
      <c r="B484" s="68">
        <v>45146</v>
      </c>
      <c r="C484" s="73">
        <v>0.5229166666666667</v>
      </c>
      <c r="D484" s="66" t="s">
        <v>2215</v>
      </c>
      <c r="E484" s="67" t="s">
        <v>2376</v>
      </c>
      <c r="F484" s="66">
        <v>6</v>
      </c>
      <c r="G484" s="66" t="s">
        <v>283</v>
      </c>
      <c r="H484" s="68">
        <v>45155</v>
      </c>
      <c r="I484" s="68" t="s">
        <v>73</v>
      </c>
      <c r="J484" s="68" t="s">
        <v>78</v>
      </c>
      <c r="K484" s="66">
        <v>8</v>
      </c>
      <c r="L484" s="66" t="s">
        <v>802</v>
      </c>
      <c r="M484" s="66" t="s">
        <v>2125</v>
      </c>
      <c r="N484" s="66" t="s">
        <v>2365</v>
      </c>
      <c r="O484" s="66" t="str">
        <f t="shared" ca="1" si="27"/>
        <v>SI</v>
      </c>
      <c r="P484" s="66" t="str">
        <f t="shared" si="28"/>
        <v>DIANOSOL</v>
      </c>
      <c r="Q484" s="66" t="s">
        <v>904</v>
      </c>
      <c r="R484" s="66" t="str">
        <f>VLOOKUP($Q484,Resultados!$A$1:$B$49,2,FALSE)</f>
        <v>Juicio Abreviado</v>
      </c>
      <c r="S484" s="73">
        <v>0.35833333333333334</v>
      </c>
      <c r="T484" s="75" t="str">
        <f t="shared" si="29"/>
        <v>NO</v>
      </c>
      <c r="U484" s="75"/>
      <c r="V484" s="66"/>
      <c r="W484" s="73">
        <v>0.36874999999999997</v>
      </c>
      <c r="X484" s="66"/>
      <c r="Y484" s="66"/>
      <c r="Z484" s="121" t="s">
        <v>748</v>
      </c>
      <c r="AA484" s="121" t="s">
        <v>1171</v>
      </c>
      <c r="AB484" s="121" t="s">
        <v>1173</v>
      </c>
      <c r="AC484" s="366"/>
    </row>
    <row r="485" spans="1:29" ht="39.950000000000003" customHeight="1" x14ac:dyDescent="0.2">
      <c r="A485" s="66">
        <v>483</v>
      </c>
      <c r="B485" s="68">
        <v>45147</v>
      </c>
      <c r="C485" s="73">
        <v>0.33333333333333331</v>
      </c>
      <c r="D485" s="66" t="s">
        <v>2226</v>
      </c>
      <c r="E485" s="67" t="s">
        <v>2223</v>
      </c>
      <c r="F485" s="66">
        <v>5</v>
      </c>
      <c r="G485" s="66" t="s">
        <v>568</v>
      </c>
      <c r="H485" s="68">
        <v>45153</v>
      </c>
      <c r="I485" s="68" t="s">
        <v>73</v>
      </c>
      <c r="J485" s="68" t="s">
        <v>35</v>
      </c>
      <c r="K485" s="66">
        <f>IFERROR(VLOOKUP(J485,Jueces!$A$1:$B$11,2,FALSE),"")</f>
        <v>3</v>
      </c>
      <c r="L485" s="66" t="s">
        <v>806</v>
      </c>
      <c r="M485" s="66" t="s">
        <v>1875</v>
      </c>
      <c r="N485" s="66" t="s">
        <v>2330</v>
      </c>
      <c r="O485" s="66" t="str">
        <f t="shared" ca="1" si="27"/>
        <v>SI</v>
      </c>
      <c r="P485" s="66" t="str">
        <f t="shared" si="28"/>
        <v>DIANOSOL</v>
      </c>
      <c r="Q485" s="66" t="s">
        <v>151</v>
      </c>
      <c r="R485" s="66" t="str">
        <f>VLOOKUP($Q485,Resultados!$A$1:$B$49,2,FALSE)</f>
        <v>Prisión Preventiva</v>
      </c>
      <c r="S485" s="73">
        <v>0.3611111111111111</v>
      </c>
      <c r="T485" s="75" t="str">
        <f t="shared" si="29"/>
        <v>NO</v>
      </c>
      <c r="U485" s="75"/>
      <c r="V485" s="66"/>
      <c r="W485" s="73">
        <v>0.42777777777777781</v>
      </c>
      <c r="X485" s="66" t="s">
        <v>2318</v>
      </c>
      <c r="Y485" s="66"/>
      <c r="Z485" s="121" t="s">
        <v>748</v>
      </c>
      <c r="AA485" s="121" t="s">
        <v>743</v>
      </c>
      <c r="AB485" s="121" t="s">
        <v>1175</v>
      </c>
      <c r="AC485" s="366"/>
    </row>
    <row r="486" spans="1:29" ht="39.950000000000003" customHeight="1" x14ac:dyDescent="0.2">
      <c r="A486" s="66">
        <v>484</v>
      </c>
      <c r="B486" s="68">
        <v>45147</v>
      </c>
      <c r="C486" s="73">
        <v>0.33333333333333331</v>
      </c>
      <c r="D486" s="66" t="s">
        <v>2227</v>
      </c>
      <c r="E486" s="67" t="s">
        <v>2224</v>
      </c>
      <c r="F486" s="66">
        <v>5</v>
      </c>
      <c r="G486" s="66" t="s">
        <v>1442</v>
      </c>
      <c r="H486" s="68">
        <v>45154</v>
      </c>
      <c r="I486" s="68" t="s">
        <v>73</v>
      </c>
      <c r="J486" s="68" t="s">
        <v>78</v>
      </c>
      <c r="K486" s="66">
        <f>IFERROR(VLOOKUP(J486,Jueces!$A$1:$B$11,2,FALSE),"")</f>
        <v>8</v>
      </c>
      <c r="L486" s="66" t="s">
        <v>813</v>
      </c>
      <c r="M486" s="66" t="s">
        <v>1965</v>
      </c>
      <c r="N486" s="66" t="s">
        <v>2334</v>
      </c>
      <c r="O486" s="66" t="str">
        <f t="shared" ca="1" si="27"/>
        <v>SI</v>
      </c>
      <c r="P486" s="66" t="str">
        <f t="shared" si="28"/>
        <v>DIANOSOL</v>
      </c>
      <c r="Q486" s="66" t="s">
        <v>904</v>
      </c>
      <c r="R486" s="66" t="str">
        <f>VLOOKUP($Q486,Resultados!$A$1:$B$49,2,FALSE)</f>
        <v>Juicio Abreviado</v>
      </c>
      <c r="S486" s="73">
        <v>0.3756944444444445</v>
      </c>
      <c r="T486" s="75" t="str">
        <f t="shared" si="29"/>
        <v>SI</v>
      </c>
      <c r="U486" s="75"/>
      <c r="V486" s="66"/>
      <c r="W486" s="73">
        <v>0.38541666666666669</v>
      </c>
      <c r="X486" s="66" t="s">
        <v>2335</v>
      </c>
      <c r="Y486" s="66"/>
      <c r="Z486" s="121" t="s">
        <v>1042</v>
      </c>
      <c r="AA486" s="121" t="s">
        <v>743</v>
      </c>
      <c r="AB486" s="121" t="s">
        <v>1173</v>
      </c>
      <c r="AC486" s="366"/>
    </row>
    <row r="487" spans="1:29" ht="39.950000000000003" customHeight="1" x14ac:dyDescent="0.2">
      <c r="A487" s="66">
        <v>485</v>
      </c>
      <c r="B487" s="68">
        <v>45147</v>
      </c>
      <c r="C487" s="73">
        <v>0.33333333333333331</v>
      </c>
      <c r="D487" s="66" t="s">
        <v>2245</v>
      </c>
      <c r="E487" s="67" t="s">
        <v>2225</v>
      </c>
      <c r="F487" s="66">
        <v>5</v>
      </c>
      <c r="G487" s="66" t="s">
        <v>568</v>
      </c>
      <c r="H487" s="68">
        <v>45156</v>
      </c>
      <c r="I487" s="68" t="s">
        <v>73</v>
      </c>
      <c r="J487" s="68" t="s">
        <v>78</v>
      </c>
      <c r="K487" s="66">
        <f>IFERROR(VLOOKUP(J487,Jueces!$A$1:$B$11,2,FALSE),"")</f>
        <v>8</v>
      </c>
      <c r="L487" s="66" t="s">
        <v>508</v>
      </c>
      <c r="M487" s="66" t="s">
        <v>2372</v>
      </c>
      <c r="N487" s="66" t="s">
        <v>235</v>
      </c>
      <c r="O487" s="66" t="str">
        <f t="shared" ca="1" si="27"/>
        <v>SI</v>
      </c>
      <c r="P487" s="66" t="str">
        <f t="shared" si="28"/>
        <v>DIANOSOL</v>
      </c>
      <c r="Q487" s="66" t="s">
        <v>151</v>
      </c>
      <c r="R487" s="66" t="str">
        <f>VLOOKUP($Q487,Resultados!$A$1:$B$49,2,FALSE)</f>
        <v>Prisión Preventiva</v>
      </c>
      <c r="S487" s="66" t="s">
        <v>679</v>
      </c>
      <c r="T487" s="75" t="str">
        <f t="shared" si="29"/>
        <v>NO</v>
      </c>
      <c r="U487" s="75"/>
      <c r="V487" s="66"/>
      <c r="W487" s="66" t="s">
        <v>1236</v>
      </c>
      <c r="X487" s="66" t="s">
        <v>2382</v>
      </c>
      <c r="Y487" s="66"/>
      <c r="Z487" s="121" t="s">
        <v>743</v>
      </c>
      <c r="AA487" s="121" t="s">
        <v>1171</v>
      </c>
      <c r="AB487" s="121" t="s">
        <v>1174</v>
      </c>
      <c r="AC487" s="366"/>
    </row>
    <row r="488" spans="1:29" ht="38.25"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6"/>
    </row>
    <row r="489" spans="1:29" ht="39.950000000000003" customHeight="1" x14ac:dyDescent="0.2">
      <c r="A489" s="6">
        <v>487</v>
      </c>
      <c r="B489" s="18">
        <v>45147</v>
      </c>
      <c r="C489" s="14">
        <v>0.39930555555555558</v>
      </c>
      <c r="D489" s="6" t="s">
        <v>2231</v>
      </c>
      <c r="E489" s="40" t="s">
        <v>2232</v>
      </c>
      <c r="F489" s="6">
        <v>5</v>
      </c>
      <c r="G489" s="6" t="s">
        <v>1441</v>
      </c>
      <c r="H489" s="18">
        <v>45156</v>
      </c>
      <c r="I489" s="18" t="s">
        <v>73</v>
      </c>
      <c r="J489" s="18" t="s">
        <v>31</v>
      </c>
      <c r="K489" s="6">
        <f>IFERROR(VLOOKUP(J489,Jueces!$A$1:$B$11,2,FALSE),"")</f>
        <v>2</v>
      </c>
      <c r="L489" s="6" t="s">
        <v>2094</v>
      </c>
      <c r="M489" s="6" t="s">
        <v>1571</v>
      </c>
      <c r="N489" s="6" t="s">
        <v>2329</v>
      </c>
      <c r="O489" s="6" t="str">
        <f t="shared" ca="1" si="27"/>
        <v>SI</v>
      </c>
      <c r="P489" s="6" t="str">
        <f t="shared" si="28"/>
        <v>DIANOSOL</v>
      </c>
      <c r="Q489" s="6" t="s">
        <v>151</v>
      </c>
      <c r="R489" s="6" t="str">
        <f>VLOOKUP($Q489,Resultados!$A$1:$B$49,2,FALSE)</f>
        <v>Prisión Preventiva</v>
      </c>
      <c r="S489" s="6" t="s">
        <v>1292</v>
      </c>
      <c r="T489" s="71" t="str">
        <f t="shared" si="29"/>
        <v>NO</v>
      </c>
      <c r="U489" s="71"/>
      <c r="V489" s="6"/>
      <c r="W489" s="6" t="s">
        <v>1609</v>
      </c>
      <c r="X489" s="6" t="s">
        <v>2386</v>
      </c>
      <c r="Y489" s="6"/>
      <c r="Z489" s="121" t="s">
        <v>770</v>
      </c>
      <c r="AA489" s="121" t="s">
        <v>1171</v>
      </c>
      <c r="AB489" s="121" t="s">
        <v>1173</v>
      </c>
      <c r="AC489" s="366"/>
    </row>
    <row r="490" spans="1:29" ht="39.950000000000003" customHeight="1" x14ac:dyDescent="0.2">
      <c r="A490" s="66">
        <v>488</v>
      </c>
      <c r="B490" s="68">
        <v>45147</v>
      </c>
      <c r="C490" s="73">
        <v>0.4375</v>
      </c>
      <c r="D490" s="66" t="s">
        <v>2233</v>
      </c>
      <c r="E490" s="67" t="s">
        <v>2235</v>
      </c>
      <c r="F490" s="66">
        <v>5</v>
      </c>
      <c r="G490" s="66" t="s">
        <v>1443</v>
      </c>
      <c r="H490" s="68">
        <v>45156</v>
      </c>
      <c r="I490" s="68" t="s">
        <v>1086</v>
      </c>
      <c r="J490" s="68" t="s">
        <v>1222</v>
      </c>
      <c r="K490" s="66">
        <v>3</v>
      </c>
      <c r="L490" s="66" t="s">
        <v>793</v>
      </c>
      <c r="M490" s="66" t="s">
        <v>1875</v>
      </c>
      <c r="N490" s="66" t="s">
        <v>2275</v>
      </c>
      <c r="O490" s="66" t="str">
        <f t="shared" ca="1" si="27"/>
        <v>SI</v>
      </c>
      <c r="P490" s="66" t="str">
        <f t="shared" si="28"/>
        <v>DIANOSOL</v>
      </c>
      <c r="Q490" s="66" t="s">
        <v>151</v>
      </c>
      <c r="R490" s="66" t="str">
        <f>VLOOKUP($Q490,Resultados!$A$1:$B$49,2,FALSE)</f>
        <v>Prisión Preventiva</v>
      </c>
      <c r="S490" s="66" t="s">
        <v>1193</v>
      </c>
      <c r="T490" s="75" t="str">
        <f t="shared" si="29"/>
        <v>NO</v>
      </c>
      <c r="U490" s="75"/>
      <c r="V490" s="66"/>
      <c r="W490" s="66" t="s">
        <v>2385</v>
      </c>
      <c r="X490" s="66"/>
      <c r="Y490" s="66"/>
      <c r="Z490" s="121" t="s">
        <v>748</v>
      </c>
      <c r="AA490" s="121" t="s">
        <v>743</v>
      </c>
      <c r="AB490" s="121" t="s">
        <v>1173</v>
      </c>
      <c r="AC490" s="366"/>
    </row>
    <row r="491" spans="1:29" ht="39.950000000000003" customHeight="1" x14ac:dyDescent="0.2">
      <c r="A491" s="66">
        <v>489</v>
      </c>
      <c r="B491" s="68">
        <v>45147</v>
      </c>
      <c r="C491" s="73">
        <v>0.47013888888888888</v>
      </c>
      <c r="D491" s="66" t="s">
        <v>2236</v>
      </c>
      <c r="E491" s="67" t="s">
        <v>2361</v>
      </c>
      <c r="F491" s="66">
        <v>6</v>
      </c>
      <c r="G491" s="66" t="s">
        <v>283</v>
      </c>
      <c r="H491" s="68">
        <v>45154</v>
      </c>
      <c r="I491" s="68" t="s">
        <v>73</v>
      </c>
      <c r="J491" s="68" t="s">
        <v>31</v>
      </c>
      <c r="K491" s="66">
        <f>IFERROR(VLOOKUP(J491,Jueces!$A$1:$B$11,2,FALSE),"")</f>
        <v>2</v>
      </c>
      <c r="L491" s="66" t="s">
        <v>1414</v>
      </c>
      <c r="M491" s="66" t="s">
        <v>2219</v>
      </c>
      <c r="N491" s="66" t="s">
        <v>2336</v>
      </c>
      <c r="O491" s="66" t="str">
        <f t="shared" ca="1" si="27"/>
        <v>SI</v>
      </c>
      <c r="P491" s="66" t="str">
        <f t="shared" si="28"/>
        <v>DIANOSOL</v>
      </c>
      <c r="Q491" s="66" t="s">
        <v>904</v>
      </c>
      <c r="R491" s="66" t="str">
        <f>VLOOKUP($Q491,Resultados!$A$1:$B$49,2,FALSE)</f>
        <v>Juicio Abreviado</v>
      </c>
      <c r="S491" s="73">
        <v>0.37152777777777773</v>
      </c>
      <c r="T491" s="75" t="str">
        <f t="shared" si="29"/>
        <v>NO</v>
      </c>
      <c r="U491" s="75"/>
      <c r="V491" s="66"/>
      <c r="W491" s="73">
        <v>0.38125000000000003</v>
      </c>
      <c r="X491" s="173" t="s">
        <v>2337</v>
      </c>
      <c r="Y491" s="66"/>
      <c r="Z491" s="121" t="s">
        <v>748</v>
      </c>
      <c r="AA491" s="121" t="s">
        <v>743</v>
      </c>
      <c r="AB491" s="121" t="s">
        <v>1175</v>
      </c>
      <c r="AC491" s="366"/>
    </row>
    <row r="492" spans="1:29" ht="39.950000000000003" customHeight="1" x14ac:dyDescent="0.2">
      <c r="A492" s="66">
        <v>490</v>
      </c>
      <c r="B492" s="68">
        <v>45148</v>
      </c>
      <c r="C492" s="73">
        <v>0.38125000000000003</v>
      </c>
      <c r="D492" s="66" t="s">
        <v>2263</v>
      </c>
      <c r="E492" s="67" t="s">
        <v>2362</v>
      </c>
      <c r="F492" s="66">
        <v>6</v>
      </c>
      <c r="G492" s="66" t="s">
        <v>1441</v>
      </c>
      <c r="H492" s="68">
        <v>45154</v>
      </c>
      <c r="I492" s="68" t="s">
        <v>1086</v>
      </c>
      <c r="J492" s="68" t="s">
        <v>1224</v>
      </c>
      <c r="K492" s="66" t="s">
        <v>1925</v>
      </c>
      <c r="L492" s="66" t="s">
        <v>813</v>
      </c>
      <c r="M492" s="66" t="s">
        <v>2219</v>
      </c>
      <c r="N492" s="66" t="s">
        <v>577</v>
      </c>
      <c r="O492" s="66" t="str">
        <f t="shared" ref="O492:O555" ca="1" si="30">IF(H492&lt;&gt;"",IF(H492&lt;=TODAY(),"SI","NO"),"LIMBO")</f>
        <v>SI</v>
      </c>
      <c r="P492" s="66" t="str">
        <f t="shared" si="28"/>
        <v>DIANOSOL</v>
      </c>
      <c r="Q492" s="66" t="s">
        <v>151</v>
      </c>
      <c r="R492" s="66" t="str">
        <f>VLOOKUP($Q492,Resultados!$A$1:$B$49,2,FALSE)</f>
        <v>Prisión Preventiva</v>
      </c>
      <c r="S492" s="73">
        <v>0.39305555555555555</v>
      </c>
      <c r="T492" s="75" t="str">
        <f t="shared" si="29"/>
        <v>NO</v>
      </c>
      <c r="U492" s="75"/>
      <c r="V492" s="66"/>
      <c r="W492" s="73">
        <v>0.42777777777777781</v>
      </c>
      <c r="X492" s="66" t="s">
        <v>2344</v>
      </c>
      <c r="Y492" s="66"/>
      <c r="Z492" s="121" t="s">
        <v>1041</v>
      </c>
      <c r="AA492" s="121" t="s">
        <v>743</v>
      </c>
      <c r="AB492" s="121" t="s">
        <v>1173</v>
      </c>
      <c r="AC492" s="366"/>
    </row>
    <row r="493" spans="1:29" ht="39.950000000000003" customHeight="1" x14ac:dyDescent="0.2">
      <c r="A493" s="66">
        <v>491</v>
      </c>
      <c r="B493" s="68">
        <v>45148</v>
      </c>
      <c r="C493" s="66" t="s">
        <v>1578</v>
      </c>
      <c r="D493" s="66" t="s">
        <v>2262</v>
      </c>
      <c r="E493" s="67" t="s">
        <v>2380</v>
      </c>
      <c r="F493" s="66">
        <v>5</v>
      </c>
      <c r="G493" s="66" t="s">
        <v>1443</v>
      </c>
      <c r="H493" s="68">
        <v>45155</v>
      </c>
      <c r="I493" s="68" t="s">
        <v>1086</v>
      </c>
      <c r="J493" s="68" t="s">
        <v>1220</v>
      </c>
      <c r="K493" s="66">
        <f>IFERROR(VLOOKUP(J493,Jueces!$A$1:$B$11,2,FALSE),"")</f>
        <v>1</v>
      </c>
      <c r="L493" s="66" t="s">
        <v>811</v>
      </c>
      <c r="M493" s="66" t="s">
        <v>2372</v>
      </c>
      <c r="N493" s="66" t="s">
        <v>2371</v>
      </c>
      <c r="O493" s="66" t="str">
        <f t="shared" ca="1" si="30"/>
        <v>SI</v>
      </c>
      <c r="P493" s="66" t="str">
        <f t="shared" si="28"/>
        <v>DIANOSOL</v>
      </c>
      <c r="Q493" s="66" t="s">
        <v>904</v>
      </c>
      <c r="R493" s="66" t="str">
        <f>VLOOKUP($Q493,Resultados!$A$1:$B$49,2,FALSE)</f>
        <v>Juicio Abreviado</v>
      </c>
      <c r="S493" s="73">
        <v>0.40625</v>
      </c>
      <c r="T493" s="75" t="str">
        <f t="shared" si="29"/>
        <v>NO</v>
      </c>
      <c r="U493" s="75"/>
      <c r="V493" s="66"/>
      <c r="W493" s="73">
        <v>0.41041666666666665</v>
      </c>
      <c r="X493" s="66" t="s">
        <v>2373</v>
      </c>
      <c r="Y493" s="66"/>
      <c r="Z493" s="121" t="s">
        <v>1042</v>
      </c>
      <c r="AA493" s="121" t="s">
        <v>1171</v>
      </c>
      <c r="AB493" s="121" t="s">
        <v>1175</v>
      </c>
      <c r="AC493" s="366"/>
    </row>
    <row r="494" spans="1:29" ht="39.950000000000003" customHeight="1" x14ac:dyDescent="0.2">
      <c r="A494" s="66">
        <v>492</v>
      </c>
      <c r="B494" s="68">
        <v>45148</v>
      </c>
      <c r="C494" s="73">
        <v>0.40416666666666662</v>
      </c>
      <c r="D494" s="66" t="s">
        <v>2257</v>
      </c>
      <c r="E494" s="67" t="s">
        <v>2377</v>
      </c>
      <c r="F494" s="66">
        <v>5</v>
      </c>
      <c r="G494" s="66" t="s">
        <v>1441</v>
      </c>
      <c r="H494" s="68">
        <v>45155</v>
      </c>
      <c r="I494" s="68" t="s">
        <v>73</v>
      </c>
      <c r="J494" s="68" t="s">
        <v>33</v>
      </c>
      <c r="K494" s="66">
        <f>IFERROR(VLOOKUP(J494,Jueces!$A$1:$B$11,2,FALSE),"")</f>
        <v>4</v>
      </c>
      <c r="L494" s="66" t="s">
        <v>812</v>
      </c>
      <c r="M494" s="66" t="s">
        <v>1965</v>
      </c>
      <c r="N494" s="66" t="s">
        <v>2363</v>
      </c>
      <c r="O494" s="66" t="str">
        <f t="shared" ca="1" si="30"/>
        <v>SI</v>
      </c>
      <c r="P494" s="66" t="str">
        <f t="shared" si="28"/>
        <v>DIANOSOL</v>
      </c>
      <c r="Q494" s="66" t="s">
        <v>904</v>
      </c>
      <c r="R494" s="66" t="str">
        <f>VLOOKUP($Q494,Resultados!$A$1:$B$49,2,FALSE)</f>
        <v>Juicio Abreviado</v>
      </c>
      <c r="S494" s="73">
        <v>0.35416666666666669</v>
      </c>
      <c r="T494" s="75" t="str">
        <f t="shared" si="29"/>
        <v>NO</v>
      </c>
      <c r="U494" s="75"/>
      <c r="V494" s="66"/>
      <c r="W494" s="73">
        <v>0.36249999999999999</v>
      </c>
      <c r="X494" s="66" t="s">
        <v>2364</v>
      </c>
      <c r="Y494" s="66"/>
      <c r="Z494" s="121" t="s">
        <v>743</v>
      </c>
      <c r="AA494" s="121" t="s">
        <v>2367</v>
      </c>
      <c r="AB494" s="121" t="s">
        <v>1176</v>
      </c>
      <c r="AC494" s="366"/>
    </row>
    <row r="495" spans="1:29" ht="127.5" x14ac:dyDescent="0.2">
      <c r="A495" s="66">
        <v>493</v>
      </c>
      <c r="B495" s="68">
        <v>45148</v>
      </c>
      <c r="C495" s="73">
        <v>0.40069444444444446</v>
      </c>
      <c r="D495" s="66" t="s">
        <v>2258</v>
      </c>
      <c r="E495" s="67" t="s">
        <v>2417</v>
      </c>
      <c r="F495" s="66">
        <v>5</v>
      </c>
      <c r="G495" s="66" t="s">
        <v>1442</v>
      </c>
      <c r="H495" s="68">
        <v>45161</v>
      </c>
      <c r="I495" s="68" t="s">
        <v>1086</v>
      </c>
      <c r="J495" s="68" t="s">
        <v>31</v>
      </c>
      <c r="K495" s="66" t="s">
        <v>1346</v>
      </c>
      <c r="L495" s="66" t="s">
        <v>813</v>
      </c>
      <c r="M495" s="66" t="s">
        <v>2125</v>
      </c>
      <c r="N495" s="66" t="s">
        <v>2435</v>
      </c>
      <c r="O495" s="66" t="str">
        <f t="shared" ca="1" si="30"/>
        <v>SI</v>
      </c>
      <c r="P495" s="66" t="str">
        <f t="shared" si="28"/>
        <v>DIANOSOL</v>
      </c>
      <c r="Q495" s="66" t="s">
        <v>904</v>
      </c>
      <c r="R495" s="66" t="str">
        <f>VLOOKUP($Q495,Resultados!$A$1:$B$49,2,FALSE)</f>
        <v>Juicio Abreviado</v>
      </c>
      <c r="S495" s="73">
        <v>0.4201388888888889</v>
      </c>
      <c r="T495" s="75" t="str">
        <f t="shared" si="29"/>
        <v>SI</v>
      </c>
      <c r="U495" s="75"/>
      <c r="V495" s="66"/>
      <c r="W495" s="73">
        <v>0.4375</v>
      </c>
      <c r="X495" s="226" t="s">
        <v>2436</v>
      </c>
      <c r="Y495" s="66"/>
      <c r="Z495" s="121" t="s">
        <v>1041</v>
      </c>
      <c r="AA495" s="121" t="s">
        <v>743</v>
      </c>
      <c r="AB495" s="121" t="s">
        <v>1173</v>
      </c>
      <c r="AC495" s="366"/>
    </row>
    <row r="496" spans="1:29" ht="51" x14ac:dyDescent="0.2">
      <c r="A496" s="66">
        <v>494</v>
      </c>
      <c r="B496" s="68">
        <v>45145</v>
      </c>
      <c r="C496" s="73">
        <v>0.41388888888888892</v>
      </c>
      <c r="D496" s="66" t="s">
        <v>2264</v>
      </c>
      <c r="E496" s="67" t="s">
        <v>2378</v>
      </c>
      <c r="F496" s="66">
        <v>1</v>
      </c>
      <c r="G496" s="66" t="s">
        <v>29</v>
      </c>
      <c r="H496" s="68">
        <v>45155</v>
      </c>
      <c r="I496" s="68" t="s">
        <v>73</v>
      </c>
      <c r="J496" s="68" t="s">
        <v>1223</v>
      </c>
      <c r="K496" s="66" t="s">
        <v>1346</v>
      </c>
      <c r="L496" s="66" t="s">
        <v>813</v>
      </c>
      <c r="M496" s="66" t="s">
        <v>767</v>
      </c>
      <c r="N496" s="66" t="s">
        <v>2375</v>
      </c>
      <c r="O496" s="66" t="str">
        <f t="shared" ca="1" si="30"/>
        <v>SI</v>
      </c>
      <c r="P496" s="66" t="str">
        <f t="shared" si="28"/>
        <v>DIANOSOL</v>
      </c>
      <c r="Q496" s="66" t="s">
        <v>904</v>
      </c>
      <c r="R496" s="66" t="str">
        <f>VLOOKUP($Q496,Resultados!$A$1:$B$49,2,FALSE)</f>
        <v>Juicio Abreviado</v>
      </c>
      <c r="S496" s="73">
        <v>0.37152777777777773</v>
      </c>
      <c r="T496" s="75" t="str">
        <f t="shared" si="29"/>
        <v>NO</v>
      </c>
      <c r="U496" s="75"/>
      <c r="V496" s="66"/>
      <c r="W496" s="73">
        <v>0.38541666666666669</v>
      </c>
      <c r="X496" s="387"/>
      <c r="Y496" s="66"/>
      <c r="Z496" s="121" t="s">
        <v>770</v>
      </c>
      <c r="AA496" s="121" t="s">
        <v>743</v>
      </c>
      <c r="AB496" s="121" t="s">
        <v>1174</v>
      </c>
      <c r="AC496" s="366"/>
    </row>
    <row r="497" spans="1:29" ht="39.950000000000003" customHeight="1" x14ac:dyDescent="0.2">
      <c r="A497" s="66">
        <v>495</v>
      </c>
      <c r="B497" s="68">
        <v>45148</v>
      </c>
      <c r="C497" s="73">
        <v>0.48402777777777778</v>
      </c>
      <c r="D497" s="66" t="s">
        <v>2267</v>
      </c>
      <c r="E497" s="67" t="s">
        <v>2269</v>
      </c>
      <c r="F497" s="66">
        <v>5</v>
      </c>
      <c r="G497" s="66" t="s">
        <v>43</v>
      </c>
      <c r="H497" s="68">
        <v>45156</v>
      </c>
      <c r="I497" s="68" t="s">
        <v>73</v>
      </c>
      <c r="J497" s="68" t="s">
        <v>33</v>
      </c>
      <c r="K497" s="66">
        <f>IFERROR(VLOOKUP(J497,Jueces!$A$1:$B$11,2,FALSE),"")</f>
        <v>4</v>
      </c>
      <c r="L497" s="66" t="s">
        <v>812</v>
      </c>
      <c r="M497" s="66" t="s">
        <v>2268</v>
      </c>
      <c r="N497" s="66" t="s">
        <v>2384</v>
      </c>
      <c r="O497" s="66" t="str">
        <f t="shared" ca="1" si="30"/>
        <v>SI</v>
      </c>
      <c r="P497" s="66" t="str">
        <f t="shared" si="28"/>
        <v>DIANOSOL</v>
      </c>
      <c r="Q497" s="66" t="s">
        <v>899</v>
      </c>
      <c r="R497" s="66" t="str">
        <f>VLOOKUP($Q497,Resultados!$A$1:$B$49,2,FALSE)</f>
        <v>Libertad</v>
      </c>
      <c r="S497" s="66" t="s">
        <v>1296</v>
      </c>
      <c r="T497" s="75" t="str">
        <f t="shared" si="29"/>
        <v>NO</v>
      </c>
      <c r="U497" s="75"/>
      <c r="V497" s="66"/>
      <c r="W497" s="66" t="s">
        <v>1243</v>
      </c>
      <c r="X497" s="387" t="s">
        <v>2383</v>
      </c>
      <c r="Y497" s="66"/>
      <c r="Z497" s="121" t="s">
        <v>1041</v>
      </c>
      <c r="AA497" s="121" t="s">
        <v>743</v>
      </c>
      <c r="AB497" s="121" t="s">
        <v>1176</v>
      </c>
      <c r="AC497" s="366"/>
    </row>
    <row r="498" spans="1:29" ht="39.950000000000003" customHeight="1" x14ac:dyDescent="0.2">
      <c r="A498" s="66">
        <v>496</v>
      </c>
      <c r="B498" s="68">
        <v>45149</v>
      </c>
      <c r="C498" s="66" t="s">
        <v>2277</v>
      </c>
      <c r="D498" s="66" t="s">
        <v>2278</v>
      </c>
      <c r="E498" s="67" t="s">
        <v>2279</v>
      </c>
      <c r="F498" s="66">
        <v>6</v>
      </c>
      <c r="G498" s="66" t="s">
        <v>32</v>
      </c>
      <c r="H498" s="68">
        <v>45156</v>
      </c>
      <c r="I498" s="68" t="s">
        <v>1086</v>
      </c>
      <c r="J498" s="68" t="s">
        <v>1220</v>
      </c>
      <c r="K498" s="66">
        <f>IFERROR(VLOOKUP(J498,Jueces!$A$1:$B$11,2,FALSE),"")</f>
        <v>1</v>
      </c>
      <c r="L498" s="66" t="s">
        <v>812</v>
      </c>
      <c r="M498" s="66" t="s">
        <v>2387</v>
      </c>
      <c r="N498" s="66" t="s">
        <v>2388</v>
      </c>
      <c r="O498" s="66" t="str">
        <f t="shared" ca="1" si="30"/>
        <v>SI</v>
      </c>
      <c r="P498" s="66" t="str">
        <f t="shared" si="28"/>
        <v>DIANOSOL</v>
      </c>
      <c r="Q498" s="66" t="s">
        <v>904</v>
      </c>
      <c r="R498" s="66" t="str">
        <f>VLOOKUP($Q498,Resultados!$A$1:$B$49,2,FALSE)</f>
        <v>Juicio Abreviado</v>
      </c>
      <c r="S498" s="73">
        <v>0.40347222222222223</v>
      </c>
      <c r="T498" s="75" t="str">
        <f t="shared" si="29"/>
        <v>NO</v>
      </c>
      <c r="U498" s="75"/>
      <c r="V498" s="66"/>
      <c r="W498" s="73">
        <v>0.41666666666666669</v>
      </c>
      <c r="X498" s="253" t="s">
        <v>2389</v>
      </c>
      <c r="Y498" s="66"/>
      <c r="Z498" s="121" t="s">
        <v>743</v>
      </c>
      <c r="AA498" s="121" t="s">
        <v>1169</v>
      </c>
      <c r="AB498" s="121" t="s">
        <v>1176</v>
      </c>
      <c r="AC498" s="366"/>
    </row>
    <row r="499" spans="1:29" ht="39.950000000000003" customHeight="1" x14ac:dyDescent="0.2">
      <c r="A499" s="66">
        <v>497</v>
      </c>
      <c r="B499" s="68">
        <v>45152</v>
      </c>
      <c r="C499" s="73">
        <v>0.33333333333333331</v>
      </c>
      <c r="D499" s="66" t="s">
        <v>2280</v>
      </c>
      <c r="E499" s="67" t="s">
        <v>2298</v>
      </c>
      <c r="F499" s="66">
        <v>6</v>
      </c>
      <c r="G499" s="66" t="s">
        <v>29</v>
      </c>
      <c r="H499" s="68">
        <v>45156</v>
      </c>
      <c r="I499" s="68" t="s">
        <v>73</v>
      </c>
      <c r="J499" s="68" t="s">
        <v>1223</v>
      </c>
      <c r="K499" s="66" t="s">
        <v>1346</v>
      </c>
      <c r="L499" s="66" t="s">
        <v>806</v>
      </c>
      <c r="M499" s="66" t="s">
        <v>2387</v>
      </c>
      <c r="N499" s="66" t="s">
        <v>2392</v>
      </c>
      <c r="O499" s="66" t="str">
        <f t="shared" ca="1" si="30"/>
        <v>SI</v>
      </c>
      <c r="P499" s="66" t="str">
        <f t="shared" si="28"/>
        <v>DIANOSOL</v>
      </c>
      <c r="Q499" s="66" t="s">
        <v>151</v>
      </c>
      <c r="R499" s="66" t="str">
        <f>VLOOKUP($Q499,Resultados!$A$1:$B$49,2,FALSE)</f>
        <v>Prisión Preventiva</v>
      </c>
      <c r="S499" s="73">
        <v>0.35138888888888892</v>
      </c>
      <c r="T499" s="75" t="str">
        <f t="shared" si="29"/>
        <v>NO</v>
      </c>
      <c r="U499" s="75"/>
      <c r="V499" s="66"/>
      <c r="W499" s="66" t="s">
        <v>1124</v>
      </c>
      <c r="X499" s="66"/>
      <c r="Y499" s="66"/>
      <c r="Z499" s="121" t="s">
        <v>1042</v>
      </c>
      <c r="AA499" s="121" t="s">
        <v>743</v>
      </c>
      <c r="AB499" s="121" t="s">
        <v>1174</v>
      </c>
      <c r="AC499" s="366"/>
    </row>
    <row r="500" spans="1:29" ht="39.950000000000003" customHeight="1" x14ac:dyDescent="0.2">
      <c r="A500" s="66">
        <v>498</v>
      </c>
      <c r="B500" s="68">
        <v>45152</v>
      </c>
      <c r="C500" s="73">
        <v>0.33333333333333331</v>
      </c>
      <c r="D500" s="66" t="s">
        <v>2281</v>
      </c>
      <c r="E500" s="67" t="s">
        <v>2328</v>
      </c>
      <c r="F500" s="66">
        <v>6</v>
      </c>
      <c r="G500" s="66" t="s">
        <v>1441</v>
      </c>
      <c r="H500" s="68">
        <v>45160</v>
      </c>
      <c r="I500" s="68" t="s">
        <v>749</v>
      </c>
      <c r="J500" s="68" t="s">
        <v>1222</v>
      </c>
      <c r="K500" s="66" t="s">
        <v>2394</v>
      </c>
      <c r="L500" s="66" t="s">
        <v>791</v>
      </c>
      <c r="M500" s="66" t="s">
        <v>2305</v>
      </c>
      <c r="N500" s="66" t="s">
        <v>2261</v>
      </c>
      <c r="O500" s="66" t="str">
        <f t="shared" ca="1" si="30"/>
        <v>SI</v>
      </c>
      <c r="P500" s="66" t="str">
        <f t="shared" si="28"/>
        <v>DIANOSOL</v>
      </c>
      <c r="Q500" s="66" t="s">
        <v>899</v>
      </c>
      <c r="R500" s="66" t="str">
        <f>VLOOKUP($Q500,Resultados!$A$1:$B$49,2,FALSE)</f>
        <v>Libertad</v>
      </c>
      <c r="S500" s="66" t="s">
        <v>1246</v>
      </c>
      <c r="T500" s="75" t="str">
        <f t="shared" si="29"/>
        <v>NO</v>
      </c>
      <c r="U500" s="75"/>
      <c r="V500" s="66"/>
      <c r="W500" s="66" t="s">
        <v>1292</v>
      </c>
      <c r="X500" s="225" t="s">
        <v>2412</v>
      </c>
      <c r="Y500" s="66"/>
      <c r="Z500" s="121" t="s">
        <v>770</v>
      </c>
      <c r="AA500" s="121" t="s">
        <v>1169</v>
      </c>
      <c r="AB500" s="121" t="s">
        <v>1174</v>
      </c>
      <c r="AC500" s="366"/>
    </row>
    <row r="501" spans="1:29" ht="39.950000000000003" customHeight="1" x14ac:dyDescent="0.2">
      <c r="A501" s="66">
        <v>499</v>
      </c>
      <c r="B501" s="68">
        <v>45152</v>
      </c>
      <c r="C501" s="73">
        <v>0.33333333333333331</v>
      </c>
      <c r="D501" s="66" t="s">
        <v>2282</v>
      </c>
      <c r="E501" s="67" t="s">
        <v>2413</v>
      </c>
      <c r="F501" s="66">
        <v>4</v>
      </c>
      <c r="G501" s="66" t="s">
        <v>283</v>
      </c>
      <c r="H501" s="68">
        <v>45161</v>
      </c>
      <c r="I501" s="68" t="s">
        <v>73</v>
      </c>
      <c r="J501" s="68" t="s">
        <v>1223</v>
      </c>
      <c r="K501" s="66" t="s">
        <v>1326</v>
      </c>
      <c r="L501" s="66" t="s">
        <v>807</v>
      </c>
      <c r="M501" s="66" t="s">
        <v>2284</v>
      </c>
      <c r="N501" s="66" t="s">
        <v>2426</v>
      </c>
      <c r="O501" s="66" t="str">
        <f t="shared" ca="1" si="30"/>
        <v>SI</v>
      </c>
      <c r="P501" s="66" t="str">
        <f t="shared" si="28"/>
        <v>DIANOSOL</v>
      </c>
      <c r="Q501" s="66" t="s">
        <v>905</v>
      </c>
      <c r="R501" s="66" t="str">
        <f>VLOOKUP($Q501,Resultados!$A$1:$B$49,2,FALSE)</f>
        <v>Juicio Abreviado</v>
      </c>
      <c r="S501" s="73">
        <v>0.37708333333333338</v>
      </c>
      <c r="T501" s="75" t="str">
        <f t="shared" si="29"/>
        <v>NO</v>
      </c>
      <c r="U501" s="75"/>
      <c r="V501" s="66"/>
      <c r="W501" s="73">
        <v>0.39999999999999997</v>
      </c>
      <c r="X501" s="226" t="s">
        <v>2427</v>
      </c>
      <c r="Y501" s="66"/>
      <c r="Z501" s="121" t="s">
        <v>1042</v>
      </c>
      <c r="AA501" s="121" t="s">
        <v>1169</v>
      </c>
      <c r="AB501" s="121" t="s">
        <v>1175</v>
      </c>
      <c r="AC501" s="366"/>
    </row>
    <row r="502" spans="1:29" ht="39.950000000000003" customHeight="1" x14ac:dyDescent="0.2">
      <c r="A502" s="66">
        <v>500</v>
      </c>
      <c r="B502" s="68">
        <v>45149</v>
      </c>
      <c r="C502" s="73">
        <v>0.3347222222222222</v>
      </c>
      <c r="D502" s="66" t="s">
        <v>2285</v>
      </c>
      <c r="E502" s="67" t="s">
        <v>2287</v>
      </c>
      <c r="F502" s="66">
        <v>4</v>
      </c>
      <c r="G502" s="66" t="s">
        <v>283</v>
      </c>
      <c r="H502" s="68">
        <v>45160</v>
      </c>
      <c r="I502" s="68" t="s">
        <v>73</v>
      </c>
      <c r="J502" s="68" t="s">
        <v>35</v>
      </c>
      <c r="K502" s="66">
        <f>IFERROR(VLOOKUP(J502,Jueces!$A$1:$B$11,2,FALSE),"")</f>
        <v>3</v>
      </c>
      <c r="L502" s="66" t="s">
        <v>814</v>
      </c>
      <c r="M502" s="66" t="s">
        <v>2286</v>
      </c>
      <c r="N502" s="66" t="s">
        <v>2405</v>
      </c>
      <c r="O502" s="66" t="str">
        <f t="shared" ca="1" si="30"/>
        <v>SI</v>
      </c>
      <c r="P502" s="66" t="str">
        <f t="shared" si="28"/>
        <v>DIANOSOL</v>
      </c>
      <c r="Q502" s="66" t="s">
        <v>151</v>
      </c>
      <c r="R502" s="66" t="str">
        <f>VLOOKUP($Q502,Resultados!$A$1:$B$49,2,FALSE)</f>
        <v>Prisión Preventiva</v>
      </c>
      <c r="S502" s="73">
        <v>0.41250000000000003</v>
      </c>
      <c r="T502" s="75" t="str">
        <f t="shared" si="29"/>
        <v>NO</v>
      </c>
      <c r="U502" s="75"/>
      <c r="V502" s="66"/>
      <c r="W502" s="73">
        <v>0.46666666666666662</v>
      </c>
      <c r="X502" s="66" t="s">
        <v>2406</v>
      </c>
      <c r="Y502" s="66"/>
      <c r="Z502" s="121" t="s">
        <v>1042</v>
      </c>
      <c r="AA502" s="121" t="s">
        <v>1169</v>
      </c>
      <c r="AB502" s="121" t="s">
        <v>1175</v>
      </c>
      <c r="AC502" s="366"/>
    </row>
    <row r="503" spans="1:29" ht="39.950000000000003" customHeight="1" x14ac:dyDescent="0.2">
      <c r="A503" s="66">
        <v>501</v>
      </c>
      <c r="B503" s="68">
        <v>45152</v>
      </c>
      <c r="C503" s="73">
        <v>0.39097222222222222</v>
      </c>
      <c r="D503" s="66" t="s">
        <v>2283</v>
      </c>
      <c r="E503" s="67" t="s">
        <v>2453</v>
      </c>
      <c r="F503" s="66">
        <v>7</v>
      </c>
      <c r="G503" s="66" t="s">
        <v>1443</v>
      </c>
      <c r="H503" s="68">
        <v>45162</v>
      </c>
      <c r="I503" s="68" t="s">
        <v>73</v>
      </c>
      <c r="J503" s="68" t="s">
        <v>1222</v>
      </c>
      <c r="K503" s="66" t="s">
        <v>1346</v>
      </c>
      <c r="L503" s="66" t="s">
        <v>2094</v>
      </c>
      <c r="M503" s="66" t="s">
        <v>2324</v>
      </c>
      <c r="N503" s="66" t="s">
        <v>2488</v>
      </c>
      <c r="O503" s="66" t="str">
        <f t="shared" ca="1" si="30"/>
        <v>SI</v>
      </c>
      <c r="P503" s="66" t="str">
        <f t="shared" si="28"/>
        <v>DIANOSOL</v>
      </c>
      <c r="Q503" s="66" t="s">
        <v>151</v>
      </c>
      <c r="R503" s="66" t="str">
        <f>VLOOKUP($Q503,Resultados!$A$1:$B$49,2,FALSE)</f>
        <v>Prisión Preventiva</v>
      </c>
      <c r="S503" s="73">
        <v>0.35902777777777778</v>
      </c>
      <c r="T503" s="75" t="str">
        <f t="shared" si="29"/>
        <v>NO</v>
      </c>
      <c r="U503" s="75"/>
      <c r="V503" s="66"/>
      <c r="W503" s="73">
        <v>0.37986111111111115</v>
      </c>
      <c r="X503" s="387" t="s">
        <v>2456</v>
      </c>
      <c r="Y503" s="66"/>
      <c r="Z503" s="121" t="s">
        <v>743</v>
      </c>
      <c r="AA503" s="121" t="s">
        <v>1169</v>
      </c>
      <c r="AB503" s="121" t="s">
        <v>1176</v>
      </c>
      <c r="AC503" s="366"/>
    </row>
    <row r="504" spans="1:29" ht="39.950000000000003" customHeight="1" x14ac:dyDescent="0.2">
      <c r="A504" s="66">
        <v>502</v>
      </c>
      <c r="B504" s="68">
        <v>45152</v>
      </c>
      <c r="C504" s="73">
        <v>0.45347222222222222</v>
      </c>
      <c r="D504" s="66" t="s">
        <v>2299</v>
      </c>
      <c r="E504" s="67" t="s">
        <v>2501</v>
      </c>
      <c r="F504" s="66">
        <v>7</v>
      </c>
      <c r="G504" s="66" t="s">
        <v>32</v>
      </c>
      <c r="H504" s="68">
        <v>45167</v>
      </c>
      <c r="I504" s="68" t="s">
        <v>73</v>
      </c>
      <c r="J504" s="68" t="s">
        <v>1224</v>
      </c>
      <c r="K504" s="66" t="s">
        <v>1326</v>
      </c>
      <c r="L504" s="66" t="s">
        <v>796</v>
      </c>
      <c r="M504" s="66"/>
      <c r="N504" s="387" t="s">
        <v>2581</v>
      </c>
      <c r="O504" s="66" t="str">
        <f t="shared" ca="1" si="30"/>
        <v>SI</v>
      </c>
      <c r="P504" s="66" t="str">
        <f t="shared" si="28"/>
        <v>DIANOSOL</v>
      </c>
      <c r="Q504" s="66" t="s">
        <v>151</v>
      </c>
      <c r="R504" s="66" t="str">
        <f>VLOOKUP($Q504,Resultados!$A$1:$B$49,2,FALSE)</f>
        <v>Prisión Preventiva</v>
      </c>
      <c r="S504" s="66"/>
      <c r="T504" s="75" t="str">
        <f t="shared" si="29"/>
        <v>NO</v>
      </c>
      <c r="U504" s="75"/>
      <c r="V504" s="66"/>
      <c r="W504" s="66"/>
      <c r="X504" s="387"/>
      <c r="Y504" s="66"/>
      <c r="Z504" s="121" t="s">
        <v>1041</v>
      </c>
      <c r="AA504" s="121" t="s">
        <v>743</v>
      </c>
      <c r="AB504" s="121" t="s">
        <v>1175</v>
      </c>
      <c r="AC504" s="366"/>
    </row>
    <row r="505" spans="1:29" ht="39.950000000000003" customHeight="1" x14ac:dyDescent="0.2">
      <c r="A505" s="66">
        <v>503</v>
      </c>
      <c r="B505" s="68">
        <v>45152</v>
      </c>
      <c r="C505" s="73">
        <v>0.49583333333333335</v>
      </c>
      <c r="D505" s="66" t="s">
        <v>2300</v>
      </c>
      <c r="E505" s="67" t="s">
        <v>2447</v>
      </c>
      <c r="F505" s="66">
        <v>8</v>
      </c>
      <c r="G505" s="66" t="s">
        <v>43</v>
      </c>
      <c r="H505" s="68">
        <v>45162</v>
      </c>
      <c r="I505" s="68" t="s">
        <v>73</v>
      </c>
      <c r="J505" s="68" t="s">
        <v>33</v>
      </c>
      <c r="K505" s="66">
        <f>IFERROR(VLOOKUP(J505,Jueces!$A$1:$B$11,2,FALSE),"")</f>
        <v>4</v>
      </c>
      <c r="L505" s="66" t="s">
        <v>1070</v>
      </c>
      <c r="M505" s="6" t="s">
        <v>2314</v>
      </c>
      <c r="N505" s="66" t="s">
        <v>2457</v>
      </c>
      <c r="O505" s="66" t="str">
        <f t="shared" ca="1" si="30"/>
        <v>SI</v>
      </c>
      <c r="P505" s="66" t="str">
        <f t="shared" si="28"/>
        <v>DIANOSOL</v>
      </c>
      <c r="Q505" s="66" t="s">
        <v>974</v>
      </c>
      <c r="R505" s="66" t="str">
        <f>VLOOKUP($Q505,Resultados!$A$1:$B$49,2,FALSE)</f>
        <v>Prision domiciliaria</v>
      </c>
      <c r="S505" s="73">
        <v>0.34722222222222227</v>
      </c>
      <c r="T505" s="75" t="str">
        <f t="shared" si="29"/>
        <v>NO</v>
      </c>
      <c r="U505" s="75"/>
      <c r="V505" s="66"/>
      <c r="W505" s="73">
        <v>0.37847222222222227</v>
      </c>
      <c r="X505" s="387"/>
      <c r="Y505" s="66"/>
      <c r="Z505" s="121" t="s">
        <v>770</v>
      </c>
      <c r="AA505" s="121" t="s">
        <v>743</v>
      </c>
      <c r="AB505" s="121" t="s">
        <v>1174</v>
      </c>
      <c r="AC505" s="366"/>
    </row>
    <row r="506" spans="1:29" ht="39.950000000000003" customHeight="1" x14ac:dyDescent="0.2">
      <c r="A506" s="66">
        <v>504</v>
      </c>
      <c r="B506" s="68">
        <v>45152</v>
      </c>
      <c r="C506" s="73">
        <v>0.43958333333333338</v>
      </c>
      <c r="D506" s="66" t="s">
        <v>2301</v>
      </c>
      <c r="E506" s="67" t="s">
        <v>2414</v>
      </c>
      <c r="F506" s="66">
        <v>7</v>
      </c>
      <c r="G506" s="66" t="s">
        <v>1443</v>
      </c>
      <c r="H506" s="68">
        <v>45161</v>
      </c>
      <c r="I506" s="68" t="s">
        <v>73</v>
      </c>
      <c r="J506" s="68" t="s">
        <v>1222</v>
      </c>
      <c r="K506" s="66" t="s">
        <v>1346</v>
      </c>
      <c r="L506" s="67" t="s">
        <v>192</v>
      </c>
      <c r="M506" s="6" t="s">
        <v>2125</v>
      </c>
      <c r="N506" s="173" t="s">
        <v>2428</v>
      </c>
      <c r="O506" s="66" t="str">
        <f t="shared" ca="1" si="30"/>
        <v>SI</v>
      </c>
      <c r="P506" s="67" t="str">
        <f t="shared" si="28"/>
        <v>DIANOSOL</v>
      </c>
      <c r="Q506" s="66" t="s">
        <v>909</v>
      </c>
      <c r="R506" s="66" t="str">
        <f>VLOOKUP($Q506,Resultados!$A$1:$B$49,2,FALSE)</f>
        <v>Suspensión de juicio a prueba</v>
      </c>
      <c r="S506" s="73">
        <v>0.35694444444444445</v>
      </c>
      <c r="T506" s="227" t="str">
        <f t="shared" si="29"/>
        <v>NO</v>
      </c>
      <c r="U506" s="67"/>
      <c r="V506" s="67"/>
      <c r="W506" s="73">
        <v>0.36944444444444446</v>
      </c>
      <c r="X506" s="173" t="s">
        <v>2429</v>
      </c>
      <c r="Y506" s="67"/>
      <c r="Z506" s="331" t="s">
        <v>748</v>
      </c>
      <c r="AA506" s="121" t="s">
        <v>1171</v>
      </c>
      <c r="AB506" s="121" t="s">
        <v>1177</v>
      </c>
      <c r="AC506" s="366"/>
    </row>
    <row r="507" spans="1:29" ht="39.950000000000003" customHeight="1" x14ac:dyDescent="0.2">
      <c r="A507" s="66">
        <v>505</v>
      </c>
      <c r="B507" s="68">
        <v>45152</v>
      </c>
      <c r="C507" s="73">
        <v>0.44791666666666669</v>
      </c>
      <c r="D507" s="66" t="s">
        <v>2302</v>
      </c>
      <c r="E507" s="67" t="s">
        <v>2397</v>
      </c>
      <c r="F507" s="66">
        <v>6</v>
      </c>
      <c r="G507" s="66" t="s">
        <v>1443</v>
      </c>
      <c r="H507" s="68">
        <v>45163</v>
      </c>
      <c r="I507" s="68" t="s">
        <v>73</v>
      </c>
      <c r="J507" s="68" t="s">
        <v>1223</v>
      </c>
      <c r="K507" s="66" t="s">
        <v>1925</v>
      </c>
      <c r="L507" s="66" t="s">
        <v>1070</v>
      </c>
      <c r="M507" s="6" t="s">
        <v>1416</v>
      </c>
      <c r="N507" s="6" t="s">
        <v>2480</v>
      </c>
      <c r="O507" s="66" t="str">
        <f t="shared" ca="1" si="30"/>
        <v>SI</v>
      </c>
      <c r="P507" s="66" t="str">
        <f t="shared" si="28"/>
        <v>DIANOSOL</v>
      </c>
      <c r="Q507" s="66" t="s">
        <v>899</v>
      </c>
      <c r="R507" s="66" t="str">
        <f>VLOOKUP($Q507,Resultados!$A$1:$B$49,2,FALSE)</f>
        <v>Libertad</v>
      </c>
      <c r="S507" s="73">
        <v>0.3756944444444445</v>
      </c>
      <c r="T507" s="75" t="str">
        <f t="shared" si="29"/>
        <v>NO</v>
      </c>
      <c r="U507" s="75"/>
      <c r="V507" s="66"/>
      <c r="W507" s="73">
        <v>0.4145833333333333</v>
      </c>
      <c r="X507" s="387" t="s">
        <v>2481</v>
      </c>
      <c r="Y507" s="66"/>
      <c r="Z507" s="121" t="s">
        <v>770</v>
      </c>
      <c r="AA507" s="121" t="s">
        <v>743</v>
      </c>
      <c r="AB507" s="121" t="s">
        <v>1173</v>
      </c>
      <c r="AC507" s="366"/>
    </row>
    <row r="508" spans="1:29" ht="39.950000000000003" customHeight="1" x14ac:dyDescent="0.2">
      <c r="A508" s="66">
        <v>506</v>
      </c>
      <c r="B508" s="68">
        <v>45152</v>
      </c>
      <c r="C508" s="73">
        <v>0.4604166666666667</v>
      </c>
      <c r="D508" s="66" t="s">
        <v>2303</v>
      </c>
      <c r="E508" s="67" t="s">
        <v>2308</v>
      </c>
      <c r="F508" s="66">
        <v>5</v>
      </c>
      <c r="G508" s="66" t="s">
        <v>29</v>
      </c>
      <c r="H508" s="68">
        <v>45160</v>
      </c>
      <c r="I508" s="68" t="s">
        <v>1086</v>
      </c>
      <c r="J508" s="68" t="s">
        <v>1220</v>
      </c>
      <c r="K508" s="66">
        <f>IFERROR(VLOOKUP(J508,Jueces!$A$1:$B$11,2,FALSE),"")</f>
        <v>1</v>
      </c>
      <c r="L508" s="66" t="s">
        <v>811</v>
      </c>
      <c r="M508" s="6" t="s">
        <v>2125</v>
      </c>
      <c r="N508" s="387" t="s">
        <v>2398</v>
      </c>
      <c r="O508" s="66" t="str">
        <f t="shared" ca="1" si="30"/>
        <v>SI</v>
      </c>
      <c r="P508" s="66" t="str">
        <f t="shared" si="28"/>
        <v>DIANOSOL</v>
      </c>
      <c r="Q508" s="66" t="s">
        <v>904</v>
      </c>
      <c r="R508" s="66" t="str">
        <f>VLOOKUP($Q508,Resultados!$A$1:$B$49,2,FALSE)</f>
        <v>Juicio Abreviado</v>
      </c>
      <c r="S508" s="73">
        <v>0.40277777777777773</v>
      </c>
      <c r="T508" s="75" t="str">
        <f t="shared" si="29"/>
        <v>NO</v>
      </c>
      <c r="U508" s="75"/>
      <c r="V508" s="66"/>
      <c r="W508" s="73">
        <v>0.41041666666666665</v>
      </c>
      <c r="X508" s="401" t="s">
        <v>2410</v>
      </c>
      <c r="Y508" s="66"/>
      <c r="Z508" s="121" t="s">
        <v>1041</v>
      </c>
      <c r="AA508" s="121" t="s">
        <v>743</v>
      </c>
      <c r="AB508" s="121" t="s">
        <v>1173</v>
      </c>
      <c r="AC508" s="366"/>
    </row>
    <row r="509" spans="1:29" ht="63.75"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29"/>
        <v>NO</v>
      </c>
      <c r="U509" s="75"/>
      <c r="V509" s="66"/>
      <c r="W509" s="73">
        <v>0.5131944444444444</v>
      </c>
      <c r="X509" s="230" t="s">
        <v>2446</v>
      </c>
      <c r="Y509" s="66"/>
      <c r="Z509" s="121" t="s">
        <v>748</v>
      </c>
      <c r="AA509" s="121" t="s">
        <v>1171</v>
      </c>
      <c r="AB509" s="121" t="s">
        <v>1177</v>
      </c>
      <c r="AC509" s="366"/>
    </row>
    <row r="510" spans="1:29" ht="76.5" x14ac:dyDescent="0.2">
      <c r="A510" s="66">
        <v>508</v>
      </c>
      <c r="B510" s="68">
        <v>45153</v>
      </c>
      <c r="C510" s="73">
        <v>0.33333333333333331</v>
      </c>
      <c r="D510" s="66" t="s">
        <v>2307</v>
      </c>
      <c r="E510" s="67" t="s">
        <v>2313</v>
      </c>
      <c r="F510" s="66">
        <v>4</v>
      </c>
      <c r="G510" s="66" t="s">
        <v>568</v>
      </c>
      <c r="H510" s="68">
        <v>45160</v>
      </c>
      <c r="I510" s="68" t="s">
        <v>73</v>
      </c>
      <c r="J510" s="68" t="s">
        <v>33</v>
      </c>
      <c r="K510" s="66">
        <f>IFERROR(VLOOKUP(J510,Jueces!$A$1:$B$11,2,FALSE),"")</f>
        <v>4</v>
      </c>
      <c r="L510" s="66" t="s">
        <v>800</v>
      </c>
      <c r="M510" s="66" t="s">
        <v>2219</v>
      </c>
      <c r="N510" s="66" t="s">
        <v>2411</v>
      </c>
      <c r="O510" s="66" t="str">
        <f t="shared" ca="1" si="30"/>
        <v>SI</v>
      </c>
      <c r="P510" s="66" t="str">
        <f t="shared" si="28"/>
        <v>DIANOSOL</v>
      </c>
      <c r="Q510" s="66" t="s">
        <v>904</v>
      </c>
      <c r="R510" s="66" t="str">
        <f>VLOOKUP($Q510,Resultados!$A$1:$B$49,2,FALSE)</f>
        <v>Juicio Abreviado</v>
      </c>
      <c r="S510" s="73">
        <v>0.37083333333333335</v>
      </c>
      <c r="T510" s="75" t="str">
        <f t="shared" si="29"/>
        <v>NO</v>
      </c>
      <c r="U510" s="75"/>
      <c r="V510" s="66"/>
      <c r="W510" s="73">
        <v>0.39166666666666666</v>
      </c>
      <c r="X510" s="66"/>
      <c r="Y510" s="66"/>
      <c r="Z510" s="121" t="s">
        <v>743</v>
      </c>
      <c r="AA510" s="121" t="s">
        <v>1171</v>
      </c>
      <c r="AB510" s="121" t="s">
        <v>1177</v>
      </c>
      <c r="AC510" s="366"/>
    </row>
    <row r="511" spans="1:29" ht="51" x14ac:dyDescent="0.2">
      <c r="A511" s="66">
        <v>509</v>
      </c>
      <c r="B511" s="68">
        <v>45154</v>
      </c>
      <c r="C511" s="73">
        <v>0.33333333333333331</v>
      </c>
      <c r="D511" s="66" t="s">
        <v>2315</v>
      </c>
      <c r="E511" s="67" t="s">
        <v>2415</v>
      </c>
      <c r="F511" s="66">
        <v>5</v>
      </c>
      <c r="G511" s="66" t="s">
        <v>568</v>
      </c>
      <c r="H511" s="68">
        <v>45161</v>
      </c>
      <c r="I511" s="68" t="s">
        <v>73</v>
      </c>
      <c r="J511" s="68" t="s">
        <v>1220</v>
      </c>
      <c r="K511" s="66" t="s">
        <v>1520</v>
      </c>
      <c r="L511" s="66" t="s">
        <v>2431</v>
      </c>
      <c r="M511" s="66" t="s">
        <v>2430</v>
      </c>
      <c r="N511" s="66" t="s">
        <v>1608</v>
      </c>
      <c r="O511" s="66" t="str">
        <f t="shared" ca="1" si="30"/>
        <v>SI</v>
      </c>
      <c r="P511" s="66" t="str">
        <f t="shared" si="28"/>
        <v>DIANOSOL</v>
      </c>
      <c r="Q511" s="66" t="s">
        <v>905</v>
      </c>
      <c r="R511" s="66" t="str">
        <f>VLOOKUP($Q511,Resultados!$A$1:$B$49,2,FALSE)</f>
        <v>Juicio Abreviado</v>
      </c>
      <c r="S511" s="73">
        <v>0.3659722222222222</v>
      </c>
      <c r="T511" s="75" t="str">
        <f t="shared" si="29"/>
        <v>NO</v>
      </c>
      <c r="U511" s="75"/>
      <c r="V511" s="66"/>
      <c r="W511" s="73">
        <v>0.40763888888888888</v>
      </c>
      <c r="X511" s="230" t="s">
        <v>2432</v>
      </c>
      <c r="Y511" s="66"/>
      <c r="Z511" s="121" t="s">
        <v>743</v>
      </c>
      <c r="AA511" s="121" t="s">
        <v>1169</v>
      </c>
      <c r="AB511" s="121" t="s">
        <v>1173</v>
      </c>
      <c r="AC511" s="366"/>
    </row>
    <row r="512" spans="1:29" ht="102"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29"/>
        <v>NO</v>
      </c>
      <c r="U512" s="75"/>
      <c r="V512" s="66"/>
      <c r="W512" s="66"/>
      <c r="X512" s="66"/>
      <c r="Y512" s="66"/>
      <c r="Z512" s="121" t="s">
        <v>2449</v>
      </c>
      <c r="AA512" s="121" t="s">
        <v>743</v>
      </c>
      <c r="AB512" s="121" t="s">
        <v>1173</v>
      </c>
      <c r="AC512" s="366"/>
    </row>
    <row r="513" spans="1:29" ht="63.75"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29"/>
        <v>SI</v>
      </c>
      <c r="U513" s="75"/>
      <c r="V513" s="66"/>
      <c r="W513" s="73">
        <v>0.39374999999999999</v>
      </c>
      <c r="X513" s="66"/>
      <c r="Y513" s="66"/>
      <c r="Z513" s="121" t="s">
        <v>748</v>
      </c>
      <c r="AA513" s="121" t="s">
        <v>1171</v>
      </c>
      <c r="AB513" s="121" t="s">
        <v>1176</v>
      </c>
      <c r="AC513" s="366"/>
    </row>
    <row r="514" spans="1:29" ht="51" x14ac:dyDescent="0.2">
      <c r="A514" s="66">
        <v>512</v>
      </c>
      <c r="B514" s="68">
        <v>45153</v>
      </c>
      <c r="C514" s="73">
        <v>0.47291666666666665</v>
      </c>
      <c r="D514" s="66" t="s">
        <v>2322</v>
      </c>
      <c r="E514" s="67" t="s">
        <v>2416</v>
      </c>
      <c r="F514" s="66">
        <v>6</v>
      </c>
      <c r="G514" s="66" t="s">
        <v>43</v>
      </c>
      <c r="H514" s="68">
        <v>45161</v>
      </c>
      <c r="I514" s="68" t="s">
        <v>73</v>
      </c>
      <c r="J514" s="68" t="s">
        <v>1224</v>
      </c>
      <c r="K514" s="66" t="s">
        <v>2394</v>
      </c>
      <c r="L514" s="66" t="s">
        <v>829</v>
      </c>
      <c r="M514" s="66" t="s">
        <v>2219</v>
      </c>
      <c r="N514" s="66" t="s">
        <v>2438</v>
      </c>
      <c r="O514" s="66" t="str">
        <f t="shared" ca="1" si="30"/>
        <v>SI</v>
      </c>
      <c r="P514" s="66" t="str">
        <f t="shared" si="28"/>
        <v>DIANOSOL</v>
      </c>
      <c r="Q514" s="66" t="s">
        <v>904</v>
      </c>
      <c r="R514" s="66" t="str">
        <f>VLOOKUP($Q514,Resultados!$A$1:$B$49,2,FALSE)</f>
        <v>Juicio Abreviado</v>
      </c>
      <c r="S514" s="66"/>
      <c r="T514" s="75" t="str">
        <f t="shared" si="29"/>
        <v>NO</v>
      </c>
      <c r="U514" s="75"/>
      <c r="V514" s="66"/>
      <c r="W514" s="66"/>
      <c r="X514" s="66"/>
      <c r="Y514" s="66"/>
      <c r="Z514" s="121" t="s">
        <v>770</v>
      </c>
      <c r="AA514" s="121" t="s">
        <v>743</v>
      </c>
      <c r="AB514" s="121" t="s">
        <v>1174</v>
      </c>
      <c r="AC514" s="366"/>
    </row>
    <row r="515" spans="1:29" ht="51" x14ac:dyDescent="0.2">
      <c r="A515" s="66">
        <v>513</v>
      </c>
      <c r="B515" s="68">
        <v>45153</v>
      </c>
      <c r="C515" s="73">
        <v>0.48749999999999999</v>
      </c>
      <c r="D515" s="66" t="s">
        <v>2325</v>
      </c>
      <c r="E515" s="67" t="s">
        <v>2323</v>
      </c>
      <c r="F515" s="66">
        <v>5</v>
      </c>
      <c r="G515" s="66" t="s">
        <v>283</v>
      </c>
      <c r="H515" s="68">
        <v>45156</v>
      </c>
      <c r="I515" s="68" t="s">
        <v>1086</v>
      </c>
      <c r="J515" s="68" t="s">
        <v>1224</v>
      </c>
      <c r="K515" s="66" t="s">
        <v>1520</v>
      </c>
      <c r="L515" s="66" t="s">
        <v>2090</v>
      </c>
      <c r="M515" s="66" t="s">
        <v>2372</v>
      </c>
      <c r="N515" s="66" t="s">
        <v>2390</v>
      </c>
      <c r="O515" s="66" t="str">
        <f t="shared" ca="1" si="30"/>
        <v>SI</v>
      </c>
      <c r="P515" s="66" t="str">
        <f t="shared" ref="P515:P578" si="31">IF($P$1=H515,"DIASOL", "DIANOSOL")</f>
        <v>DIANOSOL</v>
      </c>
      <c r="Q515" s="66" t="s">
        <v>899</v>
      </c>
      <c r="R515" s="66" t="str">
        <f>VLOOKUP($Q515,Resultados!$A$1:$B$49,2,FALSE)</f>
        <v>Libertad</v>
      </c>
      <c r="S515" s="73">
        <v>0.39861111111111108</v>
      </c>
      <c r="T515" s="75" t="str">
        <f t="shared" si="29"/>
        <v>NO</v>
      </c>
      <c r="U515" s="75"/>
      <c r="V515" s="66"/>
      <c r="W515" s="73">
        <v>0.41180555555555554</v>
      </c>
      <c r="X515" s="253" t="s">
        <v>2391</v>
      </c>
      <c r="Y515" s="66"/>
      <c r="Z515" s="121" t="s">
        <v>770</v>
      </c>
      <c r="AA515" s="121" t="s">
        <v>1171</v>
      </c>
      <c r="AB515" s="121" t="s">
        <v>1174</v>
      </c>
      <c r="AC515" s="366"/>
    </row>
    <row r="516" spans="1:29" ht="39.950000000000003" customHeight="1" x14ac:dyDescent="0.2">
      <c r="A516" s="66">
        <v>514</v>
      </c>
      <c r="B516" s="68">
        <v>45153</v>
      </c>
      <c r="C516" s="73">
        <v>0.49722222222222223</v>
      </c>
      <c r="D516" s="66" t="s">
        <v>2326</v>
      </c>
      <c r="E516" s="67" t="s">
        <v>2353</v>
      </c>
      <c r="F516" s="66">
        <v>5</v>
      </c>
      <c r="G516" s="66" t="s">
        <v>1441</v>
      </c>
      <c r="H516" s="68">
        <v>45162</v>
      </c>
      <c r="I516" s="68" t="s">
        <v>73</v>
      </c>
      <c r="J516" s="68" t="s">
        <v>1223</v>
      </c>
      <c r="K516" s="66" t="s">
        <v>1925</v>
      </c>
      <c r="L516" s="66" t="s">
        <v>812</v>
      </c>
      <c r="M516" s="66" t="s">
        <v>1965</v>
      </c>
      <c r="N516" s="66" t="s">
        <v>2462</v>
      </c>
      <c r="O516" s="66" t="str">
        <f t="shared" ca="1" si="30"/>
        <v>SI</v>
      </c>
      <c r="P516" s="66" t="str">
        <f t="shared" si="31"/>
        <v>DIANOSOL</v>
      </c>
      <c r="Q516" s="66" t="s">
        <v>905</v>
      </c>
      <c r="R516" s="66" t="str">
        <f>VLOOKUP($Q516,Resultados!$A$1:$B$49,2,FALSE)</f>
        <v>Juicio Abreviado</v>
      </c>
      <c r="S516" s="73">
        <v>0.45</v>
      </c>
      <c r="T516" s="75" t="str">
        <f t="shared" si="29"/>
        <v>NO</v>
      </c>
      <c r="U516" s="75"/>
      <c r="V516" s="66"/>
      <c r="W516" s="73">
        <v>0.46527777777777773</v>
      </c>
      <c r="X516" s="67" t="s">
        <v>2695</v>
      </c>
      <c r="Y516" s="66"/>
      <c r="Z516" s="121" t="s">
        <v>1041</v>
      </c>
      <c r="AA516" s="121" t="s">
        <v>1171</v>
      </c>
      <c r="AB516" s="121" t="s">
        <v>1175</v>
      </c>
      <c r="AC516" s="366"/>
    </row>
    <row r="517" spans="1:29" ht="39.950000000000003" customHeight="1" x14ac:dyDescent="0.2">
      <c r="A517" s="66">
        <v>515</v>
      </c>
      <c r="B517" s="68">
        <v>45153</v>
      </c>
      <c r="C517" s="73">
        <v>0.51458333333333328</v>
      </c>
      <c r="D517" s="66" t="s">
        <v>2327</v>
      </c>
      <c r="E517" s="67" t="s">
        <v>2504</v>
      </c>
      <c r="F517" s="66">
        <v>6</v>
      </c>
      <c r="G517" s="66" t="s">
        <v>43</v>
      </c>
      <c r="H517" s="68">
        <v>45167</v>
      </c>
      <c r="I517" s="68" t="s">
        <v>73</v>
      </c>
      <c r="J517" s="68" t="s">
        <v>31</v>
      </c>
      <c r="K517" s="66">
        <f>IFERROR(VLOOKUP(J517,Jueces!$A$1:$B$11,2,FALSE),"")</f>
        <v>2</v>
      </c>
      <c r="L517" s="66" t="s">
        <v>812</v>
      </c>
      <c r="M517" s="66" t="s">
        <v>2219</v>
      </c>
      <c r="N517" s="66" t="s">
        <v>577</v>
      </c>
      <c r="O517" s="66" t="str">
        <f t="shared" ca="1" si="30"/>
        <v>SI</v>
      </c>
      <c r="P517" s="66" t="str">
        <f t="shared" si="31"/>
        <v>DIANOSOL</v>
      </c>
      <c r="Q517" s="66" t="s">
        <v>151</v>
      </c>
      <c r="R517" s="66" t="str">
        <f>VLOOKUP($Q517,Resultados!$A$1:$B$49,2,FALSE)</f>
        <v>Prisión Preventiva</v>
      </c>
      <c r="S517" s="73">
        <v>0.3611111111111111</v>
      </c>
      <c r="T517" s="75" t="str">
        <f t="shared" si="29"/>
        <v>NO</v>
      </c>
      <c r="U517" s="75"/>
      <c r="V517" s="66"/>
      <c r="W517" s="73">
        <v>0.38750000000000001</v>
      </c>
      <c r="X517" s="66"/>
      <c r="Y517" s="66"/>
      <c r="Z517" s="121" t="s">
        <v>1042</v>
      </c>
      <c r="AA517" s="121" t="s">
        <v>1169</v>
      </c>
      <c r="AB517" s="121" t="s">
        <v>1177</v>
      </c>
      <c r="AC517" s="366"/>
    </row>
    <row r="518" spans="1:29" ht="39.950000000000003" customHeight="1" x14ac:dyDescent="0.2">
      <c r="A518" s="66">
        <v>516</v>
      </c>
      <c r="B518" s="68">
        <v>45154</v>
      </c>
      <c r="C518" s="66" t="s">
        <v>2346</v>
      </c>
      <c r="D518" s="66" t="s">
        <v>2347</v>
      </c>
      <c r="E518" s="67" t="s">
        <v>2503</v>
      </c>
      <c r="F518" s="66">
        <v>5</v>
      </c>
      <c r="G518" s="66" t="s">
        <v>29</v>
      </c>
      <c r="H518" s="68">
        <v>45167</v>
      </c>
      <c r="I518" s="68" t="s">
        <v>73</v>
      </c>
      <c r="J518" s="68" t="s">
        <v>1223</v>
      </c>
      <c r="K518" s="66" t="s">
        <v>1346</v>
      </c>
      <c r="L518" s="66" t="s">
        <v>569</v>
      </c>
      <c r="M518" s="66"/>
      <c r="N518" s="66" t="s">
        <v>2550</v>
      </c>
      <c r="O518" s="66" t="str">
        <f t="shared" ca="1" si="30"/>
        <v>SI</v>
      </c>
      <c r="P518" s="66" t="str">
        <f t="shared" si="31"/>
        <v>DIANOSOL</v>
      </c>
      <c r="Q518" s="66" t="s">
        <v>151</v>
      </c>
      <c r="R518" s="66" t="str">
        <f>VLOOKUP($Q518,Resultados!$A$1:$B$49,2,FALSE)</f>
        <v>Prisión Preventiva</v>
      </c>
      <c r="S518" s="73">
        <v>0.40833333333333338</v>
      </c>
      <c r="T518" s="75" t="str">
        <f t="shared" si="29"/>
        <v>NO</v>
      </c>
      <c r="U518" s="75"/>
      <c r="V518" s="66"/>
      <c r="W518" s="73">
        <v>0.47291666666666665</v>
      </c>
      <c r="X518" s="253" t="s">
        <v>2549</v>
      </c>
      <c r="Y518" s="66"/>
      <c r="Z518" s="121" t="s">
        <v>748</v>
      </c>
      <c r="AA518" s="121"/>
      <c r="AB518" s="121" t="s">
        <v>1176</v>
      </c>
      <c r="AC518" s="366"/>
    </row>
    <row r="519" spans="1:29" ht="39.950000000000003" customHeight="1" x14ac:dyDescent="0.2">
      <c r="A519" s="66">
        <v>517</v>
      </c>
      <c r="B519" s="68">
        <v>45154</v>
      </c>
      <c r="C519" s="73">
        <v>0.4694444444444445</v>
      </c>
      <c r="D519" s="66" t="s">
        <v>2348</v>
      </c>
      <c r="E519" s="67" t="s">
        <v>2359</v>
      </c>
      <c r="F519" s="66">
        <v>5</v>
      </c>
      <c r="G519" s="66" t="s">
        <v>283</v>
      </c>
      <c r="H519" s="68">
        <v>45162</v>
      </c>
      <c r="I519" s="68" t="s">
        <v>1086</v>
      </c>
      <c r="J519" s="68" t="s">
        <v>1224</v>
      </c>
      <c r="K519" s="66" t="s">
        <v>1520</v>
      </c>
      <c r="L519" s="66" t="s">
        <v>2090</v>
      </c>
      <c r="M519" s="66" t="s">
        <v>2125</v>
      </c>
      <c r="N519" s="66" t="s">
        <v>2454</v>
      </c>
      <c r="O519" s="66" t="str">
        <f t="shared" ca="1" si="30"/>
        <v>SI</v>
      </c>
      <c r="P519" s="66" t="str">
        <f t="shared" si="31"/>
        <v>DIANOSOL</v>
      </c>
      <c r="Q519" s="66" t="s">
        <v>904</v>
      </c>
      <c r="R519" s="66" t="str">
        <f>VLOOKUP($Q519,Resultados!$A$1:$B$49,2,FALSE)</f>
        <v>Juicio Abreviado</v>
      </c>
      <c r="S519" s="73">
        <v>0.3923611111111111</v>
      </c>
      <c r="T519" s="75" t="str">
        <f t="shared" si="29"/>
        <v>NO</v>
      </c>
      <c r="U519" s="75"/>
      <c r="V519" s="66"/>
      <c r="W519" s="73">
        <v>0.41597222222222219</v>
      </c>
      <c r="X519" s="66" t="s">
        <v>2455</v>
      </c>
      <c r="Y519" s="66"/>
      <c r="Z519" s="121" t="s">
        <v>743</v>
      </c>
      <c r="AA519" s="121" t="s">
        <v>743</v>
      </c>
      <c r="AB519" s="121" t="s">
        <v>1174</v>
      </c>
      <c r="AC519" s="366"/>
    </row>
    <row r="520" spans="1:29" ht="39.950000000000003" customHeight="1" x14ac:dyDescent="0.2">
      <c r="A520" s="66">
        <v>518</v>
      </c>
      <c r="B520" s="68">
        <v>45154</v>
      </c>
      <c r="C520" s="73">
        <v>0.48819444444444443</v>
      </c>
      <c r="D520" s="66" t="s">
        <v>2350</v>
      </c>
      <c r="E520" s="67" t="s">
        <v>2351</v>
      </c>
      <c r="F520" s="66">
        <v>6</v>
      </c>
      <c r="G520" s="66" t="s">
        <v>568</v>
      </c>
      <c r="H520" s="68">
        <v>45162</v>
      </c>
      <c r="I520" s="68" t="s">
        <v>73</v>
      </c>
      <c r="J520" s="68" t="s">
        <v>1220</v>
      </c>
      <c r="K520" s="66" t="s">
        <v>1520</v>
      </c>
      <c r="L520" s="66" t="s">
        <v>829</v>
      </c>
      <c r="M520" s="66" t="s">
        <v>2125</v>
      </c>
      <c r="N520" s="66" t="s">
        <v>2471</v>
      </c>
      <c r="O520" s="66" t="str">
        <f t="shared" ca="1" si="30"/>
        <v>SI</v>
      </c>
      <c r="P520" s="66" t="str">
        <f t="shared" si="31"/>
        <v>DIANOSOL</v>
      </c>
      <c r="Q520" s="66" t="s">
        <v>1512</v>
      </c>
      <c r="R520" s="66" t="str">
        <f>VLOOKUP($Q520,Resultados!$A$1:$B$49,2,FALSE)</f>
        <v>Juicio Abreviado</v>
      </c>
      <c r="S520" s="66"/>
      <c r="T520" s="75" t="str">
        <f t="shared" si="29"/>
        <v>NO</v>
      </c>
      <c r="U520" s="75"/>
      <c r="V520" s="66"/>
      <c r="W520" s="66"/>
      <c r="X520" s="66"/>
      <c r="Y520" s="66"/>
      <c r="Z520" s="121" t="s">
        <v>1042</v>
      </c>
      <c r="AA520" s="121" t="s">
        <v>1169</v>
      </c>
      <c r="AB520" s="121" t="s">
        <v>1177</v>
      </c>
      <c r="AC520" s="366"/>
    </row>
    <row r="521" spans="1:29" ht="39.950000000000003" customHeight="1" x14ac:dyDescent="0.2">
      <c r="A521" s="66">
        <v>519</v>
      </c>
      <c r="B521" s="68">
        <v>45154</v>
      </c>
      <c r="C521" s="73">
        <v>0.50069444444444444</v>
      </c>
      <c r="D521" s="66" t="s">
        <v>2352</v>
      </c>
      <c r="E521" s="67" t="s">
        <v>2502</v>
      </c>
      <c r="F521" s="66">
        <v>5</v>
      </c>
      <c r="G521" s="66" t="s">
        <v>1441</v>
      </c>
      <c r="H521" s="68">
        <v>45167</v>
      </c>
      <c r="I521" s="68" t="s">
        <v>73</v>
      </c>
      <c r="J521" s="68" t="s">
        <v>1222</v>
      </c>
      <c r="K521" s="66" t="s">
        <v>1925</v>
      </c>
      <c r="L521" s="66" t="s">
        <v>791</v>
      </c>
      <c r="M521" s="66" t="s">
        <v>2125</v>
      </c>
      <c r="N521" s="66" t="s">
        <v>621</v>
      </c>
      <c r="O521" s="66" t="str">
        <f t="shared" ca="1" si="30"/>
        <v>SI</v>
      </c>
      <c r="P521" s="66" t="str">
        <f t="shared" si="31"/>
        <v>DIANOSOL</v>
      </c>
      <c r="Q521" s="66" t="s">
        <v>151</v>
      </c>
      <c r="R521" s="66" t="str">
        <f>VLOOKUP($Q521,Resultados!$A$1:$B$49,2,FALSE)</f>
        <v>Prisión Preventiva</v>
      </c>
      <c r="S521" s="73">
        <v>0.36180555555555555</v>
      </c>
      <c r="T521" s="75" t="str">
        <f t="shared" si="29"/>
        <v>NO</v>
      </c>
      <c r="U521" s="75"/>
      <c r="V521" s="66"/>
      <c r="W521" s="73">
        <v>0.3666666666666667</v>
      </c>
      <c r="X521" s="66" t="s">
        <v>2515</v>
      </c>
      <c r="Y521" s="66"/>
      <c r="Z521" s="121" t="s">
        <v>743</v>
      </c>
      <c r="AA521" s="121" t="s">
        <v>1169</v>
      </c>
      <c r="AB521" s="121" t="s">
        <v>1174</v>
      </c>
      <c r="AC521" s="366"/>
    </row>
    <row r="522" spans="1:29" ht="39.950000000000003" customHeight="1" x14ac:dyDescent="0.2">
      <c r="A522" s="66">
        <v>520</v>
      </c>
      <c r="B522" s="68">
        <v>45154</v>
      </c>
      <c r="C522" s="73">
        <v>0.53125</v>
      </c>
      <c r="D522" s="66" t="s">
        <v>2356</v>
      </c>
      <c r="E522" s="67" t="s">
        <v>2472</v>
      </c>
      <c r="F522" s="66">
        <v>6</v>
      </c>
      <c r="G522" s="66" t="s">
        <v>568</v>
      </c>
      <c r="H522" s="68">
        <v>45163</v>
      </c>
      <c r="I522" s="68" t="s">
        <v>73</v>
      </c>
      <c r="J522" s="68" t="s">
        <v>1220</v>
      </c>
      <c r="K522" s="66" t="s">
        <v>1520</v>
      </c>
      <c r="L522" s="66" t="s">
        <v>812</v>
      </c>
      <c r="M522" s="66" t="s">
        <v>725</v>
      </c>
      <c r="N522" s="66" t="s">
        <v>2482</v>
      </c>
      <c r="O522" s="66" t="str">
        <f t="shared" ca="1" si="30"/>
        <v>SI</v>
      </c>
      <c r="P522" s="66" t="str">
        <f t="shared" si="31"/>
        <v>DIANOSOL</v>
      </c>
      <c r="Q522" s="66" t="s">
        <v>904</v>
      </c>
      <c r="R522" s="66" t="str">
        <f>VLOOKUP($Q522,Resultados!$A$1:$B$49,2,FALSE)</f>
        <v>Juicio Abreviado</v>
      </c>
      <c r="S522" s="73">
        <v>0.40277777777777773</v>
      </c>
      <c r="T522" s="75" t="str">
        <f t="shared" si="29"/>
        <v>NO</v>
      </c>
      <c r="U522" s="75"/>
      <c r="V522" s="66"/>
      <c r="W522" s="73">
        <v>0.41875000000000001</v>
      </c>
      <c r="X522" s="66" t="s">
        <v>2483</v>
      </c>
      <c r="Y522" s="66"/>
      <c r="Z522" s="121" t="s">
        <v>1041</v>
      </c>
      <c r="AA522" s="121" t="s">
        <v>1169</v>
      </c>
      <c r="AB522" s="121" t="s">
        <v>1175</v>
      </c>
      <c r="AC522" s="366"/>
    </row>
    <row r="523" spans="1:29" ht="39.950000000000003" customHeight="1" x14ac:dyDescent="0.2">
      <c r="A523" s="66">
        <v>521</v>
      </c>
      <c r="B523" s="68">
        <v>45154</v>
      </c>
      <c r="C523" s="73">
        <v>0.53194444444444444</v>
      </c>
      <c r="D523" s="66" t="s">
        <v>2357</v>
      </c>
      <c r="E523" s="67" t="s">
        <v>2358</v>
      </c>
      <c r="F523" s="66">
        <v>6</v>
      </c>
      <c r="G523" s="66" t="s">
        <v>32</v>
      </c>
      <c r="H523" s="68">
        <v>45168</v>
      </c>
      <c r="I523" s="68" t="s">
        <v>73</v>
      </c>
      <c r="J523" s="68" t="s">
        <v>78</v>
      </c>
      <c r="K523" s="66">
        <v>1</v>
      </c>
      <c r="L523" s="66" t="s">
        <v>813</v>
      </c>
      <c r="M523" s="66" t="s">
        <v>725</v>
      </c>
      <c r="N523" s="66" t="s">
        <v>235</v>
      </c>
      <c r="O523" s="66" t="str">
        <f t="shared" ca="1" si="30"/>
        <v>SI</v>
      </c>
      <c r="P523" s="66" t="str">
        <f t="shared" si="31"/>
        <v>DIANOSOL</v>
      </c>
      <c r="Q523" s="66" t="s">
        <v>151</v>
      </c>
      <c r="R523" s="66" t="str">
        <f>VLOOKUP($Q523,Resultados!$A$1:$B$49,2,FALSE)</f>
        <v>Prisión Preventiva</v>
      </c>
      <c r="S523" s="73">
        <v>0.35694444444444445</v>
      </c>
      <c r="T523" s="75" t="str">
        <f t="shared" si="29"/>
        <v>NO</v>
      </c>
      <c r="U523" s="75"/>
      <c r="V523" s="66"/>
      <c r="W523" s="73">
        <v>0.375</v>
      </c>
      <c r="X523" s="230" t="s">
        <v>2539</v>
      </c>
      <c r="Y523" s="66"/>
      <c r="Z523" s="121" t="s">
        <v>748</v>
      </c>
      <c r="AA523" s="121" t="s">
        <v>743</v>
      </c>
      <c r="AB523" s="121" t="s">
        <v>1174</v>
      </c>
      <c r="AC523" s="366"/>
    </row>
    <row r="524" spans="1:29" ht="39.950000000000003" customHeight="1" x14ac:dyDescent="0.2">
      <c r="A524" s="66">
        <v>522</v>
      </c>
      <c r="B524" s="68">
        <v>45154</v>
      </c>
      <c r="C524" s="73">
        <v>0.43402777777777773</v>
      </c>
      <c r="D524" s="66" t="s">
        <v>2360</v>
      </c>
      <c r="E524" s="67" t="s">
        <v>2418</v>
      </c>
      <c r="F524" s="66">
        <v>5</v>
      </c>
      <c r="G524" s="66" t="s">
        <v>32</v>
      </c>
      <c r="H524" s="68">
        <v>45161</v>
      </c>
      <c r="I524" s="68" t="s">
        <v>1086</v>
      </c>
      <c r="J524" s="68" t="s">
        <v>33</v>
      </c>
      <c r="K524" s="66">
        <f>IFERROR(VLOOKUP(J524,Jueces!$A$1:$B$11,2,FALSE),"")</f>
        <v>4</v>
      </c>
      <c r="L524" s="66" t="s">
        <v>801</v>
      </c>
      <c r="M524" s="66" t="s">
        <v>1965</v>
      </c>
      <c r="N524" s="173" t="s">
        <v>2433</v>
      </c>
      <c r="O524" s="66" t="str">
        <f t="shared" ca="1" si="30"/>
        <v>SI</v>
      </c>
      <c r="P524" s="66" t="str">
        <f t="shared" si="31"/>
        <v>DIANOSOL</v>
      </c>
      <c r="Q524" s="66" t="s">
        <v>899</v>
      </c>
      <c r="R524" s="66" t="str">
        <f>VLOOKUP($Q524,Resultados!$A$1:$B$49,2,FALSE)</f>
        <v>Libertad</v>
      </c>
      <c r="S524" s="73">
        <v>0.37986111111111115</v>
      </c>
      <c r="T524" s="75" t="str">
        <f t="shared" si="29"/>
        <v>NO</v>
      </c>
      <c r="U524" s="75"/>
      <c r="V524" s="66"/>
      <c r="W524" s="73">
        <v>0.39999999999999997</v>
      </c>
      <c r="X524" s="226" t="s">
        <v>2434</v>
      </c>
      <c r="Y524" s="66"/>
      <c r="Z524" s="121" t="s">
        <v>1042</v>
      </c>
      <c r="AA524" s="121" t="s">
        <v>1171</v>
      </c>
      <c r="AB524" s="121" t="s">
        <v>1175</v>
      </c>
      <c r="AC524" s="366"/>
    </row>
    <row r="525" spans="1:29" ht="39.950000000000003" customHeight="1" x14ac:dyDescent="0.2">
      <c r="A525" s="66">
        <v>523</v>
      </c>
      <c r="B525" s="68">
        <v>45155</v>
      </c>
      <c r="C525" s="73">
        <v>0.34236111111111112</v>
      </c>
      <c r="D525" s="66" t="s">
        <v>2366</v>
      </c>
      <c r="E525" s="67" t="s">
        <v>2475</v>
      </c>
      <c r="F525" s="66">
        <v>4</v>
      </c>
      <c r="G525" s="66" t="s">
        <v>29</v>
      </c>
      <c r="H525" s="68">
        <v>45163</v>
      </c>
      <c r="I525" s="68" t="s">
        <v>1086</v>
      </c>
      <c r="J525" s="68" t="s">
        <v>1224</v>
      </c>
      <c r="K525" s="66" t="s">
        <v>1326</v>
      </c>
      <c r="L525" s="66" t="s">
        <v>796</v>
      </c>
      <c r="M525" s="66" t="s">
        <v>2370</v>
      </c>
      <c r="N525" s="66" t="s">
        <v>621</v>
      </c>
      <c r="O525" s="66" t="str">
        <f t="shared" ca="1" si="30"/>
        <v>SI</v>
      </c>
      <c r="P525" s="66" t="str">
        <f t="shared" si="31"/>
        <v>DIANOSOL</v>
      </c>
      <c r="Q525" s="66" t="s">
        <v>151</v>
      </c>
      <c r="R525" s="66" t="str">
        <f>VLOOKUP($Q525,Resultados!$A$1:$B$49,2,FALSE)</f>
        <v>Prisión Preventiva</v>
      </c>
      <c r="S525" s="73">
        <v>0.38194444444444442</v>
      </c>
      <c r="T525" s="75" t="str">
        <f t="shared" si="29"/>
        <v>NO</v>
      </c>
      <c r="U525" s="75"/>
      <c r="V525" s="66"/>
      <c r="W525" s="73">
        <v>0.3923611111111111</v>
      </c>
      <c r="X525" s="66"/>
      <c r="Y525" s="66"/>
      <c r="Z525" s="121" t="s">
        <v>743</v>
      </c>
      <c r="AA525" s="121" t="s">
        <v>1171</v>
      </c>
      <c r="AB525" s="121" t="s">
        <v>1177</v>
      </c>
      <c r="AC525" s="366"/>
    </row>
    <row r="526" spans="1:29" ht="39.950000000000003" customHeight="1" x14ac:dyDescent="0.2">
      <c r="A526" s="66">
        <v>524</v>
      </c>
      <c r="B526" s="68">
        <v>45155</v>
      </c>
      <c r="C526" s="73">
        <v>0.4680555555555555</v>
      </c>
      <c r="D526" s="66" t="s">
        <v>2368</v>
      </c>
      <c r="E526" s="67" t="s">
        <v>2473</v>
      </c>
      <c r="F526" s="66">
        <v>6</v>
      </c>
      <c r="G526" s="66" t="s">
        <v>43</v>
      </c>
      <c r="H526" s="68">
        <v>45163</v>
      </c>
      <c r="I526" s="68" t="s">
        <v>73</v>
      </c>
      <c r="J526" s="68" t="s">
        <v>1222</v>
      </c>
      <c r="K526" s="66" t="s">
        <v>1346</v>
      </c>
      <c r="L526" s="66" t="s">
        <v>798</v>
      </c>
      <c r="M526" s="66" t="s">
        <v>2125</v>
      </c>
      <c r="N526" s="66" t="s">
        <v>2478</v>
      </c>
      <c r="O526" s="66" t="str">
        <f t="shared" ca="1" si="30"/>
        <v>SI</v>
      </c>
      <c r="P526" s="66" t="str">
        <f t="shared" si="31"/>
        <v>DIANOSOL</v>
      </c>
      <c r="Q526" s="66" t="s">
        <v>905</v>
      </c>
      <c r="R526" s="66" t="str">
        <f>VLOOKUP($Q526,Resultados!$A$1:$B$49,2,FALSE)</f>
        <v>Juicio Abreviado</v>
      </c>
      <c r="S526" s="73">
        <v>0.34166666666666662</v>
      </c>
      <c r="T526" s="75" t="str">
        <f t="shared" si="29"/>
        <v>NO</v>
      </c>
      <c r="U526" s="75"/>
      <c r="V526" s="66"/>
      <c r="W526" s="73">
        <v>0.34722222222222227</v>
      </c>
      <c r="X526" s="66"/>
      <c r="Y526" s="66"/>
      <c r="Z526" s="121" t="s">
        <v>1042</v>
      </c>
      <c r="AA526" s="121" t="s">
        <v>1169</v>
      </c>
      <c r="AB526" s="121" t="s">
        <v>1176</v>
      </c>
      <c r="AC526" s="366"/>
    </row>
    <row r="527" spans="1:29" ht="39.950000000000003" customHeight="1" x14ac:dyDescent="0.2">
      <c r="A527" s="66">
        <v>525</v>
      </c>
      <c r="B527" s="68">
        <v>45155</v>
      </c>
      <c r="C527" s="73">
        <v>0.47500000000000003</v>
      </c>
      <c r="D527" s="66" t="s">
        <v>2369</v>
      </c>
      <c r="E527" s="67" t="s">
        <v>2476</v>
      </c>
      <c r="F527" s="66">
        <v>5</v>
      </c>
      <c r="G527" s="66" t="s">
        <v>1442</v>
      </c>
      <c r="H527" s="68">
        <v>45163</v>
      </c>
      <c r="I527" s="68" t="s">
        <v>1086</v>
      </c>
      <c r="J527" s="68" t="s">
        <v>33</v>
      </c>
      <c r="K527" s="66" t="s">
        <v>1520</v>
      </c>
      <c r="L527" s="66" t="s">
        <v>798</v>
      </c>
      <c r="M527" s="66" t="s">
        <v>1965</v>
      </c>
      <c r="N527" s="66" t="s">
        <v>2479</v>
      </c>
      <c r="O527" s="66" t="str">
        <f t="shared" ca="1" si="30"/>
        <v>SI</v>
      </c>
      <c r="P527" s="66" t="str">
        <f t="shared" si="31"/>
        <v>DIANOSOL</v>
      </c>
      <c r="Q527" s="66" t="s">
        <v>151</v>
      </c>
      <c r="R527" s="66" t="str">
        <f>VLOOKUP($Q527,Resultados!$A$1:$B$49,2,FALSE)</f>
        <v>Prisión Preventiva</v>
      </c>
      <c r="S527" s="73">
        <v>0.38125000000000003</v>
      </c>
      <c r="T527" s="75" t="str">
        <f t="shared" si="29"/>
        <v>SI</v>
      </c>
      <c r="U527" s="75"/>
      <c r="V527" s="66"/>
      <c r="W527" s="73">
        <v>0.39861111111111108</v>
      </c>
      <c r="X527" s="66"/>
      <c r="Y527" s="66"/>
      <c r="Z527" s="121" t="s">
        <v>770</v>
      </c>
      <c r="AA527" s="121" t="s">
        <v>1171</v>
      </c>
      <c r="AB527" s="121" t="s">
        <v>1173</v>
      </c>
      <c r="AC527" s="366"/>
    </row>
    <row r="528" spans="1:29" ht="39.950000000000003" customHeight="1" x14ac:dyDescent="0.2">
      <c r="A528" s="66">
        <v>526</v>
      </c>
      <c r="B528" s="68">
        <v>45156</v>
      </c>
      <c r="C528" s="73">
        <v>0.47569444444444442</v>
      </c>
      <c r="D528" s="66" t="s">
        <v>2395</v>
      </c>
      <c r="E528" s="67" t="s">
        <v>2470</v>
      </c>
      <c r="F528" s="66">
        <v>6</v>
      </c>
      <c r="G528" s="66" t="s">
        <v>1442</v>
      </c>
      <c r="H528" s="68">
        <v>45168</v>
      </c>
      <c r="I528" s="68" t="s">
        <v>73</v>
      </c>
      <c r="J528" s="68" t="s">
        <v>33</v>
      </c>
      <c r="K528" s="66">
        <f>IFERROR(VLOOKUP(J528,Jueces!$A$1:$B$11,2,FALSE),"")</f>
        <v>4</v>
      </c>
      <c r="L528" s="66" t="s">
        <v>791</v>
      </c>
      <c r="M528" s="66" t="s">
        <v>2219</v>
      </c>
      <c r="N528" s="253" t="s">
        <v>2540</v>
      </c>
      <c r="O528" s="66" t="str">
        <f t="shared" ca="1" si="30"/>
        <v>SI</v>
      </c>
      <c r="P528" s="66" t="str">
        <f t="shared" si="31"/>
        <v>DIANOSOL</v>
      </c>
      <c r="Q528" s="66" t="s">
        <v>905</v>
      </c>
      <c r="R528" s="66" t="str">
        <f>VLOOKUP($Q528,Resultados!$A$1:$B$49,2,FALSE)</f>
        <v>Juicio Abreviado</v>
      </c>
      <c r="S528" s="73">
        <v>0.3527777777777778</v>
      </c>
      <c r="T528" s="75" t="str">
        <f t="shared" si="29"/>
        <v>SI</v>
      </c>
      <c r="U528" s="75"/>
      <c r="V528" s="66"/>
      <c r="W528" s="73">
        <v>0.36805555555555558</v>
      </c>
      <c r="X528" s="153"/>
      <c r="Y528" s="66"/>
      <c r="Z528" s="121" t="s">
        <v>743</v>
      </c>
      <c r="AA528" s="121" t="s">
        <v>1171</v>
      </c>
      <c r="AB528" s="121" t="s">
        <v>1173</v>
      </c>
      <c r="AC528" s="366"/>
    </row>
    <row r="529" spans="1:29" ht="39.950000000000003" customHeight="1" x14ac:dyDescent="0.2">
      <c r="A529" s="66">
        <v>527</v>
      </c>
      <c r="B529" s="68">
        <v>45156</v>
      </c>
      <c r="C529" s="73">
        <v>0.48055555555555557</v>
      </c>
      <c r="D529" s="66" t="s">
        <v>2396</v>
      </c>
      <c r="E529" s="67" t="s">
        <v>2474</v>
      </c>
      <c r="F529" s="66">
        <v>6</v>
      </c>
      <c r="G529" s="66" t="s">
        <v>32</v>
      </c>
      <c r="H529" s="68">
        <v>45163</v>
      </c>
      <c r="I529" s="68" t="s">
        <v>73</v>
      </c>
      <c r="J529" s="68" t="s">
        <v>78</v>
      </c>
      <c r="K529" s="66" t="s">
        <v>1491</v>
      </c>
      <c r="L529" s="66" t="s">
        <v>811</v>
      </c>
      <c r="M529" s="66" t="s">
        <v>2219</v>
      </c>
      <c r="N529" s="6" t="s">
        <v>621</v>
      </c>
      <c r="O529" s="66" t="str">
        <f t="shared" ca="1" si="30"/>
        <v>SI</v>
      </c>
      <c r="P529" s="66" t="str">
        <f t="shared" si="31"/>
        <v>DIANOSOL</v>
      </c>
      <c r="Q529" s="66" t="s">
        <v>151</v>
      </c>
      <c r="R529" s="66" t="str">
        <f>VLOOKUP($Q529,Resultados!$A$1:$B$49,2,FALSE)</f>
        <v>Prisión Preventiva</v>
      </c>
      <c r="S529" s="73">
        <v>0.35625000000000001</v>
      </c>
      <c r="T529" s="75" t="str">
        <f t="shared" si="29"/>
        <v>NO</v>
      </c>
      <c r="U529" s="75"/>
      <c r="V529" s="66"/>
      <c r="W529" s="73">
        <v>0.37361111111111112</v>
      </c>
      <c r="X529" s="66"/>
      <c r="Y529" s="66"/>
      <c r="Z529" s="121" t="s">
        <v>748</v>
      </c>
      <c r="AA529" s="121" t="s">
        <v>743</v>
      </c>
      <c r="AB529" s="121" t="s">
        <v>1174</v>
      </c>
      <c r="AC529" s="366"/>
    </row>
    <row r="530" spans="1:29" ht="39.950000000000003" customHeight="1" x14ac:dyDescent="0.2">
      <c r="A530" s="66">
        <v>528</v>
      </c>
      <c r="B530" s="68">
        <v>45156</v>
      </c>
      <c r="C530" s="73">
        <v>0.52569444444444446</v>
      </c>
      <c r="D530" s="66" t="s">
        <v>2399</v>
      </c>
      <c r="E530" s="67" t="s">
        <v>2628</v>
      </c>
      <c r="F530" s="66">
        <v>6</v>
      </c>
      <c r="G530" s="66" t="s">
        <v>29</v>
      </c>
      <c r="H530" s="68">
        <v>45175</v>
      </c>
      <c r="I530" s="68" t="s">
        <v>73</v>
      </c>
      <c r="J530" s="68" t="s">
        <v>35</v>
      </c>
      <c r="K530" s="66">
        <f>IFERROR(VLOOKUP(J530,Jueces!$A$1:$B$11,2,FALSE),"")</f>
        <v>3</v>
      </c>
      <c r="L530" s="66" t="s">
        <v>1149</v>
      </c>
      <c r="M530" s="66" t="s">
        <v>2485</v>
      </c>
      <c r="N530" s="66" t="s">
        <v>2484</v>
      </c>
      <c r="O530" s="66" t="str">
        <f t="shared" ca="1" si="30"/>
        <v>SI</v>
      </c>
      <c r="P530" s="66" t="str">
        <f t="shared" si="31"/>
        <v>DIANOSOL</v>
      </c>
      <c r="Q530" s="66" t="s">
        <v>151</v>
      </c>
      <c r="R530" s="66" t="str">
        <f>VLOOKUP($Q530,Resultados!$A$1:$B$49,2,FALSE)</f>
        <v>Prisión Preventiva</v>
      </c>
      <c r="S530" s="66" t="s">
        <v>1086</v>
      </c>
      <c r="T530" s="75" t="str">
        <f t="shared" si="29"/>
        <v>NO</v>
      </c>
      <c r="U530" s="75"/>
      <c r="V530" s="66"/>
      <c r="W530" s="66" t="s">
        <v>1189</v>
      </c>
      <c r="X530" s="387" t="s">
        <v>2637</v>
      </c>
      <c r="Y530" s="66"/>
      <c r="Z530" s="121" t="s">
        <v>1041</v>
      </c>
      <c r="AA530" s="121" t="s">
        <v>743</v>
      </c>
      <c r="AB530" s="121" t="s">
        <v>1173</v>
      </c>
      <c r="AC530" s="366"/>
    </row>
    <row r="531" spans="1:29" ht="39.950000000000003" customHeight="1" x14ac:dyDescent="0.2">
      <c r="A531" s="66">
        <v>529</v>
      </c>
      <c r="B531" s="68">
        <v>45156</v>
      </c>
      <c r="C531" s="73">
        <v>0.53263888888888888</v>
      </c>
      <c r="D531" s="66" t="s">
        <v>2400</v>
      </c>
      <c r="E531" s="67" t="s">
        <v>2542</v>
      </c>
      <c r="F531" s="66">
        <v>6</v>
      </c>
      <c r="G531" s="66" t="s">
        <v>283</v>
      </c>
      <c r="H531" s="68">
        <v>45169</v>
      </c>
      <c r="I531" s="68" t="s">
        <v>73</v>
      </c>
      <c r="J531" s="68" t="s">
        <v>31</v>
      </c>
      <c r="K531" s="66" t="s">
        <v>1346</v>
      </c>
      <c r="L531" s="66" t="s">
        <v>810</v>
      </c>
      <c r="M531" s="66" t="s">
        <v>725</v>
      </c>
      <c r="N531" s="66" t="s">
        <v>2569</v>
      </c>
      <c r="O531" s="66" t="str">
        <f t="shared" ca="1" si="30"/>
        <v>SI</v>
      </c>
      <c r="P531" s="66" t="str">
        <f t="shared" si="31"/>
        <v>DIANOSOL</v>
      </c>
      <c r="Q531" s="66" t="s">
        <v>899</v>
      </c>
      <c r="R531" s="66" t="str">
        <f>VLOOKUP($Q531,Resultados!$A$1:$B$49,2,FALSE)</f>
        <v>Libertad</v>
      </c>
      <c r="S531" s="66" t="s">
        <v>1916</v>
      </c>
      <c r="T531" s="75" t="str">
        <f t="shared" si="29"/>
        <v>NO</v>
      </c>
      <c r="U531" s="75"/>
      <c r="V531" s="66"/>
      <c r="W531" s="66" t="s">
        <v>2567</v>
      </c>
      <c r="X531" s="66"/>
      <c r="Y531" s="66"/>
      <c r="Z531" s="121" t="s">
        <v>748</v>
      </c>
      <c r="AA531" s="121" t="s">
        <v>743</v>
      </c>
      <c r="AB531" s="121" t="s">
        <v>1173</v>
      </c>
      <c r="AC531" s="366"/>
    </row>
    <row r="532" spans="1:29" ht="39.950000000000003" customHeight="1" x14ac:dyDescent="0.2">
      <c r="A532" s="66">
        <v>530</v>
      </c>
      <c r="B532" s="68">
        <v>45160</v>
      </c>
      <c r="C532" s="73">
        <v>0.47083333333333338</v>
      </c>
      <c r="D532" s="66" t="s">
        <v>2401</v>
      </c>
      <c r="E532" s="67" t="s">
        <v>2507</v>
      </c>
      <c r="F532" s="66">
        <v>6</v>
      </c>
      <c r="G532" s="66" t="s">
        <v>283</v>
      </c>
      <c r="H532" s="68">
        <v>45167</v>
      </c>
      <c r="I532" s="68" t="s">
        <v>1086</v>
      </c>
      <c r="J532" s="68" t="s">
        <v>1223</v>
      </c>
      <c r="K532" s="66" t="s">
        <v>2423</v>
      </c>
      <c r="L532" s="66" t="s">
        <v>798</v>
      </c>
      <c r="M532" s="66" t="s">
        <v>2125</v>
      </c>
      <c r="N532" s="66" t="s">
        <v>2514</v>
      </c>
      <c r="O532" s="66" t="str">
        <f t="shared" ca="1" si="30"/>
        <v>SI</v>
      </c>
      <c r="P532" s="66" t="str">
        <f t="shared" si="31"/>
        <v>DIANOSOL</v>
      </c>
      <c r="Q532" s="66" t="s">
        <v>905</v>
      </c>
      <c r="R532" s="66" t="str">
        <f>VLOOKUP($Q532,Resultados!$A$1:$B$49,2,FALSE)</f>
        <v>Juicio Abreviado</v>
      </c>
      <c r="S532" s="73">
        <v>0.49652777777777773</v>
      </c>
      <c r="T532" s="75" t="str">
        <f t="shared" si="29"/>
        <v>NO</v>
      </c>
      <c r="U532" s="75"/>
      <c r="V532" s="66"/>
      <c r="W532" s="73">
        <v>0.51388888888888895</v>
      </c>
      <c r="X532" s="66"/>
      <c r="Y532" s="66"/>
      <c r="Z532" s="121" t="s">
        <v>1041</v>
      </c>
      <c r="AA532" s="121" t="s">
        <v>1171</v>
      </c>
      <c r="AB532" s="121" t="s">
        <v>1175</v>
      </c>
      <c r="AC532" s="366"/>
    </row>
    <row r="533" spans="1:29" ht="39.950000000000003" customHeight="1" x14ac:dyDescent="0.2">
      <c r="A533" s="66">
        <v>531</v>
      </c>
      <c r="B533" s="68">
        <v>45160</v>
      </c>
      <c r="C533" s="73">
        <v>0.47430555555555554</v>
      </c>
      <c r="D533" s="66" t="s">
        <v>2403</v>
      </c>
      <c r="E533" s="67" t="s">
        <v>2505</v>
      </c>
      <c r="F533" s="66">
        <v>6</v>
      </c>
      <c r="G533" s="66" t="s">
        <v>568</v>
      </c>
      <c r="H533" s="68">
        <v>45167</v>
      </c>
      <c r="I533" s="68" t="s">
        <v>73</v>
      </c>
      <c r="J533" s="68" t="s">
        <v>78</v>
      </c>
      <c r="K533" s="66">
        <f>IFERROR(VLOOKUP(J533,Jueces!$A$1:$B$11,2,FALSE),"")</f>
        <v>8</v>
      </c>
      <c r="L533" s="66" t="s">
        <v>811</v>
      </c>
      <c r="M533" s="66" t="s">
        <v>725</v>
      </c>
      <c r="N533" s="66" t="s">
        <v>2516</v>
      </c>
      <c r="O533" s="66" t="str">
        <f t="shared" ca="1" si="30"/>
        <v>SI</v>
      </c>
      <c r="P533" s="66" t="str">
        <f t="shared" si="31"/>
        <v>DIANOSOL</v>
      </c>
      <c r="Q533" s="66" t="s">
        <v>904</v>
      </c>
      <c r="R533" s="66" t="str">
        <f>VLOOKUP($Q533,Resultados!$A$1:$B$49,2,FALSE)</f>
        <v>Juicio Abreviado</v>
      </c>
      <c r="S533" s="73">
        <v>0.36041666666666666</v>
      </c>
      <c r="T533" s="75" t="str">
        <f t="shared" si="29"/>
        <v>NO</v>
      </c>
      <c r="U533" s="75"/>
      <c r="V533" s="66"/>
      <c r="W533" s="73">
        <v>0.3666666666666667</v>
      </c>
      <c r="X533" s="66"/>
      <c r="Y533" s="66"/>
      <c r="Z533" s="121" t="s">
        <v>770</v>
      </c>
      <c r="AA533" s="121" t="s">
        <v>743</v>
      </c>
      <c r="AB533" s="121" t="s">
        <v>1173</v>
      </c>
      <c r="AC533" s="366"/>
    </row>
    <row r="534" spans="1:29" ht="39.950000000000003" customHeight="1" x14ac:dyDescent="0.2">
      <c r="A534" s="66">
        <v>532</v>
      </c>
      <c r="B534" s="68">
        <v>45160</v>
      </c>
      <c r="C534" s="73">
        <v>0.48055555555555557</v>
      </c>
      <c r="D534" s="66" t="s">
        <v>2404</v>
      </c>
      <c r="E534" s="67" t="s">
        <v>2458</v>
      </c>
      <c r="F534" s="66">
        <v>7</v>
      </c>
      <c r="G534" s="66" t="s">
        <v>43</v>
      </c>
      <c r="H534" s="68">
        <v>45170</v>
      </c>
      <c r="I534" s="68" t="s">
        <v>1086</v>
      </c>
      <c r="J534" s="68" t="s">
        <v>1222</v>
      </c>
      <c r="K534" s="66" t="s">
        <v>1520</v>
      </c>
      <c r="L534" s="66" t="s">
        <v>791</v>
      </c>
      <c r="M534" s="66" t="s">
        <v>2568</v>
      </c>
      <c r="N534" s="66" t="s">
        <v>577</v>
      </c>
      <c r="O534" s="66" t="str">
        <f t="shared" ca="1" si="30"/>
        <v>SI</v>
      </c>
      <c r="P534" s="66" t="str">
        <f t="shared" si="31"/>
        <v>DIANOSOL</v>
      </c>
      <c r="Q534" s="66" t="s">
        <v>151</v>
      </c>
      <c r="R534" s="66" t="str">
        <f>VLOOKUP($Q534,Resultados!$A$1:$B$49,2,FALSE)</f>
        <v>Prisión Preventiva</v>
      </c>
      <c r="S534" s="73">
        <v>0.375</v>
      </c>
      <c r="T534" s="75" t="str">
        <f t="shared" si="29"/>
        <v>NO</v>
      </c>
      <c r="U534" s="75"/>
      <c r="V534" s="66"/>
      <c r="W534" s="73">
        <v>0.38194444444444442</v>
      </c>
      <c r="X534" s="66"/>
      <c r="Y534" s="66"/>
      <c r="Z534" s="121" t="s">
        <v>1041</v>
      </c>
      <c r="AA534" s="121" t="s">
        <v>1171</v>
      </c>
      <c r="AB534" s="121" t="s">
        <v>1176</v>
      </c>
      <c r="AC534" s="366"/>
    </row>
    <row r="535" spans="1:29" ht="39.950000000000003" customHeight="1" x14ac:dyDescent="0.2">
      <c r="A535" s="66">
        <v>533</v>
      </c>
      <c r="B535" s="68">
        <v>45160</v>
      </c>
      <c r="C535" s="73">
        <v>0.50763888888888886</v>
      </c>
      <c r="D535" s="66" t="s">
        <v>2407</v>
      </c>
      <c r="E535" s="67" t="s">
        <v>2506</v>
      </c>
      <c r="F535" s="66">
        <v>6</v>
      </c>
      <c r="G535" s="66" t="s">
        <v>1443</v>
      </c>
      <c r="H535" s="68">
        <v>45180</v>
      </c>
      <c r="I535" s="68" t="s">
        <v>73</v>
      </c>
      <c r="J535" s="68" t="s">
        <v>33</v>
      </c>
      <c r="K535" s="66">
        <f>IFERROR(VLOOKUP(J535,Jueces!$A$1:$B$11,2,FALSE),"")</f>
        <v>4</v>
      </c>
      <c r="L535" s="66" t="s">
        <v>796</v>
      </c>
      <c r="M535" s="66" t="s">
        <v>783</v>
      </c>
      <c r="N535" s="66" t="s">
        <v>2705</v>
      </c>
      <c r="O535" s="66" t="str">
        <f t="shared" ca="1" si="30"/>
        <v>SI</v>
      </c>
      <c r="P535" s="66" t="str">
        <f t="shared" si="31"/>
        <v>DIANOSOL</v>
      </c>
      <c r="Q535" s="66" t="s">
        <v>151</v>
      </c>
      <c r="R535" s="66" t="str">
        <f>VLOOKUP($Q535,Resultados!$A$1:$B$49,2,FALSE)</f>
        <v>Prisión Preventiva</v>
      </c>
      <c r="S535" s="66" t="s">
        <v>1391</v>
      </c>
      <c r="T535" s="75" t="str">
        <f t="shared" si="29"/>
        <v>NO</v>
      </c>
      <c r="U535" s="75"/>
      <c r="V535" s="66"/>
      <c r="W535" s="66" t="s">
        <v>1015</v>
      </c>
      <c r="X535" s="387"/>
      <c r="Y535" s="66"/>
      <c r="Z535" s="121" t="s">
        <v>748</v>
      </c>
      <c r="AA535" s="121" t="s">
        <v>743</v>
      </c>
      <c r="AB535" s="121" t="s">
        <v>1175</v>
      </c>
      <c r="AC535" s="366"/>
    </row>
    <row r="536" spans="1:29" ht="39.950000000000003" customHeight="1" x14ac:dyDescent="0.2">
      <c r="A536" s="66">
        <v>534</v>
      </c>
      <c r="B536" s="68">
        <v>45160</v>
      </c>
      <c r="C536" s="73">
        <v>0.4284722222222222</v>
      </c>
      <c r="D536" s="66" t="s">
        <v>2402</v>
      </c>
      <c r="E536" s="67" t="s">
        <v>2461</v>
      </c>
      <c r="F536" s="66">
        <v>7</v>
      </c>
      <c r="G536" s="66" t="s">
        <v>1441</v>
      </c>
      <c r="H536" s="68">
        <v>45170</v>
      </c>
      <c r="I536" s="68" t="s">
        <v>73</v>
      </c>
      <c r="J536" s="68" t="s">
        <v>31</v>
      </c>
      <c r="K536" s="66">
        <f>IFERROR(VLOOKUP(J536,Jueces!$A$1:$B$11,2,FALSE),"")</f>
        <v>2</v>
      </c>
      <c r="L536" s="66" t="s">
        <v>812</v>
      </c>
      <c r="M536" s="66" t="s">
        <v>2568</v>
      </c>
      <c r="N536" s="387" t="s">
        <v>2569</v>
      </c>
      <c r="O536" s="66" t="str">
        <f t="shared" ca="1" si="30"/>
        <v>SI</v>
      </c>
      <c r="P536" s="66" t="str">
        <f t="shared" si="31"/>
        <v>DIANOSOL</v>
      </c>
      <c r="Q536" s="66" t="s">
        <v>899</v>
      </c>
      <c r="R536" s="66" t="str">
        <f>VLOOKUP($Q536,Resultados!$A$1:$B$49,2,FALSE)</f>
        <v>Libertad</v>
      </c>
      <c r="S536" s="73">
        <v>0.3611111111111111</v>
      </c>
      <c r="T536" s="75" t="str">
        <f t="shared" si="29"/>
        <v>NO</v>
      </c>
      <c r="U536" s="75"/>
      <c r="V536" s="66"/>
      <c r="W536" s="73">
        <v>0.36736111111111108</v>
      </c>
      <c r="X536" s="66" t="s">
        <v>2570</v>
      </c>
      <c r="Y536" s="66"/>
      <c r="Z536" s="121" t="s">
        <v>1041</v>
      </c>
      <c r="AA536" s="121" t="s">
        <v>1169</v>
      </c>
      <c r="AB536" s="121" t="s">
        <v>1174</v>
      </c>
      <c r="AC536" s="366"/>
    </row>
    <row r="537" spans="1:29" ht="38.25" x14ac:dyDescent="0.2">
      <c r="A537" s="66">
        <v>535</v>
      </c>
      <c r="B537" s="68">
        <v>45161</v>
      </c>
      <c r="C537" s="66" t="s">
        <v>73</v>
      </c>
      <c r="D537" s="66" t="s">
        <v>2424</v>
      </c>
      <c r="E537" s="67" t="s">
        <v>2487</v>
      </c>
      <c r="F537" s="66">
        <v>7</v>
      </c>
      <c r="G537" s="66" t="s">
        <v>43</v>
      </c>
      <c r="H537" s="68">
        <v>45168</v>
      </c>
      <c r="I537" s="68" t="s">
        <v>1086</v>
      </c>
      <c r="J537" s="68" t="s">
        <v>35</v>
      </c>
      <c r="K537" s="66" t="s">
        <v>1520</v>
      </c>
      <c r="L537" s="66" t="s">
        <v>813</v>
      </c>
      <c r="M537" s="66" t="s">
        <v>723</v>
      </c>
      <c r="N537" s="66" t="s">
        <v>1856</v>
      </c>
      <c r="O537" s="66" t="str">
        <f t="shared" ca="1" si="30"/>
        <v>SI</v>
      </c>
      <c r="P537" s="66" t="str">
        <f t="shared" si="31"/>
        <v>DIANOSOL</v>
      </c>
      <c r="Q537" s="66" t="s">
        <v>899</v>
      </c>
      <c r="R537" s="66" t="str">
        <f>VLOOKUP($Q537,Resultados!$A$1:$B$49,2,FALSE)</f>
        <v>Libertad</v>
      </c>
      <c r="S537" s="73">
        <v>0.38194444444444442</v>
      </c>
      <c r="T537" s="75" t="str">
        <f t="shared" si="29"/>
        <v>NO</v>
      </c>
      <c r="U537" s="75"/>
      <c r="V537" s="66"/>
      <c r="W537" s="73">
        <v>0.39652777777777781</v>
      </c>
      <c r="X537" s="66" t="s">
        <v>2522</v>
      </c>
      <c r="Y537" s="66"/>
      <c r="Z537" s="121" t="s">
        <v>1042</v>
      </c>
      <c r="AA537" s="121" t="s">
        <v>1171</v>
      </c>
      <c r="AB537" s="121" t="s">
        <v>1174</v>
      </c>
      <c r="AC537" s="366"/>
    </row>
    <row r="538" spans="1:29" ht="39.950000000000003" customHeight="1" x14ac:dyDescent="0.2">
      <c r="A538" s="66">
        <v>536</v>
      </c>
      <c r="B538" s="68">
        <v>45161</v>
      </c>
      <c r="C538" s="73">
        <v>0.33333333333333331</v>
      </c>
      <c r="D538" s="66" t="s">
        <v>2425</v>
      </c>
      <c r="E538" s="67" t="s">
        <v>2460</v>
      </c>
      <c r="F538" s="66">
        <v>7</v>
      </c>
      <c r="G538" s="66" t="s">
        <v>1441</v>
      </c>
      <c r="H538" s="68">
        <v>45168</v>
      </c>
      <c r="I538" s="68" t="s">
        <v>1086</v>
      </c>
      <c r="J538" s="68" t="s">
        <v>1220</v>
      </c>
      <c r="K538" s="66">
        <f>IFERROR(VLOOKUP(J538,Jueces!$A$1:$B$11,2,FALSE),"")</f>
        <v>1</v>
      </c>
      <c r="L538" s="66" t="s">
        <v>802</v>
      </c>
      <c r="M538" s="66" t="s">
        <v>725</v>
      </c>
      <c r="N538" s="66" t="s">
        <v>2541</v>
      </c>
      <c r="O538" s="66" t="str">
        <f t="shared" ca="1" si="30"/>
        <v>SI</v>
      </c>
      <c r="P538" s="66" t="str">
        <f t="shared" si="31"/>
        <v>DIANOSOL</v>
      </c>
      <c r="Q538" s="66" t="s">
        <v>899</v>
      </c>
      <c r="R538" s="66" t="str">
        <f>VLOOKUP($Q538,Resultados!$A$1:$B$49,2,FALSE)</f>
        <v>Libertad</v>
      </c>
      <c r="S538" s="73">
        <v>0.4916666666666667</v>
      </c>
      <c r="T538" s="75" t="str">
        <f t="shared" si="29"/>
        <v>NO</v>
      </c>
      <c r="U538" s="75"/>
      <c r="V538" s="66"/>
      <c r="W538" s="73">
        <v>0.51041666666666663</v>
      </c>
      <c r="X538" s="6"/>
      <c r="Y538" s="66"/>
      <c r="Z538" s="121" t="s">
        <v>1041</v>
      </c>
      <c r="AA538" s="121" t="s">
        <v>743</v>
      </c>
      <c r="AB538" s="121" t="s">
        <v>1177</v>
      </c>
      <c r="AC538" s="366"/>
    </row>
    <row r="539" spans="1:29" ht="76.5" x14ac:dyDescent="0.2">
      <c r="A539" s="66">
        <v>537</v>
      </c>
      <c r="B539" s="68">
        <v>45161</v>
      </c>
      <c r="C539" s="73">
        <v>0.45277777777777778</v>
      </c>
      <c r="D539" s="66" t="s">
        <v>2437</v>
      </c>
      <c r="E539" s="67" t="s">
        <v>2545</v>
      </c>
      <c r="F539" s="66">
        <v>7</v>
      </c>
      <c r="G539" s="66" t="s">
        <v>1441</v>
      </c>
      <c r="H539" s="68">
        <v>45169</v>
      </c>
      <c r="I539" s="68" t="s">
        <v>1086</v>
      </c>
      <c r="J539" s="68" t="s">
        <v>1225</v>
      </c>
      <c r="K539" s="66">
        <f>IFERROR(VLOOKUP(J539,Jueces!$A$1:$B$11,2,FALSE),"")</f>
        <v>6</v>
      </c>
      <c r="L539" s="66" t="s">
        <v>812</v>
      </c>
      <c r="M539" s="66" t="s">
        <v>725</v>
      </c>
      <c r="N539" s="397" t="s">
        <v>2561</v>
      </c>
      <c r="O539" s="66" t="str">
        <f t="shared" ca="1" si="30"/>
        <v>SI</v>
      </c>
      <c r="P539" s="66" t="str">
        <f t="shared" si="31"/>
        <v>DIANOSOL</v>
      </c>
      <c r="Q539" s="66" t="s">
        <v>151</v>
      </c>
      <c r="R539" s="66" t="str">
        <f>VLOOKUP($Q539,Resultados!$A$1:$B$49,2,FALSE)</f>
        <v>Prisión Preventiva</v>
      </c>
      <c r="S539" s="73">
        <v>0.3756944444444445</v>
      </c>
      <c r="T539" s="75" t="str">
        <f t="shared" ref="T539:T602" si="32">IF(G539=$J$1,"SI","NO")</f>
        <v>NO</v>
      </c>
      <c r="U539" s="75"/>
      <c r="V539" s="66"/>
      <c r="W539" s="73">
        <v>0.40416666666666662</v>
      </c>
      <c r="X539" s="66"/>
      <c r="Y539" s="66"/>
      <c r="Z539" s="121" t="s">
        <v>1041</v>
      </c>
      <c r="AA539" s="121" t="s">
        <v>1171</v>
      </c>
      <c r="AB539" s="121" t="s">
        <v>1173</v>
      </c>
      <c r="AC539" s="366"/>
    </row>
    <row r="540" spans="1:29" ht="39.950000000000003" customHeight="1" x14ac:dyDescent="0.2">
      <c r="A540" s="66">
        <v>538</v>
      </c>
      <c r="B540" s="68">
        <v>45161</v>
      </c>
      <c r="C540" s="73">
        <v>0.45347222222222222</v>
      </c>
      <c r="D540" s="66" t="s">
        <v>2439</v>
      </c>
      <c r="E540" s="67" t="s">
        <v>2440</v>
      </c>
      <c r="F540" s="66">
        <v>5</v>
      </c>
      <c r="G540" s="66" t="s">
        <v>43</v>
      </c>
      <c r="H540" s="68">
        <v>45177</v>
      </c>
      <c r="I540" s="68" t="s">
        <v>73</v>
      </c>
      <c r="J540" s="68" t="s">
        <v>33</v>
      </c>
      <c r="K540" s="66">
        <f>IFERROR(VLOOKUP(J540,Jueces!$A$1:$B$11,2,FALSE),"")</f>
        <v>4</v>
      </c>
      <c r="L540" s="66" t="s">
        <v>2094</v>
      </c>
      <c r="M540" s="66" t="s">
        <v>697</v>
      </c>
      <c r="N540" s="66" t="s">
        <v>2680</v>
      </c>
      <c r="O540" s="66" t="str">
        <f t="shared" ca="1" si="30"/>
        <v>SI</v>
      </c>
      <c r="P540" s="66" t="str">
        <f t="shared" si="31"/>
        <v>DIANOSOL</v>
      </c>
      <c r="Q540" s="66" t="s">
        <v>899</v>
      </c>
      <c r="R540" s="66" t="str">
        <f>VLOOKUP($Q540,Resultados!$A$1:$B$49,2,FALSE)</f>
        <v>Libertad</v>
      </c>
      <c r="S540" s="66" t="s">
        <v>2681</v>
      </c>
      <c r="T540" s="75" t="str">
        <f t="shared" si="32"/>
        <v>NO</v>
      </c>
      <c r="U540" s="75"/>
      <c r="V540" s="66"/>
      <c r="W540" s="66" t="s">
        <v>1499</v>
      </c>
      <c r="X540" s="66" t="s">
        <v>2382</v>
      </c>
      <c r="Y540" s="66"/>
      <c r="Z540" s="121" t="s">
        <v>1041</v>
      </c>
      <c r="AA540" s="121" t="s">
        <v>1171</v>
      </c>
      <c r="AB540" s="121" t="s">
        <v>1173</v>
      </c>
      <c r="AC540" s="366"/>
    </row>
    <row r="541" spans="1:29" ht="39.950000000000003" customHeight="1" x14ac:dyDescent="0.2">
      <c r="A541" s="66">
        <v>539</v>
      </c>
      <c r="B541" s="68">
        <v>45161</v>
      </c>
      <c r="C541" s="73">
        <v>0.47500000000000003</v>
      </c>
      <c r="D541" s="66" t="s">
        <v>2441</v>
      </c>
      <c r="E541" s="67" t="s">
        <v>2459</v>
      </c>
      <c r="F541" s="66">
        <v>7</v>
      </c>
      <c r="G541" s="66" t="s">
        <v>283</v>
      </c>
      <c r="H541" s="68">
        <v>45170</v>
      </c>
      <c r="I541" s="68" t="s">
        <v>749</v>
      </c>
      <c r="J541" s="68" t="s">
        <v>1225</v>
      </c>
      <c r="K541" s="66">
        <f>IFERROR(VLOOKUP(J541,Jueces!$A$1:$B$11,2,FALSE),"")</f>
        <v>6</v>
      </c>
      <c r="L541" s="66" t="s">
        <v>802</v>
      </c>
      <c r="M541" s="66" t="s">
        <v>723</v>
      </c>
      <c r="N541" s="66" t="s">
        <v>577</v>
      </c>
      <c r="O541" s="66" t="str">
        <f t="shared" ca="1" si="30"/>
        <v>SI</v>
      </c>
      <c r="P541" s="66" t="str">
        <f t="shared" si="31"/>
        <v>DIANOSOL</v>
      </c>
      <c r="Q541" s="66" t="s">
        <v>151</v>
      </c>
      <c r="R541" s="66" t="str">
        <f>VLOOKUP($Q541,Resultados!$A$1:$B$49,2,FALSE)</f>
        <v>Prisión Preventiva</v>
      </c>
      <c r="S541" s="73">
        <v>0.34930555555555554</v>
      </c>
      <c r="T541" s="75" t="str">
        <f t="shared" si="32"/>
        <v>NO</v>
      </c>
      <c r="U541" s="75"/>
      <c r="V541" s="66"/>
      <c r="W541" s="73">
        <v>0.38125000000000003</v>
      </c>
      <c r="X541" s="66"/>
      <c r="Y541" s="66"/>
      <c r="Z541" s="121" t="s">
        <v>743</v>
      </c>
      <c r="AA541" s="121" t="s">
        <v>743</v>
      </c>
      <c r="AB541" s="121" t="s">
        <v>1177</v>
      </c>
      <c r="AC541" s="366"/>
    </row>
    <row r="542" spans="1:29" ht="39.950000000000003" customHeight="1" x14ac:dyDescent="0.2">
      <c r="A542" s="66">
        <v>540</v>
      </c>
      <c r="B542" s="68">
        <v>45161</v>
      </c>
      <c r="C542" s="73">
        <v>0.48680555555555555</v>
      </c>
      <c r="D542" s="66" t="s">
        <v>2443</v>
      </c>
      <c r="E542" s="67" t="s">
        <v>2444</v>
      </c>
      <c r="F542" s="66">
        <v>7</v>
      </c>
      <c r="G542" s="66" t="s">
        <v>29</v>
      </c>
      <c r="H542" s="68">
        <v>45180</v>
      </c>
      <c r="I542" s="68" t="s">
        <v>73</v>
      </c>
      <c r="J542" s="68" t="s">
        <v>31</v>
      </c>
      <c r="K542" s="66">
        <f>IFERROR(VLOOKUP(J542,Jueces!$A$1:$B$11,2,FALSE),"")</f>
        <v>2</v>
      </c>
      <c r="L542" s="66" t="s">
        <v>2094</v>
      </c>
      <c r="M542" s="66" t="s">
        <v>723</v>
      </c>
      <c r="N542" s="66" t="s">
        <v>577</v>
      </c>
      <c r="O542" s="66" t="str">
        <f t="shared" ca="1" si="30"/>
        <v>SI</v>
      </c>
      <c r="P542" s="66" t="str">
        <f t="shared" si="31"/>
        <v>DIANOSOL</v>
      </c>
      <c r="Q542" s="66" t="s">
        <v>151</v>
      </c>
      <c r="R542" s="66" t="str">
        <f>VLOOKUP($Q542,Resultados!$A$1:$B$49,2,FALSE)</f>
        <v>Prisión Preventiva</v>
      </c>
      <c r="S542" s="66" t="s">
        <v>1237</v>
      </c>
      <c r="T542" s="75" t="str">
        <f t="shared" si="32"/>
        <v>NO</v>
      </c>
      <c r="U542" s="75"/>
      <c r="V542" s="66"/>
      <c r="W542" s="66" t="s">
        <v>1234</v>
      </c>
      <c r="X542" s="66"/>
      <c r="Y542" s="66"/>
      <c r="Z542" s="121" t="s">
        <v>743</v>
      </c>
      <c r="AA542" s="121" t="s">
        <v>1171</v>
      </c>
      <c r="AB542" s="121" t="s">
        <v>1177</v>
      </c>
      <c r="AC542" s="366"/>
    </row>
    <row r="543" spans="1:29" ht="39.950000000000003" customHeight="1" x14ac:dyDescent="0.2">
      <c r="A543" s="66">
        <v>541</v>
      </c>
      <c r="B543" s="68">
        <v>45161</v>
      </c>
      <c r="C543" s="73">
        <v>0.50347222222222221</v>
      </c>
      <c r="D543" s="66" t="s">
        <v>2445</v>
      </c>
      <c r="E543" s="67" t="s">
        <v>2486</v>
      </c>
      <c r="F543" s="66">
        <v>7</v>
      </c>
      <c r="G543" s="66" t="s">
        <v>1442</v>
      </c>
      <c r="H543" s="68">
        <v>45170</v>
      </c>
      <c r="I543" s="68" t="s">
        <v>1086</v>
      </c>
      <c r="J543" s="68" t="s">
        <v>1224</v>
      </c>
      <c r="K543" s="66" t="s">
        <v>1925</v>
      </c>
      <c r="L543" s="66" t="s">
        <v>809</v>
      </c>
      <c r="M543" s="66" t="s">
        <v>723</v>
      </c>
      <c r="N543" s="66" t="s">
        <v>2586</v>
      </c>
      <c r="O543" s="66" t="str">
        <f t="shared" ca="1" si="30"/>
        <v>SI</v>
      </c>
      <c r="P543" s="66" t="str">
        <f t="shared" si="31"/>
        <v>DIANOSOL</v>
      </c>
      <c r="Q543" s="66" t="s">
        <v>904</v>
      </c>
      <c r="R543" s="66" t="str">
        <f>VLOOKUP($Q543,Resultados!$A$1:$B$49,2,FALSE)</f>
        <v>Juicio Abreviado</v>
      </c>
      <c r="S543" s="73">
        <v>0.38680555555555557</v>
      </c>
      <c r="T543" s="75" t="str">
        <f t="shared" si="32"/>
        <v>SI</v>
      </c>
      <c r="U543" s="75"/>
      <c r="V543" s="66"/>
      <c r="W543" s="73">
        <v>0.39444444444444443</v>
      </c>
      <c r="X543" s="66"/>
      <c r="Y543" s="66"/>
      <c r="Z543" s="121" t="s">
        <v>1042</v>
      </c>
      <c r="AA543" s="121" t="s">
        <v>1169</v>
      </c>
      <c r="AB543" s="121" t="s">
        <v>1174</v>
      </c>
      <c r="AC543" s="366"/>
    </row>
    <row r="544" spans="1:29" ht="39.950000000000003" customHeight="1" x14ac:dyDescent="0.2">
      <c r="A544" s="66">
        <v>542</v>
      </c>
      <c r="B544" s="68">
        <v>45161</v>
      </c>
      <c r="C544" s="73">
        <v>0.50902777777777775</v>
      </c>
      <c r="D544" s="66" t="s">
        <v>2448</v>
      </c>
      <c r="E544" s="67" t="s">
        <v>2543</v>
      </c>
      <c r="F544" s="66">
        <v>7</v>
      </c>
      <c r="G544" s="66" t="s">
        <v>1442</v>
      </c>
      <c r="H544" s="68">
        <v>45169</v>
      </c>
      <c r="I544" s="68" t="s">
        <v>73</v>
      </c>
      <c r="J544" s="68" t="s">
        <v>35</v>
      </c>
      <c r="K544" s="66" t="s">
        <v>1520</v>
      </c>
      <c r="L544" s="66" t="s">
        <v>2088</v>
      </c>
      <c r="M544" s="66" t="s">
        <v>783</v>
      </c>
      <c r="N544" s="66" t="s">
        <v>2556</v>
      </c>
      <c r="O544" s="66" t="str">
        <f t="shared" ca="1" si="30"/>
        <v>SI</v>
      </c>
      <c r="P544" s="66" t="str">
        <f t="shared" si="31"/>
        <v>DIANOSOL</v>
      </c>
      <c r="Q544" s="66" t="s">
        <v>151</v>
      </c>
      <c r="R544" s="66" t="str">
        <f>VLOOKUP($Q544,Resultados!$A$1:$B$49,2,FALSE)</f>
        <v>Prisión Preventiva</v>
      </c>
      <c r="S544" s="66" t="s">
        <v>2555</v>
      </c>
      <c r="T544" s="75" t="str">
        <f t="shared" si="32"/>
        <v>SI</v>
      </c>
      <c r="U544" s="75"/>
      <c r="V544" s="66"/>
      <c r="W544" s="73">
        <v>0.35694444444444445</v>
      </c>
      <c r="X544" s="66"/>
      <c r="Y544" s="66"/>
      <c r="Z544" s="121" t="s">
        <v>743</v>
      </c>
      <c r="AA544" s="121" t="s">
        <v>1169</v>
      </c>
      <c r="AB544" s="121" t="s">
        <v>1175</v>
      </c>
      <c r="AC544" s="366"/>
    </row>
    <row r="545" spans="1:29" ht="39.950000000000003" customHeight="1" x14ac:dyDescent="0.2">
      <c r="A545" s="66">
        <v>543</v>
      </c>
      <c r="B545" s="68">
        <v>45161</v>
      </c>
      <c r="C545" s="73">
        <v>0.52500000000000002</v>
      </c>
      <c r="D545" s="66" t="s">
        <v>2450</v>
      </c>
      <c r="E545" s="67" t="s">
        <v>2654</v>
      </c>
      <c r="F545" s="66">
        <v>7</v>
      </c>
      <c r="G545" s="66" t="s">
        <v>43</v>
      </c>
      <c r="H545" s="68">
        <v>45176</v>
      </c>
      <c r="I545" s="68" t="s">
        <v>73</v>
      </c>
      <c r="J545" s="68" t="s">
        <v>31</v>
      </c>
      <c r="K545" s="66">
        <f>IFERROR(VLOOKUP(J545,Jueces!$A$1:$B$11,2,FALSE),"")</f>
        <v>2</v>
      </c>
      <c r="L545" s="392" t="s">
        <v>2431</v>
      </c>
      <c r="M545" s="66" t="s">
        <v>723</v>
      </c>
      <c r="N545" s="66" t="s">
        <v>1753</v>
      </c>
      <c r="O545" s="66" t="str">
        <f t="shared" ca="1" si="30"/>
        <v>SI</v>
      </c>
      <c r="P545" s="66" t="str">
        <f t="shared" si="31"/>
        <v>DIANOSOL</v>
      </c>
      <c r="Q545" s="66" t="s">
        <v>151</v>
      </c>
      <c r="R545" s="66" t="str">
        <f>VLOOKUP($Q545,Resultados!$A$1:$B$49,2,FALSE)</f>
        <v>Prisión Preventiva</v>
      </c>
      <c r="S545" s="73">
        <v>0.35694444444444445</v>
      </c>
      <c r="T545" s="75" t="str">
        <f t="shared" si="32"/>
        <v>NO</v>
      </c>
      <c r="U545" s="75"/>
      <c r="V545" s="66"/>
      <c r="W545" s="73">
        <v>0.37777777777777777</v>
      </c>
      <c r="X545" s="253" t="s">
        <v>2663</v>
      </c>
      <c r="Y545" s="66"/>
      <c r="Z545" s="121" t="s">
        <v>1041</v>
      </c>
      <c r="AA545" s="121" t="s">
        <v>1171</v>
      </c>
      <c r="AB545" s="121" t="s">
        <v>1175</v>
      </c>
      <c r="AC545" s="366"/>
    </row>
    <row r="546" spans="1:29" ht="39.950000000000003" customHeight="1" x14ac:dyDescent="0.2">
      <c r="A546" s="66">
        <v>544</v>
      </c>
      <c r="B546" s="68">
        <v>45161</v>
      </c>
      <c r="C546" s="73">
        <v>0.52500000000000002</v>
      </c>
      <c r="D546" s="66" t="s">
        <v>2451</v>
      </c>
      <c r="E546" s="67" t="s">
        <v>2546</v>
      </c>
      <c r="F546" s="66">
        <v>6</v>
      </c>
      <c r="G546" s="66" t="s">
        <v>32</v>
      </c>
      <c r="H546" s="68">
        <v>45169</v>
      </c>
      <c r="I546" s="68" t="s">
        <v>1086</v>
      </c>
      <c r="J546" s="68" t="s">
        <v>1224</v>
      </c>
      <c r="K546" s="66" t="s">
        <v>2343</v>
      </c>
      <c r="L546" s="66" t="s">
        <v>789</v>
      </c>
      <c r="M546" s="66" t="s">
        <v>725</v>
      </c>
      <c r="N546" s="66" t="s">
        <v>2563</v>
      </c>
      <c r="O546" s="66" t="str">
        <f t="shared" ca="1" si="30"/>
        <v>SI</v>
      </c>
      <c r="P546" s="66" t="str">
        <f t="shared" si="31"/>
        <v>DIANOSOL</v>
      </c>
      <c r="Q546" s="66" t="s">
        <v>904</v>
      </c>
      <c r="R546" s="66" t="str">
        <f>VLOOKUP($Q546,Resultados!$A$1:$B$49,2,FALSE)</f>
        <v>Juicio Abreviado</v>
      </c>
      <c r="S546" s="73">
        <v>0.51944444444444449</v>
      </c>
      <c r="T546" s="75" t="str">
        <f t="shared" si="32"/>
        <v>NO</v>
      </c>
      <c r="U546" s="75"/>
      <c r="V546" s="66"/>
      <c r="W546" s="73">
        <v>0.53125</v>
      </c>
      <c r="X546" s="66"/>
      <c r="Y546" s="66"/>
      <c r="Z546" s="121" t="s">
        <v>1042</v>
      </c>
      <c r="AA546" s="121" t="s">
        <v>1169</v>
      </c>
      <c r="AB546" s="121" t="s">
        <v>1175</v>
      </c>
      <c r="AC546" s="366"/>
    </row>
    <row r="547" spans="1:29" ht="39.950000000000003" customHeight="1" x14ac:dyDescent="0.2">
      <c r="A547" s="66">
        <v>545</v>
      </c>
      <c r="B547" s="68">
        <v>45162</v>
      </c>
      <c r="C547" s="73">
        <v>0.45208333333333334</v>
      </c>
      <c r="D547" s="66" t="s">
        <v>2463</v>
      </c>
      <c r="E547" s="67" t="s">
        <v>2544</v>
      </c>
      <c r="F547" s="66">
        <v>7</v>
      </c>
      <c r="G547" s="66" t="s">
        <v>43</v>
      </c>
      <c r="H547" s="68">
        <v>45169</v>
      </c>
      <c r="I547" s="68" t="s">
        <v>73</v>
      </c>
      <c r="J547" s="68" t="s">
        <v>78</v>
      </c>
      <c r="K547" s="66">
        <f>IFERROR(VLOOKUP(J547,Jueces!$A$1:$B$11,2,FALSE),"")</f>
        <v>8</v>
      </c>
      <c r="L547" s="66" t="s">
        <v>811</v>
      </c>
      <c r="M547" s="66" t="s">
        <v>723</v>
      </c>
      <c r="N547" s="66" t="s">
        <v>510</v>
      </c>
      <c r="O547" s="66" t="str">
        <f t="shared" ca="1" si="30"/>
        <v>SI</v>
      </c>
      <c r="P547" s="66" t="str">
        <f t="shared" si="31"/>
        <v>DIANOSOL</v>
      </c>
      <c r="Q547" s="66" t="s">
        <v>899</v>
      </c>
      <c r="R547" s="66" t="str">
        <f>VLOOKUP($Q547,Resultados!$A$1:$B$49,2,FALSE)</f>
        <v>Libertad</v>
      </c>
      <c r="S547" s="73">
        <v>0.35416666666666669</v>
      </c>
      <c r="T547" s="75" t="str">
        <f t="shared" si="32"/>
        <v>NO</v>
      </c>
      <c r="U547" s="75"/>
      <c r="V547" s="66"/>
      <c r="W547" s="73">
        <v>0.35902777777777778</v>
      </c>
      <c r="X547" s="230" t="s">
        <v>2557</v>
      </c>
      <c r="Y547" s="66"/>
      <c r="Z547" s="121" t="s">
        <v>770</v>
      </c>
      <c r="AA547" s="121" t="s">
        <v>743</v>
      </c>
      <c r="AB547" s="121" t="s">
        <v>1174</v>
      </c>
      <c r="AC547" s="366"/>
    </row>
    <row r="548" spans="1:29" ht="39.950000000000003" customHeight="1" x14ac:dyDescent="0.2">
      <c r="A548" s="66">
        <v>546</v>
      </c>
      <c r="B548" s="68">
        <v>45162</v>
      </c>
      <c r="C548" s="73">
        <v>0.33333333333333331</v>
      </c>
      <c r="D548" s="66" t="s">
        <v>2464</v>
      </c>
      <c r="E548" s="67" t="s">
        <v>2547</v>
      </c>
      <c r="F548" s="66">
        <v>7</v>
      </c>
      <c r="G548" s="66" t="s">
        <v>29</v>
      </c>
      <c r="H548" s="68">
        <v>45169</v>
      </c>
      <c r="I548" s="68" t="s">
        <v>1086</v>
      </c>
      <c r="J548" s="68" t="s">
        <v>1222</v>
      </c>
      <c r="K548" s="66" t="s">
        <v>1925</v>
      </c>
      <c r="L548" s="66" t="s">
        <v>809</v>
      </c>
      <c r="M548" s="66" t="s">
        <v>723</v>
      </c>
      <c r="N548" s="66" t="s">
        <v>2559</v>
      </c>
      <c r="O548" s="66" t="str">
        <f t="shared" ca="1" si="30"/>
        <v>SI</v>
      </c>
      <c r="P548" s="66" t="str">
        <f t="shared" si="31"/>
        <v>DIANOSOL</v>
      </c>
      <c r="Q548" s="66" t="s">
        <v>904</v>
      </c>
      <c r="R548" s="66" t="str">
        <f>VLOOKUP($Q548,Resultados!$A$1:$B$49,2,FALSE)</f>
        <v>Juicio Abreviado</v>
      </c>
      <c r="S548" s="73">
        <v>0.39027777777777778</v>
      </c>
      <c r="T548" s="75" t="str">
        <f t="shared" si="32"/>
        <v>NO</v>
      </c>
      <c r="U548" s="75"/>
      <c r="V548" s="66"/>
      <c r="W548" s="73">
        <v>0.3972222222222222</v>
      </c>
      <c r="X548" s="67" t="s">
        <v>2560</v>
      </c>
      <c r="Y548" s="66"/>
      <c r="Z548" s="121" t="s">
        <v>748</v>
      </c>
      <c r="AA548" s="121" t="s">
        <v>743</v>
      </c>
      <c r="AB548" s="121" t="s">
        <v>1174</v>
      </c>
      <c r="AC548" s="366"/>
    </row>
    <row r="549" spans="1:29" ht="39.950000000000003" customHeight="1" x14ac:dyDescent="0.2">
      <c r="A549" s="66">
        <v>547</v>
      </c>
      <c r="B549" s="68">
        <v>45162</v>
      </c>
      <c r="C549" s="73">
        <v>0.45833333333333331</v>
      </c>
      <c r="D549" s="66" t="s">
        <v>2465</v>
      </c>
      <c r="E549" s="67" t="s">
        <v>2605</v>
      </c>
      <c r="F549" s="66">
        <v>7</v>
      </c>
      <c r="G549" s="66" t="s">
        <v>32</v>
      </c>
      <c r="H549" s="68">
        <v>45174</v>
      </c>
      <c r="I549" s="68" t="s">
        <v>73</v>
      </c>
      <c r="J549" s="68" t="s">
        <v>33</v>
      </c>
      <c r="K549" s="66">
        <f>IFERROR(VLOOKUP(J549,Jueces!$A$1:$B$11,2,FALSE),"")</f>
        <v>4</v>
      </c>
      <c r="L549" s="66" t="s">
        <v>789</v>
      </c>
      <c r="M549" s="66" t="s">
        <v>723</v>
      </c>
      <c r="N549" s="66" t="s">
        <v>2678</v>
      </c>
      <c r="O549" s="66" t="str">
        <f t="shared" ca="1" si="30"/>
        <v>SI</v>
      </c>
      <c r="P549" s="66" t="str">
        <f t="shared" si="31"/>
        <v>DIANOSOL</v>
      </c>
      <c r="Q549" s="66" t="s">
        <v>899</v>
      </c>
      <c r="R549" s="66" t="str">
        <f>VLOOKUP($Q549,Resultados!$A$1:$B$49,2,FALSE)</f>
        <v>Libertad</v>
      </c>
      <c r="S549" s="66" t="s">
        <v>2679</v>
      </c>
      <c r="T549" s="75" t="str">
        <f t="shared" si="32"/>
        <v>NO</v>
      </c>
      <c r="U549" s="75"/>
      <c r="V549" s="66"/>
      <c r="W549" s="66" t="s">
        <v>1786</v>
      </c>
      <c r="X549" s="66"/>
      <c r="Y549" s="66"/>
      <c r="Z549" s="121" t="s">
        <v>770</v>
      </c>
      <c r="AA549" s="121" t="s">
        <v>743</v>
      </c>
      <c r="AB549" s="121" t="s">
        <v>1177</v>
      </c>
      <c r="AC549" s="366"/>
    </row>
    <row r="550" spans="1:29" ht="39.950000000000003" customHeight="1" x14ac:dyDescent="0.2">
      <c r="A550" s="66">
        <v>548</v>
      </c>
      <c r="B550" s="68">
        <v>45162</v>
      </c>
      <c r="C550" s="73">
        <v>0.45833333333333331</v>
      </c>
      <c r="D550" s="66" t="s">
        <v>2466</v>
      </c>
      <c r="E550" s="67" t="s">
        <v>2548</v>
      </c>
      <c r="F550" s="66">
        <v>7</v>
      </c>
      <c r="G550" s="66" t="s">
        <v>568</v>
      </c>
      <c r="H550" s="68">
        <v>45169</v>
      </c>
      <c r="I550" s="68" t="s">
        <v>989</v>
      </c>
      <c r="J550" s="68" t="s">
        <v>31</v>
      </c>
      <c r="K550" s="66" t="s">
        <v>1925</v>
      </c>
      <c r="L550" s="66" t="s">
        <v>811</v>
      </c>
      <c r="M550" s="66" t="s">
        <v>725</v>
      </c>
      <c r="N550" s="230" t="s">
        <v>2562</v>
      </c>
      <c r="O550" s="66" t="str">
        <f t="shared" ca="1" si="30"/>
        <v>SI</v>
      </c>
      <c r="P550" s="66" t="str">
        <f t="shared" si="31"/>
        <v>DIANOSOL</v>
      </c>
      <c r="Q550" s="66" t="s">
        <v>904</v>
      </c>
      <c r="R550" s="66" t="str">
        <f>VLOOKUP($Q550,Resultados!$A$1:$B$49,2,FALSE)</f>
        <v>Juicio Abreviado</v>
      </c>
      <c r="S550" s="73">
        <v>0.49722222222222223</v>
      </c>
      <c r="T550" s="75" t="str">
        <f t="shared" si="32"/>
        <v>NO</v>
      </c>
      <c r="U550" s="75"/>
      <c r="V550" s="66"/>
      <c r="W550" s="73">
        <v>0.50624999999999998</v>
      </c>
      <c r="X550" s="66"/>
      <c r="Y550" s="66"/>
      <c r="Z550" s="121" t="s">
        <v>743</v>
      </c>
      <c r="AA550" s="121" t="s">
        <v>1171</v>
      </c>
      <c r="AB550" s="121" t="s">
        <v>1176</v>
      </c>
      <c r="AC550" s="366"/>
    </row>
    <row r="551" spans="1:29" ht="39.950000000000003" customHeight="1" x14ac:dyDescent="0.2">
      <c r="A551" s="66">
        <v>549</v>
      </c>
      <c r="B551" s="68">
        <v>45162</v>
      </c>
      <c r="C551" s="73">
        <v>0.49513888888888885</v>
      </c>
      <c r="D551" s="66" t="s">
        <v>2467</v>
      </c>
      <c r="E551" s="67" t="s">
        <v>2618</v>
      </c>
      <c r="F551" s="66">
        <v>7</v>
      </c>
      <c r="G551" s="66" t="s">
        <v>568</v>
      </c>
      <c r="H551" s="68">
        <v>45173</v>
      </c>
      <c r="I551" s="68" t="s">
        <v>73</v>
      </c>
      <c r="J551" s="68" t="s">
        <v>35</v>
      </c>
      <c r="K551" s="66">
        <f>IFERROR(VLOOKUP(J551,Jueces!$A$1:$B$11,2,FALSE),"")</f>
        <v>3</v>
      </c>
      <c r="L551" s="66" t="s">
        <v>809</v>
      </c>
      <c r="M551" s="66" t="s">
        <v>723</v>
      </c>
      <c r="N551" s="66" t="s">
        <v>2590</v>
      </c>
      <c r="O551" s="66" t="str">
        <f t="shared" ca="1" si="30"/>
        <v>SI</v>
      </c>
      <c r="P551" s="66" t="str">
        <f t="shared" si="31"/>
        <v>DIANOSOL</v>
      </c>
      <c r="Q551" s="66" t="s">
        <v>904</v>
      </c>
      <c r="R551" s="66" t="str">
        <f>VLOOKUP($Q551,Resultados!$A$1:$B$49,2,FALSE)</f>
        <v>Juicio Abreviado</v>
      </c>
      <c r="S551" s="73" t="s">
        <v>2591</v>
      </c>
      <c r="T551" s="75" t="str">
        <f t="shared" si="32"/>
        <v>NO</v>
      </c>
      <c r="U551" s="75"/>
      <c r="V551" s="66"/>
      <c r="W551" s="66" t="s">
        <v>1134</v>
      </c>
      <c r="X551" s="66"/>
      <c r="Y551" s="66"/>
      <c r="Z551" s="121" t="s">
        <v>770</v>
      </c>
      <c r="AA551" s="121" t="s">
        <v>1171</v>
      </c>
      <c r="AB551" s="121" t="s">
        <v>1177</v>
      </c>
      <c r="AC551" s="366"/>
    </row>
    <row r="552" spans="1:29" ht="39.950000000000003" customHeight="1" x14ac:dyDescent="0.2">
      <c r="A552" s="66">
        <v>550</v>
      </c>
      <c r="B552" s="68">
        <v>45162</v>
      </c>
      <c r="C552" s="73">
        <v>0.4861111111111111</v>
      </c>
      <c r="D552" s="66" t="s">
        <v>2468</v>
      </c>
      <c r="E552" s="67" t="s">
        <v>2621</v>
      </c>
      <c r="F552" s="66">
        <v>7</v>
      </c>
      <c r="G552" s="66" t="s">
        <v>32</v>
      </c>
      <c r="H552" s="68">
        <v>45173</v>
      </c>
      <c r="I552" s="68" t="s">
        <v>1086</v>
      </c>
      <c r="J552" s="68" t="s">
        <v>1224</v>
      </c>
      <c r="K552" s="66" t="s">
        <v>1520</v>
      </c>
      <c r="L552" s="66" t="s">
        <v>801</v>
      </c>
      <c r="M552" s="66" t="s">
        <v>723</v>
      </c>
      <c r="N552" s="66" t="s">
        <v>2593</v>
      </c>
      <c r="O552" s="66" t="str">
        <f t="shared" ca="1" si="30"/>
        <v>SI</v>
      </c>
      <c r="P552" s="66" t="str">
        <f t="shared" si="31"/>
        <v>DIANOSOL</v>
      </c>
      <c r="Q552" s="66" t="s">
        <v>904</v>
      </c>
      <c r="R552" s="66" t="str">
        <f>VLOOKUP($Q552,Resultados!$A$1:$B$49,2,FALSE)</f>
        <v>Juicio Abreviado</v>
      </c>
      <c r="S552" s="66"/>
      <c r="T552" s="75" t="str">
        <f t="shared" si="32"/>
        <v>NO</v>
      </c>
      <c r="U552" s="75"/>
      <c r="V552" s="66"/>
      <c r="W552" s="66"/>
      <c r="X552" s="66"/>
      <c r="Y552" s="66"/>
      <c r="Z552" s="121" t="s">
        <v>748</v>
      </c>
      <c r="AA552" s="121" t="s">
        <v>1169</v>
      </c>
      <c r="AB552" s="121" t="s">
        <v>1173</v>
      </c>
      <c r="AC552" s="366"/>
    </row>
    <row r="553" spans="1:29" ht="39.950000000000003" customHeight="1" x14ac:dyDescent="0.2">
      <c r="A553" s="66">
        <v>551</v>
      </c>
      <c r="B553" s="68">
        <v>45168</v>
      </c>
      <c r="C553" s="73">
        <v>0.4597222222222222</v>
      </c>
      <c r="D553" s="66" t="s">
        <v>2477</v>
      </c>
      <c r="E553" s="67" t="s">
        <v>2625</v>
      </c>
      <c r="F553" s="66">
        <v>7</v>
      </c>
      <c r="G553" s="66" t="s">
        <v>1441</v>
      </c>
      <c r="H553" s="68">
        <v>45174</v>
      </c>
      <c r="I553" s="68" t="s">
        <v>1086</v>
      </c>
      <c r="J553" s="68" t="s">
        <v>1222</v>
      </c>
      <c r="K553" s="66" t="s">
        <v>1520</v>
      </c>
      <c r="L553" s="66" t="s">
        <v>800</v>
      </c>
      <c r="M553" s="66" t="s">
        <v>725</v>
      </c>
      <c r="N553" s="66" t="s">
        <v>577</v>
      </c>
      <c r="O553" s="66" t="str">
        <f t="shared" ca="1" si="30"/>
        <v>SI</v>
      </c>
      <c r="P553" s="66" t="str">
        <f t="shared" si="31"/>
        <v>DIANOSOL</v>
      </c>
      <c r="Q553" s="66" t="s">
        <v>151</v>
      </c>
      <c r="R553" s="66" t="str">
        <f>VLOOKUP($Q553,Resultados!$A$1:$B$49,2,FALSE)</f>
        <v>Prisión Preventiva</v>
      </c>
      <c r="S553" s="66" t="s">
        <v>2617</v>
      </c>
      <c r="T553" s="75" t="str">
        <f t="shared" si="32"/>
        <v>NO</v>
      </c>
      <c r="U553" s="75"/>
      <c r="V553" s="66"/>
      <c r="W553" s="66" t="s">
        <v>1372</v>
      </c>
      <c r="X553" s="66"/>
      <c r="Y553" s="66"/>
      <c r="Z553" s="121" t="s">
        <v>743</v>
      </c>
      <c r="AA553" s="121" t="s">
        <v>1169</v>
      </c>
      <c r="AB553" s="121" t="s">
        <v>1175</v>
      </c>
      <c r="AC553" s="366"/>
    </row>
    <row r="554" spans="1:29" ht="39.950000000000003" customHeight="1" x14ac:dyDescent="0.2">
      <c r="A554" s="66">
        <v>552</v>
      </c>
      <c r="B554" s="68">
        <v>45163</v>
      </c>
      <c r="C554" s="73">
        <v>0.41319444444444442</v>
      </c>
      <c r="D554" s="66" t="s">
        <v>2489</v>
      </c>
      <c r="E554" s="67" t="s">
        <v>2490</v>
      </c>
      <c r="F554" s="66">
        <v>6</v>
      </c>
      <c r="G554" s="66" t="s">
        <v>1443</v>
      </c>
      <c r="H554" s="68">
        <v>45170</v>
      </c>
      <c r="I554" s="68" t="s">
        <v>73</v>
      </c>
      <c r="J554" s="68" t="s">
        <v>1221</v>
      </c>
      <c r="K554" s="66" t="s">
        <v>1346</v>
      </c>
      <c r="L554" s="66" t="s">
        <v>806</v>
      </c>
      <c r="M554" s="66" t="s">
        <v>2219</v>
      </c>
      <c r="N554" s="66" t="s">
        <v>2579</v>
      </c>
      <c r="O554" s="66" t="str">
        <f t="shared" ca="1" si="30"/>
        <v>SI</v>
      </c>
      <c r="P554" s="66" t="str">
        <f t="shared" si="31"/>
        <v>DIANOSOL</v>
      </c>
      <c r="Q554" s="66" t="s">
        <v>151</v>
      </c>
      <c r="R554" s="66" t="str">
        <f>VLOOKUP($Q554,Resultados!$A$1:$B$49,2,FALSE)</f>
        <v>Prisión Preventiva</v>
      </c>
      <c r="S554" s="73">
        <v>0.37222222222222223</v>
      </c>
      <c r="T554" s="75" t="str">
        <f t="shared" si="32"/>
        <v>NO</v>
      </c>
      <c r="U554" s="75"/>
      <c r="V554" s="66"/>
      <c r="W554" s="73">
        <v>0.39999999999999997</v>
      </c>
      <c r="X554" s="66" t="s">
        <v>2571</v>
      </c>
      <c r="Y554" s="66"/>
      <c r="Z554" s="121" t="s">
        <v>1042</v>
      </c>
      <c r="AA554" s="121" t="s">
        <v>1171</v>
      </c>
      <c r="AB554" s="121" t="s">
        <v>1173</v>
      </c>
      <c r="AC554" s="366"/>
    </row>
    <row r="555" spans="1:29" ht="39.950000000000003" customHeight="1" x14ac:dyDescent="0.2">
      <c r="A555" s="66">
        <v>553</v>
      </c>
      <c r="B555" s="68">
        <v>45163</v>
      </c>
      <c r="C555" s="73">
        <v>0.39166666666666666</v>
      </c>
      <c r="D555" s="66" t="s">
        <v>2491</v>
      </c>
      <c r="E555" s="67" t="s">
        <v>2630</v>
      </c>
      <c r="F555" s="66">
        <v>4</v>
      </c>
      <c r="G555" s="66" t="s">
        <v>1441</v>
      </c>
      <c r="H555" s="68">
        <v>45175</v>
      </c>
      <c r="I555" s="68" t="s">
        <v>73</v>
      </c>
      <c r="J555" s="68" t="s">
        <v>1221</v>
      </c>
      <c r="K555" s="66">
        <f>IFERROR(VLOOKUP(J555,Jueces!$A$1:$B$11,2,FALSE),"")</f>
        <v>7</v>
      </c>
      <c r="L555" s="66" t="s">
        <v>569</v>
      </c>
      <c r="M555" s="66" t="s">
        <v>2219</v>
      </c>
      <c r="N555" s="66" t="s">
        <v>2652</v>
      </c>
      <c r="O555" s="66" t="str">
        <f t="shared" ca="1" si="30"/>
        <v>SI</v>
      </c>
      <c r="P555" s="66" t="str">
        <f t="shared" si="31"/>
        <v>DIANOSOL</v>
      </c>
      <c r="Q555" s="66" t="s">
        <v>151</v>
      </c>
      <c r="R555" s="66" t="str">
        <f>VLOOKUP($Q555,Resultados!$A$1:$B$49,2,FALSE)</f>
        <v>Prisión Preventiva</v>
      </c>
      <c r="S555" s="73">
        <v>0.3611111111111111</v>
      </c>
      <c r="T555" s="75" t="str">
        <f t="shared" si="32"/>
        <v>NO</v>
      </c>
      <c r="U555" s="75"/>
      <c r="V555" s="66"/>
      <c r="W555" s="73">
        <v>0.40625</v>
      </c>
      <c r="X555" s="66" t="s">
        <v>2653</v>
      </c>
      <c r="Y555" s="66"/>
      <c r="Z555" s="121" t="s">
        <v>1042</v>
      </c>
      <c r="AA555" s="121" t="s">
        <v>743</v>
      </c>
      <c r="AB555" s="121" t="s">
        <v>1175</v>
      </c>
      <c r="AC555" s="366"/>
    </row>
    <row r="556" spans="1:29" ht="39.950000000000003" customHeight="1" x14ac:dyDescent="0.2">
      <c r="A556" s="66">
        <v>554</v>
      </c>
      <c r="B556" s="68">
        <v>45163</v>
      </c>
      <c r="C556" s="73">
        <v>0.34722222222222227</v>
      </c>
      <c r="D556" s="66" t="s">
        <v>2492</v>
      </c>
      <c r="E556" s="67" t="s">
        <v>2493</v>
      </c>
      <c r="F556" s="66">
        <v>6</v>
      </c>
      <c r="G556" s="66" t="s">
        <v>568</v>
      </c>
      <c r="H556" s="68">
        <v>45170</v>
      </c>
      <c r="I556" s="68" t="s">
        <v>73</v>
      </c>
      <c r="J556" s="68" t="s">
        <v>35</v>
      </c>
      <c r="K556" s="66">
        <f>IFERROR(VLOOKUP(J556,Jueces!$A$1:$B$11,2,FALSE),"")</f>
        <v>3</v>
      </c>
      <c r="L556" s="66" t="s">
        <v>798</v>
      </c>
      <c r="M556" s="66" t="s">
        <v>696</v>
      </c>
      <c r="N556" s="66" t="s">
        <v>2580</v>
      </c>
      <c r="O556" s="66" t="str">
        <f t="shared" ref="O556:O619" ca="1" si="33">IF(H556&lt;&gt;"",IF(H556&lt;=TODAY(),"SI","NO"),"LIMBO")</f>
        <v>SI</v>
      </c>
      <c r="P556" s="66" t="str">
        <f t="shared" si="31"/>
        <v>DIANOSOL</v>
      </c>
      <c r="Q556" s="66" t="s">
        <v>899</v>
      </c>
      <c r="R556" s="66" t="str">
        <f>VLOOKUP($Q556,Resultados!$A$1:$B$49,2,FALSE)</f>
        <v>Libertad</v>
      </c>
      <c r="S556" s="73">
        <v>0.34652777777777777</v>
      </c>
      <c r="T556" s="75" t="str">
        <f t="shared" si="32"/>
        <v>NO</v>
      </c>
      <c r="U556" s="75"/>
      <c r="V556" s="66"/>
      <c r="W556" s="73">
        <v>0.36944444444444446</v>
      </c>
      <c r="X556" s="66"/>
      <c r="Y556" s="66"/>
      <c r="Z556" s="121" t="s">
        <v>748</v>
      </c>
      <c r="AA556" s="121" t="s">
        <v>1169</v>
      </c>
      <c r="AB556" s="121" t="s">
        <v>1175</v>
      </c>
      <c r="AC556" s="366"/>
    </row>
    <row r="557" spans="1:29" ht="39.950000000000003" customHeight="1" x14ac:dyDescent="0.2">
      <c r="A557" s="66">
        <v>555</v>
      </c>
      <c r="B557" s="68">
        <v>45163</v>
      </c>
      <c r="C557" s="73">
        <v>0.33333333333333331</v>
      </c>
      <c r="D557" s="66" t="s">
        <v>2494</v>
      </c>
      <c r="E557" s="67" t="s">
        <v>2627</v>
      </c>
      <c r="F557" s="66">
        <v>6</v>
      </c>
      <c r="G557" s="66" t="s">
        <v>1442</v>
      </c>
      <c r="H557" s="68">
        <v>45174</v>
      </c>
      <c r="I557" s="68" t="s">
        <v>73</v>
      </c>
      <c r="J557" s="68" t="s">
        <v>35</v>
      </c>
      <c r="K557" s="66">
        <f>IFERROR(VLOOKUP(J557,Jueces!$A$1:$B$11,2,FALSE),"")</f>
        <v>3</v>
      </c>
      <c r="L557" s="66" t="s">
        <v>793</v>
      </c>
      <c r="M557" s="66" t="s">
        <v>2219</v>
      </c>
      <c r="N557" s="66" t="s">
        <v>2606</v>
      </c>
      <c r="O557" s="66" t="str">
        <f t="shared" ca="1" si="33"/>
        <v>SI</v>
      </c>
      <c r="P557" s="66" t="str">
        <f t="shared" si="31"/>
        <v>DIANOSOL</v>
      </c>
      <c r="Q557" s="66" t="s">
        <v>904</v>
      </c>
      <c r="R557" s="66" t="str">
        <f>VLOOKUP($Q557,Resultados!$A$1:$B$49,2,FALSE)</f>
        <v>Juicio Abreviado</v>
      </c>
      <c r="S557" s="66" t="s">
        <v>1123</v>
      </c>
      <c r="T557" s="75" t="str">
        <f t="shared" si="32"/>
        <v>SI</v>
      </c>
      <c r="U557" s="75"/>
      <c r="V557" s="66"/>
      <c r="W557" s="73">
        <v>0.37291666666666662</v>
      </c>
      <c r="X557" s="66" t="s">
        <v>2607</v>
      </c>
      <c r="Y557" s="66"/>
      <c r="Z557" s="121" t="s">
        <v>1041</v>
      </c>
      <c r="AA557" s="121" t="s">
        <v>1171</v>
      </c>
      <c r="AB557" s="121" t="s">
        <v>1176</v>
      </c>
      <c r="AC557" s="366"/>
    </row>
    <row r="558" spans="1:29" ht="173.25" customHeight="1" x14ac:dyDescent="0.2">
      <c r="A558" s="66">
        <v>556</v>
      </c>
      <c r="B558" s="68">
        <v>45162</v>
      </c>
      <c r="C558" s="73">
        <v>0.52916666666666667</v>
      </c>
      <c r="D558" s="66" t="s">
        <v>2495</v>
      </c>
      <c r="E558" s="67" t="s">
        <v>2660</v>
      </c>
      <c r="F558" s="66">
        <v>4</v>
      </c>
      <c r="G558" s="66" t="s">
        <v>1442</v>
      </c>
      <c r="H558" s="68">
        <v>45176</v>
      </c>
      <c r="I558" s="68" t="s">
        <v>1086</v>
      </c>
      <c r="J558" s="68" t="s">
        <v>1220</v>
      </c>
      <c r="K558" s="66" t="s">
        <v>1925</v>
      </c>
      <c r="L558" s="66" t="s">
        <v>798</v>
      </c>
      <c r="M558" s="66" t="s">
        <v>695</v>
      </c>
      <c r="N558" s="66" t="s">
        <v>2669</v>
      </c>
      <c r="O558" s="66" t="str">
        <f t="shared" ca="1" si="33"/>
        <v>SI</v>
      </c>
      <c r="P558" s="66" t="str">
        <f t="shared" si="31"/>
        <v>DIANOSOL</v>
      </c>
      <c r="Q558" s="66" t="s">
        <v>151</v>
      </c>
      <c r="R558" s="66" t="str">
        <f>VLOOKUP($Q558,Resultados!$A$1:$B$49,2,FALSE)</f>
        <v>Prisión Preventiva</v>
      </c>
      <c r="S558" s="73">
        <v>0.37916666666666665</v>
      </c>
      <c r="T558" s="75" t="str">
        <f t="shared" si="32"/>
        <v>SI</v>
      </c>
      <c r="U558" s="75"/>
      <c r="V558" s="66"/>
      <c r="W558" s="73">
        <v>0.40416666666666662</v>
      </c>
      <c r="X558" s="66"/>
      <c r="Y558" s="66"/>
      <c r="Z558" s="121" t="s">
        <v>743</v>
      </c>
      <c r="AA558" s="121" t="s">
        <v>743</v>
      </c>
      <c r="AB558" s="121" t="s">
        <v>1176</v>
      </c>
      <c r="AC558" s="366"/>
    </row>
    <row r="559" spans="1:29" ht="65.25" customHeight="1" x14ac:dyDescent="0.2">
      <c r="A559" s="66">
        <v>557</v>
      </c>
      <c r="B559" s="68">
        <v>45163</v>
      </c>
      <c r="C559" s="73">
        <v>0.49444444444444446</v>
      </c>
      <c r="D559" s="66" t="s">
        <v>2496</v>
      </c>
      <c r="E559" s="67" t="s">
        <v>2626</v>
      </c>
      <c r="F559" s="66">
        <v>7</v>
      </c>
      <c r="G559" s="66" t="s">
        <v>1443</v>
      </c>
      <c r="H559" s="68">
        <v>45174</v>
      </c>
      <c r="I559" s="68" t="s">
        <v>1086</v>
      </c>
      <c r="J559" s="68" t="s">
        <v>1225</v>
      </c>
      <c r="K559" s="66">
        <f>IFERROR(VLOOKUP(J559,Jueces!$A$1:$B$11,2,FALSE),"")</f>
        <v>6</v>
      </c>
      <c r="L559" s="66" t="s">
        <v>807</v>
      </c>
      <c r="M559" s="66" t="s">
        <v>723</v>
      </c>
      <c r="N559" s="66" t="s">
        <v>577</v>
      </c>
      <c r="O559" s="66" t="str">
        <f t="shared" ca="1" si="33"/>
        <v>SI</v>
      </c>
      <c r="P559" s="66" t="str">
        <f t="shared" si="31"/>
        <v>DIANOSOL</v>
      </c>
      <c r="Q559" s="66" t="s">
        <v>151</v>
      </c>
      <c r="R559" s="66" t="str">
        <f>VLOOKUP($Q559,Resultados!$A$1:$B$49,2,FALSE)</f>
        <v>Prisión Preventiva</v>
      </c>
      <c r="S559" s="66" t="s">
        <v>1231</v>
      </c>
      <c r="T559" s="75" t="str">
        <f t="shared" si="32"/>
        <v>NO</v>
      </c>
      <c r="U559" s="75"/>
      <c r="V559" s="66"/>
      <c r="W559" s="66" t="s">
        <v>1009</v>
      </c>
      <c r="X559" s="66"/>
      <c r="Y559" s="66"/>
      <c r="Z559" s="121" t="s">
        <v>770</v>
      </c>
      <c r="AA559" s="121" t="s">
        <v>743</v>
      </c>
      <c r="AB559" s="121" t="s">
        <v>1177</v>
      </c>
      <c r="AC559" s="366"/>
    </row>
    <row r="560" spans="1:29" ht="39.950000000000003" customHeight="1" x14ac:dyDescent="0.2">
      <c r="A560" s="66">
        <v>558</v>
      </c>
      <c r="B560" s="68">
        <v>45163</v>
      </c>
      <c r="C560" s="73">
        <v>0.4861111111111111</v>
      </c>
      <c r="D560" s="66" t="s">
        <v>2497</v>
      </c>
      <c r="E560" s="67" t="s">
        <v>2623</v>
      </c>
      <c r="F560" s="66">
        <v>7</v>
      </c>
      <c r="G560" s="66" t="s">
        <v>29</v>
      </c>
      <c r="H560" s="68">
        <v>45174</v>
      </c>
      <c r="I560" s="68" t="s">
        <v>73</v>
      </c>
      <c r="J560" s="68" t="s">
        <v>1221</v>
      </c>
      <c r="K560" s="66">
        <f>IFERROR(VLOOKUP(J560,Jueces!$A$1:$B$11,2,FALSE),"")</f>
        <v>7</v>
      </c>
      <c r="L560" s="66" t="s">
        <v>569</v>
      </c>
      <c r="M560" s="66" t="s">
        <v>782</v>
      </c>
      <c r="N560" s="66" t="s">
        <v>2498</v>
      </c>
      <c r="O560" s="66" t="str">
        <f t="shared" ca="1" si="33"/>
        <v>SI</v>
      </c>
      <c r="P560" s="66" t="str">
        <f t="shared" si="31"/>
        <v>DIANOSOL</v>
      </c>
      <c r="Q560" s="66" t="s">
        <v>151</v>
      </c>
      <c r="R560" s="66" t="str">
        <f>VLOOKUP($Q560,Resultados!$A$1:$B$49,2,FALSE)</f>
        <v>Prisión Preventiva</v>
      </c>
      <c r="S560" s="66" t="s">
        <v>1235</v>
      </c>
      <c r="T560" s="75" t="str">
        <f t="shared" si="32"/>
        <v>NO</v>
      </c>
      <c r="U560" s="75"/>
      <c r="V560" s="66"/>
      <c r="W560" s="66" t="s">
        <v>1065</v>
      </c>
      <c r="X560" s="66" t="s">
        <v>2382</v>
      </c>
      <c r="Y560" s="66"/>
      <c r="Z560" s="121" t="s">
        <v>1042</v>
      </c>
      <c r="AA560" s="121" t="s">
        <v>1169</v>
      </c>
      <c r="AB560" s="121" t="s">
        <v>1174</v>
      </c>
      <c r="AC560" s="366"/>
    </row>
    <row r="561" spans="1:29" ht="39.950000000000003" customHeight="1" x14ac:dyDescent="0.2">
      <c r="A561" s="66">
        <v>559</v>
      </c>
      <c r="B561" s="68">
        <v>45163</v>
      </c>
      <c r="C561" s="73">
        <v>0.48402777777777778</v>
      </c>
      <c r="D561" s="66" t="s">
        <v>2499</v>
      </c>
      <c r="E561" s="67" t="s">
        <v>2500</v>
      </c>
      <c r="F561" s="66">
        <v>5</v>
      </c>
      <c r="G561" s="66" t="s">
        <v>32</v>
      </c>
      <c r="H561" s="68">
        <v>45170</v>
      </c>
      <c r="I561" s="68" t="s">
        <v>1086</v>
      </c>
      <c r="J561" s="68" t="s">
        <v>35</v>
      </c>
      <c r="K561" s="66">
        <v>4</v>
      </c>
      <c r="L561" s="66" t="s">
        <v>830</v>
      </c>
      <c r="M561" s="66" t="s">
        <v>1875</v>
      </c>
      <c r="N561" s="66" t="s">
        <v>2589</v>
      </c>
      <c r="O561" s="66" t="str">
        <f t="shared" ca="1" si="33"/>
        <v>SI</v>
      </c>
      <c r="P561" s="66" t="str">
        <f t="shared" si="31"/>
        <v>DIANOSOL</v>
      </c>
      <c r="Q561" s="66" t="s">
        <v>151</v>
      </c>
      <c r="R561" s="66" t="str">
        <f>VLOOKUP($Q561,Resultados!$A$1:$B$49,2,FALSE)</f>
        <v>Prisión Preventiva</v>
      </c>
      <c r="S561" s="73">
        <v>0.55902777777777779</v>
      </c>
      <c r="T561" s="75" t="str">
        <f t="shared" si="32"/>
        <v>NO</v>
      </c>
      <c r="U561" s="75"/>
      <c r="V561" s="66"/>
      <c r="W561" s="73">
        <v>0.56597222222222221</v>
      </c>
      <c r="X561" s="66"/>
      <c r="Y561" s="66"/>
      <c r="Z561" s="121" t="s">
        <v>748</v>
      </c>
      <c r="AA561" s="121" t="s">
        <v>1171</v>
      </c>
      <c r="AB561" s="121" t="s">
        <v>1173</v>
      </c>
      <c r="AC561" s="366"/>
    </row>
    <row r="562" spans="1:29" ht="39.950000000000003"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3"/>
        <v>SI</v>
      </c>
      <c r="P562" s="66" t="str">
        <f t="shared" si="31"/>
        <v>DIANOSOL</v>
      </c>
      <c r="Q562" s="66" t="s">
        <v>905</v>
      </c>
      <c r="R562" s="66" t="str">
        <f>VLOOKUP($Q562,Resultados!$A$1:$B$49,2,FALSE)</f>
        <v>Juicio Abreviado</v>
      </c>
      <c r="S562" s="66" t="s">
        <v>1238</v>
      </c>
      <c r="T562" s="75" t="str">
        <f t="shared" si="32"/>
        <v>NO</v>
      </c>
      <c r="U562" s="75"/>
      <c r="V562" s="66"/>
      <c r="W562" s="66" t="s">
        <v>1009</v>
      </c>
      <c r="X562" s="66"/>
      <c r="Y562" s="66"/>
      <c r="Z562" s="121" t="s">
        <v>743</v>
      </c>
      <c r="AA562" s="121" t="s">
        <v>1169</v>
      </c>
      <c r="AB562" s="121" t="s">
        <v>1174</v>
      </c>
      <c r="AC562" s="366"/>
    </row>
    <row r="563" spans="1:29" ht="39.950000000000003" customHeight="1" x14ac:dyDescent="0.2">
      <c r="A563" s="66">
        <v>561</v>
      </c>
      <c r="B563" s="68">
        <v>45167</v>
      </c>
      <c r="C563" s="73">
        <v>0.4055555555555555</v>
      </c>
      <c r="D563" s="66" t="s">
        <v>2510</v>
      </c>
      <c r="E563" s="67" t="s">
        <v>2619</v>
      </c>
      <c r="F563" s="66">
        <v>7</v>
      </c>
      <c r="G563" s="66" t="s">
        <v>1442</v>
      </c>
      <c r="H563" s="68">
        <v>45173</v>
      </c>
      <c r="I563" s="68" t="s">
        <v>73</v>
      </c>
      <c r="J563" s="68" t="s">
        <v>1221</v>
      </c>
      <c r="K563" s="66">
        <f>IFERROR(VLOOKUP(J563,Jueces!$A$1:$B$11,2,FALSE),"")</f>
        <v>7</v>
      </c>
      <c r="L563" s="66" t="s">
        <v>569</v>
      </c>
      <c r="M563" s="66" t="s">
        <v>782</v>
      </c>
      <c r="N563" s="66" t="s">
        <v>2592</v>
      </c>
      <c r="O563" s="66" t="str">
        <f t="shared" ca="1" si="33"/>
        <v>SI</v>
      </c>
      <c r="P563" s="66" t="str">
        <f t="shared" si="31"/>
        <v>DIANOSOL</v>
      </c>
      <c r="Q563" s="66" t="s">
        <v>904</v>
      </c>
      <c r="R563" s="66" t="str">
        <f>VLOOKUP($Q563,Resultados!$A$1:$B$49,2,FALSE)</f>
        <v>Juicio Abreviado</v>
      </c>
      <c r="S563" s="66" t="s">
        <v>2421</v>
      </c>
      <c r="T563" s="75" t="str">
        <f t="shared" si="32"/>
        <v>SI</v>
      </c>
      <c r="U563" s="75"/>
      <c r="V563" s="66"/>
      <c r="W563" s="66" t="s">
        <v>1292</v>
      </c>
      <c r="X563" s="66" t="s">
        <v>2571</v>
      </c>
      <c r="Y563" s="66"/>
      <c r="Z563" s="121" t="s">
        <v>1041</v>
      </c>
      <c r="AA563" s="121" t="s">
        <v>743</v>
      </c>
      <c r="AB563" s="121" t="s">
        <v>1176</v>
      </c>
      <c r="AC563" s="366"/>
    </row>
    <row r="564" spans="1:29" ht="39.950000000000003" customHeight="1" x14ac:dyDescent="0.2">
      <c r="A564" s="66">
        <v>562</v>
      </c>
      <c r="B564" s="68">
        <v>45167</v>
      </c>
      <c r="C564" s="73">
        <v>0.43472222222222223</v>
      </c>
      <c r="D564" s="66" t="s">
        <v>2511</v>
      </c>
      <c r="E564" s="67" t="s">
        <v>2629</v>
      </c>
      <c r="F564" s="66">
        <v>7</v>
      </c>
      <c r="G564" s="66" t="s">
        <v>43</v>
      </c>
      <c r="H564" s="68">
        <v>45175</v>
      </c>
      <c r="I564" s="68" t="s">
        <v>73</v>
      </c>
      <c r="J564" s="68" t="s">
        <v>33</v>
      </c>
      <c r="K564" s="66">
        <f>IFERROR(VLOOKUP(J564,Jueces!$A$1:$B$11,2,FALSE),"")</f>
        <v>4</v>
      </c>
      <c r="L564" s="6" t="s">
        <v>812</v>
      </c>
      <c r="M564" s="66" t="s">
        <v>723</v>
      </c>
      <c r="N564" s="66" t="s">
        <v>577</v>
      </c>
      <c r="O564" s="66" t="str">
        <f t="shared" ca="1" si="33"/>
        <v>SI</v>
      </c>
      <c r="P564" s="66" t="str">
        <f t="shared" si="31"/>
        <v>DIANOSOL</v>
      </c>
      <c r="Q564" s="66" t="s">
        <v>151</v>
      </c>
      <c r="R564" s="66" t="str">
        <f>VLOOKUP($Q564,Resultados!$A$1:$B$49,2,FALSE)</f>
        <v>Prisión Preventiva</v>
      </c>
      <c r="S564" s="66" t="s">
        <v>1429</v>
      </c>
      <c r="T564" s="75" t="str">
        <f t="shared" si="32"/>
        <v>NO</v>
      </c>
      <c r="U564" s="75"/>
      <c r="V564" s="66"/>
      <c r="W564" s="66" t="s">
        <v>1497</v>
      </c>
      <c r="X564" s="387"/>
      <c r="Y564" s="66"/>
      <c r="Z564" s="121" t="s">
        <v>748</v>
      </c>
      <c r="AA564" s="121" t="s">
        <v>1171</v>
      </c>
      <c r="AB564" s="121" t="s">
        <v>1176</v>
      </c>
      <c r="AC564" s="366"/>
    </row>
    <row r="565" spans="1:29" ht="39.950000000000003" customHeight="1" x14ac:dyDescent="0.2">
      <c r="A565" s="66">
        <v>563</v>
      </c>
      <c r="B565" s="68">
        <v>45167</v>
      </c>
      <c r="C565" s="73">
        <v>0.43263888888888885</v>
      </c>
      <c r="D565" s="66" t="s">
        <v>2512</v>
      </c>
      <c r="E565" s="67" t="s">
        <v>2632</v>
      </c>
      <c r="F565" s="66">
        <v>6</v>
      </c>
      <c r="G565" s="66" t="s">
        <v>1442</v>
      </c>
      <c r="H565" s="68">
        <v>45175</v>
      </c>
      <c r="I565" s="68" t="s">
        <v>1086</v>
      </c>
      <c r="J565" s="68" t="s">
        <v>1221</v>
      </c>
      <c r="K565" s="66">
        <f>IFERROR(VLOOKUP(J565,Jueces!$A$1:$B$11,2,FALSE),"")</f>
        <v>7</v>
      </c>
      <c r="L565" s="66" t="s">
        <v>807</v>
      </c>
      <c r="M565" s="66" t="s">
        <v>725</v>
      </c>
      <c r="N565" s="66" t="s">
        <v>2645</v>
      </c>
      <c r="O565" s="66" t="str">
        <f t="shared" ca="1" si="33"/>
        <v>SI</v>
      </c>
      <c r="P565" s="66" t="str">
        <f t="shared" si="31"/>
        <v>DIANOSOL</v>
      </c>
      <c r="Q565" s="66" t="s">
        <v>904</v>
      </c>
      <c r="R565" s="66" t="str">
        <f>VLOOKUP($Q565,Resultados!$A$1:$B$49,2,FALSE)</f>
        <v>Juicio Abreviado</v>
      </c>
      <c r="S565" s="66" t="s">
        <v>1372</v>
      </c>
      <c r="T565" s="75" t="str">
        <f t="shared" si="32"/>
        <v>SI</v>
      </c>
      <c r="U565" s="75"/>
      <c r="V565" s="66"/>
      <c r="W565" s="66" t="s">
        <v>2644</v>
      </c>
      <c r="X565" s="6"/>
      <c r="Y565" s="66"/>
      <c r="Z565" s="121" t="s">
        <v>770</v>
      </c>
      <c r="AA565" s="279" t="s">
        <v>1169</v>
      </c>
      <c r="AB565" s="121" t="s">
        <v>1173</v>
      </c>
      <c r="AC565" s="366"/>
    </row>
    <row r="566" spans="1:29" ht="39.950000000000003" customHeight="1" x14ac:dyDescent="0.2">
      <c r="A566" s="66">
        <v>564</v>
      </c>
      <c r="B566" s="68">
        <v>45167</v>
      </c>
      <c r="C566" s="73">
        <v>0.4909722222222222</v>
      </c>
      <c r="D566" s="66" t="s">
        <v>1383</v>
      </c>
      <c r="E566" s="67" t="s">
        <v>2620</v>
      </c>
      <c r="F566" s="66">
        <v>2</v>
      </c>
      <c r="G566" s="66" t="s">
        <v>43</v>
      </c>
      <c r="H566" s="68">
        <v>45173</v>
      </c>
      <c r="I566" s="68" t="s">
        <v>73</v>
      </c>
      <c r="J566" s="68" t="s">
        <v>1220</v>
      </c>
      <c r="K566" s="66" t="s">
        <v>1925</v>
      </c>
      <c r="L566" s="66" t="s">
        <v>791</v>
      </c>
      <c r="M566" s="66" t="s">
        <v>712</v>
      </c>
      <c r="N566" s="66" t="s">
        <v>2534</v>
      </c>
      <c r="O566" s="66" t="str">
        <f t="shared" ca="1" si="33"/>
        <v>SI</v>
      </c>
      <c r="P566" s="66" t="str">
        <f t="shared" si="31"/>
        <v>DIANOSOL</v>
      </c>
      <c r="Q566" s="66" t="s">
        <v>899</v>
      </c>
      <c r="R566" s="66" t="str">
        <f>VLOOKUP($Q566,Resultados!$A$1:$B$49,2,FALSE)</f>
        <v>Libertad</v>
      </c>
      <c r="S566" s="66" t="s">
        <v>2060</v>
      </c>
      <c r="T566" s="75" t="str">
        <f t="shared" si="32"/>
        <v>NO</v>
      </c>
      <c r="U566" s="75"/>
      <c r="V566" s="66"/>
      <c r="W566" s="66" t="s">
        <v>1746</v>
      </c>
      <c r="X566" s="6" t="s">
        <v>2571</v>
      </c>
      <c r="Y566" s="66"/>
      <c r="Z566" s="121" t="s">
        <v>1042</v>
      </c>
      <c r="AA566" s="121" t="s">
        <v>743</v>
      </c>
      <c r="AB566" s="121" t="s">
        <v>1174</v>
      </c>
      <c r="AC566" s="366"/>
    </row>
    <row r="567" spans="1:29" ht="39.950000000000003" customHeight="1" x14ac:dyDescent="0.2">
      <c r="A567" s="6">
        <v>565</v>
      </c>
      <c r="B567" s="18">
        <v>45168</v>
      </c>
      <c r="C567" s="14">
        <v>0.4597222222222222</v>
      </c>
      <c r="D567" s="6" t="s">
        <v>2517</v>
      </c>
      <c r="E567" s="40" t="s">
        <v>2657</v>
      </c>
      <c r="F567" s="6">
        <v>6</v>
      </c>
      <c r="G567" s="6" t="s">
        <v>1443</v>
      </c>
      <c r="H567" s="18">
        <v>45176</v>
      </c>
      <c r="I567" s="18" t="s">
        <v>1086</v>
      </c>
      <c r="J567" s="18" t="s">
        <v>1221</v>
      </c>
      <c r="K567" s="6">
        <f>IFERROR(VLOOKUP(J567,Jueces!$A$1:$B$11,2,FALSE),"")</f>
        <v>7</v>
      </c>
      <c r="L567" s="6" t="s">
        <v>800</v>
      </c>
      <c r="M567" s="6" t="s">
        <v>725</v>
      </c>
      <c r="N567" s="6" t="s">
        <v>2668</v>
      </c>
      <c r="O567" s="6" t="str">
        <f t="shared" ca="1" si="33"/>
        <v>SI</v>
      </c>
      <c r="P567" s="6" t="str">
        <f t="shared" si="31"/>
        <v>DIANOSOL</v>
      </c>
      <c r="Q567" s="6" t="s">
        <v>905</v>
      </c>
      <c r="R567" s="6" t="str">
        <f>VLOOKUP($Q567,Resultados!$A$1:$B$49,2,FALSE)</f>
        <v>Juicio Abreviado</v>
      </c>
      <c r="S567" s="14">
        <v>0.39444444444444443</v>
      </c>
      <c r="T567" s="71" t="str">
        <f t="shared" si="32"/>
        <v>NO</v>
      </c>
      <c r="U567" s="71"/>
      <c r="V567" s="6"/>
      <c r="W567" s="14">
        <v>0.4152777777777778</v>
      </c>
      <c r="X567" s="6" t="s">
        <v>1506</v>
      </c>
      <c r="Y567" s="6"/>
      <c r="Z567" s="279" t="s">
        <v>770</v>
      </c>
      <c r="AA567" s="279" t="s">
        <v>1169</v>
      </c>
      <c r="AB567" s="279" t="s">
        <v>1174</v>
      </c>
      <c r="AC567" s="366"/>
    </row>
    <row r="568" spans="1:29" ht="38.25" x14ac:dyDescent="0.2">
      <c r="A568" s="262">
        <v>566</v>
      </c>
      <c r="B568" s="265">
        <v>45167</v>
      </c>
      <c r="C568" s="262" t="s">
        <v>2518</v>
      </c>
      <c r="D568" s="262" t="s">
        <v>2519</v>
      </c>
      <c r="E568" s="263" t="s">
        <v>2622</v>
      </c>
      <c r="F568" s="262">
        <v>6</v>
      </c>
      <c r="G568" s="262" t="s">
        <v>283</v>
      </c>
      <c r="H568" s="265">
        <v>45173</v>
      </c>
      <c r="I568" s="265" t="s">
        <v>1086</v>
      </c>
      <c r="J568" s="265" t="s">
        <v>1222</v>
      </c>
      <c r="K568" s="262" t="s">
        <v>1925</v>
      </c>
      <c r="L568" s="6" t="s">
        <v>2088</v>
      </c>
      <c r="M568" s="6" t="s">
        <v>2387</v>
      </c>
      <c r="N568" s="262" t="s">
        <v>577</v>
      </c>
      <c r="O568" s="6" t="str">
        <f t="shared" ca="1" si="33"/>
        <v>SI</v>
      </c>
      <c r="P568" s="6" t="str">
        <f t="shared" si="31"/>
        <v>DIANOSOL</v>
      </c>
      <c r="Q568" s="262" t="s">
        <v>151</v>
      </c>
      <c r="R568" s="6" t="str">
        <f>VLOOKUP($Q568,Resultados!$A$1:$B$49,2,FALSE)</f>
        <v>Prisión Preventiva</v>
      </c>
      <c r="S568" s="262" t="s">
        <v>76</v>
      </c>
      <c r="T568" s="71" t="str">
        <f t="shared" si="32"/>
        <v>NO</v>
      </c>
      <c r="U568" s="264"/>
      <c r="V568" s="262"/>
      <c r="W568" s="262" t="s">
        <v>1243</v>
      </c>
      <c r="X568" s="262"/>
      <c r="Y568" s="262"/>
      <c r="Z568" s="332" t="s">
        <v>743</v>
      </c>
      <c r="AA568" s="121" t="s">
        <v>1171</v>
      </c>
      <c r="AB568" s="332" t="s">
        <v>1175</v>
      </c>
      <c r="AC568" s="366"/>
    </row>
    <row r="569" spans="1:29" ht="89.25" x14ac:dyDescent="0.2">
      <c r="A569" s="109">
        <v>567</v>
      </c>
      <c r="B569" s="261">
        <v>45167</v>
      </c>
      <c r="C569" s="109" t="s">
        <v>989</v>
      </c>
      <c r="D569" s="109" t="s">
        <v>2520</v>
      </c>
      <c r="E569" s="110" t="s">
        <v>2624</v>
      </c>
      <c r="F569" s="109">
        <v>5</v>
      </c>
      <c r="G569" s="109" t="s">
        <v>568</v>
      </c>
      <c r="H569" s="261">
        <v>45174</v>
      </c>
      <c r="I569" s="261" t="s">
        <v>73</v>
      </c>
      <c r="J569" s="261" t="s">
        <v>1222</v>
      </c>
      <c r="K569" s="109" t="s">
        <v>1520</v>
      </c>
      <c r="L569" s="66" t="s">
        <v>569</v>
      </c>
      <c r="M569" s="66" t="s">
        <v>2125</v>
      </c>
      <c r="N569" s="109" t="s">
        <v>2521</v>
      </c>
      <c r="O569" s="66" t="str">
        <f t="shared" ca="1" si="33"/>
        <v>SI</v>
      </c>
      <c r="P569" s="66" t="str">
        <f t="shared" si="31"/>
        <v>DIANOSOL</v>
      </c>
      <c r="Q569" s="109" t="s">
        <v>151</v>
      </c>
      <c r="R569" s="66" t="str">
        <f>VLOOKUP($Q569,Resultados!$A$1:$B$49,2,FALSE)</f>
        <v>Prisión Preventiva</v>
      </c>
      <c r="S569" s="109" t="s">
        <v>1008</v>
      </c>
      <c r="T569" s="75" t="str">
        <f t="shared" si="32"/>
        <v>NO</v>
      </c>
      <c r="U569" s="111"/>
      <c r="V569" s="109"/>
      <c r="W569" s="109" t="s">
        <v>1238</v>
      </c>
      <c r="X569" s="387"/>
      <c r="Y569" s="109"/>
      <c r="Z569" s="333" t="s">
        <v>748</v>
      </c>
      <c r="AA569" s="333" t="s">
        <v>1169</v>
      </c>
      <c r="AB569" s="333" t="s">
        <v>1173</v>
      </c>
      <c r="AC569" s="366"/>
    </row>
    <row r="570" spans="1:29" ht="39.950000000000003" customHeight="1" x14ac:dyDescent="0.2">
      <c r="A570" s="66">
        <v>568</v>
      </c>
      <c r="B570" s="68">
        <v>45168</v>
      </c>
      <c r="C570" s="73">
        <v>0.33333333333333331</v>
      </c>
      <c r="D570" s="66" t="s">
        <v>2523</v>
      </c>
      <c r="E570" s="67" t="s">
        <v>2524</v>
      </c>
      <c r="F570" s="66">
        <v>7</v>
      </c>
      <c r="G570" s="66" t="s">
        <v>1441</v>
      </c>
      <c r="H570" s="68">
        <v>45180</v>
      </c>
      <c r="I570" s="68" t="s">
        <v>73</v>
      </c>
      <c r="J570" s="68" t="s">
        <v>35</v>
      </c>
      <c r="K570" s="66">
        <f>IFERROR(VLOOKUP(J570,Jueces!$A$1:$B$11,2,FALSE),"")</f>
        <v>3</v>
      </c>
      <c r="L570" s="66" t="s">
        <v>582</v>
      </c>
      <c r="M570" s="66" t="s">
        <v>697</v>
      </c>
      <c r="N570" s="66" t="s">
        <v>913</v>
      </c>
      <c r="O570" s="66" t="str">
        <f t="shared" ca="1" si="33"/>
        <v>SI</v>
      </c>
      <c r="P570" s="66" t="str">
        <f t="shared" si="31"/>
        <v>DIANOSOL</v>
      </c>
      <c r="Q570" s="66" t="s">
        <v>913</v>
      </c>
      <c r="R570" s="66" t="str">
        <f>VLOOKUP($Q570,Resultados!$A$1:$B$49,2,FALSE)</f>
        <v>Prision domiciliaria</v>
      </c>
      <c r="S570" s="66" t="s">
        <v>1612</v>
      </c>
      <c r="T570" s="75" t="str">
        <f t="shared" si="32"/>
        <v>NO</v>
      </c>
      <c r="U570" s="75"/>
      <c r="V570" s="66"/>
      <c r="W570" s="66" t="s">
        <v>2710</v>
      </c>
      <c r="X570" s="66"/>
      <c r="Y570" s="66"/>
      <c r="Z570" s="121" t="s">
        <v>770</v>
      </c>
      <c r="AA570" s="121" t="s">
        <v>743</v>
      </c>
      <c r="AB570" s="121" t="s">
        <v>1176</v>
      </c>
      <c r="AC570" s="366"/>
    </row>
    <row r="571" spans="1:29" ht="39.950000000000003" customHeight="1" x14ac:dyDescent="0.2">
      <c r="A571" s="66">
        <v>569</v>
      </c>
      <c r="B571" s="68">
        <v>45168</v>
      </c>
      <c r="C571" s="73">
        <v>0.33333333333333331</v>
      </c>
      <c r="D571" s="66" t="s">
        <v>2525</v>
      </c>
      <c r="E571" s="67" t="s">
        <v>2551</v>
      </c>
      <c r="F571" s="66">
        <v>7</v>
      </c>
      <c r="G571" s="66" t="s">
        <v>568</v>
      </c>
      <c r="H571" s="68">
        <v>45188</v>
      </c>
      <c r="I571" s="68" t="s">
        <v>73</v>
      </c>
      <c r="J571" s="68" t="s">
        <v>1221</v>
      </c>
      <c r="K571" s="66">
        <v>7</v>
      </c>
      <c r="L571" s="66" t="s">
        <v>809</v>
      </c>
      <c r="M571" s="66" t="s">
        <v>723</v>
      </c>
      <c r="N571" s="66" t="s">
        <v>2811</v>
      </c>
      <c r="O571" s="66" t="str">
        <f t="shared" ca="1" si="33"/>
        <v>SI</v>
      </c>
      <c r="P571" s="66" t="str">
        <f t="shared" si="31"/>
        <v>DIANOSOL</v>
      </c>
      <c r="Q571" s="66" t="s">
        <v>904</v>
      </c>
      <c r="R571" s="66" t="str">
        <f>VLOOKUP($Q571,Resultados!$A$1:$B$49,2,FALSE)</f>
        <v>Juicio Abreviado</v>
      </c>
      <c r="S571" s="66" t="s">
        <v>2812</v>
      </c>
      <c r="T571" s="75" t="str">
        <f t="shared" si="32"/>
        <v>NO</v>
      </c>
      <c r="U571" s="75"/>
      <c r="V571" s="66"/>
      <c r="W571" s="66" t="s">
        <v>686</v>
      </c>
      <c r="X571" s="66"/>
      <c r="Y571" s="66"/>
      <c r="Z571" s="121" t="s">
        <v>1042</v>
      </c>
      <c r="AA571" s="121" t="s">
        <v>1169</v>
      </c>
      <c r="AB571" s="121" t="s">
        <v>1175</v>
      </c>
      <c r="AC571" s="366"/>
    </row>
    <row r="572" spans="1:29" ht="39.950000000000003" customHeight="1" x14ac:dyDescent="0.2">
      <c r="A572" s="66">
        <v>570</v>
      </c>
      <c r="B572" s="68">
        <v>45168</v>
      </c>
      <c r="C572" s="73">
        <v>0.33333333333333331</v>
      </c>
      <c r="D572" s="66" t="s">
        <v>2526</v>
      </c>
      <c r="E572" s="67" t="s">
        <v>2527</v>
      </c>
      <c r="F572" s="66">
        <v>7</v>
      </c>
      <c r="G572" s="66" t="s">
        <v>283</v>
      </c>
      <c r="H572" s="68">
        <v>45177</v>
      </c>
      <c r="I572" s="68" t="s">
        <v>1210</v>
      </c>
      <c r="J572" s="68" t="s">
        <v>1221</v>
      </c>
      <c r="K572" s="66">
        <f>IFERROR(VLOOKUP(J572,Jueces!$A$1:$B$11,2,FALSE),"")</f>
        <v>7</v>
      </c>
      <c r="L572" s="66" t="s">
        <v>809</v>
      </c>
      <c r="M572" s="66" t="s">
        <v>723</v>
      </c>
      <c r="N572" s="66" t="s">
        <v>2586</v>
      </c>
      <c r="O572" s="66" t="str">
        <f t="shared" ca="1" si="33"/>
        <v>SI</v>
      </c>
      <c r="P572" s="66" t="str">
        <f t="shared" si="31"/>
        <v>DIANOSOL</v>
      </c>
      <c r="Q572" s="66" t="s">
        <v>904</v>
      </c>
      <c r="R572" s="66" t="str">
        <f>VLOOKUP($Q572,Resultados!$A$1:$B$49,2,FALSE)</f>
        <v>Juicio Abreviado</v>
      </c>
      <c r="S572" s="66" t="s">
        <v>1337</v>
      </c>
      <c r="T572" s="75" t="str">
        <f t="shared" si="32"/>
        <v>NO</v>
      </c>
      <c r="U572" s="75"/>
      <c r="V572" s="66"/>
      <c r="W572" s="66" t="s">
        <v>2685</v>
      </c>
      <c r="X572" s="66" t="s">
        <v>2571</v>
      </c>
      <c r="Y572" s="66"/>
      <c r="Z572" s="121" t="s">
        <v>770</v>
      </c>
      <c r="AA572" s="121" t="s">
        <v>1169</v>
      </c>
      <c r="AB572" s="121" t="s">
        <v>1173</v>
      </c>
      <c r="AC572" s="366"/>
    </row>
    <row r="573" spans="1:29" ht="39.950000000000003" customHeight="1" x14ac:dyDescent="0.2">
      <c r="A573" s="66">
        <v>571</v>
      </c>
      <c r="B573" s="68">
        <v>45168</v>
      </c>
      <c r="C573" s="73">
        <v>0.33333333333333331</v>
      </c>
      <c r="D573" s="66" t="s">
        <v>2528</v>
      </c>
      <c r="E573" s="67" t="s">
        <v>2552</v>
      </c>
      <c r="F573" s="66">
        <v>7</v>
      </c>
      <c r="G573" s="66" t="s">
        <v>29</v>
      </c>
      <c r="H573" s="68">
        <v>45177</v>
      </c>
      <c r="I573" s="68" t="s">
        <v>73</v>
      </c>
      <c r="J573" s="68" t="s">
        <v>1221</v>
      </c>
      <c r="K573" s="66">
        <f>IFERROR(VLOOKUP(J573,Jueces!$A$1:$B$11,2,FALSE),"")</f>
        <v>7</v>
      </c>
      <c r="L573" s="66" t="s">
        <v>806</v>
      </c>
      <c r="M573" s="66" t="s">
        <v>723</v>
      </c>
      <c r="N573" s="66" t="s">
        <v>2682</v>
      </c>
      <c r="O573" s="66" t="str">
        <f t="shared" ca="1" si="33"/>
        <v>SI</v>
      </c>
      <c r="P573" s="66" t="str">
        <f t="shared" si="31"/>
        <v>DIANOSOL</v>
      </c>
      <c r="Q573" s="66" t="s">
        <v>904</v>
      </c>
      <c r="R573" s="66" t="str">
        <f>VLOOKUP($Q573,Resultados!$A$1:$B$49,2,FALSE)</f>
        <v>Juicio Abreviado</v>
      </c>
      <c r="S573" s="66" t="s">
        <v>1532</v>
      </c>
      <c r="T573" s="75" t="str">
        <f t="shared" si="32"/>
        <v>NO</v>
      </c>
      <c r="U573" s="75"/>
      <c r="V573" s="66"/>
      <c r="W573" s="66" t="s">
        <v>679</v>
      </c>
      <c r="X573" s="66" t="s">
        <v>2683</v>
      </c>
      <c r="Y573" s="66"/>
      <c r="Z573" s="121" t="s">
        <v>1042</v>
      </c>
      <c r="AA573" s="121" t="s">
        <v>743</v>
      </c>
      <c r="AB573" s="121" t="s">
        <v>1175</v>
      </c>
      <c r="AC573" s="366"/>
    </row>
    <row r="574" spans="1:29" ht="39.950000000000003" customHeight="1" x14ac:dyDescent="0.2">
      <c r="A574" s="66">
        <v>572</v>
      </c>
      <c r="B574" s="68">
        <v>45168</v>
      </c>
      <c r="C574" s="73">
        <v>0.37083333333333335</v>
      </c>
      <c r="D574" s="66" t="s">
        <v>2529</v>
      </c>
      <c r="E574" s="67" t="s">
        <v>2530</v>
      </c>
      <c r="F574" s="66">
        <v>7</v>
      </c>
      <c r="G574" s="66" t="s">
        <v>43</v>
      </c>
      <c r="H574" s="68">
        <v>45180</v>
      </c>
      <c r="I574" s="68" t="s">
        <v>1086</v>
      </c>
      <c r="J574" s="68" t="s">
        <v>33</v>
      </c>
      <c r="K574" s="66">
        <f>IFERROR(VLOOKUP(J574,Jueces!$A$1:$B$11,2,FALSE),"")</f>
        <v>4</v>
      </c>
      <c r="L574" s="66" t="s">
        <v>807</v>
      </c>
      <c r="M574" s="66" t="s">
        <v>767</v>
      </c>
      <c r="N574" s="66" t="s">
        <v>2706</v>
      </c>
      <c r="O574" s="66" t="str">
        <f t="shared" ca="1" si="33"/>
        <v>SI</v>
      </c>
      <c r="P574" s="66" t="str">
        <f t="shared" si="31"/>
        <v>DIANOSOL</v>
      </c>
      <c r="Q574" s="66" t="s">
        <v>904</v>
      </c>
      <c r="R574" s="66" t="str">
        <f>VLOOKUP($Q574,Resultados!$A$1:$B$49,2,FALSE)</f>
        <v>Juicio Abreviado</v>
      </c>
      <c r="S574" s="66" t="s">
        <v>1050</v>
      </c>
      <c r="T574" s="75" t="str">
        <f t="shared" si="32"/>
        <v>NO</v>
      </c>
      <c r="U574" s="75"/>
      <c r="V574" s="66"/>
      <c r="W574" s="66" t="s">
        <v>2617</v>
      </c>
      <c r="X574" s="66"/>
      <c r="Y574" s="66"/>
      <c r="Z574" s="121" t="s">
        <v>748</v>
      </c>
      <c r="AA574" s="121" t="s">
        <v>1169</v>
      </c>
      <c r="AB574" s="121" t="s">
        <v>1177</v>
      </c>
      <c r="AC574" s="366"/>
    </row>
    <row r="575" spans="1:29" ht="39.950000000000003" customHeight="1" x14ac:dyDescent="0.2">
      <c r="A575" s="66">
        <v>573</v>
      </c>
      <c r="B575" s="68">
        <v>45168</v>
      </c>
      <c r="C575" s="73">
        <v>0.36736111111111108</v>
      </c>
      <c r="D575" s="66" t="s">
        <v>2531</v>
      </c>
      <c r="E575" s="67" t="s">
        <v>2532</v>
      </c>
      <c r="F575" s="66">
        <v>6</v>
      </c>
      <c r="G575" s="66" t="s">
        <v>32</v>
      </c>
      <c r="H575" s="68">
        <v>45177</v>
      </c>
      <c r="I575" s="68" t="s">
        <v>73</v>
      </c>
      <c r="J575" s="68" t="s">
        <v>31</v>
      </c>
      <c r="K575" s="6">
        <v>3</v>
      </c>
      <c r="L575" s="66" t="s">
        <v>799</v>
      </c>
      <c r="M575" s="66" t="s">
        <v>725</v>
      </c>
      <c r="N575" s="66" t="s">
        <v>899</v>
      </c>
      <c r="O575" s="66" t="str">
        <f t="shared" ca="1" si="33"/>
        <v>SI</v>
      </c>
      <c r="P575" s="66" t="str">
        <f t="shared" si="31"/>
        <v>DIANOSOL</v>
      </c>
      <c r="Q575" s="66" t="s">
        <v>899</v>
      </c>
      <c r="R575" s="66" t="str">
        <f>VLOOKUP($Q575,Resultados!$A$1:$B$49,2,FALSE)</f>
        <v>Libertad</v>
      </c>
      <c r="S575" s="66" t="s">
        <v>1429</v>
      </c>
      <c r="T575" s="75" t="str">
        <f t="shared" si="32"/>
        <v>NO</v>
      </c>
      <c r="U575" s="75"/>
      <c r="V575" s="66"/>
      <c r="W575" s="66" t="s">
        <v>2684</v>
      </c>
      <c r="X575" s="66"/>
      <c r="Y575" s="66"/>
      <c r="Z575" s="121" t="s">
        <v>743</v>
      </c>
      <c r="AA575" s="121" t="s">
        <v>1169</v>
      </c>
      <c r="AB575" s="121" t="s">
        <v>1176</v>
      </c>
      <c r="AC575" s="366"/>
    </row>
    <row r="576" spans="1:29" ht="106.5" customHeight="1" x14ac:dyDescent="0.2">
      <c r="A576" s="66">
        <v>574</v>
      </c>
      <c r="B576" s="68">
        <v>45168</v>
      </c>
      <c r="C576" s="73">
        <v>0.36319444444444443</v>
      </c>
      <c r="D576" s="66" t="s">
        <v>2533</v>
      </c>
      <c r="E576" s="67" t="s">
        <v>2655</v>
      </c>
      <c r="F576" s="66">
        <v>6</v>
      </c>
      <c r="G576" s="66" t="s">
        <v>568</v>
      </c>
      <c r="H576" s="68">
        <v>45176</v>
      </c>
      <c r="I576" s="68" t="s">
        <v>73</v>
      </c>
      <c r="J576" s="68" t="s">
        <v>1222</v>
      </c>
      <c r="K576" s="66" t="s">
        <v>1326</v>
      </c>
      <c r="L576" s="66" t="s">
        <v>814</v>
      </c>
      <c r="M576" s="66" t="s">
        <v>725</v>
      </c>
      <c r="N576" s="66" t="s">
        <v>2672</v>
      </c>
      <c r="O576" s="66" t="str">
        <f t="shared" ca="1" si="33"/>
        <v>SI</v>
      </c>
      <c r="P576" s="66" t="str">
        <f t="shared" si="31"/>
        <v>DIANOSOL</v>
      </c>
      <c r="Q576" s="66" t="s">
        <v>904</v>
      </c>
      <c r="R576" s="66" t="str">
        <f>VLOOKUP($Q576,Resultados!$A$1:$B$49,2,FALSE)</f>
        <v>Juicio Abreviado</v>
      </c>
      <c r="S576" s="73">
        <v>0.3576388888888889</v>
      </c>
      <c r="T576" s="75" t="str">
        <f t="shared" si="32"/>
        <v>NO</v>
      </c>
      <c r="U576" s="75"/>
      <c r="V576" s="66"/>
      <c r="W576" s="73">
        <v>0.36527777777777781</v>
      </c>
      <c r="X576" s="230" t="s">
        <v>2673</v>
      </c>
      <c r="Y576" s="66"/>
      <c r="Z576" s="121" t="s">
        <v>1042</v>
      </c>
      <c r="AA576" s="121" t="s">
        <v>1169</v>
      </c>
      <c r="AB576" s="121" t="s">
        <v>1173</v>
      </c>
      <c r="AC576" s="366"/>
    </row>
    <row r="577" spans="1:29" ht="39.950000000000003" customHeight="1" x14ac:dyDescent="0.2">
      <c r="A577" s="66">
        <v>575</v>
      </c>
      <c r="B577" s="68">
        <v>45168</v>
      </c>
      <c r="C577" s="73">
        <v>0.4826388888888889</v>
      </c>
      <c r="D577" s="66" t="s">
        <v>2535</v>
      </c>
      <c r="E577" s="67" t="s">
        <v>2536</v>
      </c>
      <c r="F577" s="66">
        <v>1</v>
      </c>
      <c r="G577" s="66" t="s">
        <v>283</v>
      </c>
      <c r="H577" s="68">
        <v>45180</v>
      </c>
      <c r="I577" s="68" t="s">
        <v>73</v>
      </c>
      <c r="J577" s="68" t="s">
        <v>1220</v>
      </c>
      <c r="K577" s="66" t="s">
        <v>1491</v>
      </c>
      <c r="L577" s="66" t="s">
        <v>791</v>
      </c>
      <c r="M577" s="66" t="s">
        <v>725</v>
      </c>
      <c r="N577" s="66" t="s">
        <v>2708</v>
      </c>
      <c r="O577" s="66" t="str">
        <f t="shared" ca="1" si="33"/>
        <v>SI</v>
      </c>
      <c r="P577" s="66" t="str">
        <f t="shared" si="31"/>
        <v>DIANOSOL</v>
      </c>
      <c r="Q577" s="66" t="s">
        <v>905</v>
      </c>
      <c r="R577" s="66" t="str">
        <f>VLOOKUP($Q577,Resultados!$A$1:$B$49,2,FALSE)</f>
        <v>Juicio Abreviado</v>
      </c>
      <c r="S577" s="66" t="s">
        <v>2685</v>
      </c>
      <c r="T577" s="75" t="str">
        <f t="shared" si="32"/>
        <v>NO</v>
      </c>
      <c r="U577" s="75"/>
      <c r="V577" s="66"/>
      <c r="W577" s="66" t="s">
        <v>1276</v>
      </c>
      <c r="X577" s="66" t="s">
        <v>2709</v>
      </c>
      <c r="Y577" s="66"/>
      <c r="Z577" s="121" t="s">
        <v>2449</v>
      </c>
      <c r="AA577" s="121" t="s">
        <v>1171</v>
      </c>
      <c r="AB577" s="121" t="s">
        <v>1174</v>
      </c>
      <c r="AC577" s="366"/>
    </row>
    <row r="578" spans="1:29" ht="39.950000000000003" customHeight="1" x14ac:dyDescent="0.2">
      <c r="A578" s="66">
        <v>576</v>
      </c>
      <c r="B578" s="68">
        <v>45169</v>
      </c>
      <c r="C578" s="73">
        <v>0.33333333333333331</v>
      </c>
      <c r="D578" s="66" t="s">
        <v>2553</v>
      </c>
      <c r="E578" s="67" t="s">
        <v>2656</v>
      </c>
      <c r="F578" s="66">
        <v>7</v>
      </c>
      <c r="G578" s="66" t="s">
        <v>283</v>
      </c>
      <c r="H578" s="68">
        <v>45176</v>
      </c>
      <c r="I578" s="68" t="s">
        <v>73</v>
      </c>
      <c r="J578" s="68" t="s">
        <v>33</v>
      </c>
      <c r="K578" s="66">
        <f>IFERROR(VLOOKUP(J578,Jueces!$A$1:$B$11,2,FALSE),"")</f>
        <v>4</v>
      </c>
      <c r="L578" s="66" t="s">
        <v>806</v>
      </c>
      <c r="M578" s="66" t="s">
        <v>767</v>
      </c>
      <c r="N578" s="66" t="s">
        <v>2670</v>
      </c>
      <c r="O578" s="66" t="str">
        <f t="shared" ca="1" si="33"/>
        <v>SI</v>
      </c>
      <c r="P578" s="66" t="str">
        <f t="shared" si="31"/>
        <v>DIANOSOL</v>
      </c>
      <c r="Q578" s="66" t="s">
        <v>904</v>
      </c>
      <c r="R578" s="66" t="str">
        <f>VLOOKUP($Q578,Resultados!$A$1:$B$49,2,FALSE)</f>
        <v>Juicio Abreviado</v>
      </c>
      <c r="S578" s="73">
        <v>0.35833333333333334</v>
      </c>
      <c r="T578" s="75" t="str">
        <f t="shared" si="32"/>
        <v>NO</v>
      </c>
      <c r="U578" s="75"/>
      <c r="V578" s="66"/>
      <c r="W578" s="73">
        <v>0.36805555555555558</v>
      </c>
      <c r="X578" s="230" t="s">
        <v>2671</v>
      </c>
      <c r="Y578" s="66"/>
      <c r="Z578" s="121" t="s">
        <v>748</v>
      </c>
      <c r="AA578" s="121" t="s">
        <v>743</v>
      </c>
      <c r="AB578" s="121" t="s">
        <v>1175</v>
      </c>
      <c r="AC578" s="366"/>
    </row>
    <row r="579" spans="1:29" ht="39.950000000000003" customHeight="1" x14ac:dyDescent="0.2">
      <c r="A579" s="66">
        <v>577</v>
      </c>
      <c r="B579" s="68">
        <v>45169</v>
      </c>
      <c r="C579" s="73">
        <v>0.33333333333333331</v>
      </c>
      <c r="D579" s="66" t="s">
        <v>2554</v>
      </c>
      <c r="E579" s="67" t="s">
        <v>2658</v>
      </c>
      <c r="F579" s="66">
        <v>7</v>
      </c>
      <c r="G579" s="66" t="s">
        <v>32</v>
      </c>
      <c r="H579" s="68">
        <v>45176</v>
      </c>
      <c r="I579" s="68" t="s">
        <v>1086</v>
      </c>
      <c r="J579" s="68" t="s">
        <v>35</v>
      </c>
      <c r="K579" s="66" t="s">
        <v>1491</v>
      </c>
      <c r="L579" s="66" t="s">
        <v>809</v>
      </c>
      <c r="M579" s="66" t="s">
        <v>767</v>
      </c>
      <c r="N579" s="66" t="s">
        <v>2661</v>
      </c>
      <c r="O579" s="66" t="str">
        <f t="shared" ca="1" si="33"/>
        <v>SI</v>
      </c>
      <c r="P579" s="66" t="str">
        <f t="shared" ref="P579:P642" si="34">IF($P$1=H579,"DIASOL", "DIANOSOL")</f>
        <v>DIANOSOL</v>
      </c>
      <c r="Q579" s="66" t="s">
        <v>904</v>
      </c>
      <c r="R579" s="66" t="str">
        <f>VLOOKUP($Q579,Resultados!$A$1:$B$49,2,FALSE)</f>
        <v>Juicio Abreviado</v>
      </c>
      <c r="S579" s="73">
        <v>0.37916666666666665</v>
      </c>
      <c r="T579" s="75" t="str">
        <f t="shared" si="32"/>
        <v>NO</v>
      </c>
      <c r="U579" s="75"/>
      <c r="V579" s="66"/>
      <c r="W579" s="73">
        <v>0.38611111111111113</v>
      </c>
      <c r="X579" s="253" t="s">
        <v>2662</v>
      </c>
      <c r="Y579" s="66"/>
      <c r="Z579" s="121" t="s">
        <v>1041</v>
      </c>
      <c r="AA579" s="121" t="s">
        <v>1169</v>
      </c>
      <c r="AB579" s="121" t="s">
        <v>1176</v>
      </c>
      <c r="AC579" s="366"/>
    </row>
    <row r="580" spans="1:29" ht="39.950000000000003" customHeight="1" x14ac:dyDescent="0.2">
      <c r="A580" s="66">
        <v>578</v>
      </c>
      <c r="B580" s="68">
        <v>45169</v>
      </c>
      <c r="C580" s="73">
        <v>0.35902777777777778</v>
      </c>
      <c r="D580" s="66" t="s">
        <v>2558</v>
      </c>
      <c r="E580" s="67" t="s">
        <v>2829</v>
      </c>
      <c r="F580" s="66">
        <v>6</v>
      </c>
      <c r="G580" s="66" t="s">
        <v>1443</v>
      </c>
      <c r="H580" s="68">
        <v>45189</v>
      </c>
      <c r="I580" s="68" t="s">
        <v>73</v>
      </c>
      <c r="J580" s="68" t="s">
        <v>33</v>
      </c>
      <c r="K580" s="66" t="s">
        <v>1346</v>
      </c>
      <c r="L580" s="66" t="s">
        <v>796</v>
      </c>
      <c r="M580" s="66" t="s">
        <v>725</v>
      </c>
      <c r="N580" s="66" t="s">
        <v>2860</v>
      </c>
      <c r="O580" s="66" t="str">
        <f t="shared" ca="1" si="33"/>
        <v>SI</v>
      </c>
      <c r="P580" s="66" t="str">
        <f t="shared" si="34"/>
        <v>DIANOSOL</v>
      </c>
      <c r="Q580" s="66" t="s">
        <v>151</v>
      </c>
      <c r="R580" s="66" t="str">
        <f>VLOOKUP($Q580,Resultados!$A$1:$B$49,2,FALSE)</f>
        <v>Prisión Preventiva</v>
      </c>
      <c r="S580" s="73">
        <v>0.37291666666666662</v>
      </c>
      <c r="T580" s="75" t="str">
        <f t="shared" si="32"/>
        <v>NO</v>
      </c>
      <c r="U580" s="75"/>
      <c r="V580" s="66"/>
      <c r="W580" s="73">
        <v>0.39374999999999999</v>
      </c>
      <c r="X580" s="230" t="s">
        <v>2861</v>
      </c>
      <c r="Y580" s="66"/>
      <c r="Z580" s="121" t="s">
        <v>743</v>
      </c>
      <c r="AA580" s="121" t="s">
        <v>1169</v>
      </c>
      <c r="AB580" s="121" t="s">
        <v>1174</v>
      </c>
      <c r="AC580" s="366"/>
    </row>
    <row r="581" spans="1:29" ht="39.950000000000003" customHeight="1" x14ac:dyDescent="0.2">
      <c r="A581" s="66">
        <v>578</v>
      </c>
      <c r="B581" s="68">
        <v>45169</v>
      </c>
      <c r="C581" s="73">
        <v>0.35902777777777778</v>
      </c>
      <c r="D581" s="66" t="s">
        <v>2558</v>
      </c>
      <c r="E581" s="67" t="s">
        <v>2829</v>
      </c>
      <c r="F581" s="66">
        <v>6</v>
      </c>
      <c r="G581" s="66" t="s">
        <v>1443</v>
      </c>
      <c r="H581" s="68">
        <v>45204</v>
      </c>
      <c r="I581" s="68" t="s">
        <v>73</v>
      </c>
      <c r="J581" s="68" t="s">
        <v>33</v>
      </c>
      <c r="K581" s="66">
        <f>IFERROR(VLOOKUP(J581,Jueces!$A$1:$B$11,2,FALSE),"")</f>
        <v>4</v>
      </c>
      <c r="L581" s="66" t="s">
        <v>796</v>
      </c>
      <c r="M581" s="66" t="s">
        <v>725</v>
      </c>
      <c r="N581" s="66" t="s">
        <v>3227</v>
      </c>
      <c r="O581" s="66" t="str">
        <f t="shared" ca="1" si="33"/>
        <v>SI</v>
      </c>
      <c r="P581" s="66" t="str">
        <f t="shared" si="34"/>
        <v>DIANOSOL</v>
      </c>
      <c r="Q581" s="66" t="s">
        <v>904</v>
      </c>
      <c r="R581" s="66" t="str">
        <f>VLOOKUP($Q581,Resultados!$A$1:$B$49,2,FALSE)</f>
        <v>Juicio Abreviado</v>
      </c>
      <c r="S581" s="73" t="s">
        <v>1086</v>
      </c>
      <c r="T581" s="75" t="str">
        <f t="shared" si="32"/>
        <v>NO</v>
      </c>
      <c r="U581" s="75"/>
      <c r="V581" s="66"/>
      <c r="W581" s="73" t="s">
        <v>1303</v>
      </c>
      <c r="X581" s="230" t="s">
        <v>2571</v>
      </c>
      <c r="Y581" s="66"/>
      <c r="Z581" s="121" t="s">
        <v>2867</v>
      </c>
      <c r="AA581" s="121" t="s">
        <v>2852</v>
      </c>
      <c r="AB581" s="121" t="s">
        <v>1175</v>
      </c>
      <c r="AC581" s="366"/>
    </row>
    <row r="582" spans="1:29" ht="39.950000000000003" customHeight="1" x14ac:dyDescent="0.2">
      <c r="A582" s="66">
        <v>579</v>
      </c>
      <c r="B582" s="68">
        <v>45169</v>
      </c>
      <c r="C582" s="73">
        <v>0.53263888888888888</v>
      </c>
      <c r="D582" s="66" t="s">
        <v>2564</v>
      </c>
      <c r="E582" s="67" t="s">
        <v>2565</v>
      </c>
      <c r="F582" s="66">
        <v>7</v>
      </c>
      <c r="G582" s="66" t="s">
        <v>1442</v>
      </c>
      <c r="H582" s="68">
        <v>45187</v>
      </c>
      <c r="I582" s="68" t="s">
        <v>73</v>
      </c>
      <c r="J582" s="68" t="s">
        <v>31</v>
      </c>
      <c r="K582" s="66">
        <f>IFERROR(VLOOKUP(J582,Jueces!$A$1:$B$11,2,FALSE),"")</f>
        <v>2</v>
      </c>
      <c r="L582" s="66" t="s">
        <v>814</v>
      </c>
      <c r="M582" s="66" t="s">
        <v>2219</v>
      </c>
      <c r="N582" s="66" t="s">
        <v>2793</v>
      </c>
      <c r="O582" s="66" t="str">
        <f t="shared" ca="1" si="33"/>
        <v>SI</v>
      </c>
      <c r="P582" s="66" t="str">
        <f t="shared" si="34"/>
        <v>DIANOSOL</v>
      </c>
      <c r="Q582" s="66" t="s">
        <v>905</v>
      </c>
      <c r="R582" s="66" t="str">
        <f>VLOOKUP($Q582,Resultados!$A$1:$B$49,2,FALSE)</f>
        <v>Juicio Abreviado</v>
      </c>
      <c r="S582" s="73">
        <v>0.48055555555555557</v>
      </c>
      <c r="T582" s="75" t="str">
        <f t="shared" si="32"/>
        <v>SI</v>
      </c>
      <c r="U582" s="75"/>
      <c r="V582" s="66"/>
      <c r="W582" s="73">
        <v>0.48819444444444443</v>
      </c>
      <c r="X582" s="66"/>
      <c r="Y582" s="66"/>
      <c r="Z582" s="121" t="s">
        <v>743</v>
      </c>
      <c r="AA582" s="121" t="s">
        <v>1169</v>
      </c>
      <c r="AB582" s="121" t="s">
        <v>1175</v>
      </c>
      <c r="AC582" s="366"/>
    </row>
    <row r="583" spans="1:29" ht="39.950000000000003" customHeight="1" x14ac:dyDescent="0.2">
      <c r="A583" s="66">
        <v>580</v>
      </c>
      <c r="B583" s="68">
        <v>45169</v>
      </c>
      <c r="C583" s="73">
        <v>0.52500000000000002</v>
      </c>
      <c r="D583" s="66" t="s">
        <v>2566</v>
      </c>
      <c r="E583" s="67" t="s">
        <v>2659</v>
      </c>
      <c r="F583" s="66">
        <v>7</v>
      </c>
      <c r="G583" s="68" t="s">
        <v>29</v>
      </c>
      <c r="H583" s="68">
        <v>45176</v>
      </c>
      <c r="I583" s="68" t="s">
        <v>547</v>
      </c>
      <c r="J583" s="66" t="s">
        <v>33</v>
      </c>
      <c r="K583" s="66" t="s">
        <v>2588</v>
      </c>
      <c r="L583" s="66" t="s">
        <v>811</v>
      </c>
      <c r="M583" s="66" t="s">
        <v>725</v>
      </c>
      <c r="N583" s="66" t="s">
        <v>2677</v>
      </c>
      <c r="O583" s="66" t="str">
        <f t="shared" ca="1" si="33"/>
        <v>SI</v>
      </c>
      <c r="P583" s="66" t="str">
        <f t="shared" si="34"/>
        <v>DIANOSOL</v>
      </c>
      <c r="Q583" s="66" t="s">
        <v>904</v>
      </c>
      <c r="R583" s="66" t="str">
        <f>VLOOKUP($Q583,Resultados!$A$1:$B$49,2,FALSE)</f>
        <v>Juicio Abreviado</v>
      </c>
      <c r="S583" s="73">
        <v>0.47361111111111115</v>
      </c>
      <c r="T583" s="75" t="str">
        <f t="shared" si="32"/>
        <v>NO</v>
      </c>
      <c r="U583" s="66"/>
      <c r="V583" s="66"/>
      <c r="W583" s="73">
        <v>0.48194444444444445</v>
      </c>
      <c r="X583" s="66"/>
      <c r="Y583" s="66"/>
      <c r="Z583" s="121" t="s">
        <v>1042</v>
      </c>
      <c r="AA583" s="121" t="s">
        <v>743</v>
      </c>
      <c r="AB583" s="121" t="s">
        <v>1174</v>
      </c>
      <c r="AC583" s="366"/>
    </row>
    <row r="584" spans="1:29" ht="39.950000000000003" customHeight="1" x14ac:dyDescent="0.2">
      <c r="A584" s="66">
        <v>581</v>
      </c>
      <c r="B584" s="68">
        <v>45170</v>
      </c>
      <c r="C584" s="66" t="s">
        <v>1084</v>
      </c>
      <c r="D584" s="66" t="s">
        <v>2572</v>
      </c>
      <c r="E584" s="67" t="s">
        <v>2573</v>
      </c>
      <c r="F584" s="66">
        <v>7</v>
      </c>
      <c r="G584" s="66" t="s">
        <v>1443</v>
      </c>
      <c r="H584" s="68">
        <v>45188</v>
      </c>
      <c r="I584" s="68" t="s">
        <v>228</v>
      </c>
      <c r="J584" s="68" t="s">
        <v>1221</v>
      </c>
      <c r="K584" s="66">
        <f>IFERROR(VLOOKUP(J584,Jueces!$A$1:$B$11,2,FALSE),"")</f>
        <v>7</v>
      </c>
      <c r="L584" s="66" t="s">
        <v>812</v>
      </c>
      <c r="M584" s="66" t="s">
        <v>767</v>
      </c>
      <c r="N584" s="66" t="s">
        <v>2820</v>
      </c>
      <c r="O584" s="66" t="str">
        <f t="shared" ca="1" si="33"/>
        <v>SI</v>
      </c>
      <c r="P584" s="66" t="str">
        <f t="shared" si="34"/>
        <v>DIANOSOL</v>
      </c>
      <c r="Q584" s="66" t="s">
        <v>904</v>
      </c>
      <c r="R584" s="66" t="str">
        <f>VLOOKUP($Q584,Resultados!$A$1:$B$49,2,FALSE)</f>
        <v>Juicio Abreviado</v>
      </c>
      <c r="S584" s="73">
        <v>0.52013888888888882</v>
      </c>
      <c r="T584" s="75" t="str">
        <f t="shared" si="32"/>
        <v>NO</v>
      </c>
      <c r="U584" s="75"/>
      <c r="V584" s="66"/>
      <c r="W584" s="73">
        <v>0.53194444444444444</v>
      </c>
      <c r="X584" s="230" t="s">
        <v>2821</v>
      </c>
      <c r="Y584" s="66"/>
      <c r="Z584" s="121" t="s">
        <v>748</v>
      </c>
      <c r="AA584" s="121" t="s">
        <v>1169</v>
      </c>
      <c r="AB584" s="121" t="s">
        <v>1177</v>
      </c>
      <c r="AC584" s="366"/>
    </row>
    <row r="585" spans="1:29" ht="39.950000000000003" customHeight="1" x14ac:dyDescent="0.2">
      <c r="A585" s="66">
        <v>582</v>
      </c>
      <c r="B585" s="68">
        <v>45170</v>
      </c>
      <c r="C585" s="66" t="s">
        <v>73</v>
      </c>
      <c r="D585" s="66" t="s">
        <v>2574</v>
      </c>
      <c r="E585" s="67" t="s">
        <v>2575</v>
      </c>
      <c r="F585" s="66">
        <v>7</v>
      </c>
      <c r="G585" s="66" t="s">
        <v>568</v>
      </c>
      <c r="H585" s="68">
        <v>45190</v>
      </c>
      <c r="I585" s="68" t="s">
        <v>73</v>
      </c>
      <c r="J585" s="68" t="s">
        <v>1223</v>
      </c>
      <c r="K585" s="66" t="s">
        <v>1346</v>
      </c>
      <c r="L585" s="66" t="s">
        <v>802</v>
      </c>
      <c r="M585" s="66" t="s">
        <v>725</v>
      </c>
      <c r="N585" s="66" t="s">
        <v>2893</v>
      </c>
      <c r="O585" s="81" t="str">
        <f t="shared" ca="1" si="33"/>
        <v>SI</v>
      </c>
      <c r="P585" s="81" t="str">
        <f t="shared" si="34"/>
        <v>DIANOSOL</v>
      </c>
      <c r="Q585" s="66" t="s">
        <v>904</v>
      </c>
      <c r="R585" s="66" t="str">
        <f>VLOOKUP($Q585,Resultados!$A$1:$B$49,2,FALSE)</f>
        <v>Juicio Abreviado</v>
      </c>
      <c r="S585" s="73">
        <v>0.38125000000000003</v>
      </c>
      <c r="T585" s="84" t="str">
        <f t="shared" si="32"/>
        <v>NO</v>
      </c>
      <c r="U585" s="84"/>
      <c r="V585" s="81"/>
      <c r="W585" s="73">
        <v>0.40138888888888885</v>
      </c>
      <c r="X585" s="66"/>
      <c r="Y585" s="66"/>
      <c r="Z585" s="121" t="s">
        <v>2867</v>
      </c>
      <c r="AA585" s="121" t="s">
        <v>1169</v>
      </c>
      <c r="AB585" s="121" t="s">
        <v>1174</v>
      </c>
      <c r="AC585" s="366"/>
    </row>
    <row r="586" spans="1:29" ht="39.950000000000003" customHeight="1" x14ac:dyDescent="0.2">
      <c r="A586" s="240">
        <v>583</v>
      </c>
      <c r="B586" s="324">
        <v>45170</v>
      </c>
      <c r="C586" s="325">
        <v>0.33333333333333331</v>
      </c>
      <c r="D586" s="240" t="s">
        <v>2529</v>
      </c>
      <c r="E586" s="243" t="s">
        <v>2578</v>
      </c>
      <c r="F586" s="240">
        <v>7</v>
      </c>
      <c r="G586" s="240"/>
      <c r="H586" s="324"/>
      <c r="I586" s="324"/>
      <c r="J586" s="324"/>
      <c r="K586" s="240" t="str">
        <f>IFERROR(VLOOKUP(J586,Jueces!$A$1:$B$11,2,FALSE),"")</f>
        <v/>
      </c>
      <c r="L586" s="240" t="s">
        <v>807</v>
      </c>
      <c r="M586" s="240" t="s">
        <v>767</v>
      </c>
      <c r="N586" s="240"/>
      <c r="O586" s="240" t="str">
        <f t="shared" ca="1" si="33"/>
        <v>LIMBO</v>
      </c>
      <c r="P586" s="240" t="str">
        <f t="shared" si="34"/>
        <v>DIANOSOL</v>
      </c>
      <c r="Q586" s="240" t="s">
        <v>951</v>
      </c>
      <c r="R586" s="240" t="str">
        <f>VLOOKUP($Q586,Resultados!$A$1:$B$49,2,FALSE)</f>
        <v xml:space="preserve"> _</v>
      </c>
      <c r="S586" s="240"/>
      <c r="T586" s="241" t="str">
        <f t="shared" si="32"/>
        <v>NO</v>
      </c>
      <c r="U586" s="241"/>
      <c r="V586" s="240"/>
      <c r="W586" s="240"/>
      <c r="X586" s="377"/>
      <c r="Y586" s="240"/>
      <c r="Z586" s="240"/>
      <c r="AA586" s="240"/>
      <c r="AB586" s="240"/>
      <c r="AC586" s="366"/>
    </row>
    <row r="587" spans="1:29" ht="39.950000000000003" customHeight="1" x14ac:dyDescent="0.2">
      <c r="A587" s="66">
        <v>584</v>
      </c>
      <c r="B587" s="68">
        <v>45170</v>
      </c>
      <c r="C587" s="73">
        <v>0.41041666666666665</v>
      </c>
      <c r="D587" s="66" t="s">
        <v>2576</v>
      </c>
      <c r="E587" s="67" t="s">
        <v>2577</v>
      </c>
      <c r="F587" s="66">
        <v>7</v>
      </c>
      <c r="G587" s="66" t="s">
        <v>1441</v>
      </c>
      <c r="H587" s="68">
        <v>45188</v>
      </c>
      <c r="I587" s="68" t="s">
        <v>1086</v>
      </c>
      <c r="J587" s="68" t="s">
        <v>1225</v>
      </c>
      <c r="K587" s="66">
        <f>IFERROR(VLOOKUP(J587,Jueces!$A$1:$B$11,2,FALSE),"")</f>
        <v>6</v>
      </c>
      <c r="L587" s="66" t="s">
        <v>813</v>
      </c>
      <c r="M587" s="66" t="s">
        <v>767</v>
      </c>
      <c r="N587" s="66" t="s">
        <v>577</v>
      </c>
      <c r="O587" s="66" t="str">
        <f t="shared" ca="1" si="33"/>
        <v>SI</v>
      </c>
      <c r="P587" s="66" t="str">
        <f t="shared" si="34"/>
        <v>DIANOSOL</v>
      </c>
      <c r="Q587" s="66" t="s">
        <v>151</v>
      </c>
      <c r="R587" s="66" t="str">
        <f>VLOOKUP($Q587,Resultados!$A$1:$B$49,2,FALSE)</f>
        <v>Prisión Preventiva</v>
      </c>
      <c r="S587" s="66" t="s">
        <v>1231</v>
      </c>
      <c r="T587" s="75" t="str">
        <f t="shared" si="32"/>
        <v>NO</v>
      </c>
      <c r="U587" s="75"/>
      <c r="V587" s="66"/>
      <c r="W587" s="66" t="s">
        <v>1009</v>
      </c>
      <c r="X587" s="66" t="s">
        <v>2382</v>
      </c>
      <c r="Y587" s="66"/>
      <c r="Z587" s="121" t="s">
        <v>770</v>
      </c>
      <c r="AA587" s="121" t="s">
        <v>1169</v>
      </c>
      <c r="AB587" s="121" t="s">
        <v>1174</v>
      </c>
      <c r="AC587" s="366"/>
    </row>
    <row r="588" spans="1:29" ht="39.950000000000003" customHeight="1" x14ac:dyDescent="0.2">
      <c r="A588" s="66">
        <v>585</v>
      </c>
      <c r="B588" s="68">
        <v>45170</v>
      </c>
      <c r="C588" s="73">
        <v>0.46180555555555558</v>
      </c>
      <c r="D588" s="66" t="s">
        <v>2582</v>
      </c>
      <c r="E588" s="67" t="s">
        <v>2583</v>
      </c>
      <c r="F588" s="66">
        <v>6</v>
      </c>
      <c r="G588" s="66" t="s">
        <v>1442</v>
      </c>
      <c r="H588" s="68">
        <v>45180</v>
      </c>
      <c r="I588" s="68" t="s">
        <v>73</v>
      </c>
      <c r="J588" s="68" t="s">
        <v>1221</v>
      </c>
      <c r="K588" s="66">
        <f>IFERROR(VLOOKUP(J588,Jueces!$A$1:$B$11,2,FALSE),"")</f>
        <v>7</v>
      </c>
      <c r="L588" s="66" t="s">
        <v>1306</v>
      </c>
      <c r="M588" s="66" t="s">
        <v>2125</v>
      </c>
      <c r="N588" s="66" t="s">
        <v>577</v>
      </c>
      <c r="O588" s="66" t="str">
        <f t="shared" ca="1" si="33"/>
        <v>SI</v>
      </c>
      <c r="P588" s="66" t="str">
        <f t="shared" si="34"/>
        <v>DIANOSOL</v>
      </c>
      <c r="Q588" s="66" t="s">
        <v>151</v>
      </c>
      <c r="R588" s="66" t="str">
        <f>VLOOKUP($Q588,Resultados!$A$1:$B$49,2,FALSE)</f>
        <v>Prisión Preventiva</v>
      </c>
      <c r="S588" s="66" t="s">
        <v>2707</v>
      </c>
      <c r="T588" s="75" t="str">
        <f t="shared" si="32"/>
        <v>SI</v>
      </c>
      <c r="U588" s="75"/>
      <c r="V588" s="66"/>
      <c r="W588" s="66" t="s">
        <v>1396</v>
      </c>
      <c r="X588" s="66" t="s">
        <v>2382</v>
      </c>
      <c r="Y588" s="66"/>
      <c r="Z588" s="121" t="s">
        <v>1041</v>
      </c>
      <c r="AA588" s="121" t="s">
        <v>1171</v>
      </c>
      <c r="AB588" s="121" t="s">
        <v>1173</v>
      </c>
      <c r="AC588" s="366"/>
    </row>
    <row r="589" spans="1:29" ht="51" x14ac:dyDescent="0.2">
      <c r="A589" s="66">
        <v>586</v>
      </c>
      <c r="B589" s="68">
        <v>45170</v>
      </c>
      <c r="C589" s="73">
        <v>0.49583333333333335</v>
      </c>
      <c r="D589" s="66" t="s">
        <v>2584</v>
      </c>
      <c r="E589" s="67" t="s">
        <v>2585</v>
      </c>
      <c r="F589" s="66">
        <v>6</v>
      </c>
      <c r="G589" s="66" t="s">
        <v>568</v>
      </c>
      <c r="H589" s="68">
        <v>45180</v>
      </c>
      <c r="I589" s="68" t="s">
        <v>73</v>
      </c>
      <c r="J589" s="68" t="s">
        <v>1222</v>
      </c>
      <c r="K589" s="66" t="s">
        <v>1925</v>
      </c>
      <c r="L589" s="66" t="s">
        <v>2090</v>
      </c>
      <c r="M589" s="66" t="s">
        <v>2598</v>
      </c>
      <c r="N589" s="66" t="s">
        <v>2704</v>
      </c>
      <c r="O589" s="66" t="str">
        <f t="shared" ca="1" si="33"/>
        <v>SI</v>
      </c>
      <c r="P589" s="66" t="str">
        <f t="shared" si="34"/>
        <v>DIANOSOL</v>
      </c>
      <c r="Q589" s="66" t="s">
        <v>905</v>
      </c>
      <c r="R589" s="66" t="str">
        <f>VLOOKUP($Q589,Resultados!$A$1:$B$49,2,FALSE)</f>
        <v>Juicio Abreviado</v>
      </c>
      <c r="S589" s="73">
        <v>0.3444444444444445</v>
      </c>
      <c r="T589" s="75" t="str">
        <f t="shared" si="32"/>
        <v>NO</v>
      </c>
      <c r="U589" s="75"/>
      <c r="V589" s="66"/>
      <c r="W589" s="66" t="s">
        <v>1532</v>
      </c>
      <c r="X589" s="387"/>
      <c r="Y589" s="66"/>
      <c r="Z589" s="121" t="s">
        <v>1042</v>
      </c>
      <c r="AA589" s="121" t="s">
        <v>1169</v>
      </c>
      <c r="AB589" s="121" t="s">
        <v>1175</v>
      </c>
      <c r="AC589" s="366"/>
    </row>
    <row r="590" spans="1:29" ht="39.950000000000003" customHeight="1" x14ac:dyDescent="0.2">
      <c r="A590" s="66">
        <v>587</v>
      </c>
      <c r="B590" s="68">
        <v>45173</v>
      </c>
      <c r="C590" s="66" t="s">
        <v>1445</v>
      </c>
      <c r="D590" s="66" t="s">
        <v>2594</v>
      </c>
      <c r="E590" s="67" t="s">
        <v>2727</v>
      </c>
      <c r="F590" s="66">
        <v>8</v>
      </c>
      <c r="G590" s="66" t="s">
        <v>283</v>
      </c>
      <c r="H590" s="68">
        <v>45181</v>
      </c>
      <c r="I590" s="68" t="s">
        <v>73</v>
      </c>
      <c r="J590" s="68" t="s">
        <v>1222</v>
      </c>
      <c r="K590" s="66" t="s">
        <v>1326</v>
      </c>
      <c r="L590" s="66" t="s">
        <v>809</v>
      </c>
      <c r="M590" s="66" t="s">
        <v>767</v>
      </c>
      <c r="N590" s="66" t="s">
        <v>2743</v>
      </c>
      <c r="O590" s="66" t="str">
        <f t="shared" ca="1" si="33"/>
        <v>SI</v>
      </c>
      <c r="P590" s="66" t="str">
        <f t="shared" si="34"/>
        <v>DIANOSOL</v>
      </c>
      <c r="Q590" s="66" t="s">
        <v>151</v>
      </c>
      <c r="R590" s="66" t="str">
        <f>VLOOKUP($Q590,Resultados!$A$1:$B$49,2,FALSE)</f>
        <v>Prisión Preventiva</v>
      </c>
      <c r="S590" s="73">
        <v>0.3527777777777778</v>
      </c>
      <c r="T590" s="75" t="str">
        <f t="shared" si="32"/>
        <v>NO</v>
      </c>
      <c r="U590" s="75"/>
      <c r="V590" s="66"/>
      <c r="W590" s="73">
        <v>0.36319444444444443</v>
      </c>
      <c r="X590" s="6"/>
      <c r="Y590" s="66"/>
      <c r="Z590" s="121" t="s">
        <v>748</v>
      </c>
      <c r="AA590" s="121" t="s">
        <v>743</v>
      </c>
      <c r="AB590" s="121" t="s">
        <v>1173</v>
      </c>
      <c r="AC590" s="366"/>
    </row>
    <row r="591" spans="1:29" ht="39.950000000000003" customHeight="1" x14ac:dyDescent="0.2">
      <c r="A591" s="66">
        <v>588</v>
      </c>
      <c r="B591" s="68">
        <v>45173</v>
      </c>
      <c r="C591" s="66" t="s">
        <v>2595</v>
      </c>
      <c r="D591" s="66" t="s">
        <v>2596</v>
      </c>
      <c r="E591" s="67" t="s">
        <v>2597</v>
      </c>
      <c r="F591" s="66">
        <v>7</v>
      </c>
      <c r="G591" s="66" t="s">
        <v>29</v>
      </c>
      <c r="H591" s="68">
        <v>45187</v>
      </c>
      <c r="I591" s="68" t="s">
        <v>73</v>
      </c>
      <c r="J591" s="68" t="s">
        <v>33</v>
      </c>
      <c r="K591" s="66">
        <f>IFERROR(VLOOKUP(J591,Jueces!$A$1:$B$11,2,FALSE),"")</f>
        <v>4</v>
      </c>
      <c r="L591" s="66" t="s">
        <v>806</v>
      </c>
      <c r="M591" s="66" t="s">
        <v>723</v>
      </c>
      <c r="N591" s="66" t="s">
        <v>2795</v>
      </c>
      <c r="O591" s="66" t="str">
        <f t="shared" ca="1" si="33"/>
        <v>SI</v>
      </c>
      <c r="P591" s="66" t="str">
        <f t="shared" si="34"/>
        <v>DIANOSOL</v>
      </c>
      <c r="Q591" s="66" t="s">
        <v>909</v>
      </c>
      <c r="R591" s="66" t="str">
        <f>VLOOKUP($Q591,Resultados!$A$1:$B$49,2,FALSE)</f>
        <v>Suspensión de juicio a prueba</v>
      </c>
      <c r="S591" s="73">
        <v>0.35833333333333334</v>
      </c>
      <c r="T591" s="75" t="str">
        <f t="shared" si="32"/>
        <v>NO</v>
      </c>
      <c r="U591" s="75"/>
      <c r="V591" s="66"/>
      <c r="W591" s="73">
        <v>0.3666666666666667</v>
      </c>
      <c r="X591" s="66"/>
      <c r="Y591" s="66"/>
      <c r="Z591" s="121" t="s">
        <v>748</v>
      </c>
      <c r="AA591" s="121" t="s">
        <v>743</v>
      </c>
      <c r="AB591" s="121" t="s">
        <v>1177</v>
      </c>
      <c r="AC591" s="366"/>
    </row>
    <row r="592" spans="1:29" ht="39.950000000000003" customHeight="1" x14ac:dyDescent="0.2">
      <c r="A592" s="66">
        <v>589</v>
      </c>
      <c r="B592" s="68">
        <v>45173</v>
      </c>
      <c r="C592" s="73">
        <v>0.53125</v>
      </c>
      <c r="D592" s="66" t="s">
        <v>2599</v>
      </c>
      <c r="E592" s="67" t="s">
        <v>2600</v>
      </c>
      <c r="F592" s="66">
        <v>7</v>
      </c>
      <c r="G592" s="66" t="s">
        <v>568</v>
      </c>
      <c r="H592" s="68">
        <v>45181</v>
      </c>
      <c r="I592" s="68" t="s">
        <v>1086</v>
      </c>
      <c r="J592" s="68" t="s">
        <v>33</v>
      </c>
      <c r="K592" s="66">
        <f>IFERROR(VLOOKUP(J592,Jueces!$A$1:$B$11,2,FALSE),"")</f>
        <v>4</v>
      </c>
      <c r="L592" s="66" t="s">
        <v>801</v>
      </c>
      <c r="M592" s="66" t="s">
        <v>2568</v>
      </c>
      <c r="N592" s="66" t="s">
        <v>3035</v>
      </c>
      <c r="O592" s="66" t="str">
        <f t="shared" ca="1" si="33"/>
        <v>SI</v>
      </c>
      <c r="P592" s="66" t="str">
        <f t="shared" si="34"/>
        <v>DIANOSOL</v>
      </c>
      <c r="Q592" s="66" t="s">
        <v>151</v>
      </c>
      <c r="R592" s="66" t="str">
        <f>VLOOKUP($Q592,Resultados!$A$1:$B$49,2,FALSE)</f>
        <v>Prisión Preventiva</v>
      </c>
      <c r="S592" s="73">
        <v>0.375</v>
      </c>
      <c r="T592" s="75" t="str">
        <f t="shared" si="32"/>
        <v>NO</v>
      </c>
      <c r="U592" s="75"/>
      <c r="V592" s="66"/>
      <c r="W592" s="73">
        <v>0.39930555555555558</v>
      </c>
      <c r="X592" s="66"/>
      <c r="Y592" s="66"/>
      <c r="Z592" s="121" t="s">
        <v>1042</v>
      </c>
      <c r="AA592" s="75" t="s">
        <v>1169</v>
      </c>
      <c r="AB592" s="121" t="s">
        <v>1177</v>
      </c>
      <c r="AC592" s="366"/>
    </row>
    <row r="593" spans="1:29" ht="39.950000000000003" customHeight="1" x14ac:dyDescent="0.2">
      <c r="A593" s="66">
        <v>590</v>
      </c>
      <c r="B593" s="68">
        <v>45173</v>
      </c>
      <c r="C593" s="73">
        <v>0.48125000000000001</v>
      </c>
      <c r="D593" s="66" t="s">
        <v>2601</v>
      </c>
      <c r="E593" s="67" t="s">
        <v>2602</v>
      </c>
      <c r="F593" s="66">
        <v>7</v>
      </c>
      <c r="G593" s="66" t="s">
        <v>43</v>
      </c>
      <c r="H593" s="68">
        <v>45181</v>
      </c>
      <c r="I593" s="68" t="s">
        <v>73</v>
      </c>
      <c r="J593" s="68" t="s">
        <v>31</v>
      </c>
      <c r="K593" s="66">
        <f>IFERROR(VLOOKUP(J593,Jueces!$A$1:$B$11,2,FALSE),"")</f>
        <v>2</v>
      </c>
      <c r="L593" s="66" t="s">
        <v>796</v>
      </c>
      <c r="M593" s="66" t="s">
        <v>725</v>
      </c>
      <c r="N593" s="66" t="s">
        <v>2738</v>
      </c>
      <c r="O593" s="66" t="str">
        <f t="shared" ca="1" si="33"/>
        <v>SI</v>
      </c>
      <c r="P593" s="66" t="str">
        <f t="shared" si="34"/>
        <v>DIANOSOL</v>
      </c>
      <c r="Q593" s="66" t="s">
        <v>151</v>
      </c>
      <c r="R593" s="66" t="str">
        <f>VLOOKUP($Q593,Resultados!$A$1:$B$49,2,FALSE)</f>
        <v>Prisión Preventiva</v>
      </c>
      <c r="S593" s="73">
        <v>0.3520833333333333</v>
      </c>
      <c r="T593" s="75" t="str">
        <f t="shared" si="32"/>
        <v>NO</v>
      </c>
      <c r="U593" s="75"/>
      <c r="V593" s="66"/>
      <c r="W593" s="73">
        <v>0.36388888888888887</v>
      </c>
      <c r="X593" s="66"/>
      <c r="Y593" s="66"/>
      <c r="Z593" s="121" t="s">
        <v>743</v>
      </c>
      <c r="AA593" s="121" t="s">
        <v>1171</v>
      </c>
      <c r="AB593" s="121" t="s">
        <v>1177</v>
      </c>
      <c r="AC593" s="366"/>
    </row>
    <row r="594" spans="1:29" ht="39.950000000000003" customHeight="1" x14ac:dyDescent="0.2">
      <c r="A594" s="66">
        <v>591</v>
      </c>
      <c r="B594" s="68">
        <v>45173</v>
      </c>
      <c r="C594" s="73">
        <v>0.49513888888888885</v>
      </c>
      <c r="D594" s="66" t="s">
        <v>2603</v>
      </c>
      <c r="E594" s="67" t="s">
        <v>2604</v>
      </c>
      <c r="F594" s="66">
        <v>7</v>
      </c>
      <c r="G594" s="66" t="s">
        <v>1443</v>
      </c>
      <c r="H594" s="68">
        <v>45181</v>
      </c>
      <c r="I594" s="68" t="s">
        <v>73</v>
      </c>
      <c r="J594" s="68" t="s">
        <v>1221</v>
      </c>
      <c r="K594" s="66">
        <f>IFERROR(VLOOKUP(J594,Jueces!$A$1:$B$11,2,FALSE),"")</f>
        <v>7</v>
      </c>
      <c r="L594" s="66" t="s">
        <v>2737</v>
      </c>
      <c r="M594" s="66" t="s">
        <v>723</v>
      </c>
      <c r="N594" s="210" t="s">
        <v>2736</v>
      </c>
      <c r="O594" s="66" t="str">
        <f t="shared" ca="1" si="33"/>
        <v>SI</v>
      </c>
      <c r="P594" s="66" t="str">
        <f t="shared" si="34"/>
        <v>DIANOSOL</v>
      </c>
      <c r="Q594" s="66" t="s">
        <v>904</v>
      </c>
      <c r="R594" s="66" t="str">
        <f>VLOOKUP($Q594,Resultados!$A$1:$B$49,2,FALSE)</f>
        <v>Juicio Abreviado</v>
      </c>
      <c r="S594" s="73">
        <v>0.35000000000000003</v>
      </c>
      <c r="T594" s="75" t="str">
        <f t="shared" si="32"/>
        <v>NO</v>
      </c>
      <c r="U594" s="75"/>
      <c r="V594" s="66"/>
      <c r="W594" s="73">
        <v>0.35902777777777778</v>
      </c>
      <c r="X594" s="66" t="s">
        <v>1766</v>
      </c>
      <c r="Y594" s="66"/>
      <c r="Z594" s="121" t="s">
        <v>1041</v>
      </c>
      <c r="AA594" s="121" t="s">
        <v>743</v>
      </c>
      <c r="AB594" s="121" t="s">
        <v>1174</v>
      </c>
      <c r="AC594" s="366"/>
    </row>
    <row r="595" spans="1:29" ht="39.950000000000003" customHeight="1" x14ac:dyDescent="0.2">
      <c r="A595" s="66">
        <v>592</v>
      </c>
      <c r="B595" s="68">
        <v>45174</v>
      </c>
      <c r="C595" s="73">
        <v>0.39999999999999997</v>
      </c>
      <c r="D595" s="66" t="s">
        <v>2608</v>
      </c>
      <c r="E595" s="67" t="s">
        <v>2633</v>
      </c>
      <c r="F595" s="66">
        <v>8</v>
      </c>
      <c r="G595" s="66" t="s">
        <v>29</v>
      </c>
      <c r="H595" s="68">
        <v>45188</v>
      </c>
      <c r="I595" s="68" t="s">
        <v>73</v>
      </c>
      <c r="J595" s="68" t="s">
        <v>35</v>
      </c>
      <c r="K595" s="66">
        <f>IFERROR(VLOOKUP(J595,Jueces!$A$1:$B$11,2,FALSE),"")</f>
        <v>3</v>
      </c>
      <c r="L595" s="66" t="s">
        <v>569</v>
      </c>
      <c r="M595" s="66" t="s">
        <v>767</v>
      </c>
      <c r="N595" s="66" t="s">
        <v>899</v>
      </c>
      <c r="O595" s="66" t="str">
        <f t="shared" ca="1" si="33"/>
        <v>SI</v>
      </c>
      <c r="P595" s="66" t="str">
        <f t="shared" si="34"/>
        <v>DIANOSOL</v>
      </c>
      <c r="Q595" s="66" t="s">
        <v>899</v>
      </c>
      <c r="R595" s="66" t="str">
        <f>VLOOKUP($Q595,Resultados!$A$1:$B$49,2,FALSE)</f>
        <v>Libertad</v>
      </c>
      <c r="S595" s="66" t="s">
        <v>1134</v>
      </c>
      <c r="T595" s="75" t="str">
        <f t="shared" si="32"/>
        <v>NO</v>
      </c>
      <c r="U595" s="75"/>
      <c r="V595" s="66"/>
      <c r="W595" s="66" t="s">
        <v>2060</v>
      </c>
      <c r="X595" s="66"/>
      <c r="Y595" s="66"/>
      <c r="Z595" s="121" t="s">
        <v>748</v>
      </c>
      <c r="AA595" s="121" t="s">
        <v>1171</v>
      </c>
      <c r="AB595" s="121" t="s">
        <v>1177</v>
      </c>
      <c r="AC595" s="366"/>
    </row>
    <row r="596" spans="1:29" ht="39.950000000000003" customHeight="1" x14ac:dyDescent="0.2">
      <c r="A596" s="66">
        <v>593</v>
      </c>
      <c r="B596" s="68">
        <v>45174</v>
      </c>
      <c r="C596" s="73">
        <v>0.40347222222222223</v>
      </c>
      <c r="D596" s="66" t="s">
        <v>2760</v>
      </c>
      <c r="E596" s="67" t="s">
        <v>2634</v>
      </c>
      <c r="F596" s="66">
        <v>8</v>
      </c>
      <c r="G596" s="66" t="s">
        <v>2773</v>
      </c>
      <c r="H596" s="68">
        <v>45198</v>
      </c>
      <c r="I596" s="68" t="s">
        <v>73</v>
      </c>
      <c r="J596" s="68" t="s">
        <v>33</v>
      </c>
      <c r="K596" s="66">
        <f>IFERROR(VLOOKUP(J596,Jueces!$A$1:$B$11,2,FALSE),"")</f>
        <v>4</v>
      </c>
      <c r="L596" s="66" t="s">
        <v>813</v>
      </c>
      <c r="M596" s="66" t="s">
        <v>1032</v>
      </c>
      <c r="N596" s="66" t="s">
        <v>3080</v>
      </c>
      <c r="O596" s="66" t="str">
        <f t="shared" ca="1" si="33"/>
        <v>SI</v>
      </c>
      <c r="P596" s="66" t="str">
        <f t="shared" si="34"/>
        <v>DIANOSOL</v>
      </c>
      <c r="Q596" s="66" t="s">
        <v>905</v>
      </c>
      <c r="R596" s="66" t="str">
        <f>VLOOKUP($Q596,Resultados!$A$1:$B$49,2,FALSE)</f>
        <v>Juicio Abreviado</v>
      </c>
      <c r="S596" s="66" t="s">
        <v>1014</v>
      </c>
      <c r="T596" s="75" t="str">
        <f t="shared" si="32"/>
        <v>NO</v>
      </c>
      <c r="U596" s="75"/>
      <c r="V596" s="66"/>
      <c r="W596" s="66" t="s">
        <v>1017</v>
      </c>
      <c r="X596" s="6" t="s">
        <v>3081</v>
      </c>
      <c r="Y596" s="66"/>
      <c r="Z596" s="336" t="s">
        <v>1041</v>
      </c>
      <c r="AA596" s="121" t="s">
        <v>1169</v>
      </c>
      <c r="AB596" s="121" t="s">
        <v>1175</v>
      </c>
      <c r="AC596" s="366"/>
    </row>
    <row r="597" spans="1:29" ht="39.950000000000003" customHeight="1" x14ac:dyDescent="0.2">
      <c r="A597" s="66">
        <v>594</v>
      </c>
      <c r="B597" s="68">
        <v>45174</v>
      </c>
      <c r="C597" s="73">
        <v>0.40625</v>
      </c>
      <c r="D597" s="66" t="s">
        <v>2609</v>
      </c>
      <c r="E597" s="67" t="s">
        <v>2610</v>
      </c>
      <c r="F597" s="66">
        <v>7</v>
      </c>
      <c r="G597" s="66" t="s">
        <v>1441</v>
      </c>
      <c r="H597" s="68">
        <v>45181</v>
      </c>
      <c r="I597" s="68" t="s">
        <v>1086</v>
      </c>
      <c r="J597" s="68" t="s">
        <v>35</v>
      </c>
      <c r="K597" s="66">
        <f>IFERROR(VLOOKUP(J597,Jueces!$A$1:$B$11,2,FALSE),"")</f>
        <v>3</v>
      </c>
      <c r="L597" s="66" t="s">
        <v>813</v>
      </c>
      <c r="M597" s="66" t="s">
        <v>723</v>
      </c>
      <c r="N597" s="66" t="s">
        <v>2748</v>
      </c>
      <c r="O597" s="66" t="str">
        <f t="shared" ca="1" si="33"/>
        <v>SI</v>
      </c>
      <c r="P597" s="66" t="str">
        <f t="shared" si="34"/>
        <v>DIANOSOL</v>
      </c>
      <c r="Q597" s="66" t="s">
        <v>899</v>
      </c>
      <c r="R597" s="66" t="str">
        <f>VLOOKUP($Q597,Resultados!$A$1:$B$49,2,FALSE)</f>
        <v>Libertad</v>
      </c>
      <c r="S597" s="73">
        <v>0.37708333333333338</v>
      </c>
      <c r="T597" s="75" t="str">
        <f t="shared" si="32"/>
        <v>NO</v>
      </c>
      <c r="U597" s="75"/>
      <c r="V597" s="66"/>
      <c r="W597" s="73">
        <v>0.38958333333333334</v>
      </c>
      <c r="X597" s="397" t="s">
        <v>2747</v>
      </c>
      <c r="Y597" s="66"/>
      <c r="Z597" s="121" t="s">
        <v>748</v>
      </c>
      <c r="AA597" s="121" t="s">
        <v>1171</v>
      </c>
      <c r="AB597" s="121" t="s">
        <v>1173</v>
      </c>
      <c r="AC597" s="366"/>
    </row>
    <row r="598" spans="1:29" ht="39.950000000000003" customHeight="1" x14ac:dyDescent="0.2">
      <c r="A598" s="66">
        <v>595</v>
      </c>
      <c r="B598" s="68">
        <v>45174</v>
      </c>
      <c r="C598" s="73">
        <v>0.40833333333333338</v>
      </c>
      <c r="D598" s="66" t="s">
        <v>2611</v>
      </c>
      <c r="E598" s="67" t="s">
        <v>2635</v>
      </c>
      <c r="F598" s="66">
        <v>7</v>
      </c>
      <c r="G598" s="66" t="s">
        <v>43</v>
      </c>
      <c r="H598" s="68">
        <v>45187</v>
      </c>
      <c r="I598" s="68" t="s">
        <v>73</v>
      </c>
      <c r="J598" s="68" t="s">
        <v>35</v>
      </c>
      <c r="K598" s="66">
        <f>IFERROR(VLOOKUP(J598,Jueces!$A$1:$B$11,2,FALSE),"")</f>
        <v>3</v>
      </c>
      <c r="L598" s="66" t="s">
        <v>811</v>
      </c>
      <c r="M598" s="66" t="s">
        <v>1032</v>
      </c>
      <c r="N598" s="66" t="s">
        <v>2791</v>
      </c>
      <c r="O598" s="66" t="str">
        <f t="shared" ca="1" si="33"/>
        <v>SI</v>
      </c>
      <c r="P598" s="66" t="str">
        <f t="shared" si="34"/>
        <v>DIANOSOL</v>
      </c>
      <c r="Q598" s="66" t="s">
        <v>1512</v>
      </c>
      <c r="R598" s="66" t="str">
        <f>VLOOKUP($Q598,Resultados!$A$1:$B$49,2,FALSE)</f>
        <v>Juicio Abreviado</v>
      </c>
      <c r="S598" s="73">
        <v>0.38125000000000003</v>
      </c>
      <c r="T598" s="75" t="str">
        <f t="shared" si="32"/>
        <v>NO</v>
      </c>
      <c r="U598" s="75"/>
      <c r="V598" s="66"/>
      <c r="W598" s="73">
        <v>0.54513888888888895</v>
      </c>
      <c r="X598" s="268" t="s">
        <v>2792</v>
      </c>
      <c r="Y598" s="66"/>
      <c r="Z598" s="121" t="s">
        <v>770</v>
      </c>
      <c r="AA598" s="121" t="s">
        <v>1171</v>
      </c>
      <c r="AB598" s="121" t="s">
        <v>1176</v>
      </c>
      <c r="AC598" s="366"/>
    </row>
    <row r="599" spans="1:29" ht="39.950000000000003" customHeight="1" x14ac:dyDescent="0.2">
      <c r="A599" s="66">
        <v>596</v>
      </c>
      <c r="B599" s="68">
        <v>45174</v>
      </c>
      <c r="C599" s="73">
        <v>0.40972222222222227</v>
      </c>
      <c r="D599" s="66" t="s">
        <v>2612</v>
      </c>
      <c r="E599" s="67" t="s">
        <v>2650</v>
      </c>
      <c r="F599" s="66">
        <v>8</v>
      </c>
      <c r="G599" s="66" t="s">
        <v>283</v>
      </c>
      <c r="H599" s="68">
        <v>45188</v>
      </c>
      <c r="I599" s="104" t="s">
        <v>73</v>
      </c>
      <c r="J599" s="68" t="s">
        <v>31</v>
      </c>
      <c r="K599" s="66">
        <f>IFERROR(VLOOKUP(J599,Jueces!$A$1:$B$11,2,FALSE),"")</f>
        <v>2</v>
      </c>
      <c r="L599" s="66" t="s">
        <v>812</v>
      </c>
      <c r="M599" s="66" t="s">
        <v>887</v>
      </c>
      <c r="N599" s="66" t="s">
        <v>2813</v>
      </c>
      <c r="O599" s="66" t="str">
        <f t="shared" ca="1" si="33"/>
        <v>SI</v>
      </c>
      <c r="P599" s="66" t="str">
        <f t="shared" si="34"/>
        <v>DIANOSOL</v>
      </c>
      <c r="Q599" s="66" t="s">
        <v>904</v>
      </c>
      <c r="R599" s="66" t="str">
        <f>VLOOKUP($Q599,Resultados!$A$1:$B$49,2,FALSE)</f>
        <v>Juicio Abreviado</v>
      </c>
      <c r="S599" s="66" t="s">
        <v>1034</v>
      </c>
      <c r="T599" s="75" t="str">
        <f t="shared" si="32"/>
        <v>NO</v>
      </c>
      <c r="U599" s="75"/>
      <c r="V599" s="66"/>
      <c r="W599" s="66" t="s">
        <v>1292</v>
      </c>
      <c r="X599" s="387"/>
      <c r="Y599" s="66"/>
      <c r="Z599" s="121" t="s">
        <v>743</v>
      </c>
      <c r="AA599" s="121" t="s">
        <v>743</v>
      </c>
      <c r="AB599" s="121" t="s">
        <v>1173</v>
      </c>
      <c r="AC599" s="366"/>
    </row>
    <row r="600" spans="1:29" ht="39.950000000000003" customHeight="1" x14ac:dyDescent="0.2">
      <c r="A600" s="66">
        <v>597</v>
      </c>
      <c r="B600" s="68">
        <v>45174</v>
      </c>
      <c r="C600" s="73">
        <v>0.41041666666666665</v>
      </c>
      <c r="D600" s="66" t="s">
        <v>2837</v>
      </c>
      <c r="E600" s="67" t="s">
        <v>2613</v>
      </c>
      <c r="F600" s="66">
        <v>4</v>
      </c>
      <c r="G600" s="66" t="s">
        <v>283</v>
      </c>
      <c r="H600" s="68">
        <v>45191</v>
      </c>
      <c r="I600" s="68" t="s">
        <v>1086</v>
      </c>
      <c r="J600" s="68" t="s">
        <v>33</v>
      </c>
      <c r="K600" s="66">
        <f>IFERROR(VLOOKUP(J600,Jueces!$A$1:$B$11,2,FALSE),"")</f>
        <v>4</v>
      </c>
      <c r="L600" s="66" t="s">
        <v>1702</v>
      </c>
      <c r="M600" s="66" t="s">
        <v>2649</v>
      </c>
      <c r="N600" s="66" t="s">
        <v>2905</v>
      </c>
      <c r="O600" s="66" t="str">
        <f t="shared" ca="1" si="33"/>
        <v>SI</v>
      </c>
      <c r="P600" s="66" t="str">
        <f t="shared" si="34"/>
        <v>DIANOSOL</v>
      </c>
      <c r="Q600" s="66" t="s">
        <v>899</v>
      </c>
      <c r="R600" s="66" t="str">
        <f>VLOOKUP($Q600,Resultados!$A$1:$B$49,2,FALSE)</f>
        <v>Libertad</v>
      </c>
      <c r="S600" s="66" t="s">
        <v>1499</v>
      </c>
      <c r="T600" s="75" t="str">
        <f t="shared" si="32"/>
        <v>NO</v>
      </c>
      <c r="U600" s="75"/>
      <c r="V600" s="66"/>
      <c r="W600" s="66" t="s">
        <v>2904</v>
      </c>
      <c r="X600" s="66" t="s">
        <v>2906</v>
      </c>
      <c r="Y600" s="66"/>
      <c r="Z600" s="121" t="s">
        <v>743</v>
      </c>
      <c r="AA600" s="121" t="s">
        <v>1169</v>
      </c>
      <c r="AB600" s="121" t="s">
        <v>1174</v>
      </c>
      <c r="AC600" s="366"/>
    </row>
    <row r="601" spans="1:29" ht="39.950000000000003" customHeight="1" x14ac:dyDescent="0.2">
      <c r="A601" s="66">
        <v>599</v>
      </c>
      <c r="B601" s="68">
        <v>45174</v>
      </c>
      <c r="C601" s="73">
        <v>0.47847222222222219</v>
      </c>
      <c r="D601" s="66" t="s">
        <v>2638</v>
      </c>
      <c r="E601" s="67" t="s">
        <v>2834</v>
      </c>
      <c r="F601" s="66">
        <v>8</v>
      </c>
      <c r="G601" s="66" t="s">
        <v>1442</v>
      </c>
      <c r="H601" s="68">
        <v>45189</v>
      </c>
      <c r="I601" s="68" t="s">
        <v>1086</v>
      </c>
      <c r="J601" s="68" t="s">
        <v>1223</v>
      </c>
      <c r="K601" s="66" t="s">
        <v>1326</v>
      </c>
      <c r="L601" s="66" t="s">
        <v>809</v>
      </c>
      <c r="M601" s="66" t="s">
        <v>767</v>
      </c>
      <c r="N601" s="66" t="s">
        <v>2856</v>
      </c>
      <c r="O601" s="66" t="str">
        <f t="shared" ca="1" si="33"/>
        <v>SI</v>
      </c>
      <c r="P601" s="66" t="str">
        <f t="shared" si="34"/>
        <v>DIANOSOL</v>
      </c>
      <c r="Q601" s="66" t="s">
        <v>904</v>
      </c>
      <c r="R601" s="66" t="str">
        <f>VLOOKUP($Q601,Resultados!$A$1:$B$49,2,FALSE)</f>
        <v>Juicio Abreviado</v>
      </c>
      <c r="S601" s="73">
        <v>0.39027777777777778</v>
      </c>
      <c r="T601" s="75" t="str">
        <f t="shared" si="32"/>
        <v>SI</v>
      </c>
      <c r="U601" s="75"/>
      <c r="V601" s="66"/>
      <c r="W601" s="73">
        <v>0.4055555555555555</v>
      </c>
      <c r="X601" s="387"/>
      <c r="Y601" s="66"/>
      <c r="Z601" s="121" t="s">
        <v>743</v>
      </c>
      <c r="AA601" s="121" t="s">
        <v>2799</v>
      </c>
      <c r="AB601" s="121" t="s">
        <v>1173</v>
      </c>
      <c r="AC601" s="366"/>
    </row>
    <row r="602" spans="1:29" ht="39.950000000000003" customHeight="1" x14ac:dyDescent="0.2">
      <c r="A602" s="66">
        <v>600</v>
      </c>
      <c r="B602" s="68">
        <v>45174</v>
      </c>
      <c r="C602" s="73">
        <v>0.51944444444444449</v>
      </c>
      <c r="D602" s="66" t="s">
        <v>2639</v>
      </c>
      <c r="E602" s="67" t="s">
        <v>2640</v>
      </c>
      <c r="F602" s="66">
        <v>7</v>
      </c>
      <c r="G602" s="66" t="s">
        <v>1441</v>
      </c>
      <c r="H602" s="68">
        <v>45190</v>
      </c>
      <c r="I602" s="68" t="s">
        <v>73</v>
      </c>
      <c r="J602" s="68" t="s">
        <v>35</v>
      </c>
      <c r="K602" s="66">
        <f>IFERROR(VLOOKUP(J602,Jueces!$A$1:$B$11,2,FALSE),"")</f>
        <v>3</v>
      </c>
      <c r="L602" s="66" t="s">
        <v>807</v>
      </c>
      <c r="M602" s="66" t="s">
        <v>723</v>
      </c>
      <c r="N602" s="66" t="s">
        <v>2894</v>
      </c>
      <c r="O602" s="81" t="str">
        <f t="shared" ca="1" si="33"/>
        <v>SI</v>
      </c>
      <c r="P602" s="81" t="str">
        <f t="shared" si="34"/>
        <v>DIANOSOL</v>
      </c>
      <c r="Q602" s="66" t="s">
        <v>909</v>
      </c>
      <c r="R602" s="66" t="str">
        <f>VLOOKUP($Q602,Resultados!$A$1:$B$49,2,FALSE)</f>
        <v>Suspensión de juicio a prueba</v>
      </c>
      <c r="S602" s="73">
        <v>0.3527777777777778</v>
      </c>
      <c r="T602" s="84" t="str">
        <f t="shared" si="32"/>
        <v>NO</v>
      </c>
      <c r="U602" s="84"/>
      <c r="V602" s="81"/>
      <c r="W602" s="73">
        <v>0.35972222222222222</v>
      </c>
      <c r="X602" s="387"/>
      <c r="Y602" s="66"/>
      <c r="Z602" s="121" t="s">
        <v>1042</v>
      </c>
      <c r="AA602" s="121" t="s">
        <v>1169</v>
      </c>
      <c r="AB602" s="121" t="s">
        <v>1173</v>
      </c>
      <c r="AC602" s="366"/>
    </row>
    <row r="603" spans="1:29" ht="39.950000000000003" customHeight="1" x14ac:dyDescent="0.2">
      <c r="A603" s="66">
        <v>601</v>
      </c>
      <c r="B603" s="68">
        <v>45175</v>
      </c>
      <c r="C603" s="73">
        <v>0.33333333333333331</v>
      </c>
      <c r="D603" s="66" t="s">
        <v>2641</v>
      </c>
      <c r="E603" s="67" t="s">
        <v>2830</v>
      </c>
      <c r="F603" s="66">
        <v>7</v>
      </c>
      <c r="G603" s="66" t="s">
        <v>568</v>
      </c>
      <c r="H603" s="68">
        <v>45189</v>
      </c>
      <c r="I603" s="68" t="s">
        <v>73</v>
      </c>
      <c r="J603" s="68" t="s">
        <v>78</v>
      </c>
      <c r="K603" s="66">
        <f>IFERROR(VLOOKUP(J603,Jueces!$A$1:$B$11,2,FALSE),"")</f>
        <v>8</v>
      </c>
      <c r="L603" s="66" t="s">
        <v>799</v>
      </c>
      <c r="M603" s="66" t="s">
        <v>723</v>
      </c>
      <c r="N603" s="66" t="s">
        <v>2865</v>
      </c>
      <c r="O603" s="66" t="str">
        <f t="shared" ca="1" si="33"/>
        <v>SI</v>
      </c>
      <c r="P603" s="66" t="str">
        <f t="shared" si="34"/>
        <v>DIANOSOL</v>
      </c>
      <c r="Q603" s="66" t="s">
        <v>905</v>
      </c>
      <c r="R603" s="66" t="str">
        <f>VLOOKUP($Q603,Resultados!$A$1:$B$49,2,FALSE)</f>
        <v>Juicio Abreviado</v>
      </c>
      <c r="S603" s="73">
        <v>0.35555555555555557</v>
      </c>
      <c r="T603" s="75" t="str">
        <f t="shared" ref="T603:T666" si="35">IF(G603=$J$1,"SI","NO")</f>
        <v>NO</v>
      </c>
      <c r="U603" s="75"/>
      <c r="V603" s="66"/>
      <c r="W603" s="73">
        <v>0.37013888888888885</v>
      </c>
      <c r="X603" s="230" t="s">
        <v>2866</v>
      </c>
      <c r="Y603" s="66"/>
      <c r="Z603" s="121" t="s">
        <v>770</v>
      </c>
      <c r="AA603" s="121" t="s">
        <v>1169</v>
      </c>
      <c r="AB603" s="121" t="s">
        <v>1173</v>
      </c>
      <c r="AC603" s="366"/>
    </row>
    <row r="604" spans="1:29" ht="39.950000000000003" customHeight="1" x14ac:dyDescent="0.2">
      <c r="A604" s="66">
        <v>602</v>
      </c>
      <c r="B604" s="68">
        <v>45175</v>
      </c>
      <c r="C604" s="73">
        <v>0.33333333333333331</v>
      </c>
      <c r="D604" s="66" t="s">
        <v>2642</v>
      </c>
      <c r="E604" s="67" t="s">
        <v>2643</v>
      </c>
      <c r="F604" s="66">
        <v>7</v>
      </c>
      <c r="G604" s="66" t="s">
        <v>43</v>
      </c>
      <c r="H604" s="68">
        <v>45188</v>
      </c>
      <c r="I604" s="68" t="s">
        <v>1210</v>
      </c>
      <c r="J604" s="68" t="s">
        <v>1224</v>
      </c>
      <c r="K604" s="66" t="s">
        <v>1491</v>
      </c>
      <c r="L604" s="66" t="s">
        <v>811</v>
      </c>
      <c r="M604" s="66" t="s">
        <v>767</v>
      </c>
      <c r="N604" s="66" t="s">
        <v>2814</v>
      </c>
      <c r="O604" s="66" t="str">
        <f t="shared" ca="1" si="33"/>
        <v>SI</v>
      </c>
      <c r="P604" s="66" t="str">
        <f t="shared" si="34"/>
        <v>DIANOSOL</v>
      </c>
      <c r="Q604" s="66" t="s">
        <v>904</v>
      </c>
      <c r="R604" s="66" t="str">
        <f>VLOOKUP($Q604,Resultados!$A$1:$B$49,2,FALSE)</f>
        <v>Juicio Abreviado</v>
      </c>
      <c r="S604" s="66" t="s">
        <v>2685</v>
      </c>
      <c r="T604" s="75" t="str">
        <f t="shared" si="35"/>
        <v>NO</v>
      </c>
      <c r="U604" s="75"/>
      <c r="V604" s="66"/>
      <c r="W604" s="66" t="s">
        <v>1126</v>
      </c>
      <c r="X604" s="6"/>
      <c r="Y604" s="66"/>
      <c r="Z604" s="121" t="s">
        <v>1041</v>
      </c>
      <c r="AA604" s="121" t="s">
        <v>1171</v>
      </c>
      <c r="AB604" s="121" t="s">
        <v>1173</v>
      </c>
      <c r="AC604" s="366"/>
    </row>
    <row r="605" spans="1:29" ht="39.950000000000003" customHeight="1" x14ac:dyDescent="0.2">
      <c r="A605" s="66">
        <v>603</v>
      </c>
      <c r="B605" s="68">
        <v>45175</v>
      </c>
      <c r="C605" s="66" t="s">
        <v>2646</v>
      </c>
      <c r="D605" s="66" t="s">
        <v>2647</v>
      </c>
      <c r="E605" s="67" t="s">
        <v>2664</v>
      </c>
      <c r="F605" s="66">
        <v>4</v>
      </c>
      <c r="G605" s="66" t="s">
        <v>1443</v>
      </c>
      <c r="H605" s="68">
        <v>45187</v>
      </c>
      <c r="I605" s="68" t="s">
        <v>73</v>
      </c>
      <c r="J605" s="68" t="s">
        <v>1223</v>
      </c>
      <c r="K605" s="66" t="s">
        <v>1346</v>
      </c>
      <c r="L605" s="66" t="s">
        <v>1834</v>
      </c>
      <c r="M605" s="66" t="s">
        <v>2665</v>
      </c>
      <c r="N605" s="66" t="s">
        <v>899</v>
      </c>
      <c r="O605" s="66" t="str">
        <f t="shared" ca="1" si="33"/>
        <v>SI</v>
      </c>
      <c r="P605" s="66" t="str">
        <f t="shared" si="34"/>
        <v>DIANOSOL</v>
      </c>
      <c r="Q605" s="66" t="s">
        <v>899</v>
      </c>
      <c r="R605" s="66" t="str">
        <f>VLOOKUP($Q605,Resultados!$A$1:$B$49,2,FALSE)</f>
        <v>Libertad</v>
      </c>
      <c r="S605" s="73">
        <v>0.34583333333333338</v>
      </c>
      <c r="T605" s="75" t="str">
        <f t="shared" si="35"/>
        <v>NO</v>
      </c>
      <c r="U605" s="75"/>
      <c r="V605" s="66"/>
      <c r="W605" s="73">
        <v>0.38472222222222219</v>
      </c>
      <c r="X605" s="253" t="s">
        <v>2794</v>
      </c>
      <c r="Y605" s="66"/>
      <c r="Z605" s="121" t="s">
        <v>1041</v>
      </c>
      <c r="AA605" s="121" t="s">
        <v>743</v>
      </c>
      <c r="AB605" s="121" t="s">
        <v>1174</v>
      </c>
      <c r="AC605" s="366"/>
    </row>
    <row r="606" spans="1:29" ht="39.950000000000003" customHeight="1" x14ac:dyDescent="0.2">
      <c r="A606" s="66">
        <v>604</v>
      </c>
      <c r="B606" s="68">
        <v>45175</v>
      </c>
      <c r="C606" s="73">
        <v>0.48055555555555557</v>
      </c>
      <c r="D606" s="66" t="s">
        <v>2648</v>
      </c>
      <c r="E606" s="67" t="s">
        <v>2666</v>
      </c>
      <c r="F606" s="66">
        <v>4</v>
      </c>
      <c r="G606" s="66" t="s">
        <v>2775</v>
      </c>
      <c r="H606" s="68">
        <v>45188</v>
      </c>
      <c r="I606" s="68" t="s">
        <v>77</v>
      </c>
      <c r="J606" s="68" t="s">
        <v>1223</v>
      </c>
      <c r="K606" s="66" t="s">
        <v>1520</v>
      </c>
      <c r="L606" s="66" t="s">
        <v>2090</v>
      </c>
      <c r="M606" s="66" t="s">
        <v>2667</v>
      </c>
      <c r="N606" s="66" t="s">
        <v>2822</v>
      </c>
      <c r="O606" s="66" t="str">
        <f t="shared" ca="1" si="33"/>
        <v>SI</v>
      </c>
      <c r="P606" s="66" t="str">
        <f t="shared" si="34"/>
        <v>DIANOSOL</v>
      </c>
      <c r="Q606" s="66" t="s">
        <v>899</v>
      </c>
      <c r="R606" s="66" t="str">
        <f>VLOOKUP($Q606,Resultados!$A$1:$B$49,2,FALSE)</f>
        <v>Libertad</v>
      </c>
      <c r="S606" s="73">
        <v>0.47222222222222227</v>
      </c>
      <c r="T606" s="75" t="str">
        <f t="shared" si="35"/>
        <v>NO</v>
      </c>
      <c r="U606" s="75"/>
      <c r="V606" s="66"/>
      <c r="W606" s="73">
        <v>0.51111111111111118</v>
      </c>
      <c r="X606" s="66"/>
      <c r="Y606" s="66"/>
      <c r="Z606" s="121" t="s">
        <v>1042</v>
      </c>
      <c r="AA606" s="121" t="s">
        <v>743</v>
      </c>
      <c r="AB606" s="121" t="s">
        <v>1175</v>
      </c>
      <c r="AC606" s="366"/>
    </row>
    <row r="607" spans="1:29" ht="39.950000000000003" customHeight="1" x14ac:dyDescent="0.2">
      <c r="A607" s="66">
        <v>605</v>
      </c>
      <c r="B607" s="68">
        <v>45175</v>
      </c>
      <c r="C607" s="73">
        <v>0.50694444444444442</v>
      </c>
      <c r="D607" s="66" t="s">
        <v>2616</v>
      </c>
      <c r="E607" s="67" t="s">
        <v>2833</v>
      </c>
      <c r="F607" s="66">
        <v>7</v>
      </c>
      <c r="G607" s="66" t="s">
        <v>283</v>
      </c>
      <c r="H607" s="68">
        <v>45189</v>
      </c>
      <c r="I607" s="68" t="s">
        <v>749</v>
      </c>
      <c r="J607" s="68" t="s">
        <v>1225</v>
      </c>
      <c r="K607" s="66">
        <f>IFERROR(VLOOKUP(J607,Jueces!$A$1:$B$11,2,FALSE),"")</f>
        <v>6</v>
      </c>
      <c r="L607" s="66" t="s">
        <v>582</v>
      </c>
      <c r="M607" s="66" t="s">
        <v>767</v>
      </c>
      <c r="N607" s="66" t="s">
        <v>1753</v>
      </c>
      <c r="O607" s="66" t="str">
        <f t="shared" ca="1" si="33"/>
        <v>SI</v>
      </c>
      <c r="P607" s="66" t="str">
        <f t="shared" si="34"/>
        <v>DIANOSOL</v>
      </c>
      <c r="Q607" s="66" t="s">
        <v>151</v>
      </c>
      <c r="R607" s="66" t="str">
        <f>VLOOKUP($Q607,Resultados!$A$1:$B$49,2,FALSE)</f>
        <v>Prisión Preventiva</v>
      </c>
      <c r="S607" s="73">
        <v>0.34861111111111115</v>
      </c>
      <c r="T607" s="75" t="str">
        <f t="shared" si="35"/>
        <v>NO</v>
      </c>
      <c r="U607" s="75"/>
      <c r="V607" s="66"/>
      <c r="W607" s="73">
        <v>0.38194444444444442</v>
      </c>
      <c r="X607" s="230" t="s">
        <v>2859</v>
      </c>
      <c r="Y607" s="66"/>
      <c r="Z607" s="121" t="s">
        <v>748</v>
      </c>
      <c r="AA607" s="121" t="s">
        <v>2799</v>
      </c>
      <c r="AB607" s="121" t="s">
        <v>1174</v>
      </c>
      <c r="AC607" s="366"/>
    </row>
    <row r="608" spans="1:29" ht="39.950000000000003" customHeight="1" x14ac:dyDescent="0.2">
      <c r="A608" s="66">
        <v>606</v>
      </c>
      <c r="B608" s="68">
        <v>45175</v>
      </c>
      <c r="C608" s="73">
        <v>0.56597222222222221</v>
      </c>
      <c r="D608" s="66" t="s">
        <v>2651</v>
      </c>
      <c r="E608" s="67" t="s">
        <v>2831</v>
      </c>
      <c r="F608" s="66">
        <v>8</v>
      </c>
      <c r="G608" s="66" t="s">
        <v>2773</v>
      </c>
      <c r="H608" s="68">
        <v>45189</v>
      </c>
      <c r="I608" s="68" t="s">
        <v>73</v>
      </c>
      <c r="J608" s="68" t="s">
        <v>1223</v>
      </c>
      <c r="K608" s="66" t="s">
        <v>1326</v>
      </c>
      <c r="L608" s="66" t="s">
        <v>1414</v>
      </c>
      <c r="M608" s="66" t="s">
        <v>1031</v>
      </c>
      <c r="N608" s="66" t="s">
        <v>2864</v>
      </c>
      <c r="O608" s="66" t="str">
        <f t="shared" ca="1" si="33"/>
        <v>SI</v>
      </c>
      <c r="P608" s="66" t="str">
        <f t="shared" si="34"/>
        <v>DIANOSOL</v>
      </c>
      <c r="Q608" s="66" t="s">
        <v>904</v>
      </c>
      <c r="R608" s="66" t="str">
        <f>VLOOKUP($Q608,Resultados!$A$1:$B$49,2,FALSE)</f>
        <v>Juicio Abreviado</v>
      </c>
      <c r="S608" s="73">
        <v>0.36944444444444446</v>
      </c>
      <c r="T608" s="75" t="str">
        <f t="shared" si="35"/>
        <v>NO</v>
      </c>
      <c r="U608" s="75"/>
      <c r="V608" s="66"/>
      <c r="W608" s="73">
        <v>0.38611111111111113</v>
      </c>
      <c r="X608" s="66"/>
      <c r="Y608" s="66"/>
      <c r="Z608" s="121" t="s">
        <v>1041</v>
      </c>
      <c r="AA608" s="121" t="s">
        <v>2799</v>
      </c>
      <c r="AB608" s="121" t="s">
        <v>1175</v>
      </c>
      <c r="AC608" s="366"/>
    </row>
    <row r="609" spans="1:29" ht="39.950000000000003" customHeight="1" x14ac:dyDescent="0.2">
      <c r="A609" s="66">
        <v>607</v>
      </c>
      <c r="B609" s="68">
        <v>45180</v>
      </c>
      <c r="C609" s="73">
        <v>0.49374999999999997</v>
      </c>
      <c r="D609" s="66" t="s">
        <v>2674</v>
      </c>
      <c r="E609" s="67" t="s">
        <v>2728</v>
      </c>
      <c r="F609" s="66">
        <v>7</v>
      </c>
      <c r="G609" s="66" t="s">
        <v>1443</v>
      </c>
      <c r="H609" s="68">
        <v>45190</v>
      </c>
      <c r="I609" s="68" t="s">
        <v>1086</v>
      </c>
      <c r="J609" s="68" t="s">
        <v>33</v>
      </c>
      <c r="K609" s="66">
        <f>IFERROR(VLOOKUP(J609,Jueces!$A$1:$B$11,2,FALSE),"")</f>
        <v>4</v>
      </c>
      <c r="L609" s="66" t="s">
        <v>811</v>
      </c>
      <c r="M609" s="66" t="s">
        <v>725</v>
      </c>
      <c r="N609" s="66" t="s">
        <v>2903</v>
      </c>
      <c r="O609" s="81" t="str">
        <f t="shared" ca="1" si="33"/>
        <v>SI</v>
      </c>
      <c r="P609" s="81" t="str">
        <f t="shared" si="34"/>
        <v>DIANOSOL</v>
      </c>
      <c r="Q609" s="66" t="s">
        <v>151</v>
      </c>
      <c r="R609" s="66" t="str">
        <f>VLOOKUP($Q609,Resultados!$A$1:$B$49,2,FALSE)</f>
        <v>Prisión Preventiva</v>
      </c>
      <c r="S609" s="73">
        <v>0.41805555555555557</v>
      </c>
      <c r="T609" s="84" t="str">
        <f t="shared" si="35"/>
        <v>NO</v>
      </c>
      <c r="U609" s="84"/>
      <c r="V609" s="81"/>
      <c r="W609" s="73">
        <v>0.43472222222222223</v>
      </c>
      <c r="X609" s="66" t="s">
        <v>2892</v>
      </c>
      <c r="Y609" s="66"/>
      <c r="Z609" s="121" t="s">
        <v>1041</v>
      </c>
      <c r="AA609" s="121" t="s">
        <v>1169</v>
      </c>
      <c r="AB609" s="121" t="s">
        <v>1173</v>
      </c>
      <c r="AC609" s="366"/>
    </row>
    <row r="610" spans="1:29" ht="51" x14ac:dyDescent="0.2">
      <c r="A610" s="6">
        <v>608</v>
      </c>
      <c r="B610" s="18">
        <v>45176</v>
      </c>
      <c r="C610" s="14">
        <v>0.52638888888888891</v>
      </c>
      <c r="D610" s="6" t="s">
        <v>2730</v>
      </c>
      <c r="E610" s="40" t="s">
        <v>2835</v>
      </c>
      <c r="F610" s="72">
        <v>8</v>
      </c>
      <c r="G610" s="66" t="s">
        <v>29</v>
      </c>
      <c r="H610" s="68">
        <v>45189</v>
      </c>
      <c r="I610" s="68" t="s">
        <v>1086</v>
      </c>
      <c r="J610" s="68" t="s">
        <v>1221</v>
      </c>
      <c r="K610" s="66">
        <f>IFERROR(VLOOKUP(J610,Jueces!$A$1:$B$11,2,FALSE),"")</f>
        <v>7</v>
      </c>
      <c r="L610" s="66" t="s">
        <v>791</v>
      </c>
      <c r="M610" s="66" t="s">
        <v>887</v>
      </c>
      <c r="N610" s="66" t="s">
        <v>2857</v>
      </c>
      <c r="O610" s="66" t="str">
        <f t="shared" ca="1" si="33"/>
        <v>SI</v>
      </c>
      <c r="P610" s="66" t="str">
        <f t="shared" si="34"/>
        <v>DIANOSOL</v>
      </c>
      <c r="Q610" s="66" t="s">
        <v>904</v>
      </c>
      <c r="R610" s="66" t="str">
        <f>VLOOKUP($Q610,Resultados!$A$1:$B$49,2,FALSE)</f>
        <v>Juicio Abreviado</v>
      </c>
      <c r="S610" s="73">
        <v>0.41111111111111115</v>
      </c>
      <c r="T610" s="75" t="str">
        <f t="shared" si="35"/>
        <v>NO</v>
      </c>
      <c r="U610" s="75"/>
      <c r="V610" s="66"/>
      <c r="W610" s="73">
        <v>0.41666666666666669</v>
      </c>
      <c r="X610" s="230" t="s">
        <v>2858</v>
      </c>
      <c r="Y610" s="66"/>
      <c r="Z610" s="121" t="s">
        <v>770</v>
      </c>
      <c r="AA610" s="121" t="s">
        <v>1169</v>
      </c>
      <c r="AB610" s="121" t="s">
        <v>1175</v>
      </c>
      <c r="AC610" s="366"/>
    </row>
    <row r="611" spans="1:29" ht="39.950000000000003" customHeight="1" x14ac:dyDescent="0.2">
      <c r="A611" s="109">
        <v>609</v>
      </c>
      <c r="B611" s="390">
        <v>45176</v>
      </c>
      <c r="C611" s="267">
        <v>0.52361111111111114</v>
      </c>
      <c r="D611" s="109" t="s">
        <v>2675</v>
      </c>
      <c r="E611" s="110" t="s">
        <v>2869</v>
      </c>
      <c r="F611" s="66">
        <v>8</v>
      </c>
      <c r="G611" s="66" t="s">
        <v>1442</v>
      </c>
      <c r="H611" s="68">
        <v>45190</v>
      </c>
      <c r="I611" s="68" t="s">
        <v>749</v>
      </c>
      <c r="J611" s="68" t="s">
        <v>1225</v>
      </c>
      <c r="K611" s="66">
        <f>IFERROR(VLOOKUP(J611,Jueces!$A$1:$B$11,2,FALSE),"")</f>
        <v>6</v>
      </c>
      <c r="L611" s="66" t="s">
        <v>812</v>
      </c>
      <c r="M611" s="66" t="s">
        <v>887</v>
      </c>
      <c r="N611" s="66" t="s">
        <v>151</v>
      </c>
      <c r="O611" s="81" t="str">
        <f t="shared" ca="1" si="33"/>
        <v>SI</v>
      </c>
      <c r="P611" s="81" t="str">
        <f t="shared" si="34"/>
        <v>DIANOSOL</v>
      </c>
      <c r="Q611" s="66" t="s">
        <v>151</v>
      </c>
      <c r="R611" s="66" t="str">
        <f>VLOOKUP($Q611,Resultados!$A$1:$B$49,2,FALSE)</f>
        <v>Prisión Preventiva</v>
      </c>
      <c r="S611" s="66"/>
      <c r="T611" s="84" t="str">
        <f t="shared" si="35"/>
        <v>SI</v>
      </c>
      <c r="U611" s="84"/>
      <c r="V611" s="81"/>
      <c r="W611" s="66"/>
      <c r="X611" s="66"/>
      <c r="Y611" s="66"/>
      <c r="Z611" s="121" t="s">
        <v>770</v>
      </c>
      <c r="AA611" s="121" t="s">
        <v>2852</v>
      </c>
      <c r="AB611" s="121" t="s">
        <v>1174</v>
      </c>
      <c r="AC611" s="366"/>
    </row>
    <row r="612" spans="1:29" ht="39.950000000000003" customHeight="1" x14ac:dyDescent="0.2">
      <c r="A612" s="66">
        <v>610</v>
      </c>
      <c r="B612" s="68">
        <v>45176</v>
      </c>
      <c r="C612" s="73">
        <v>0.52222222222222225</v>
      </c>
      <c r="D612" s="66" t="s">
        <v>2676</v>
      </c>
      <c r="E612" s="67" t="s">
        <v>2693</v>
      </c>
      <c r="F612" s="66">
        <v>7</v>
      </c>
      <c r="G612" s="66" t="s">
        <v>2774</v>
      </c>
      <c r="H612" s="68">
        <v>45191</v>
      </c>
      <c r="I612" s="68" t="s">
        <v>73</v>
      </c>
      <c r="J612" s="68" t="s">
        <v>35</v>
      </c>
      <c r="K612" s="66">
        <f>IFERROR(VLOOKUP(J612,Jueces!$A$1:$B$11,2,FALSE),"")</f>
        <v>3</v>
      </c>
      <c r="L612" s="66" t="s">
        <v>793</v>
      </c>
      <c r="M612" s="66" t="s">
        <v>697</v>
      </c>
      <c r="N612" s="66" t="s">
        <v>2898</v>
      </c>
      <c r="O612" s="66" t="str">
        <f t="shared" ca="1" si="33"/>
        <v>SI</v>
      </c>
      <c r="P612" s="66" t="str">
        <f t="shared" si="34"/>
        <v>DIANOSOL</v>
      </c>
      <c r="Q612" s="66" t="s">
        <v>904</v>
      </c>
      <c r="R612" s="66" t="str">
        <f>VLOOKUP($Q612,Resultados!$A$1:$B$49,2,FALSE)</f>
        <v>Juicio Abreviado</v>
      </c>
      <c r="S612" s="66" t="s">
        <v>1134</v>
      </c>
      <c r="T612" s="75" t="str">
        <f t="shared" si="35"/>
        <v>NO</v>
      </c>
      <c r="U612" s="75"/>
      <c r="V612" s="66"/>
      <c r="W612" s="66" t="s">
        <v>1566</v>
      </c>
      <c r="X612" s="66" t="s">
        <v>2899</v>
      </c>
      <c r="Y612" s="66"/>
      <c r="Z612" s="121" t="s">
        <v>1041</v>
      </c>
      <c r="AA612" s="121" t="s">
        <v>1169</v>
      </c>
      <c r="AB612" s="121" t="s">
        <v>1177</v>
      </c>
      <c r="AC612" s="366"/>
    </row>
    <row r="613" spans="1:29" ht="39.950000000000003" customHeight="1" x14ac:dyDescent="0.2">
      <c r="A613" s="66">
        <v>611</v>
      </c>
      <c r="B613" s="68">
        <v>45177</v>
      </c>
      <c r="C613" s="73">
        <v>0.4513888888888889</v>
      </c>
      <c r="D613" s="66" t="s">
        <v>2687</v>
      </c>
      <c r="E613" s="67" t="s">
        <v>2800</v>
      </c>
      <c r="F613" s="66">
        <v>8</v>
      </c>
      <c r="G613" s="66" t="s">
        <v>2775</v>
      </c>
      <c r="H613" s="68">
        <v>45190</v>
      </c>
      <c r="I613" s="68" t="s">
        <v>73</v>
      </c>
      <c r="J613" s="68" t="s">
        <v>31</v>
      </c>
      <c r="K613" s="66">
        <f>IFERROR(VLOOKUP(J613,Jueces!$A$1:$B$11,2,FALSE),"")</f>
        <v>2</v>
      </c>
      <c r="L613" s="66" t="s">
        <v>791</v>
      </c>
      <c r="M613" s="66" t="s">
        <v>2694</v>
      </c>
      <c r="N613" s="66" t="s">
        <v>151</v>
      </c>
      <c r="O613" s="81" t="str">
        <f t="shared" ca="1" si="33"/>
        <v>SI</v>
      </c>
      <c r="P613" s="81" t="str">
        <f t="shared" si="34"/>
        <v>DIANOSOL</v>
      </c>
      <c r="Q613" s="66" t="s">
        <v>151</v>
      </c>
      <c r="R613" s="66" t="str">
        <f>VLOOKUP($Q613,Resultados!$A$1:$B$49,2,FALSE)</f>
        <v>Prisión Preventiva</v>
      </c>
      <c r="S613" s="73">
        <v>0.3659722222222222</v>
      </c>
      <c r="T613" s="84" t="str">
        <f t="shared" si="35"/>
        <v>NO</v>
      </c>
      <c r="U613" s="84"/>
      <c r="V613" s="81"/>
      <c r="W613" s="73">
        <v>0.37777777777777777</v>
      </c>
      <c r="X613" s="66"/>
      <c r="Y613" s="66"/>
      <c r="Z613" s="121" t="s">
        <v>748</v>
      </c>
      <c r="AA613" s="121" t="s">
        <v>2852</v>
      </c>
      <c r="AB613" s="121" t="s">
        <v>1175</v>
      </c>
      <c r="AC613" s="366"/>
    </row>
    <row r="614" spans="1:29" ht="39.950000000000003" customHeight="1" x14ac:dyDescent="0.2">
      <c r="A614" s="66">
        <v>612</v>
      </c>
      <c r="B614" s="68">
        <v>45177</v>
      </c>
      <c r="C614" s="73">
        <v>0.43472222222222223</v>
      </c>
      <c r="D614" s="66" t="s">
        <v>2688</v>
      </c>
      <c r="E614" s="67" t="s">
        <v>2870</v>
      </c>
      <c r="F614" s="66">
        <v>7</v>
      </c>
      <c r="G614" s="66" t="s">
        <v>29</v>
      </c>
      <c r="H614" s="68">
        <v>45190</v>
      </c>
      <c r="I614" s="68" t="s">
        <v>1086</v>
      </c>
      <c r="J614" s="68" t="s">
        <v>78</v>
      </c>
      <c r="K614" s="66">
        <f>IFERROR(VLOOKUP(J614,Jueces!$A$1:$B$11,2,FALSE),"")</f>
        <v>8</v>
      </c>
      <c r="L614" s="66" t="s">
        <v>798</v>
      </c>
      <c r="M614" s="66" t="s">
        <v>723</v>
      </c>
      <c r="N614" s="66" t="s">
        <v>151</v>
      </c>
      <c r="O614" s="81" t="str">
        <f t="shared" ca="1" si="33"/>
        <v>SI</v>
      </c>
      <c r="P614" s="81" t="str">
        <f t="shared" si="34"/>
        <v>DIANOSOL</v>
      </c>
      <c r="Q614" s="66" t="s">
        <v>151</v>
      </c>
      <c r="R614" s="66" t="str">
        <f>VLOOKUP($Q614,Resultados!$A$1:$B$49,2,FALSE)</f>
        <v>Prisión Preventiva</v>
      </c>
      <c r="S614" s="73">
        <v>0.37361111111111112</v>
      </c>
      <c r="T614" s="84" t="str">
        <f t="shared" si="35"/>
        <v>NO</v>
      </c>
      <c r="U614" s="84"/>
      <c r="V614" s="81"/>
      <c r="W614" s="73">
        <v>0.39513888888888887</v>
      </c>
      <c r="X614" s="66"/>
      <c r="Y614" s="66"/>
      <c r="Z614" s="121" t="s">
        <v>2867</v>
      </c>
      <c r="AA614" s="121" t="s">
        <v>2852</v>
      </c>
      <c r="AB614" s="121" t="s">
        <v>1175</v>
      </c>
      <c r="AC614" s="366"/>
    </row>
    <row r="615" spans="1:29" ht="38.25" x14ac:dyDescent="0.2">
      <c r="A615" s="6">
        <v>613</v>
      </c>
      <c r="B615" s="18">
        <v>45177</v>
      </c>
      <c r="C615" s="14">
        <v>0.40833333333333338</v>
      </c>
      <c r="D615" s="6" t="s">
        <v>2689</v>
      </c>
      <c r="E615" s="40" t="s">
        <v>2836</v>
      </c>
      <c r="F615" s="6">
        <v>7</v>
      </c>
      <c r="G615" s="6" t="s">
        <v>43</v>
      </c>
      <c r="H615" s="18">
        <v>45189</v>
      </c>
      <c r="I615" s="18" t="s">
        <v>2020</v>
      </c>
      <c r="J615" s="18" t="s">
        <v>33</v>
      </c>
      <c r="K615" s="6" t="s">
        <v>1346</v>
      </c>
      <c r="L615" s="6" t="s">
        <v>813</v>
      </c>
      <c r="M615" s="6" t="s">
        <v>767</v>
      </c>
      <c r="N615" s="6" t="s">
        <v>2868</v>
      </c>
      <c r="O615" s="6" t="str">
        <f t="shared" ca="1" si="33"/>
        <v>SI</v>
      </c>
      <c r="P615" s="6" t="str">
        <f t="shared" si="34"/>
        <v>DIANOSOL</v>
      </c>
      <c r="Q615" s="6" t="s">
        <v>904</v>
      </c>
      <c r="R615" s="6" t="str">
        <f>VLOOKUP($Q615,Resultados!$A$1:$B$49,2,FALSE)</f>
        <v>Juicio Abreviado</v>
      </c>
      <c r="S615" s="14">
        <v>0.53055555555555556</v>
      </c>
      <c r="T615" s="71" t="str">
        <f t="shared" si="35"/>
        <v>NO</v>
      </c>
      <c r="U615" s="71"/>
      <c r="V615" s="6"/>
      <c r="W615" s="14">
        <v>0.54513888888888895</v>
      </c>
      <c r="X615" s="6"/>
      <c r="Y615" s="6"/>
      <c r="Z615" s="279" t="s">
        <v>1041</v>
      </c>
      <c r="AA615" s="121" t="s">
        <v>2852</v>
      </c>
      <c r="AB615" s="279" t="s">
        <v>1177</v>
      </c>
      <c r="AC615" s="366"/>
    </row>
    <row r="616" spans="1:29" ht="39.950000000000003" customHeight="1" x14ac:dyDescent="0.2">
      <c r="A616" s="66">
        <v>615</v>
      </c>
      <c r="B616" s="68">
        <v>45177</v>
      </c>
      <c r="C616" s="73">
        <v>0.37708333333333338</v>
      </c>
      <c r="D616" s="66" t="s">
        <v>2691</v>
      </c>
      <c r="E616" s="67" t="s">
        <v>2692</v>
      </c>
      <c r="F616" s="66">
        <v>7</v>
      </c>
      <c r="G616" s="66" t="s">
        <v>1443</v>
      </c>
      <c r="H616" s="68">
        <v>45191</v>
      </c>
      <c r="I616" s="68" t="s">
        <v>73</v>
      </c>
      <c r="J616" s="68" t="s">
        <v>1221</v>
      </c>
      <c r="K616" s="66">
        <f>IFERROR(VLOOKUP(J616,Jueces!$A$1:$B$11,2,FALSE),"")</f>
        <v>7</v>
      </c>
      <c r="L616" s="66" t="s">
        <v>806</v>
      </c>
      <c r="M616" s="66" t="s">
        <v>2735</v>
      </c>
      <c r="N616" s="66" t="s">
        <v>2900</v>
      </c>
      <c r="O616" s="66" t="str">
        <f t="shared" ca="1" si="33"/>
        <v>SI</v>
      </c>
      <c r="P616" s="66" t="str">
        <f t="shared" si="34"/>
        <v>DIANOSOL</v>
      </c>
      <c r="Q616" s="66" t="s">
        <v>904</v>
      </c>
      <c r="R616" s="66" t="str">
        <f>VLOOKUP($Q616,Resultados!$A$1:$B$49,2,FALSE)</f>
        <v>Juicio Abreviado</v>
      </c>
      <c r="S616" s="66" t="s">
        <v>1065</v>
      </c>
      <c r="T616" s="75" t="str">
        <f t="shared" si="35"/>
        <v>NO</v>
      </c>
      <c r="U616" s="75"/>
      <c r="V616" s="66"/>
      <c r="W616" s="66" t="s">
        <v>1609</v>
      </c>
      <c r="X616" s="66" t="s">
        <v>2382</v>
      </c>
      <c r="Y616" s="66"/>
      <c r="Z616" s="121" t="s">
        <v>2867</v>
      </c>
      <c r="AA616" s="121" t="s">
        <v>1169</v>
      </c>
      <c r="AB616" s="121" t="s">
        <v>1174</v>
      </c>
      <c r="AC616" s="366"/>
    </row>
    <row r="617" spans="1:29" ht="39.950000000000003" customHeight="1" x14ac:dyDescent="0.2">
      <c r="A617" s="66">
        <v>616</v>
      </c>
      <c r="B617" s="68">
        <v>45177</v>
      </c>
      <c r="C617" s="73">
        <v>0.55694444444444446</v>
      </c>
      <c r="D617" s="66" t="s">
        <v>2054</v>
      </c>
      <c r="E617" s="67" t="s">
        <v>2696</v>
      </c>
      <c r="F617" s="66">
        <v>1</v>
      </c>
      <c r="G617" s="66" t="s">
        <v>43</v>
      </c>
      <c r="H617" s="68">
        <v>45194</v>
      </c>
      <c r="I617" s="68" t="s">
        <v>73</v>
      </c>
      <c r="J617" s="68" t="s">
        <v>31</v>
      </c>
      <c r="K617" s="66">
        <f>IFERROR(VLOOKUP(J617,Jueces!$A$1:$B$11,2,FALSE),"")</f>
        <v>2</v>
      </c>
      <c r="L617" s="66" t="s">
        <v>791</v>
      </c>
      <c r="M617" s="66" t="s">
        <v>2703</v>
      </c>
      <c r="N617" s="66" t="s">
        <v>2957</v>
      </c>
      <c r="O617" s="66" t="str">
        <f t="shared" ca="1" si="33"/>
        <v>SI</v>
      </c>
      <c r="P617" s="66" t="str">
        <f t="shared" si="34"/>
        <v>DIANOSOL</v>
      </c>
      <c r="Q617" s="66" t="s">
        <v>904</v>
      </c>
      <c r="R617" s="66" t="str">
        <f>VLOOKUP($Q617,Resultados!$A$1:$B$49,2,FALSE)</f>
        <v>Juicio Abreviado</v>
      </c>
      <c r="S617" s="66" t="s">
        <v>2707</v>
      </c>
      <c r="T617" s="75" t="str">
        <f t="shared" si="35"/>
        <v>NO</v>
      </c>
      <c r="U617" s="75"/>
      <c r="V617" s="66"/>
      <c r="W617" s="66" t="s">
        <v>2958</v>
      </c>
      <c r="X617" s="66" t="s">
        <v>2382</v>
      </c>
      <c r="Y617" s="66"/>
      <c r="Z617" s="121" t="s">
        <v>1041</v>
      </c>
      <c r="AA617" s="121" t="s">
        <v>1171</v>
      </c>
      <c r="AB617" s="121" t="s">
        <v>1175</v>
      </c>
      <c r="AC617" s="366"/>
    </row>
    <row r="618" spans="1:29" ht="39.950000000000003" customHeight="1" x14ac:dyDescent="0.2">
      <c r="A618" s="66">
        <v>617</v>
      </c>
      <c r="B618" s="68">
        <v>45177</v>
      </c>
      <c r="C618" s="73">
        <v>0.5180555555555556</v>
      </c>
      <c r="D618" s="66" t="s">
        <v>2697</v>
      </c>
      <c r="E618" s="67" t="s">
        <v>2832</v>
      </c>
      <c r="F618" s="66">
        <v>6</v>
      </c>
      <c r="G618" s="66" t="s">
        <v>1441</v>
      </c>
      <c r="H618" s="68">
        <v>45189</v>
      </c>
      <c r="I618" s="68" t="s">
        <v>73</v>
      </c>
      <c r="J618" s="68" t="s">
        <v>31</v>
      </c>
      <c r="K618" s="66">
        <f>IFERROR(VLOOKUP(J618,Jueces!$A$1:$B$11,2,FALSE),"")</f>
        <v>2</v>
      </c>
      <c r="L618" s="66" t="s">
        <v>1306</v>
      </c>
      <c r="M618" s="66" t="s">
        <v>2701</v>
      </c>
      <c r="N618" s="66" t="s">
        <v>2862</v>
      </c>
      <c r="O618" s="66" t="str">
        <f t="shared" ca="1" si="33"/>
        <v>SI</v>
      </c>
      <c r="P618" s="66" t="str">
        <f t="shared" si="34"/>
        <v>DIANOSOL</v>
      </c>
      <c r="Q618" s="66" t="s">
        <v>899</v>
      </c>
      <c r="R618" s="66" t="str">
        <f>VLOOKUP($Q618,Resultados!$A$1:$B$49,2,FALSE)</f>
        <v>Libertad</v>
      </c>
      <c r="S618" s="73">
        <v>0.37152777777777773</v>
      </c>
      <c r="T618" s="75" t="str">
        <f t="shared" si="35"/>
        <v>NO</v>
      </c>
      <c r="U618" s="75"/>
      <c r="V618" s="66"/>
      <c r="W618" s="73">
        <v>0.37916666666666665</v>
      </c>
      <c r="X618" s="230" t="s">
        <v>2863</v>
      </c>
      <c r="Y618" s="66"/>
      <c r="Z618" s="121" t="s">
        <v>1042</v>
      </c>
      <c r="AA618" s="121" t="s">
        <v>1169</v>
      </c>
      <c r="AB618" s="121" t="s">
        <v>1177</v>
      </c>
      <c r="AC618" s="366"/>
    </row>
    <row r="619" spans="1:29" ht="39.950000000000003" customHeight="1" x14ac:dyDescent="0.2">
      <c r="A619" s="66">
        <v>618</v>
      </c>
      <c r="B619" s="68">
        <v>45177</v>
      </c>
      <c r="C619" s="73">
        <v>0.49444444444444446</v>
      </c>
      <c r="D619" s="66" t="s">
        <v>2698</v>
      </c>
      <c r="E619" s="67" t="s">
        <v>2699</v>
      </c>
      <c r="F619" s="66">
        <v>7</v>
      </c>
      <c r="G619" s="66" t="s">
        <v>2775</v>
      </c>
      <c r="H619" s="68">
        <v>45191</v>
      </c>
      <c r="I619" s="68" t="s">
        <v>73</v>
      </c>
      <c r="J619" s="68" t="s">
        <v>78</v>
      </c>
      <c r="K619" s="66">
        <f>IFERROR(VLOOKUP(J619,Jueces!$A$1:$B$11,2,FALSE),"")</f>
        <v>8</v>
      </c>
      <c r="L619" s="66" t="s">
        <v>809</v>
      </c>
      <c r="M619" s="66" t="s">
        <v>725</v>
      </c>
      <c r="N619" s="66" t="s">
        <v>2569</v>
      </c>
      <c r="O619" s="66" t="str">
        <f t="shared" ca="1" si="33"/>
        <v>SI</v>
      </c>
      <c r="P619" s="66" t="str">
        <f t="shared" si="34"/>
        <v>DIANOSOL</v>
      </c>
      <c r="Q619" s="66" t="s">
        <v>899</v>
      </c>
      <c r="R619" s="66" t="str">
        <f>VLOOKUP($Q619,Resultados!$A$1:$B$49,2,FALSE)</f>
        <v>Libertad</v>
      </c>
      <c r="S619" s="66" t="s">
        <v>1235</v>
      </c>
      <c r="T619" s="75" t="str">
        <f t="shared" si="35"/>
        <v>NO</v>
      </c>
      <c r="U619" s="75"/>
      <c r="V619" s="66"/>
      <c r="W619" s="66" t="s">
        <v>686</v>
      </c>
      <c r="X619" s="66"/>
      <c r="Y619" s="66"/>
      <c r="Z619" s="121" t="s">
        <v>2895</v>
      </c>
      <c r="AA619" s="121" t="s">
        <v>2852</v>
      </c>
      <c r="AB619" s="121" t="s">
        <v>1173</v>
      </c>
      <c r="AC619" s="366"/>
    </row>
    <row r="620" spans="1:29" ht="39.950000000000003" customHeight="1" x14ac:dyDescent="0.2">
      <c r="A620" s="66">
        <v>619</v>
      </c>
      <c r="B620" s="68">
        <v>45177</v>
      </c>
      <c r="C620" s="73">
        <v>0.5131944444444444</v>
      </c>
      <c r="D620" s="66" t="s">
        <v>2700</v>
      </c>
      <c r="E620" s="67" t="s">
        <v>2843</v>
      </c>
      <c r="F620" s="66">
        <v>6</v>
      </c>
      <c r="G620" s="66" t="s">
        <v>43</v>
      </c>
      <c r="H620" s="68">
        <v>45190</v>
      </c>
      <c r="I620" s="68" t="s">
        <v>73</v>
      </c>
      <c r="J620" s="68" t="s">
        <v>1221</v>
      </c>
      <c r="K620" s="66">
        <f>IFERROR(VLOOKUP(J620,Jueces!$A$1:$B$11,2,FALSE),"")</f>
        <v>7</v>
      </c>
      <c r="L620" s="66" t="s">
        <v>789</v>
      </c>
      <c r="M620" s="66" t="s">
        <v>2702</v>
      </c>
      <c r="N620" s="66" t="s">
        <v>151</v>
      </c>
      <c r="O620" s="81" t="str">
        <f t="shared" ref="O620:O683" ca="1" si="36">IF(H620&lt;&gt;"",IF(H620&lt;=TODAY(),"SI","NO"),"LIMBO")</f>
        <v>SI</v>
      </c>
      <c r="P620" s="81" t="str">
        <f t="shared" si="34"/>
        <v>DIANOSOL</v>
      </c>
      <c r="Q620" s="66" t="s">
        <v>151</v>
      </c>
      <c r="R620" s="66" t="str">
        <f>VLOOKUP($Q620,Resultados!$A$1:$B$49,2,FALSE)</f>
        <v>Prisión Preventiva</v>
      </c>
      <c r="S620" s="73">
        <v>0.3527777777777778</v>
      </c>
      <c r="T620" s="84" t="str">
        <f t="shared" si="35"/>
        <v>NO</v>
      </c>
      <c r="U620" s="84"/>
      <c r="V620" s="81"/>
      <c r="W620" s="73">
        <v>0.37986111111111115</v>
      </c>
      <c r="X620" s="66"/>
      <c r="Y620" s="66"/>
      <c r="Z620" s="121" t="s">
        <v>743</v>
      </c>
      <c r="AA620" s="121" t="s">
        <v>1169</v>
      </c>
      <c r="AB620" s="121" t="s">
        <v>1177</v>
      </c>
      <c r="AC620" s="366"/>
    </row>
    <row r="621" spans="1:29" ht="39.950000000000003" customHeight="1" x14ac:dyDescent="0.2">
      <c r="A621" s="66">
        <v>620</v>
      </c>
      <c r="B621" s="68">
        <v>45180</v>
      </c>
      <c r="C621" s="73">
        <v>0.49861111111111112</v>
      </c>
      <c r="D621" s="66" t="s">
        <v>2036</v>
      </c>
      <c r="E621" s="67" t="s">
        <v>2037</v>
      </c>
      <c r="F621" s="66">
        <v>5</v>
      </c>
      <c r="G621" s="66" t="s">
        <v>1442</v>
      </c>
      <c r="H621" s="68">
        <v>45191</v>
      </c>
      <c r="I621" s="68" t="s">
        <v>73</v>
      </c>
      <c r="J621" s="68" t="s">
        <v>31</v>
      </c>
      <c r="K621" s="66">
        <f>IFERROR(VLOOKUP(J621,Jueces!$A$1:$B$11,2,FALSE),"")</f>
        <v>2</v>
      </c>
      <c r="L621" s="66" t="s">
        <v>813</v>
      </c>
      <c r="M621" s="66" t="s">
        <v>1965</v>
      </c>
      <c r="N621" s="66" t="s">
        <v>2907</v>
      </c>
      <c r="O621" s="66" t="str">
        <f t="shared" ca="1" si="36"/>
        <v>SI</v>
      </c>
      <c r="P621" s="66" t="str">
        <f t="shared" si="34"/>
        <v>DIANOSOL</v>
      </c>
      <c r="Q621" s="66" t="s">
        <v>904</v>
      </c>
      <c r="R621" s="66" t="str">
        <f>VLOOKUP($Q621,Resultados!$A$1:$B$49,2,FALSE)</f>
        <v>Juicio Abreviado</v>
      </c>
      <c r="S621" s="66" t="s">
        <v>2385</v>
      </c>
      <c r="T621" s="75" t="str">
        <f t="shared" si="35"/>
        <v>SI</v>
      </c>
      <c r="U621" s="75"/>
      <c r="V621" s="66"/>
      <c r="W621" s="66" t="s">
        <v>2908</v>
      </c>
      <c r="X621" s="66" t="s">
        <v>2909</v>
      </c>
      <c r="Y621" s="66"/>
      <c r="Z621" s="121" t="s">
        <v>1042</v>
      </c>
      <c r="AA621" s="121" t="s">
        <v>2852</v>
      </c>
      <c r="AB621" s="121" t="s">
        <v>2891</v>
      </c>
      <c r="AC621" s="366"/>
    </row>
    <row r="622" spans="1:29" ht="39.950000000000003" customHeight="1" x14ac:dyDescent="0.2">
      <c r="A622" s="66">
        <v>621</v>
      </c>
      <c r="B622" s="68">
        <v>45180</v>
      </c>
      <c r="C622" s="66" t="s">
        <v>2711</v>
      </c>
      <c r="D622" s="66" t="s">
        <v>2712</v>
      </c>
      <c r="E622" s="67" t="s">
        <v>2713</v>
      </c>
      <c r="F622" s="66">
        <v>7</v>
      </c>
      <c r="G622" s="66" t="s">
        <v>283</v>
      </c>
      <c r="H622" s="68">
        <v>45194</v>
      </c>
      <c r="I622" s="68" t="s">
        <v>73</v>
      </c>
      <c r="J622" s="68" t="s">
        <v>33</v>
      </c>
      <c r="K622" s="66">
        <f>IFERROR(VLOOKUP(J622,Jueces!$A$1:$B$11,2,FALSE),"")</f>
        <v>4</v>
      </c>
      <c r="L622" s="66" t="s">
        <v>809</v>
      </c>
      <c r="M622" s="66" t="s">
        <v>700</v>
      </c>
      <c r="N622" s="66" t="s">
        <v>577</v>
      </c>
      <c r="O622" s="66" t="str">
        <f t="shared" ca="1" si="36"/>
        <v>SI</v>
      </c>
      <c r="P622" s="66" t="str">
        <f t="shared" si="34"/>
        <v>DIANOSOL</v>
      </c>
      <c r="Q622" s="66" t="s">
        <v>151</v>
      </c>
      <c r="R622" s="66" t="str">
        <f>VLOOKUP($Q622,Resultados!$A$1:$B$49,2,FALSE)</f>
        <v>Prisión Preventiva</v>
      </c>
      <c r="S622" s="73" t="s">
        <v>1587</v>
      </c>
      <c r="T622" s="75" t="str">
        <f t="shared" si="35"/>
        <v>NO</v>
      </c>
      <c r="U622" s="75"/>
      <c r="V622" s="66"/>
      <c r="W622" s="66" t="s">
        <v>1578</v>
      </c>
      <c r="X622" s="66" t="s">
        <v>2949</v>
      </c>
      <c r="Y622" s="66"/>
      <c r="Z622" s="279" t="s">
        <v>2867</v>
      </c>
      <c r="AA622" s="121" t="s">
        <v>2852</v>
      </c>
      <c r="AB622" s="121" t="s">
        <v>1177</v>
      </c>
      <c r="AC622" s="366"/>
    </row>
    <row r="623" spans="1:29" ht="39.950000000000003" customHeight="1" x14ac:dyDescent="0.2">
      <c r="A623" s="66">
        <v>622</v>
      </c>
      <c r="B623" s="68">
        <v>45180</v>
      </c>
      <c r="C623" s="66" t="s">
        <v>73</v>
      </c>
      <c r="D623" s="66" t="s">
        <v>2714</v>
      </c>
      <c r="E623" s="67" t="s">
        <v>2715</v>
      </c>
      <c r="F623" s="66">
        <v>7</v>
      </c>
      <c r="G623" s="66" t="s">
        <v>1443</v>
      </c>
      <c r="H623" s="68">
        <v>45195</v>
      </c>
      <c r="I623" s="68" t="s">
        <v>73</v>
      </c>
      <c r="J623" s="68" t="s">
        <v>78</v>
      </c>
      <c r="K623" s="66">
        <f>IFERROR(VLOOKUP(J623,Jueces!$A$1:$B$11,2,FALSE),"")</f>
        <v>8</v>
      </c>
      <c r="L623" s="66" t="s">
        <v>688</v>
      </c>
      <c r="M623" s="66" t="s">
        <v>2777</v>
      </c>
      <c r="N623" s="66" t="s">
        <v>2982</v>
      </c>
      <c r="O623" s="66" t="str">
        <f t="shared" ca="1" si="36"/>
        <v>SI</v>
      </c>
      <c r="P623" s="66" t="str">
        <f t="shared" si="34"/>
        <v>DIANOSOL</v>
      </c>
      <c r="Q623" s="66" t="s">
        <v>905</v>
      </c>
      <c r="R623" s="66" t="str">
        <f>VLOOKUP($Q623,Resultados!$A$1:$B$49,2,FALSE)</f>
        <v>Juicio Abreviado</v>
      </c>
      <c r="S623" s="66" t="s">
        <v>1429</v>
      </c>
      <c r="T623" s="75" t="str">
        <f t="shared" si="35"/>
        <v>NO</v>
      </c>
      <c r="U623" s="75"/>
      <c r="V623" s="66"/>
      <c r="W623" s="66" t="s">
        <v>1234</v>
      </c>
      <c r="X623" s="66" t="s">
        <v>2382</v>
      </c>
      <c r="Y623" s="66"/>
      <c r="Z623" s="121" t="s">
        <v>2895</v>
      </c>
      <c r="AA623" s="121" t="s">
        <v>1169</v>
      </c>
      <c r="AB623" s="121" t="s">
        <v>1177</v>
      </c>
      <c r="AC623" s="366"/>
    </row>
    <row r="624" spans="1:29" ht="39.950000000000003" customHeight="1" x14ac:dyDescent="0.2">
      <c r="A624" s="66">
        <v>623</v>
      </c>
      <c r="B624" s="68">
        <v>45180</v>
      </c>
      <c r="C624" s="73">
        <v>0.3520833333333333</v>
      </c>
      <c r="D624" s="66" t="s">
        <v>2716</v>
      </c>
      <c r="E624" s="67" t="s">
        <v>2717</v>
      </c>
      <c r="F624" s="66">
        <v>7</v>
      </c>
      <c r="G624" s="66" t="s">
        <v>568</v>
      </c>
      <c r="H624" s="68">
        <v>45191</v>
      </c>
      <c r="I624" s="68" t="s">
        <v>1086</v>
      </c>
      <c r="J624" s="68" t="s">
        <v>31</v>
      </c>
      <c r="K624" s="66" t="s">
        <v>1346</v>
      </c>
      <c r="L624" s="66" t="s">
        <v>688</v>
      </c>
      <c r="M624" s="66" t="s">
        <v>887</v>
      </c>
      <c r="N624" s="66" t="s">
        <v>577</v>
      </c>
      <c r="O624" s="66" t="str">
        <f t="shared" ca="1" si="36"/>
        <v>SI</v>
      </c>
      <c r="P624" s="66" t="str">
        <f t="shared" si="34"/>
        <v>DIANOSOL</v>
      </c>
      <c r="Q624" s="66" t="s">
        <v>151</v>
      </c>
      <c r="R624" s="66" t="str">
        <f>VLOOKUP($Q624,Resultados!$A$1:$B$49,2,FALSE)</f>
        <v>Prisión Preventiva</v>
      </c>
      <c r="S624" s="66" t="s">
        <v>76</v>
      </c>
      <c r="T624" s="75" t="str">
        <f t="shared" si="35"/>
        <v>NO</v>
      </c>
      <c r="U624" s="75"/>
      <c r="V624" s="66"/>
      <c r="W624" s="66" t="s">
        <v>1396</v>
      </c>
      <c r="X624" s="66"/>
      <c r="Y624" s="66"/>
      <c r="Z624" s="121" t="s">
        <v>770</v>
      </c>
      <c r="AA624" s="121" t="s">
        <v>1169</v>
      </c>
      <c r="AB624" s="121" t="s">
        <v>1173</v>
      </c>
      <c r="AC624" s="366"/>
    </row>
    <row r="625" spans="1:29" ht="39.950000000000003" customHeight="1" x14ac:dyDescent="0.2">
      <c r="A625" s="66">
        <v>624</v>
      </c>
      <c r="B625" s="68">
        <v>45180</v>
      </c>
      <c r="C625" s="73">
        <v>0.38611111111111113</v>
      </c>
      <c r="D625" s="66" t="s">
        <v>2718</v>
      </c>
      <c r="E625" s="67" t="s">
        <v>2733</v>
      </c>
      <c r="F625" s="66">
        <v>3</v>
      </c>
      <c r="G625" s="66" t="s">
        <v>2788</v>
      </c>
      <c r="H625" s="68">
        <v>45198</v>
      </c>
      <c r="I625" s="68" t="s">
        <v>73</v>
      </c>
      <c r="J625" s="68" t="s">
        <v>35</v>
      </c>
      <c r="K625" s="66">
        <f>IFERROR(VLOOKUP(J625,Jueces!$A$1:$B$11,2,FALSE),"")</f>
        <v>3</v>
      </c>
      <c r="L625" s="66" t="s">
        <v>802</v>
      </c>
      <c r="M625" s="66" t="s">
        <v>2734</v>
      </c>
      <c r="N625" s="66" t="s">
        <v>577</v>
      </c>
      <c r="O625" s="66" t="str">
        <f t="shared" ca="1" si="36"/>
        <v>SI</v>
      </c>
      <c r="P625" s="66" t="str">
        <f t="shared" si="34"/>
        <v>DIANOSOL</v>
      </c>
      <c r="Q625" s="66" t="s">
        <v>151</v>
      </c>
      <c r="R625" s="66" t="str">
        <f>VLOOKUP($Q625,Resultados!$A$1:$B$49,2,FALSE)</f>
        <v>Prisión Preventiva</v>
      </c>
      <c r="S625" s="66" t="s">
        <v>1587</v>
      </c>
      <c r="T625" s="75" t="str">
        <f t="shared" si="35"/>
        <v>NO</v>
      </c>
      <c r="U625" s="75"/>
      <c r="V625" s="66"/>
      <c r="W625" s="66" t="s">
        <v>1015</v>
      </c>
      <c r="X625" s="66" t="s">
        <v>2896</v>
      </c>
      <c r="Y625" s="66"/>
      <c r="Z625" s="336" t="s">
        <v>2895</v>
      </c>
      <c r="AA625" s="121" t="s">
        <v>1169</v>
      </c>
      <c r="AB625" s="121" t="s">
        <v>1177</v>
      </c>
      <c r="AC625" s="366"/>
    </row>
    <row r="626" spans="1:29" ht="39.950000000000003" customHeight="1" x14ac:dyDescent="0.2">
      <c r="A626" s="66">
        <v>625</v>
      </c>
      <c r="B626" s="68">
        <v>45180</v>
      </c>
      <c r="C626" s="73">
        <v>0.36041666666666666</v>
      </c>
      <c r="D626" s="66" t="s">
        <v>2719</v>
      </c>
      <c r="E626" s="67" t="s">
        <v>2720</v>
      </c>
      <c r="F626" s="66">
        <v>7</v>
      </c>
      <c r="G626" s="66" t="s">
        <v>1441</v>
      </c>
      <c r="H626" s="68">
        <v>45194</v>
      </c>
      <c r="I626" s="68" t="s">
        <v>73</v>
      </c>
      <c r="J626" s="68" t="s">
        <v>35</v>
      </c>
      <c r="K626" s="66">
        <f>IFERROR(VLOOKUP(J626,Jueces!$A$1:$B$11,2,FALSE),"")</f>
        <v>3</v>
      </c>
      <c r="L626" s="66" t="s">
        <v>326</v>
      </c>
      <c r="M626" s="66" t="s">
        <v>723</v>
      </c>
      <c r="N626" s="66" t="s">
        <v>577</v>
      </c>
      <c r="O626" s="66" t="str">
        <f t="shared" ca="1" si="36"/>
        <v>SI</v>
      </c>
      <c r="P626" s="66" t="str">
        <f t="shared" si="34"/>
        <v>DIANOSOL</v>
      </c>
      <c r="Q626" s="66" t="s">
        <v>151</v>
      </c>
      <c r="R626" s="66" t="str">
        <f>VLOOKUP($Q626,Resultados!$A$1:$B$49,2,FALSE)</f>
        <v>Prisión Preventiva</v>
      </c>
      <c r="S626" s="66" t="s">
        <v>686</v>
      </c>
      <c r="T626" s="75" t="str">
        <f t="shared" si="35"/>
        <v>NO</v>
      </c>
      <c r="U626" s="75"/>
      <c r="V626" s="66"/>
      <c r="W626" s="66" t="s">
        <v>1210</v>
      </c>
      <c r="X626" s="66" t="s">
        <v>2960</v>
      </c>
      <c r="Y626" s="66"/>
      <c r="Z626" s="121" t="s">
        <v>2895</v>
      </c>
      <c r="AA626" s="121" t="s">
        <v>1169</v>
      </c>
      <c r="AB626" s="121" t="s">
        <v>1174</v>
      </c>
      <c r="AC626" s="366"/>
    </row>
    <row r="627" spans="1:29" ht="39.950000000000003" customHeight="1" x14ac:dyDescent="0.2">
      <c r="A627" s="66">
        <v>626</v>
      </c>
      <c r="B627" s="68">
        <v>45180</v>
      </c>
      <c r="C627" s="73">
        <v>0.39027777777777778</v>
      </c>
      <c r="D627" s="66" t="s">
        <v>2721</v>
      </c>
      <c r="E627" s="67" t="s">
        <v>2816</v>
      </c>
      <c r="F627" s="66">
        <v>8</v>
      </c>
      <c r="G627" s="66" t="s">
        <v>568</v>
      </c>
      <c r="H627" s="68">
        <v>45202</v>
      </c>
      <c r="I627" s="68" t="s">
        <v>1086</v>
      </c>
      <c r="J627" s="68" t="s">
        <v>78</v>
      </c>
      <c r="K627" s="66">
        <f>IFERROR(VLOOKUP(J627,Jueces!$A$1:$B$11,2,FALSE),"")</f>
        <v>8</v>
      </c>
      <c r="L627" s="66" t="s">
        <v>791</v>
      </c>
      <c r="M627" s="66" t="s">
        <v>887</v>
      </c>
      <c r="N627" s="66" t="s">
        <v>3140</v>
      </c>
      <c r="O627" s="66" t="str">
        <f t="shared" ca="1" si="36"/>
        <v>SI</v>
      </c>
      <c r="P627" s="66" t="str">
        <f t="shared" si="34"/>
        <v>DIANOSOL</v>
      </c>
      <c r="Q627" s="66" t="s">
        <v>151</v>
      </c>
      <c r="R627" s="66" t="str">
        <f>VLOOKUP($Q627,Resultados!$A$1:$B$49,2,FALSE)</f>
        <v>Prisión Preventiva</v>
      </c>
      <c r="S627" s="66" t="s">
        <v>3141</v>
      </c>
      <c r="T627" s="75" t="str">
        <f t="shared" si="35"/>
        <v>NO</v>
      </c>
      <c r="U627" s="75"/>
      <c r="V627" s="66"/>
      <c r="W627" s="66" t="s">
        <v>1802</v>
      </c>
      <c r="X627" s="66" t="s">
        <v>2906</v>
      </c>
      <c r="Y627" s="66"/>
      <c r="Z627" s="346" t="s">
        <v>1042</v>
      </c>
      <c r="AA627" s="346" t="s">
        <v>1169</v>
      </c>
      <c r="AB627" s="336" t="s">
        <v>1177</v>
      </c>
      <c r="AC627" s="366"/>
    </row>
    <row r="628" spans="1:29" ht="39.950000000000003" customHeight="1" x14ac:dyDescent="0.2">
      <c r="A628" s="66">
        <v>627</v>
      </c>
      <c r="B628" s="68">
        <v>45180</v>
      </c>
      <c r="C628" s="73">
        <v>0.4145833333333333</v>
      </c>
      <c r="D628" s="66" t="s">
        <v>2722</v>
      </c>
      <c r="E628" s="67" t="s">
        <v>2723</v>
      </c>
      <c r="F628" s="66">
        <v>5</v>
      </c>
      <c r="G628" s="66" t="s">
        <v>1443</v>
      </c>
      <c r="H628" s="68">
        <v>45194</v>
      </c>
      <c r="I628" s="68" t="s">
        <v>73</v>
      </c>
      <c r="J628" s="68" t="s">
        <v>78</v>
      </c>
      <c r="K628" s="66">
        <f>IFERROR(VLOOKUP(J628,Jueces!$A$1:$B$11,2,FALSE),"")</f>
        <v>8</v>
      </c>
      <c r="L628" s="66" t="s">
        <v>813</v>
      </c>
      <c r="M628" s="66" t="s">
        <v>783</v>
      </c>
      <c r="N628" s="66" t="s">
        <v>2961</v>
      </c>
      <c r="O628" s="66" t="str">
        <f t="shared" ca="1" si="36"/>
        <v>SI</v>
      </c>
      <c r="P628" s="66" t="str">
        <f t="shared" si="34"/>
        <v>DIANOSOL</v>
      </c>
      <c r="Q628" s="66" t="s">
        <v>909</v>
      </c>
      <c r="R628" s="66" t="str">
        <f>VLOOKUP($Q628,Resultados!$A$1:$B$49,2,FALSE)</f>
        <v>Suspensión de juicio a prueba</v>
      </c>
      <c r="S628" s="66" t="s">
        <v>1609</v>
      </c>
      <c r="T628" s="75" t="str">
        <f t="shared" si="35"/>
        <v>NO</v>
      </c>
      <c r="U628" s="75"/>
      <c r="V628" s="66"/>
      <c r="W628" s="66" t="s">
        <v>1229</v>
      </c>
      <c r="X628" s="66" t="s">
        <v>2962</v>
      </c>
      <c r="Y628" s="66"/>
      <c r="Z628" s="121" t="s">
        <v>1042</v>
      </c>
      <c r="AA628" s="121" t="s">
        <v>2852</v>
      </c>
      <c r="AB628" s="121" t="s">
        <v>1173</v>
      </c>
      <c r="AC628" s="366"/>
    </row>
    <row r="629" spans="1:29" ht="39.950000000000003" customHeight="1" x14ac:dyDescent="0.2">
      <c r="A629" s="66">
        <v>628</v>
      </c>
      <c r="B629" s="68">
        <v>45180</v>
      </c>
      <c r="C629" s="73">
        <v>0.44236111111111115</v>
      </c>
      <c r="D629" s="66" t="s">
        <v>2724</v>
      </c>
      <c r="E629" s="67" t="s">
        <v>2725</v>
      </c>
      <c r="F629" s="66">
        <v>7</v>
      </c>
      <c r="G629" s="66" t="s">
        <v>2775</v>
      </c>
      <c r="H629" s="68">
        <v>45201</v>
      </c>
      <c r="I629" s="68" t="s">
        <v>73</v>
      </c>
      <c r="J629" s="68" t="s">
        <v>35</v>
      </c>
      <c r="K629" s="66">
        <f>IFERROR(VLOOKUP(J629,Jueces!$A$1:$B$11,2,FALSE),"")</f>
        <v>3</v>
      </c>
      <c r="L629" s="66" t="s">
        <v>810</v>
      </c>
      <c r="M629" s="66" t="s">
        <v>2768</v>
      </c>
      <c r="N629" s="66" t="s">
        <v>235</v>
      </c>
      <c r="O629" s="81" t="str">
        <f t="shared" ca="1" si="36"/>
        <v>SI</v>
      </c>
      <c r="P629" s="81" t="str">
        <f t="shared" si="34"/>
        <v>DIANOSOL</v>
      </c>
      <c r="Q629" s="66" t="s">
        <v>151</v>
      </c>
      <c r="R629" s="66" t="str">
        <f>VLOOKUP($Q629,Resultados!$A$1:$B$49,2,FALSE)</f>
        <v>Prisión Preventiva</v>
      </c>
      <c r="S629" s="73">
        <v>0.51180555555555551</v>
      </c>
      <c r="T629" s="84" t="str">
        <f t="shared" si="35"/>
        <v>NO</v>
      </c>
      <c r="U629" s="84"/>
      <c r="V629" s="81"/>
      <c r="W629" s="73">
        <v>0.52986111111111112</v>
      </c>
      <c r="X629" s="230" t="s">
        <v>3120</v>
      </c>
      <c r="Y629" s="66"/>
      <c r="Z629" s="405" t="s">
        <v>1041</v>
      </c>
      <c r="AA629" s="121" t="s">
        <v>1169</v>
      </c>
      <c r="AB629" s="121" t="s">
        <v>1177</v>
      </c>
      <c r="AC629" s="366"/>
    </row>
    <row r="630" spans="1:29" ht="39.950000000000003" customHeight="1" x14ac:dyDescent="0.2">
      <c r="A630" s="66">
        <v>629</v>
      </c>
      <c r="B630" s="68">
        <v>45180</v>
      </c>
      <c r="C630" s="73">
        <v>0.43472222222222223</v>
      </c>
      <c r="D630" s="66" t="s">
        <v>2726</v>
      </c>
      <c r="E630" s="67" t="s">
        <v>2917</v>
      </c>
      <c r="F630" s="66">
        <v>7</v>
      </c>
      <c r="G630" s="66" t="s">
        <v>1441</v>
      </c>
      <c r="H630" s="68">
        <v>45195</v>
      </c>
      <c r="I630" s="68" t="s">
        <v>73</v>
      </c>
      <c r="J630" s="68" t="s">
        <v>31</v>
      </c>
      <c r="K630" s="66">
        <f>IFERROR(VLOOKUP(J630,Jueces!$A$1:$B$11,2,FALSE),"")</f>
        <v>2</v>
      </c>
      <c r="L630" s="66" t="s">
        <v>789</v>
      </c>
      <c r="M630" s="66" t="s">
        <v>711</v>
      </c>
      <c r="N630" s="66" t="s">
        <v>2980</v>
      </c>
      <c r="O630" s="66" t="str">
        <f t="shared" ca="1" si="36"/>
        <v>SI</v>
      </c>
      <c r="P630" s="66" t="str">
        <f t="shared" si="34"/>
        <v>DIANOSOL</v>
      </c>
      <c r="Q630" s="66" t="s">
        <v>905</v>
      </c>
      <c r="R630" s="66" t="str">
        <f>VLOOKUP($Q630,Resultados!$A$1:$B$49,2,FALSE)</f>
        <v>Juicio Abreviado</v>
      </c>
      <c r="S630" s="66" t="s">
        <v>1292</v>
      </c>
      <c r="T630" s="75" t="str">
        <f t="shared" si="35"/>
        <v>NO</v>
      </c>
      <c r="U630" s="75"/>
      <c r="V630" s="66"/>
      <c r="W630" s="66" t="s">
        <v>1499</v>
      </c>
      <c r="X630" s="66" t="s">
        <v>2981</v>
      </c>
      <c r="Y630" s="66"/>
      <c r="Z630" s="121" t="s">
        <v>1042</v>
      </c>
      <c r="AA630" s="121" t="s">
        <v>1169</v>
      </c>
      <c r="AB630" s="121" t="s">
        <v>1174</v>
      </c>
      <c r="AC630" s="366"/>
    </row>
    <row r="631" spans="1:29" ht="39.950000000000003" customHeight="1" x14ac:dyDescent="0.2">
      <c r="A631" s="66">
        <v>630</v>
      </c>
      <c r="B631" s="68">
        <v>45180</v>
      </c>
      <c r="C631" s="73">
        <v>0.5180555555555556</v>
      </c>
      <c r="D631" s="66" t="s">
        <v>2731</v>
      </c>
      <c r="E631" s="67" t="s">
        <v>2732</v>
      </c>
      <c r="F631" s="66">
        <v>8</v>
      </c>
      <c r="G631" s="66" t="s">
        <v>2773</v>
      </c>
      <c r="H631" s="68">
        <v>45194</v>
      </c>
      <c r="I631" s="68" t="s">
        <v>73</v>
      </c>
      <c r="J631" s="68" t="s">
        <v>1221</v>
      </c>
      <c r="K631" s="210" t="s">
        <v>1925</v>
      </c>
      <c r="L631" s="66" t="s">
        <v>799</v>
      </c>
      <c r="M631" s="66" t="s">
        <v>887</v>
      </c>
      <c r="N631" s="66" t="s">
        <v>2950</v>
      </c>
      <c r="O631" s="66" t="str">
        <f t="shared" ca="1" si="36"/>
        <v>SI</v>
      </c>
      <c r="P631" s="66" t="str">
        <f t="shared" si="34"/>
        <v>DIANOSOL</v>
      </c>
      <c r="Q631" s="66" t="s">
        <v>904</v>
      </c>
      <c r="R631" s="66" t="str">
        <f>VLOOKUP($Q631,Resultados!$A$1:$B$49,2,FALSE)</f>
        <v>Juicio Abreviado</v>
      </c>
      <c r="S631" s="66" t="s">
        <v>1086</v>
      </c>
      <c r="T631" s="75" t="str">
        <f t="shared" si="35"/>
        <v>NO</v>
      </c>
      <c r="U631" s="75"/>
      <c r="V631" s="66"/>
      <c r="W631" s="66" t="s">
        <v>1238</v>
      </c>
      <c r="X631" s="66" t="s">
        <v>2956</v>
      </c>
      <c r="Y631" s="66"/>
      <c r="Z631" s="121" t="s">
        <v>748</v>
      </c>
      <c r="AA631" s="121" t="s">
        <v>1171</v>
      </c>
      <c r="AB631" s="121" t="s">
        <v>1175</v>
      </c>
      <c r="AC631" s="366"/>
    </row>
    <row r="632" spans="1:29" ht="39.950000000000003" customHeight="1" x14ac:dyDescent="0.2">
      <c r="A632" s="66">
        <v>631</v>
      </c>
      <c r="B632" s="68">
        <v>45181</v>
      </c>
      <c r="C632" s="73">
        <v>0.35000000000000003</v>
      </c>
      <c r="D632" s="66" t="s">
        <v>2739</v>
      </c>
      <c r="E632" s="67" t="s">
        <v>2740</v>
      </c>
      <c r="F632" s="66">
        <v>7</v>
      </c>
      <c r="G632" s="66" t="s">
        <v>29</v>
      </c>
      <c r="H632" s="68">
        <v>45195</v>
      </c>
      <c r="I632" s="68" t="s">
        <v>73</v>
      </c>
      <c r="J632" s="68" t="s">
        <v>33</v>
      </c>
      <c r="K632" s="66">
        <f>IFERROR(VLOOKUP(J632,Jueces!$A$1:$B$11,2,FALSE),"")</f>
        <v>4</v>
      </c>
      <c r="L632" s="66" t="s">
        <v>807</v>
      </c>
      <c r="M632" s="66" t="s">
        <v>767</v>
      </c>
      <c r="N632" s="66" t="s">
        <v>2983</v>
      </c>
      <c r="O632" s="66" t="str">
        <f t="shared" ca="1" si="36"/>
        <v>SI</v>
      </c>
      <c r="P632" s="66" t="str">
        <f t="shared" si="34"/>
        <v>DIANOSOL</v>
      </c>
      <c r="Q632" s="66" t="s">
        <v>904</v>
      </c>
      <c r="R632" s="66" t="str">
        <f>VLOOKUP($Q632,Resultados!$A$1:$B$49,2,FALSE)</f>
        <v>Juicio Abreviado</v>
      </c>
      <c r="S632" s="66" t="s">
        <v>1017</v>
      </c>
      <c r="T632" s="75" t="str">
        <f t="shared" si="35"/>
        <v>NO</v>
      </c>
      <c r="U632" s="75"/>
      <c r="V632" s="66"/>
      <c r="W632" s="66" t="s">
        <v>1065</v>
      </c>
      <c r="X632" s="66" t="s">
        <v>2984</v>
      </c>
      <c r="Y632" s="66"/>
      <c r="Z632" s="121" t="s">
        <v>748</v>
      </c>
      <c r="AA632" s="121" t="s">
        <v>2852</v>
      </c>
      <c r="AB632" s="121" t="s">
        <v>1173</v>
      </c>
      <c r="AC632" s="366"/>
    </row>
    <row r="633" spans="1:29" ht="39.950000000000003" customHeight="1" x14ac:dyDescent="0.2">
      <c r="A633" s="66">
        <v>632</v>
      </c>
      <c r="B633" s="68">
        <v>45181</v>
      </c>
      <c r="C633" s="73">
        <v>0.35972222222222222</v>
      </c>
      <c r="D633" s="66" t="s">
        <v>2741</v>
      </c>
      <c r="E633" s="67" t="s">
        <v>2742</v>
      </c>
      <c r="F633" s="66">
        <v>5</v>
      </c>
      <c r="G633" s="66" t="s">
        <v>43</v>
      </c>
      <c r="H633" s="68">
        <v>45195</v>
      </c>
      <c r="I633" s="68" t="s">
        <v>73</v>
      </c>
      <c r="J633" s="68" t="s">
        <v>1221</v>
      </c>
      <c r="K633" s="210" t="s">
        <v>1925</v>
      </c>
      <c r="L633" s="66" t="s">
        <v>829</v>
      </c>
      <c r="M633" s="66" t="s">
        <v>2703</v>
      </c>
      <c r="N633" s="66" t="s">
        <v>2986</v>
      </c>
      <c r="O633" s="66" t="str">
        <f t="shared" ca="1" si="36"/>
        <v>SI</v>
      </c>
      <c r="P633" s="66" t="str">
        <f t="shared" si="34"/>
        <v>DIANOSOL</v>
      </c>
      <c r="Q633" s="66" t="s">
        <v>151</v>
      </c>
      <c r="R633" s="66" t="str">
        <f>VLOOKUP($Q633,Resultados!$A$1:$B$49,2,FALSE)</f>
        <v>Prisión Preventiva</v>
      </c>
      <c r="S633" s="66" t="s">
        <v>2987</v>
      </c>
      <c r="T633" s="75" t="str">
        <f t="shared" si="35"/>
        <v>NO</v>
      </c>
      <c r="U633" s="75"/>
      <c r="V633" s="66"/>
      <c r="W633" s="66" t="s">
        <v>686</v>
      </c>
      <c r="X633" s="66" t="s">
        <v>2988</v>
      </c>
      <c r="Y633" s="66"/>
      <c r="Z633" s="121" t="s">
        <v>743</v>
      </c>
      <c r="AA633" s="121" t="s">
        <v>2852</v>
      </c>
      <c r="AB633" s="121" t="s">
        <v>1175</v>
      </c>
      <c r="AC633" s="366"/>
    </row>
    <row r="634" spans="1:29" ht="39.950000000000003" customHeight="1" x14ac:dyDescent="0.2">
      <c r="A634" s="66">
        <v>633</v>
      </c>
      <c r="B634" s="68">
        <v>45181</v>
      </c>
      <c r="C634" s="73">
        <v>0.42083333333333334</v>
      </c>
      <c r="D634" s="66" t="s">
        <v>2744</v>
      </c>
      <c r="E634" s="67" t="s">
        <v>2798</v>
      </c>
      <c r="F634" s="66">
        <v>8</v>
      </c>
      <c r="G634" s="66" t="s">
        <v>2775</v>
      </c>
      <c r="H634" s="68">
        <v>45195</v>
      </c>
      <c r="I634" s="68" t="s">
        <v>1086</v>
      </c>
      <c r="J634" s="68" t="s">
        <v>1221</v>
      </c>
      <c r="K634" s="210" t="s">
        <v>1925</v>
      </c>
      <c r="L634" s="66" t="s">
        <v>790</v>
      </c>
      <c r="M634" s="66" t="s">
        <v>1087</v>
      </c>
      <c r="N634" s="66" t="s">
        <v>577</v>
      </c>
      <c r="O634" s="66" t="str">
        <f t="shared" ca="1" si="36"/>
        <v>SI</v>
      </c>
      <c r="P634" s="66" t="str">
        <f t="shared" si="34"/>
        <v>DIANOSOL</v>
      </c>
      <c r="Q634" s="66" t="s">
        <v>151</v>
      </c>
      <c r="R634" s="66" t="str">
        <f>VLOOKUP($Q634,Resultados!$A$1:$B$49,2,FALSE)</f>
        <v>Prisión Preventiva</v>
      </c>
      <c r="S634" s="66" t="s">
        <v>1445</v>
      </c>
      <c r="T634" s="75" t="str">
        <f t="shared" si="35"/>
        <v>NO</v>
      </c>
      <c r="U634" s="75"/>
      <c r="V634" s="66"/>
      <c r="W634" s="66" t="s">
        <v>1802</v>
      </c>
      <c r="X634" s="66" t="s">
        <v>2990</v>
      </c>
      <c r="Y634" s="66"/>
      <c r="Z634" s="121" t="s">
        <v>1041</v>
      </c>
      <c r="AA634" s="121" t="s">
        <v>1169</v>
      </c>
      <c r="AB634" s="121" t="s">
        <v>1174</v>
      </c>
      <c r="AC634" s="366"/>
    </row>
    <row r="635" spans="1:29" ht="39.950000000000003" customHeight="1" x14ac:dyDescent="0.2">
      <c r="A635" s="66">
        <v>634</v>
      </c>
      <c r="B635" s="68">
        <v>45181</v>
      </c>
      <c r="C635" s="73">
        <v>0.39930555555555558</v>
      </c>
      <c r="D635" s="66" t="s">
        <v>2745</v>
      </c>
      <c r="E635" s="67" t="s">
        <v>2790</v>
      </c>
      <c r="F635" s="66">
        <v>8</v>
      </c>
      <c r="G635" s="66" t="s">
        <v>1441</v>
      </c>
      <c r="H635" s="68">
        <v>45197</v>
      </c>
      <c r="I635" s="68" t="s">
        <v>1086</v>
      </c>
      <c r="J635" s="68" t="s">
        <v>1225</v>
      </c>
      <c r="K635" s="66">
        <f>IFERROR(VLOOKUP(J635,Jueces!$A$1:$B$11,2,FALSE),"")</f>
        <v>6</v>
      </c>
      <c r="L635" s="66" t="s">
        <v>813</v>
      </c>
      <c r="M635" s="66" t="s">
        <v>1087</v>
      </c>
      <c r="N635" s="210" t="s">
        <v>235</v>
      </c>
      <c r="O635" s="81" t="str">
        <f t="shared" ca="1" si="36"/>
        <v>SI</v>
      </c>
      <c r="P635" s="81" t="str">
        <f t="shared" si="34"/>
        <v>DIANOSOL</v>
      </c>
      <c r="Q635" s="66" t="s">
        <v>151</v>
      </c>
      <c r="R635" s="66" t="str">
        <f>VLOOKUP($Q635,Resultados!$A$1:$B$49,2,FALSE)</f>
        <v>Prisión Preventiva</v>
      </c>
      <c r="S635" s="73">
        <v>0.38194444444444442</v>
      </c>
      <c r="T635" s="84" t="str">
        <f t="shared" si="35"/>
        <v>NO</v>
      </c>
      <c r="U635" s="84"/>
      <c r="V635" s="81"/>
      <c r="W635" s="73">
        <v>0.40138888888888885</v>
      </c>
      <c r="X635" s="66" t="s">
        <v>3073</v>
      </c>
      <c r="Y635" s="66"/>
      <c r="Z635" s="121" t="s">
        <v>2867</v>
      </c>
      <c r="AA635" s="121" t="s">
        <v>2852</v>
      </c>
      <c r="AB635" s="121" t="s">
        <v>1175</v>
      </c>
      <c r="AC635" s="366"/>
    </row>
    <row r="636" spans="1:29" ht="39.950000000000003"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6"/>
        <v>SI</v>
      </c>
      <c r="P636" s="66" t="str">
        <f t="shared" si="34"/>
        <v>DIANOSOL</v>
      </c>
      <c r="Q636" s="66" t="s">
        <v>151</v>
      </c>
      <c r="R636" s="66" t="str">
        <f>VLOOKUP($Q636,Resultados!$A$1:$B$49,2,FALSE)</f>
        <v>Prisión Preventiva</v>
      </c>
      <c r="S636" s="66" t="s">
        <v>3010</v>
      </c>
      <c r="T636" s="75" t="str">
        <f t="shared" si="35"/>
        <v>NO</v>
      </c>
      <c r="U636" s="75"/>
      <c r="V636" s="66"/>
      <c r="W636" s="66" t="s">
        <v>1017</v>
      </c>
      <c r="X636" s="66"/>
      <c r="Y636" s="66"/>
      <c r="Z636" s="121" t="s">
        <v>1041</v>
      </c>
      <c r="AA636" s="121" t="s">
        <v>1171</v>
      </c>
      <c r="AB636" s="121" t="s">
        <v>1177</v>
      </c>
      <c r="AC636" s="366"/>
    </row>
    <row r="637" spans="1:29" ht="39.950000000000003" customHeight="1" x14ac:dyDescent="0.2">
      <c r="A637" s="66">
        <v>636</v>
      </c>
      <c r="B637" s="68">
        <v>45181</v>
      </c>
      <c r="C637" s="73">
        <v>0.49513888888888885</v>
      </c>
      <c r="D637" s="66" t="s">
        <v>2749</v>
      </c>
      <c r="E637" s="67" t="s">
        <v>2750</v>
      </c>
      <c r="F637" s="66">
        <v>8</v>
      </c>
      <c r="G637" s="66" t="s">
        <v>2838</v>
      </c>
      <c r="H637" s="68">
        <v>45202</v>
      </c>
      <c r="I637" s="68" t="s">
        <v>73</v>
      </c>
      <c r="J637" s="68" t="s">
        <v>1221</v>
      </c>
      <c r="K637" s="66">
        <f>IFERROR(VLOOKUP(J637,Jueces!$A$1:$B$11,2,FALSE),"")</f>
        <v>7</v>
      </c>
      <c r="L637" s="66" t="s">
        <v>813</v>
      </c>
      <c r="M637" s="66" t="s">
        <v>767</v>
      </c>
      <c r="N637" s="66" t="s">
        <v>3133</v>
      </c>
      <c r="O637" s="66" t="str">
        <f t="shared" ca="1" si="36"/>
        <v>SI</v>
      </c>
      <c r="P637" s="66" t="str">
        <f t="shared" si="34"/>
        <v>DIANOSOL</v>
      </c>
      <c r="Q637" s="66" t="s">
        <v>151</v>
      </c>
      <c r="R637" s="66" t="s">
        <v>151</v>
      </c>
      <c r="S637" s="66" t="s">
        <v>3134</v>
      </c>
      <c r="T637" s="75" t="str">
        <f t="shared" si="35"/>
        <v>NO</v>
      </c>
      <c r="U637" s="75"/>
      <c r="V637" s="66"/>
      <c r="W637" s="66" t="s">
        <v>76</v>
      </c>
      <c r="X637" s="387" t="s">
        <v>3135</v>
      </c>
      <c r="Y637" s="66"/>
      <c r="Z637" s="346" t="s">
        <v>2895</v>
      </c>
      <c r="AA637" s="346" t="s">
        <v>1171</v>
      </c>
      <c r="AB637" s="336" t="s">
        <v>1174</v>
      </c>
      <c r="AC637" s="366"/>
    </row>
    <row r="638" spans="1:29" ht="39.950000000000003" customHeight="1" x14ac:dyDescent="0.2">
      <c r="A638" s="66">
        <v>637</v>
      </c>
      <c r="B638" s="68">
        <v>45181</v>
      </c>
      <c r="C638" s="73">
        <v>0.48333333333333334</v>
      </c>
      <c r="D638" s="66" t="s">
        <v>2751</v>
      </c>
      <c r="E638" s="67" t="s">
        <v>2752</v>
      </c>
      <c r="F638" s="66">
        <v>5</v>
      </c>
      <c r="G638" s="66" t="s">
        <v>1441</v>
      </c>
      <c r="H638" s="68">
        <v>45191</v>
      </c>
      <c r="I638" s="68" t="s">
        <v>73</v>
      </c>
      <c r="J638" s="68" t="s">
        <v>33</v>
      </c>
      <c r="K638" s="66">
        <f>IFERROR(VLOOKUP(J638,Jueces!$A$1:$B$11,2,FALSE),"")</f>
        <v>4</v>
      </c>
      <c r="L638" s="66" t="s">
        <v>803</v>
      </c>
      <c r="M638" s="66" t="s">
        <v>700</v>
      </c>
      <c r="N638" s="387" t="s">
        <v>577</v>
      </c>
      <c r="O638" s="66" t="str">
        <f t="shared" ca="1" si="36"/>
        <v>SI</v>
      </c>
      <c r="P638" s="66" t="str">
        <f t="shared" si="34"/>
        <v>DIANOSOL</v>
      </c>
      <c r="Q638" s="66" t="s">
        <v>151</v>
      </c>
      <c r="R638" s="66" t="str">
        <f>VLOOKUP($Q638,Resultados!$A$1:$B$49,2,FALSE)</f>
        <v>Prisión Preventiva</v>
      </c>
      <c r="S638" s="73" t="s">
        <v>1296</v>
      </c>
      <c r="T638" s="75" t="str">
        <f t="shared" si="35"/>
        <v>NO</v>
      </c>
      <c r="U638" s="75"/>
      <c r="V638" s="66"/>
      <c r="W638" s="66" t="s">
        <v>1231</v>
      </c>
      <c r="X638" s="66" t="s">
        <v>2896</v>
      </c>
      <c r="Y638" s="66"/>
      <c r="Z638" s="121" t="s">
        <v>748</v>
      </c>
      <c r="AA638" s="121" t="s">
        <v>2852</v>
      </c>
      <c r="AB638" s="121" t="s">
        <v>1177</v>
      </c>
      <c r="AC638" s="366"/>
    </row>
    <row r="639" spans="1:29" ht="39.950000000000003" customHeight="1" x14ac:dyDescent="0.2">
      <c r="A639" s="66">
        <v>638</v>
      </c>
      <c r="B639" s="68">
        <v>45181</v>
      </c>
      <c r="C639" s="73">
        <v>0.45416666666666666</v>
      </c>
      <c r="D639" s="66" t="s">
        <v>2753</v>
      </c>
      <c r="E639" s="67" t="s">
        <v>2754</v>
      </c>
      <c r="F639" s="66">
        <v>8</v>
      </c>
      <c r="G639" s="66" t="s">
        <v>29</v>
      </c>
      <c r="H639" s="68">
        <v>45194</v>
      </c>
      <c r="I639" s="68" t="s">
        <v>1086</v>
      </c>
      <c r="J639" s="68" t="s">
        <v>1221</v>
      </c>
      <c r="K639" s="210" t="s">
        <v>1925</v>
      </c>
      <c r="L639" s="66" t="s">
        <v>812</v>
      </c>
      <c r="M639" s="66" t="s">
        <v>1087</v>
      </c>
      <c r="N639" s="66" t="s">
        <v>2947</v>
      </c>
      <c r="O639" s="66" t="str">
        <f t="shared" ca="1" si="36"/>
        <v>SI</v>
      </c>
      <c r="P639" s="66" t="str">
        <f t="shared" si="34"/>
        <v>DIANOSOL</v>
      </c>
      <c r="Q639" s="66" t="s">
        <v>899</v>
      </c>
      <c r="R639" s="66" t="str">
        <f>VLOOKUP($Q639,Resultados!$A$1:$B$49,2,FALSE)</f>
        <v>Libertad</v>
      </c>
      <c r="S639" s="66" t="s">
        <v>1084</v>
      </c>
      <c r="T639" s="75" t="str">
        <f t="shared" si="35"/>
        <v>NO</v>
      </c>
      <c r="U639" s="75"/>
      <c r="V639" s="66"/>
      <c r="W639" s="66" t="s">
        <v>1276</v>
      </c>
      <c r="X639" s="66" t="s">
        <v>2948</v>
      </c>
      <c r="Y639" s="66"/>
      <c r="Z639" s="121" t="s">
        <v>770</v>
      </c>
      <c r="AA639" s="121" t="s">
        <v>2852</v>
      </c>
      <c r="AB639" s="121" t="s">
        <v>1174</v>
      </c>
      <c r="AC639" s="366"/>
    </row>
    <row r="640" spans="1:29" ht="39.950000000000003" customHeight="1" x14ac:dyDescent="0.2">
      <c r="A640" s="66">
        <v>639</v>
      </c>
      <c r="B640" s="68">
        <v>45181</v>
      </c>
      <c r="C640" s="66" t="s">
        <v>2761</v>
      </c>
      <c r="D640" s="66" t="s">
        <v>2762</v>
      </c>
      <c r="E640" s="67" t="s">
        <v>2763</v>
      </c>
      <c r="F640" s="66">
        <v>8</v>
      </c>
      <c r="G640" s="66" t="s">
        <v>283</v>
      </c>
      <c r="H640" s="68">
        <v>45195</v>
      </c>
      <c r="I640" s="68" t="s">
        <v>1086</v>
      </c>
      <c r="J640" s="68" t="s">
        <v>33</v>
      </c>
      <c r="K640" s="66">
        <f>IFERROR(VLOOKUP(J640,Jueces!$A$1:$B$11,2,FALSE),"")</f>
        <v>4</v>
      </c>
      <c r="L640" s="66" t="s">
        <v>806</v>
      </c>
      <c r="M640" s="66" t="s">
        <v>887</v>
      </c>
      <c r="N640" s="66" t="s">
        <v>2989</v>
      </c>
      <c r="O640" s="66" t="str">
        <f t="shared" ca="1" si="36"/>
        <v>SI</v>
      </c>
      <c r="P640" s="66" t="str">
        <f t="shared" si="34"/>
        <v>DIANOSOL</v>
      </c>
      <c r="Q640" s="66" t="s">
        <v>904</v>
      </c>
      <c r="R640" s="66" t="str">
        <f>VLOOKUP($Q640,Resultados!$A$1:$B$49,2,FALSE)</f>
        <v>Juicio Abreviado</v>
      </c>
      <c r="S640" s="66" t="s">
        <v>2685</v>
      </c>
      <c r="T640" s="75" t="str">
        <f t="shared" si="35"/>
        <v>NO</v>
      </c>
      <c r="U640" s="75"/>
      <c r="V640" s="66"/>
      <c r="W640" s="66" t="s">
        <v>1802</v>
      </c>
      <c r="X640" s="6" t="s">
        <v>2984</v>
      </c>
      <c r="Y640" s="66"/>
      <c r="Z640" s="121" t="s">
        <v>2895</v>
      </c>
      <c r="AA640" s="121" t="s">
        <v>1171</v>
      </c>
      <c r="AB640" s="121" t="s">
        <v>1173</v>
      </c>
      <c r="AC640" s="366"/>
    </row>
    <row r="641" spans="1:29" ht="39.950000000000003" customHeight="1" x14ac:dyDescent="0.2">
      <c r="A641" s="66">
        <v>639</v>
      </c>
      <c r="B641" s="68">
        <v>45181</v>
      </c>
      <c r="C641" s="73">
        <v>0.46666666666666662</v>
      </c>
      <c r="D641" s="66" t="s">
        <v>2755</v>
      </c>
      <c r="E641" s="67" t="s">
        <v>2756</v>
      </c>
      <c r="F641" s="66">
        <v>8</v>
      </c>
      <c r="G641" s="66" t="s">
        <v>2788</v>
      </c>
      <c r="H641" s="68">
        <v>45201</v>
      </c>
      <c r="I641" s="68" t="s">
        <v>1086</v>
      </c>
      <c r="J641" s="68" t="s">
        <v>33</v>
      </c>
      <c r="K641" s="66">
        <f>IFERROR(VLOOKUP(J641,Jueces!$A$1:$B$11,2,FALSE),"")</f>
        <v>4</v>
      </c>
      <c r="L641" s="66" t="s">
        <v>800</v>
      </c>
      <c r="M641" s="66" t="s">
        <v>697</v>
      </c>
      <c r="N641" s="66" t="s">
        <v>3126</v>
      </c>
      <c r="O641" s="81" t="str">
        <f t="shared" ca="1" si="36"/>
        <v>SI</v>
      </c>
      <c r="P641" s="81" t="str">
        <f t="shared" si="34"/>
        <v>DIANOSOL</v>
      </c>
      <c r="Q641" s="66" t="s">
        <v>905</v>
      </c>
      <c r="R641" s="66" t="str">
        <f>VLOOKUP($Q641,Resultados!$A$1:$B$49,2,FALSE)</f>
        <v>Juicio Abreviado</v>
      </c>
      <c r="S641" s="73">
        <v>0.38125000000000003</v>
      </c>
      <c r="T641" s="84" t="str">
        <f t="shared" si="35"/>
        <v>NO</v>
      </c>
      <c r="U641" s="84"/>
      <c r="V641" s="81"/>
      <c r="W641" s="73">
        <v>0.3972222222222222</v>
      </c>
      <c r="X641" s="66" t="s">
        <v>1766</v>
      </c>
      <c r="Y641" s="66"/>
      <c r="Z641" s="336" t="s">
        <v>770</v>
      </c>
      <c r="AA641" s="121" t="s">
        <v>1169</v>
      </c>
      <c r="AB641" s="121" t="s">
        <v>1173</v>
      </c>
      <c r="AC641" s="366"/>
    </row>
    <row r="642" spans="1:29" ht="39.950000000000003" customHeight="1" x14ac:dyDescent="0.2">
      <c r="A642" s="66">
        <v>640</v>
      </c>
      <c r="B642" s="68">
        <v>45181</v>
      </c>
      <c r="C642" s="66" t="s">
        <v>2764</v>
      </c>
      <c r="D642" s="66" t="s">
        <v>2765</v>
      </c>
      <c r="E642" s="67" t="s">
        <v>3036</v>
      </c>
      <c r="F642" s="66">
        <v>4</v>
      </c>
      <c r="G642" s="66" t="s">
        <v>568</v>
      </c>
      <c r="H642" s="68">
        <v>45208</v>
      </c>
      <c r="I642" s="68" t="s">
        <v>1086</v>
      </c>
      <c r="J642" s="68" t="s">
        <v>2951</v>
      </c>
      <c r="K642" s="66" t="s">
        <v>2343</v>
      </c>
      <c r="L642" s="66" t="s">
        <v>800</v>
      </c>
      <c r="M642" s="66" t="s">
        <v>700</v>
      </c>
      <c r="N642" s="66" t="s">
        <v>3264</v>
      </c>
      <c r="O642" s="66" t="str">
        <f t="shared" ca="1" si="36"/>
        <v>SI</v>
      </c>
      <c r="P642" s="66" t="str">
        <f t="shared" si="34"/>
        <v>DIANOSOL</v>
      </c>
      <c r="Q642" s="66" t="s">
        <v>904</v>
      </c>
      <c r="R642" s="66" t="str">
        <f>VLOOKUP($Q642,Resultados!$A$1:$B$49,2,FALSE)</f>
        <v>Juicio Abreviado</v>
      </c>
      <c r="S642" s="66" t="s">
        <v>1210</v>
      </c>
      <c r="T642" s="75" t="str">
        <f t="shared" si="35"/>
        <v>NO</v>
      </c>
      <c r="U642" s="75"/>
      <c r="V642" s="66"/>
      <c r="W642" s="66" t="s">
        <v>1337</v>
      </c>
      <c r="X642" s="66" t="s">
        <v>3196</v>
      </c>
      <c r="Y642" s="66"/>
      <c r="Z642" s="121" t="s">
        <v>2867</v>
      </c>
      <c r="AA642" s="121" t="s">
        <v>1169</v>
      </c>
      <c r="AB642" s="121" t="s">
        <v>1177</v>
      </c>
      <c r="AC642" s="366"/>
    </row>
    <row r="643" spans="1:29" ht="87"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6"/>
        <v>SI</v>
      </c>
      <c r="P643" s="81" t="str">
        <f t="shared" ref="P643:P706" si="37">IF($P$1=H643,"DIASOL", "DIANOSOL")</f>
        <v>DIANOSOL</v>
      </c>
      <c r="Q643" s="66" t="s">
        <v>904</v>
      </c>
      <c r="R643" s="66" t="str">
        <f>VLOOKUP($Q643,Resultados!$A$1:$B$49,2,FALSE)</f>
        <v>Juicio Abreviado</v>
      </c>
      <c r="S643" s="73">
        <v>0.52430555555555558</v>
      </c>
      <c r="T643" s="84" t="str">
        <f t="shared" si="35"/>
        <v>NO</v>
      </c>
      <c r="U643" s="84"/>
      <c r="V643" s="81"/>
      <c r="W643" s="73">
        <v>0.54097222222222219</v>
      </c>
      <c r="X643" s="226" t="s">
        <v>3031</v>
      </c>
      <c r="Y643" s="66"/>
      <c r="Z643" s="121" t="s">
        <v>743</v>
      </c>
      <c r="AA643" s="121" t="s">
        <v>1171</v>
      </c>
      <c r="AB643" s="121" t="s">
        <v>2979</v>
      </c>
      <c r="AC643" s="366"/>
    </row>
    <row r="644" spans="1:29" ht="39.950000000000003" customHeight="1" x14ac:dyDescent="0.2">
      <c r="A644" s="66">
        <v>642</v>
      </c>
      <c r="B644" s="68">
        <v>45187</v>
      </c>
      <c r="C644" s="73">
        <v>0.37708333333333338</v>
      </c>
      <c r="D644" s="66" t="s">
        <v>2769</v>
      </c>
      <c r="E644" s="67" t="s">
        <v>2770</v>
      </c>
      <c r="F644" s="66">
        <v>7</v>
      </c>
      <c r="G644" s="66" t="s">
        <v>2788</v>
      </c>
      <c r="H644" s="68">
        <v>45194</v>
      </c>
      <c r="I644" s="68" t="s">
        <v>1086</v>
      </c>
      <c r="J644" s="68" t="s">
        <v>33</v>
      </c>
      <c r="K644" s="66">
        <f>IFERROR(VLOOKUP(J644,Jueces!$A$1:$B$11,2,FALSE),"")</f>
        <v>4</v>
      </c>
      <c r="L644" s="66" t="s">
        <v>806</v>
      </c>
      <c r="M644" s="66" t="s">
        <v>767</v>
      </c>
      <c r="N644" s="66" t="s">
        <v>2963</v>
      </c>
      <c r="O644" s="66" t="str">
        <f t="shared" ca="1" si="36"/>
        <v>SI</v>
      </c>
      <c r="P644" s="66" t="str">
        <f t="shared" si="37"/>
        <v>DIANOSOL</v>
      </c>
      <c r="Q644" s="66" t="s">
        <v>904</v>
      </c>
      <c r="R644" s="66" t="str">
        <f>VLOOKUP($Q644,Resultados!$A$1:$B$49,2,FALSE)</f>
        <v>Juicio Abreviado</v>
      </c>
      <c r="S644" s="66" t="s">
        <v>2964</v>
      </c>
      <c r="T644" s="75" t="str">
        <f t="shared" si="35"/>
        <v>NO</v>
      </c>
      <c r="U644" s="75"/>
      <c r="V644" s="66"/>
      <c r="W644" s="66" t="s">
        <v>1510</v>
      </c>
      <c r="X644" s="66"/>
      <c r="Y644" s="66"/>
      <c r="Z644" s="121" t="s">
        <v>2867</v>
      </c>
      <c r="AA644" s="121" t="s">
        <v>1169</v>
      </c>
      <c r="AB644" s="121" t="s">
        <v>1173</v>
      </c>
      <c r="AC644" s="366"/>
    </row>
    <row r="645" spans="1:29" ht="39.950000000000003" customHeight="1" x14ac:dyDescent="0.2">
      <c r="A645" s="66">
        <v>643</v>
      </c>
      <c r="B645" s="68">
        <v>45187</v>
      </c>
      <c r="C645" s="73">
        <v>0.33333333333333331</v>
      </c>
      <c r="D645" s="66" t="s">
        <v>2771</v>
      </c>
      <c r="E645" s="67" t="s">
        <v>2772</v>
      </c>
      <c r="F645" s="66">
        <v>8</v>
      </c>
      <c r="G645" s="66" t="s">
        <v>29</v>
      </c>
      <c r="H645" s="68">
        <v>45202</v>
      </c>
      <c r="I645" s="68" t="s">
        <v>73</v>
      </c>
      <c r="J645" s="68" t="s">
        <v>78</v>
      </c>
      <c r="K645" s="66">
        <f>IFERROR(VLOOKUP(J645,Jueces!$A$1:$B$11,2,FALSE),"")</f>
        <v>8</v>
      </c>
      <c r="L645" s="66" t="s">
        <v>244</v>
      </c>
      <c r="M645" s="66" t="s">
        <v>887</v>
      </c>
      <c r="N645" s="66" t="s">
        <v>3138</v>
      </c>
      <c r="O645" s="66" t="str">
        <f t="shared" ca="1" si="36"/>
        <v>SI</v>
      </c>
      <c r="P645" s="66" t="str">
        <f t="shared" si="37"/>
        <v>DIANOSOL</v>
      </c>
      <c r="Q645" s="66" t="s">
        <v>151</v>
      </c>
      <c r="R645" s="66" t="str">
        <f>VLOOKUP($Q645,Resultados!$A$1:$B$49,2,FALSE)</f>
        <v>Prisión Preventiva</v>
      </c>
      <c r="S645" s="66" t="s">
        <v>76</v>
      </c>
      <c r="T645" s="75" t="str">
        <f t="shared" si="35"/>
        <v>NO</v>
      </c>
      <c r="U645" s="75"/>
      <c r="V645" s="66"/>
      <c r="W645" s="66" t="s">
        <v>1746</v>
      </c>
      <c r="X645" s="66" t="s">
        <v>2571</v>
      </c>
      <c r="Y645" s="66"/>
      <c r="Z645" s="346" t="s">
        <v>1042</v>
      </c>
      <c r="AA645" s="346" t="s">
        <v>2852</v>
      </c>
      <c r="AB645" s="336" t="s">
        <v>1173</v>
      </c>
      <c r="AC645" s="366"/>
    </row>
    <row r="646" spans="1:29" ht="39.950000000000003" customHeight="1" x14ac:dyDescent="0.2">
      <c r="A646" s="66">
        <v>644</v>
      </c>
      <c r="B646" s="68">
        <v>45187</v>
      </c>
      <c r="C646" s="73">
        <v>0.37222222222222223</v>
      </c>
      <c r="D646" s="66" t="s">
        <v>2369</v>
      </c>
      <c r="E646" s="67" t="s">
        <v>2927</v>
      </c>
      <c r="F646" s="66">
        <v>5</v>
      </c>
      <c r="G646" s="66" t="s">
        <v>2838</v>
      </c>
      <c r="H646" s="68">
        <v>45194</v>
      </c>
      <c r="I646" s="68" t="s">
        <v>1086</v>
      </c>
      <c r="J646" s="68" t="s">
        <v>31</v>
      </c>
      <c r="K646" s="66">
        <f>IFERROR(VLOOKUP(J646,Jueces!$A$1:$B$11,2,FALSE),"")</f>
        <v>2</v>
      </c>
      <c r="L646" s="66" t="s">
        <v>405</v>
      </c>
      <c r="M646" s="66" t="s">
        <v>1965</v>
      </c>
      <c r="N646" s="66" t="s">
        <v>2198</v>
      </c>
      <c r="O646" s="66" t="str">
        <f t="shared" ca="1" si="36"/>
        <v>SI</v>
      </c>
      <c r="P646" s="66" t="str">
        <f t="shared" si="37"/>
        <v>DIANOSOL</v>
      </c>
      <c r="Q646" s="66" t="s">
        <v>904</v>
      </c>
      <c r="R646" s="66" t="str">
        <f>VLOOKUP($Q646,Resultados!$A$1:$B$49,2,FALSE)</f>
        <v>Juicio Abreviado</v>
      </c>
      <c r="S646" s="66" t="s">
        <v>1807</v>
      </c>
      <c r="T646" s="75" t="str">
        <f t="shared" si="35"/>
        <v>NO</v>
      </c>
      <c r="U646" s="75"/>
      <c r="V646" s="66"/>
      <c r="W646" s="66" t="s">
        <v>1310</v>
      </c>
      <c r="X646" s="66" t="s">
        <v>2948</v>
      </c>
      <c r="Y646" s="66"/>
      <c r="Z646" s="121" t="s">
        <v>1041</v>
      </c>
      <c r="AA646" s="121" t="s">
        <v>1171</v>
      </c>
      <c r="AB646" s="121" t="s">
        <v>1175</v>
      </c>
      <c r="AC646" s="366"/>
    </row>
    <row r="647" spans="1:29" ht="39.950000000000003" customHeight="1" x14ac:dyDescent="0.2">
      <c r="A647" s="66">
        <v>645</v>
      </c>
      <c r="B647" s="68">
        <v>45187</v>
      </c>
      <c r="C647" s="73">
        <v>0.35972222222222222</v>
      </c>
      <c r="D647" s="66" t="s">
        <v>2778</v>
      </c>
      <c r="E647" s="67" t="s">
        <v>2779</v>
      </c>
      <c r="F647" s="66">
        <v>7</v>
      </c>
      <c r="G647" s="66" t="s">
        <v>2774</v>
      </c>
      <c r="H647" s="68">
        <v>45195</v>
      </c>
      <c r="I647" s="68" t="s">
        <v>1086</v>
      </c>
      <c r="J647" s="68" t="s">
        <v>31</v>
      </c>
      <c r="K647" s="66">
        <f>IFERROR(VLOOKUP(J647,Jueces!$A$1:$B$11,2,FALSE),"")</f>
        <v>2</v>
      </c>
      <c r="L647" s="66" t="s">
        <v>405</v>
      </c>
      <c r="M647" s="66" t="s">
        <v>725</v>
      </c>
      <c r="N647" s="66" t="s">
        <v>2985</v>
      </c>
      <c r="O647" s="66" t="str">
        <f t="shared" ca="1" si="36"/>
        <v>SI</v>
      </c>
      <c r="P647" s="66" t="str">
        <f t="shared" si="37"/>
        <v>DIANOSOL</v>
      </c>
      <c r="Q647" s="66" t="s">
        <v>905</v>
      </c>
      <c r="R647" s="66" t="str">
        <f>VLOOKUP($Q647,Resultados!$A$1:$B$49,2,FALSE)</f>
        <v>Juicio Abreviado</v>
      </c>
      <c r="S647" s="66" t="s">
        <v>1538</v>
      </c>
      <c r="T647" s="75" t="str">
        <f t="shared" si="35"/>
        <v>NO</v>
      </c>
      <c r="U647" s="75"/>
      <c r="V647" s="66"/>
      <c r="W647" s="66" t="s">
        <v>1570</v>
      </c>
      <c r="X647" s="66"/>
      <c r="Y647" s="66"/>
      <c r="Z647" s="121" t="s">
        <v>1042</v>
      </c>
      <c r="AA647" s="121" t="s">
        <v>2852</v>
      </c>
      <c r="AB647" s="121" t="s">
        <v>1175</v>
      </c>
      <c r="AC647" s="366"/>
    </row>
    <row r="648" spans="1:29" ht="39.950000000000003" customHeight="1" x14ac:dyDescent="0.2">
      <c r="A648" s="66">
        <v>646</v>
      </c>
      <c r="B648" s="68">
        <v>45187</v>
      </c>
      <c r="C648" s="73">
        <v>0.34375</v>
      </c>
      <c r="D648" s="66" t="s">
        <v>2780</v>
      </c>
      <c r="E648" s="67" t="s">
        <v>2815</v>
      </c>
      <c r="F648" s="66">
        <v>8</v>
      </c>
      <c r="G648" s="66" t="s">
        <v>2773</v>
      </c>
      <c r="H648" s="68">
        <v>45196</v>
      </c>
      <c r="I648" s="68" t="s">
        <v>1086</v>
      </c>
      <c r="J648" s="68" t="s">
        <v>33</v>
      </c>
      <c r="K648" s="66">
        <f>IFERROR(VLOOKUP(J648,Jueces!$A$1:$B$11,2,FALSE),"")</f>
        <v>4</v>
      </c>
      <c r="L648" s="66" t="s">
        <v>809</v>
      </c>
      <c r="M648" s="66" t="s">
        <v>1087</v>
      </c>
      <c r="N648" s="66" t="s">
        <v>3057</v>
      </c>
      <c r="O648" s="81" t="str">
        <f t="shared" ca="1" si="36"/>
        <v>SI</v>
      </c>
      <c r="P648" s="81" t="str">
        <f t="shared" si="37"/>
        <v>DIANOSOL</v>
      </c>
      <c r="Q648" s="66" t="s">
        <v>905</v>
      </c>
      <c r="R648" s="66" t="str">
        <f>VLOOKUP($Q648,Resultados!$A$1:$B$49,2,FALSE)</f>
        <v>Juicio Abreviado</v>
      </c>
      <c r="S648" s="73">
        <v>0.38541666666666669</v>
      </c>
      <c r="T648" s="84" t="str">
        <f t="shared" si="35"/>
        <v>NO</v>
      </c>
      <c r="U648" s="84"/>
      <c r="V648" s="81"/>
      <c r="W648" s="73">
        <v>0.3972222222222222</v>
      </c>
      <c r="X648" s="230" t="s">
        <v>3017</v>
      </c>
      <c r="Y648" s="66"/>
      <c r="Z648" s="121" t="s">
        <v>2895</v>
      </c>
      <c r="AA648" s="121" t="s">
        <v>2852</v>
      </c>
      <c r="AB648" s="121" t="s">
        <v>1177</v>
      </c>
      <c r="AC648" s="366"/>
    </row>
    <row r="649" spans="1:29" ht="39.950000000000003" customHeight="1" x14ac:dyDescent="0.2">
      <c r="A649" s="66">
        <v>647</v>
      </c>
      <c r="B649" s="68">
        <v>45187</v>
      </c>
      <c r="C649" s="73">
        <v>0.33333333333333331</v>
      </c>
      <c r="D649" s="66" t="s">
        <v>2781</v>
      </c>
      <c r="E649" s="67" t="s">
        <v>2797</v>
      </c>
      <c r="F649" s="66">
        <v>8</v>
      </c>
      <c r="G649" s="66" t="s">
        <v>2788</v>
      </c>
      <c r="H649" s="68">
        <v>45196</v>
      </c>
      <c r="I649" s="68" t="s">
        <v>73</v>
      </c>
      <c r="J649" s="68" t="s">
        <v>31</v>
      </c>
      <c r="K649" s="66">
        <f>IFERROR(VLOOKUP(J649,Jueces!$A$1:$B$11,2,FALSE),"")</f>
        <v>2</v>
      </c>
      <c r="L649" s="66" t="s">
        <v>3020</v>
      </c>
      <c r="M649" s="66" t="s">
        <v>3019</v>
      </c>
      <c r="N649" s="66" t="s">
        <v>235</v>
      </c>
      <c r="O649" s="81" t="str">
        <f t="shared" ca="1" si="36"/>
        <v>SI</v>
      </c>
      <c r="P649" s="81" t="str">
        <f t="shared" si="37"/>
        <v>DIANOSOL</v>
      </c>
      <c r="Q649" s="66" t="s">
        <v>151</v>
      </c>
      <c r="R649" s="66" t="str">
        <f>VLOOKUP($Q649,Resultados!$A$1:$B$49,2,FALSE)</f>
        <v>Prisión Preventiva</v>
      </c>
      <c r="S649" s="73">
        <v>0.36180555555555555</v>
      </c>
      <c r="T649" s="84" t="str">
        <f t="shared" si="35"/>
        <v>NO</v>
      </c>
      <c r="U649" s="84"/>
      <c r="V649" s="81"/>
      <c r="W649" s="73">
        <v>0.3743055555555555</v>
      </c>
      <c r="X649" s="230" t="s">
        <v>3021</v>
      </c>
      <c r="Y649" s="66"/>
      <c r="Z649" s="121" t="s">
        <v>748</v>
      </c>
      <c r="AA649" s="121" t="s">
        <v>1169</v>
      </c>
      <c r="AB649" s="121" t="s">
        <v>1174</v>
      </c>
      <c r="AC649" s="366"/>
    </row>
    <row r="650" spans="1:29" ht="39.950000000000003" customHeight="1" x14ac:dyDescent="0.2">
      <c r="A650" s="66">
        <v>648</v>
      </c>
      <c r="B650" s="68">
        <v>45187</v>
      </c>
      <c r="C650" s="73">
        <v>0.39027777777777778</v>
      </c>
      <c r="D650" s="66" t="s">
        <v>2782</v>
      </c>
      <c r="E650" s="67" t="s">
        <v>2796</v>
      </c>
      <c r="F650" s="66">
        <v>7</v>
      </c>
      <c r="G650" s="66" t="s">
        <v>568</v>
      </c>
      <c r="H650" s="68">
        <v>45204</v>
      </c>
      <c r="I650" s="68" t="s">
        <v>73</v>
      </c>
      <c r="J650" s="68" t="s">
        <v>35</v>
      </c>
      <c r="K650" s="66">
        <f>IFERROR(VLOOKUP(J650,Jueces!$A$1:$B$11,2,FALSE),"")</f>
        <v>3</v>
      </c>
      <c r="L650" s="66" t="s">
        <v>581</v>
      </c>
      <c r="M650" s="66" t="s">
        <v>783</v>
      </c>
      <c r="N650" s="66" t="s">
        <v>3224</v>
      </c>
      <c r="O650" s="66" t="str">
        <f t="shared" ca="1" si="36"/>
        <v>SI</v>
      </c>
      <c r="P650" s="66" t="str">
        <f t="shared" si="37"/>
        <v>DIANOSOL</v>
      </c>
      <c r="Q650" s="66" t="s">
        <v>151</v>
      </c>
      <c r="R650" s="66" t="str">
        <f>VLOOKUP($Q650,Resultados!$A$1:$B$49,2,FALSE)</f>
        <v>Prisión Preventiva</v>
      </c>
      <c r="S650" s="66" t="s">
        <v>749</v>
      </c>
      <c r="T650" s="75" t="str">
        <f t="shared" si="35"/>
        <v>NO</v>
      </c>
      <c r="U650" s="75"/>
      <c r="V650" s="66"/>
      <c r="W650" s="66" t="s">
        <v>2707</v>
      </c>
      <c r="X650" s="66" t="s">
        <v>3230</v>
      </c>
      <c r="Y650" s="66"/>
      <c r="Z650" s="121" t="s">
        <v>2895</v>
      </c>
      <c r="AA650" s="121" t="s">
        <v>1169</v>
      </c>
      <c r="AB650" s="121" t="s">
        <v>1177</v>
      </c>
      <c r="AC650" s="366"/>
    </row>
    <row r="651" spans="1:29" ht="51" x14ac:dyDescent="0.2">
      <c r="A651" s="66">
        <v>649</v>
      </c>
      <c r="B651" s="68">
        <v>45187</v>
      </c>
      <c r="C651" s="73">
        <v>0.44513888888888892</v>
      </c>
      <c r="D651" s="66" t="s">
        <v>2783</v>
      </c>
      <c r="E651" s="67" t="s">
        <v>2827</v>
      </c>
      <c r="F651" s="66">
        <v>8</v>
      </c>
      <c r="G651" s="66" t="s">
        <v>2838</v>
      </c>
      <c r="H651" s="68">
        <v>45197</v>
      </c>
      <c r="I651" s="68" t="s">
        <v>73</v>
      </c>
      <c r="J651" s="68" t="s">
        <v>78</v>
      </c>
      <c r="K651" s="66">
        <f>IFERROR(VLOOKUP(J651,Jueces!$A$1:$B$11,2,FALSE),"")</f>
        <v>8</v>
      </c>
      <c r="L651" s="66" t="s">
        <v>812</v>
      </c>
      <c r="M651" s="66" t="s">
        <v>3019</v>
      </c>
      <c r="N651" s="210" t="s">
        <v>3041</v>
      </c>
      <c r="O651" s="66" t="str">
        <f t="shared" ca="1" si="36"/>
        <v>SI</v>
      </c>
      <c r="P651" s="66" t="str">
        <f t="shared" si="37"/>
        <v>DIANOSOL</v>
      </c>
      <c r="Q651" s="66" t="s">
        <v>904</v>
      </c>
      <c r="R651" s="66" t="str">
        <f>VLOOKUP($Q651,Resultados!$A$1:$B$49,2,FALSE)</f>
        <v>Juicio Abreviado</v>
      </c>
      <c r="S651" s="66" t="s">
        <v>1129</v>
      </c>
      <c r="T651" s="75" t="str">
        <f t="shared" si="35"/>
        <v>NO</v>
      </c>
      <c r="U651" s="75"/>
      <c r="V651" s="66"/>
      <c r="W651" s="66" t="s">
        <v>1378</v>
      </c>
      <c r="X651" s="66" t="s">
        <v>2984</v>
      </c>
      <c r="Y651" s="66"/>
      <c r="Z651" s="121" t="s">
        <v>743</v>
      </c>
      <c r="AA651" s="121" t="s">
        <v>1171</v>
      </c>
      <c r="AB651" s="121" t="s">
        <v>1174</v>
      </c>
      <c r="AC651" s="366"/>
    </row>
    <row r="652" spans="1:29" ht="38.25" x14ac:dyDescent="0.2">
      <c r="A652" s="66">
        <v>650</v>
      </c>
      <c r="B652" s="68">
        <v>45187</v>
      </c>
      <c r="C652" s="73">
        <v>0.43611111111111112</v>
      </c>
      <c r="D652" s="66" t="s">
        <v>2784</v>
      </c>
      <c r="E652" s="67" t="s">
        <v>2785</v>
      </c>
      <c r="F652" s="66">
        <v>7</v>
      </c>
      <c r="G652" s="66" t="s">
        <v>568</v>
      </c>
      <c r="H652" s="68">
        <v>45196</v>
      </c>
      <c r="I652" s="68" t="s">
        <v>1086</v>
      </c>
      <c r="J652" s="68" t="s">
        <v>31</v>
      </c>
      <c r="K652" s="66">
        <f>IFERROR(VLOOKUP(J652,Jueces!$A$1:$B$11,2,FALSE),"")</f>
        <v>2</v>
      </c>
      <c r="L652" s="66" t="s">
        <v>806</v>
      </c>
      <c r="M652" s="66" t="s">
        <v>2777</v>
      </c>
      <c r="N652" s="210" t="s">
        <v>3014</v>
      </c>
      <c r="O652" s="81" t="str">
        <f t="shared" ca="1" si="36"/>
        <v>SI</v>
      </c>
      <c r="P652" s="81" t="str">
        <f t="shared" si="37"/>
        <v>DIANOSOL</v>
      </c>
      <c r="Q652" s="66" t="s">
        <v>1901</v>
      </c>
      <c r="R652" s="66" t="str">
        <f>VLOOKUP($Q652,Resultados!$A$1:$B$49,2,FALSE)</f>
        <v>Sobreseimiento</v>
      </c>
      <c r="S652" s="73">
        <v>0.44444444444444442</v>
      </c>
      <c r="T652" s="84" t="str">
        <f t="shared" si="35"/>
        <v>NO</v>
      </c>
      <c r="U652" s="84"/>
      <c r="V652" s="81"/>
      <c r="W652" s="73">
        <v>0.4368055555555555</v>
      </c>
      <c r="X652" s="66"/>
      <c r="Y652" s="66"/>
      <c r="Z652" s="121" t="s">
        <v>748</v>
      </c>
      <c r="AA652" s="121" t="s">
        <v>1169</v>
      </c>
      <c r="AB652" s="121" t="s">
        <v>1174</v>
      </c>
      <c r="AC652" s="366"/>
    </row>
    <row r="653" spans="1:29" ht="127.5"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6"/>
        <v>SI</v>
      </c>
      <c r="P653" s="66" t="str">
        <f t="shared" si="37"/>
        <v>DIANOSOL</v>
      </c>
      <c r="Q653" s="66" t="s">
        <v>151</v>
      </c>
      <c r="R653" s="66" t="str">
        <f>VLOOKUP($Q653,Resultados!$A$1:$B$49,2,FALSE)</f>
        <v>Prisión Preventiva</v>
      </c>
      <c r="S653" s="66" t="s">
        <v>1497</v>
      </c>
      <c r="T653" s="75" t="str">
        <f t="shared" si="35"/>
        <v>NO</v>
      </c>
      <c r="U653" s="75"/>
      <c r="V653" s="66"/>
      <c r="W653" s="66" t="s">
        <v>1806</v>
      </c>
      <c r="X653" s="66"/>
      <c r="Y653" s="66"/>
      <c r="Z653" s="336" t="s">
        <v>770</v>
      </c>
      <c r="AA653" s="121" t="s">
        <v>2852</v>
      </c>
      <c r="AB653" s="121" t="s">
        <v>1175</v>
      </c>
      <c r="AC653" s="366"/>
    </row>
    <row r="654" spans="1:29" ht="38.25" x14ac:dyDescent="0.2">
      <c r="A654" s="66">
        <v>652</v>
      </c>
      <c r="B654" s="68">
        <v>45188</v>
      </c>
      <c r="C654" s="73">
        <v>0.39513888888888887</v>
      </c>
      <c r="D654" s="66" t="s">
        <v>2789</v>
      </c>
      <c r="E654" s="67" t="s">
        <v>2897</v>
      </c>
      <c r="F654" s="66">
        <v>8</v>
      </c>
      <c r="G654" s="66" t="s">
        <v>1442</v>
      </c>
      <c r="H654" s="68">
        <v>45195</v>
      </c>
      <c r="I654" s="68" t="s">
        <v>73</v>
      </c>
      <c r="J654" s="68" t="s">
        <v>35</v>
      </c>
      <c r="K654" s="66">
        <f>IFERROR(VLOOKUP(J654,Jueces!$A$1:$B$11,2,FALSE),"")</f>
        <v>3</v>
      </c>
      <c r="L654" s="66" t="s">
        <v>2088</v>
      </c>
      <c r="M654" s="66" t="s">
        <v>887</v>
      </c>
      <c r="N654" s="66" t="s">
        <v>577</v>
      </c>
      <c r="O654" s="66" t="str">
        <f t="shared" ca="1" si="36"/>
        <v>SI</v>
      </c>
      <c r="P654" s="66" t="str">
        <f t="shared" si="37"/>
        <v>DIANOSOL</v>
      </c>
      <c r="Q654" s="66" t="s">
        <v>151</v>
      </c>
      <c r="R654" s="66" t="str">
        <f>VLOOKUP($Q654,Resultados!$A$1:$B$49,2,FALSE)</f>
        <v>Prisión Preventiva</v>
      </c>
      <c r="S654" s="66" t="s">
        <v>1231</v>
      </c>
      <c r="T654" s="75" t="str">
        <f t="shared" si="35"/>
        <v>SI</v>
      </c>
      <c r="U654" s="75"/>
      <c r="V654" s="66"/>
      <c r="W654" s="66" t="s">
        <v>1210</v>
      </c>
      <c r="X654" s="66"/>
      <c r="Y654" s="66"/>
      <c r="Z654" s="121" t="s">
        <v>770</v>
      </c>
      <c r="AA654" s="121" t="s">
        <v>1171</v>
      </c>
      <c r="AB654" s="121" t="s">
        <v>1177</v>
      </c>
      <c r="AC654" s="366"/>
    </row>
    <row r="655" spans="1:29" ht="38.25" x14ac:dyDescent="0.2">
      <c r="A655" s="66">
        <v>653</v>
      </c>
      <c r="B655" s="68">
        <v>45187</v>
      </c>
      <c r="C655" s="73">
        <v>0.49722222222222223</v>
      </c>
      <c r="D655" s="66" t="s">
        <v>2801</v>
      </c>
      <c r="E655" s="67" t="s">
        <v>2959</v>
      </c>
      <c r="F655" s="66">
        <v>8</v>
      </c>
      <c r="G655" s="66" t="s">
        <v>1443</v>
      </c>
      <c r="H655" s="68">
        <v>45197</v>
      </c>
      <c r="I655" s="68" t="s">
        <v>989</v>
      </c>
      <c r="J655" s="68" t="s">
        <v>1221</v>
      </c>
      <c r="K655" s="66">
        <f>IFERROR(VLOOKUP(J655,Jueces!$A$1:$B$11,2,FALSE),"")</f>
        <v>7</v>
      </c>
      <c r="L655" s="66" t="s">
        <v>3070</v>
      </c>
      <c r="M655" s="66" t="s">
        <v>1087</v>
      </c>
      <c r="N655" s="210" t="s">
        <v>235</v>
      </c>
      <c r="O655" s="81" t="str">
        <f t="shared" ca="1" si="36"/>
        <v>SI</v>
      </c>
      <c r="P655" s="81" t="str">
        <f t="shared" si="37"/>
        <v>DIANOSOL</v>
      </c>
      <c r="Q655" s="66" t="s">
        <v>151</v>
      </c>
      <c r="R655" s="66" t="str">
        <f>VLOOKUP($Q655,Resultados!$A$1:$B$49,2,FALSE)</f>
        <v>Prisión Preventiva</v>
      </c>
      <c r="S655" s="73">
        <v>0.49652777777777773</v>
      </c>
      <c r="T655" s="84" t="str">
        <f t="shared" si="35"/>
        <v>NO</v>
      </c>
      <c r="U655" s="84"/>
      <c r="V655" s="81"/>
      <c r="W655" s="73">
        <v>0.51736111111111105</v>
      </c>
      <c r="X655" s="66"/>
      <c r="Y655" s="66"/>
      <c r="Z655" s="121" t="s">
        <v>770</v>
      </c>
      <c r="AA655" s="121" t="s">
        <v>1169</v>
      </c>
      <c r="AB655" s="121" t="s">
        <v>1173</v>
      </c>
      <c r="AC655" s="366"/>
    </row>
    <row r="656" spans="1:29" ht="48" customHeight="1" x14ac:dyDescent="0.2">
      <c r="A656" s="66">
        <v>654</v>
      </c>
      <c r="B656" s="68">
        <v>45187</v>
      </c>
      <c r="C656" s="73">
        <v>0.50138888888888888</v>
      </c>
      <c r="D656" s="66" t="s">
        <v>2802</v>
      </c>
      <c r="E656" s="67" t="s">
        <v>3131</v>
      </c>
      <c r="F656" s="66">
        <v>8</v>
      </c>
      <c r="G656" s="66" t="s">
        <v>2773</v>
      </c>
      <c r="H656" s="68">
        <v>45202</v>
      </c>
      <c r="I656" s="68" t="s">
        <v>1086</v>
      </c>
      <c r="J656" s="68" t="s">
        <v>33</v>
      </c>
      <c r="K656" s="66">
        <f>IFERROR(VLOOKUP(J656,Jueces!$A$1:$B$11,2,FALSE),"")</f>
        <v>4</v>
      </c>
      <c r="L656" s="66" t="s">
        <v>789</v>
      </c>
      <c r="M656" s="66" t="s">
        <v>1087</v>
      </c>
      <c r="N656" s="66" t="s">
        <v>3139</v>
      </c>
      <c r="O656" s="66" t="str">
        <f t="shared" ca="1" si="36"/>
        <v>SI</v>
      </c>
      <c r="P656" s="66" t="str">
        <f t="shared" si="37"/>
        <v>DIANOSOL</v>
      </c>
      <c r="Q656" s="66" t="s">
        <v>904</v>
      </c>
      <c r="R656" s="66" t="str">
        <f>VLOOKUP($Q656,Resultados!$A$1:$B$49,2,FALSE)</f>
        <v>Juicio Abreviado</v>
      </c>
      <c r="S656" s="66" t="s">
        <v>2707</v>
      </c>
      <c r="T656" s="75" t="str">
        <f t="shared" si="35"/>
        <v>NO</v>
      </c>
      <c r="U656" s="75"/>
      <c r="V656" s="66"/>
      <c r="W656" s="66" t="s">
        <v>1243</v>
      </c>
      <c r="X656" s="66"/>
      <c r="Y656" s="66"/>
      <c r="Z656" s="346" t="s">
        <v>2867</v>
      </c>
      <c r="AA656" s="346" t="s">
        <v>1171</v>
      </c>
      <c r="AB656" s="336" t="s">
        <v>1173</v>
      </c>
      <c r="AC656" s="366"/>
    </row>
    <row r="657" spans="1:29" ht="76.5" x14ac:dyDescent="0.2">
      <c r="A657" s="66">
        <v>655</v>
      </c>
      <c r="B657" s="68">
        <v>45187</v>
      </c>
      <c r="C657" s="73">
        <v>0.48333333333333334</v>
      </c>
      <c r="D657" s="66" t="s">
        <v>2804</v>
      </c>
      <c r="E657" s="67" t="s">
        <v>2805</v>
      </c>
      <c r="F657" s="66">
        <v>7</v>
      </c>
      <c r="G657" s="66" t="s">
        <v>43</v>
      </c>
      <c r="H657" s="68">
        <v>45196</v>
      </c>
      <c r="I657" s="68" t="s">
        <v>73</v>
      </c>
      <c r="J657" s="68" t="s">
        <v>78</v>
      </c>
      <c r="K657" s="66">
        <f>IFERROR(VLOOKUP(J657,Jueces!$A$1:$B$11,2,FALSE),"")</f>
        <v>8</v>
      </c>
      <c r="L657" s="66" t="s">
        <v>807</v>
      </c>
      <c r="M657" s="66" t="s">
        <v>767</v>
      </c>
      <c r="N657" s="230" t="s">
        <v>3022</v>
      </c>
      <c r="O657" s="81" t="str">
        <f t="shared" ca="1" si="36"/>
        <v>SI</v>
      </c>
      <c r="P657" s="81" t="str">
        <f t="shared" si="37"/>
        <v>DIANOSOL</v>
      </c>
      <c r="Q657" s="66" t="s">
        <v>904</v>
      </c>
      <c r="R657" s="66" t="str">
        <f>VLOOKUP($Q657,Resultados!$A$1:$B$49,2,FALSE)</f>
        <v>Juicio Abreviado</v>
      </c>
      <c r="S657" s="73">
        <v>0.36041666666666666</v>
      </c>
      <c r="T657" s="84" t="str">
        <f t="shared" si="35"/>
        <v>NO</v>
      </c>
      <c r="U657" s="84"/>
      <c r="V657" s="81"/>
      <c r="W657" s="73">
        <v>0.37222222222222223</v>
      </c>
      <c r="X657" s="66"/>
      <c r="Y657" s="66"/>
      <c r="Z657" s="121" t="s">
        <v>770</v>
      </c>
      <c r="AA657" s="121" t="s">
        <v>2852</v>
      </c>
      <c r="AB657" s="121" t="s">
        <v>1173</v>
      </c>
      <c r="AC657" s="366"/>
    </row>
    <row r="658" spans="1:29" ht="25.5" x14ac:dyDescent="0.2">
      <c r="A658" s="66">
        <v>656</v>
      </c>
      <c r="B658" s="68">
        <v>45187</v>
      </c>
      <c r="C658" s="73">
        <v>0.52916666666666667</v>
      </c>
      <c r="D658" s="66" t="s">
        <v>2806</v>
      </c>
      <c r="E658" s="67" t="s">
        <v>2970</v>
      </c>
      <c r="F658" s="66">
        <v>8</v>
      </c>
      <c r="G658" s="66" t="s">
        <v>1441</v>
      </c>
      <c r="H658" s="68">
        <v>45203</v>
      </c>
      <c r="I658" s="68" t="s">
        <v>1086</v>
      </c>
      <c r="J658" s="68" t="s">
        <v>1220</v>
      </c>
      <c r="K658" s="66">
        <f>IFERROR(VLOOKUP(J658,Jueces!$A$1:$B$11,2,FALSE),"")</f>
        <v>1</v>
      </c>
      <c r="L658" s="66" t="s">
        <v>1070</v>
      </c>
      <c r="M658" s="66" t="s">
        <v>1087</v>
      </c>
      <c r="N658" s="66" t="s">
        <v>3193</v>
      </c>
      <c r="O658" s="66" t="str">
        <f t="shared" ca="1" si="36"/>
        <v>SI</v>
      </c>
      <c r="P658" s="66" t="str">
        <f t="shared" si="37"/>
        <v>DIANOSOL</v>
      </c>
      <c r="Q658" s="66" t="s">
        <v>904</v>
      </c>
      <c r="R658" s="66" t="str">
        <f>VLOOKUP($Q658,Resultados!$A$1:$B$49,2,FALSE)</f>
        <v>Juicio Abreviado</v>
      </c>
      <c r="S658" s="66" t="s">
        <v>2904</v>
      </c>
      <c r="T658" s="75" t="str">
        <f t="shared" si="35"/>
        <v>NO</v>
      </c>
      <c r="U658" s="75"/>
      <c r="V658" s="66"/>
      <c r="W658" s="66" t="s">
        <v>1536</v>
      </c>
      <c r="X658" s="387" t="s">
        <v>2984</v>
      </c>
      <c r="Y658" s="66"/>
      <c r="Z658" s="346" t="s">
        <v>1042</v>
      </c>
      <c r="AA658" s="121" t="s">
        <v>2852</v>
      </c>
      <c r="AB658" s="121" t="s">
        <v>1174</v>
      </c>
      <c r="AC658" s="366"/>
    </row>
    <row r="659" spans="1:29" ht="51" x14ac:dyDescent="0.2">
      <c r="A659" s="66">
        <v>657</v>
      </c>
      <c r="B659" s="68">
        <v>45187</v>
      </c>
      <c r="C659" s="73">
        <v>0.53888888888888886</v>
      </c>
      <c r="D659" s="66" t="s">
        <v>2807</v>
      </c>
      <c r="E659" s="67" t="s">
        <v>2808</v>
      </c>
      <c r="F659" s="66">
        <v>8</v>
      </c>
      <c r="G659" s="66" t="s">
        <v>283</v>
      </c>
      <c r="H659" s="68">
        <v>45197</v>
      </c>
      <c r="I659" s="68" t="s">
        <v>1210</v>
      </c>
      <c r="J659" s="68" t="s">
        <v>78</v>
      </c>
      <c r="K659" s="66">
        <f>IFERROR(VLOOKUP(J659,Jueces!$A$1:$B$11,2,FALSE),"")</f>
        <v>8</v>
      </c>
      <c r="L659" s="66" t="s">
        <v>813</v>
      </c>
      <c r="M659" s="66" t="s">
        <v>2934</v>
      </c>
      <c r="N659" s="66" t="s">
        <v>2736</v>
      </c>
      <c r="O659" s="81" t="str">
        <f t="shared" ca="1" si="36"/>
        <v>SI</v>
      </c>
      <c r="P659" s="81" t="str">
        <f t="shared" si="37"/>
        <v>DIANOSOL</v>
      </c>
      <c r="Q659" s="66" t="s">
        <v>904</v>
      </c>
      <c r="R659" s="66" t="str">
        <f>VLOOKUP($Q659,Resultados!$A$1:$B$49,2,FALSE)</f>
        <v>Juicio Abreviado</v>
      </c>
      <c r="S659" s="66" t="s">
        <v>1230</v>
      </c>
      <c r="T659" s="84" t="str">
        <f t="shared" si="35"/>
        <v>NO</v>
      </c>
      <c r="U659" s="84"/>
      <c r="V659" s="81"/>
      <c r="W659" s="66" t="s">
        <v>2685</v>
      </c>
      <c r="X659" s="387"/>
      <c r="Y659" s="66"/>
      <c r="Z659" s="121" t="s">
        <v>2895</v>
      </c>
      <c r="AA659" s="121" t="s">
        <v>1171</v>
      </c>
      <c r="AB659" s="121" t="s">
        <v>1174</v>
      </c>
      <c r="AC659" s="366"/>
    </row>
    <row r="660" spans="1:29" ht="39.950000000000003" customHeight="1" x14ac:dyDescent="0.2">
      <c r="A660" s="66">
        <v>658</v>
      </c>
      <c r="B660" s="68">
        <v>45187</v>
      </c>
      <c r="C660" s="73">
        <v>0.54513888888888895</v>
      </c>
      <c r="D660" s="66" t="s">
        <v>2809</v>
      </c>
      <c r="E660" s="67" t="s">
        <v>2890</v>
      </c>
      <c r="F660" s="66">
        <v>8</v>
      </c>
      <c r="G660" s="66" t="s">
        <v>43</v>
      </c>
      <c r="H660" s="68">
        <v>45198</v>
      </c>
      <c r="I660" s="68" t="s">
        <v>1086</v>
      </c>
      <c r="J660" s="68" t="s">
        <v>2951</v>
      </c>
      <c r="K660" s="66" t="s">
        <v>1520</v>
      </c>
      <c r="L660" s="66" t="s">
        <v>789</v>
      </c>
      <c r="M660" s="66" t="s">
        <v>767</v>
      </c>
      <c r="N660" s="387" t="s">
        <v>577</v>
      </c>
      <c r="O660" s="66" t="str">
        <f t="shared" ca="1" si="36"/>
        <v>SI</v>
      </c>
      <c r="P660" s="66" t="str">
        <f t="shared" si="37"/>
        <v>DIANOSOL</v>
      </c>
      <c r="Q660" s="66" t="s">
        <v>151</v>
      </c>
      <c r="R660" s="66" t="str">
        <f>VLOOKUP($Q660,Resultados!$A$1:$B$49,2,FALSE)</f>
        <v>Prisión Preventiva</v>
      </c>
      <c r="S660" s="66" t="s">
        <v>1538</v>
      </c>
      <c r="T660" s="75" t="str">
        <f t="shared" si="35"/>
        <v>NO</v>
      </c>
      <c r="U660" s="75"/>
      <c r="V660" s="66"/>
      <c r="W660" s="66" t="s">
        <v>75</v>
      </c>
      <c r="X660" s="66"/>
      <c r="Y660" s="66"/>
      <c r="Z660" s="336" t="s">
        <v>2867</v>
      </c>
      <c r="AA660" s="121" t="s">
        <v>1171</v>
      </c>
      <c r="AB660" s="121" t="s">
        <v>1177</v>
      </c>
      <c r="AC660" s="366"/>
    </row>
    <row r="661" spans="1:29" ht="39.950000000000003" customHeight="1" x14ac:dyDescent="0.2">
      <c r="A661" s="66">
        <v>659</v>
      </c>
      <c r="B661" s="68">
        <v>45188</v>
      </c>
      <c r="C661" s="73">
        <v>0.37986111111111115</v>
      </c>
      <c r="D661" s="66" t="s">
        <v>2810</v>
      </c>
      <c r="E661" s="67" t="s">
        <v>2871</v>
      </c>
      <c r="F661" s="66">
        <v>4</v>
      </c>
      <c r="G661" s="66" t="s">
        <v>283</v>
      </c>
      <c r="H661" s="68">
        <v>45198</v>
      </c>
      <c r="I661" s="68" t="s">
        <v>73</v>
      </c>
      <c r="J661" s="68" t="s">
        <v>31</v>
      </c>
      <c r="K661" s="66">
        <f>IFERROR(VLOOKUP(J661,Jueces!$A$1:$B$11,2,FALSE),"")</f>
        <v>2</v>
      </c>
      <c r="L661" s="66" t="s">
        <v>798</v>
      </c>
      <c r="M661" s="66" t="s">
        <v>887</v>
      </c>
      <c r="N661" s="66" t="s">
        <v>577</v>
      </c>
      <c r="O661" s="66" t="str">
        <f t="shared" ca="1" si="36"/>
        <v>SI</v>
      </c>
      <c r="P661" s="66" t="str">
        <f t="shared" si="37"/>
        <v>DIANOSOL</v>
      </c>
      <c r="Q661" s="66" t="s">
        <v>151</v>
      </c>
      <c r="R661" s="66" t="str">
        <f>VLOOKUP($Q661,Resultados!$A$1:$B$49,2,FALSE)</f>
        <v>Prisión Preventiva</v>
      </c>
      <c r="S661" s="66" t="s">
        <v>1246</v>
      </c>
      <c r="T661" s="75" t="str">
        <f t="shared" si="35"/>
        <v>NO</v>
      </c>
      <c r="U661" s="75"/>
      <c r="V661" s="66"/>
      <c r="W661" s="66" t="s">
        <v>1065</v>
      </c>
      <c r="X661" s="66"/>
      <c r="Y661" s="66"/>
      <c r="Z661" s="336" t="s">
        <v>2867</v>
      </c>
      <c r="AA661" s="121" t="s">
        <v>1171</v>
      </c>
      <c r="AB661" s="121" t="s">
        <v>1174</v>
      </c>
      <c r="AC661" s="366"/>
    </row>
    <row r="662" spans="1:29" ht="39.950000000000003" customHeight="1" x14ac:dyDescent="0.2">
      <c r="A662" s="66">
        <v>660</v>
      </c>
      <c r="B662" s="68">
        <v>45188</v>
      </c>
      <c r="C662" s="73">
        <v>0.48194444444444445</v>
      </c>
      <c r="D662" s="66" t="s">
        <v>2817</v>
      </c>
      <c r="E662" s="67" t="s">
        <v>2889</v>
      </c>
      <c r="F662" s="66">
        <v>8</v>
      </c>
      <c r="G662" s="66" t="s">
        <v>1442</v>
      </c>
      <c r="H662" s="68">
        <v>45198</v>
      </c>
      <c r="I662" s="68" t="s">
        <v>989</v>
      </c>
      <c r="J662" s="68" t="s">
        <v>31</v>
      </c>
      <c r="K662" s="66">
        <f>IFERROR(VLOOKUP(J662,Jueces!$A$1:$B$11,2,FALSE),"")</f>
        <v>2</v>
      </c>
      <c r="L662" s="66" t="s">
        <v>807</v>
      </c>
      <c r="M662" s="66" t="s">
        <v>887</v>
      </c>
      <c r="N662" s="387" t="s">
        <v>3097</v>
      </c>
      <c r="O662" s="66" t="str">
        <f t="shared" ca="1" si="36"/>
        <v>SI</v>
      </c>
      <c r="P662" s="66" t="str">
        <f t="shared" si="37"/>
        <v>DIANOSOL</v>
      </c>
      <c r="Q662" s="66" t="s">
        <v>904</v>
      </c>
      <c r="R662" s="66" t="str">
        <f>VLOOKUP($Q662,Resultados!$A$1:$B$49,2,FALSE)</f>
        <v>Juicio Abreviado</v>
      </c>
      <c r="S662" s="66" t="s">
        <v>228</v>
      </c>
      <c r="T662" s="75" t="str">
        <f t="shared" si="35"/>
        <v>SI</v>
      </c>
      <c r="U662" s="75"/>
      <c r="V662" s="66"/>
      <c r="W662" s="66" t="s">
        <v>2210</v>
      </c>
      <c r="X662" s="66"/>
      <c r="Y662" s="66"/>
      <c r="Z662" s="336" t="s">
        <v>770</v>
      </c>
      <c r="AA662" s="121" t="s">
        <v>1171</v>
      </c>
      <c r="AB662" s="121" t="s">
        <v>1173</v>
      </c>
      <c r="AC662" s="366"/>
    </row>
    <row r="663" spans="1:29" ht="39.950000000000003" customHeight="1" x14ac:dyDescent="0.2">
      <c r="A663" s="66">
        <v>661</v>
      </c>
      <c r="B663" s="68">
        <v>45188</v>
      </c>
      <c r="C663" s="73">
        <v>0.50624999999999998</v>
      </c>
      <c r="D663" s="66" t="s">
        <v>2818</v>
      </c>
      <c r="E663" s="67" t="s">
        <v>2819</v>
      </c>
      <c r="F663" s="66">
        <v>8</v>
      </c>
      <c r="G663" s="66" t="s">
        <v>1441</v>
      </c>
      <c r="H663" s="68">
        <v>45211</v>
      </c>
      <c r="I663" s="68" t="s">
        <v>1086</v>
      </c>
      <c r="J663" s="68" t="s">
        <v>2951</v>
      </c>
      <c r="K663" s="66" t="s">
        <v>1925</v>
      </c>
      <c r="L663" s="66" t="s">
        <v>813</v>
      </c>
      <c r="M663" s="66" t="s">
        <v>1087</v>
      </c>
      <c r="N663" s="230" t="s">
        <v>3404</v>
      </c>
      <c r="O663" s="66" t="str">
        <f t="shared" ca="1" si="36"/>
        <v>SI</v>
      </c>
      <c r="P663" s="66" t="str">
        <f t="shared" si="37"/>
        <v>DIANOSOL</v>
      </c>
      <c r="Q663" s="66" t="s">
        <v>904</v>
      </c>
      <c r="R663" s="66" t="str">
        <f>VLOOKUP($Q663,Resultados!$A$1:$B$49,2,FALSE)</f>
        <v>Juicio Abreviado</v>
      </c>
      <c r="S663" s="66" t="s">
        <v>3405</v>
      </c>
      <c r="T663" s="75" t="str">
        <f t="shared" si="35"/>
        <v>NO</v>
      </c>
      <c r="U663" s="75"/>
      <c r="V663" s="66"/>
      <c r="W663" s="66" t="s">
        <v>1133</v>
      </c>
      <c r="X663" s="66" t="s">
        <v>2155</v>
      </c>
      <c r="Y663" s="66"/>
      <c r="Z663" s="336" t="s">
        <v>2867</v>
      </c>
      <c r="AA663" s="121" t="s">
        <v>1171</v>
      </c>
      <c r="AB663" s="121" t="s">
        <v>3365</v>
      </c>
      <c r="AC663" s="366"/>
    </row>
    <row r="664" spans="1:29" ht="39.950000000000003" customHeight="1" x14ac:dyDescent="0.2">
      <c r="A664" s="66">
        <v>662</v>
      </c>
      <c r="B664" s="68">
        <v>45188</v>
      </c>
      <c r="C664" s="73">
        <v>0.53055555555555556</v>
      </c>
      <c r="D664" s="66" t="s">
        <v>2823</v>
      </c>
      <c r="E664" s="67" t="s">
        <v>2824</v>
      </c>
      <c r="F664" s="66">
        <v>7</v>
      </c>
      <c r="G664" s="66" t="s">
        <v>2774</v>
      </c>
      <c r="H664" s="68">
        <v>45196</v>
      </c>
      <c r="I664" s="68" t="s">
        <v>1086</v>
      </c>
      <c r="J664" s="68" t="s">
        <v>35</v>
      </c>
      <c r="K664" s="66">
        <f>IFERROR(VLOOKUP(J664,Jueces!$A$1:$B$11,2,FALSE),"")</f>
        <v>3</v>
      </c>
      <c r="L664" s="66" t="s">
        <v>812</v>
      </c>
      <c r="M664" s="66" t="s">
        <v>767</v>
      </c>
      <c r="N664" s="6" t="s">
        <v>3016</v>
      </c>
      <c r="O664" s="81" t="str">
        <f t="shared" ca="1" si="36"/>
        <v>SI</v>
      </c>
      <c r="P664" s="81" t="str">
        <f t="shared" si="37"/>
        <v>DIANOSOL</v>
      </c>
      <c r="Q664" s="66" t="s">
        <v>899</v>
      </c>
      <c r="R664" s="66" t="str">
        <f>VLOOKUP($Q664,Resultados!$A$1:$B$49,2,FALSE)</f>
        <v>Libertad</v>
      </c>
      <c r="S664" s="73">
        <v>0.38472222222222219</v>
      </c>
      <c r="T664" s="84" t="str">
        <f t="shared" si="35"/>
        <v>NO</v>
      </c>
      <c r="U664" s="84"/>
      <c r="V664" s="81"/>
      <c r="W664" s="73">
        <v>0.41736111111111113</v>
      </c>
      <c r="X664" s="6" t="s">
        <v>3015</v>
      </c>
      <c r="Y664" s="66"/>
      <c r="Z664" s="121" t="s">
        <v>1042</v>
      </c>
      <c r="AA664" s="121" t="s">
        <v>1171</v>
      </c>
      <c r="AB664" s="121" t="s">
        <v>1173</v>
      </c>
      <c r="AC664" s="366"/>
    </row>
    <row r="665" spans="1:29" ht="39.950000000000003" customHeight="1" x14ac:dyDescent="0.2">
      <c r="A665" s="66">
        <v>663</v>
      </c>
      <c r="B665" s="68">
        <v>45188</v>
      </c>
      <c r="C665" s="73">
        <v>0.52569444444444446</v>
      </c>
      <c r="D665" s="66" t="s">
        <v>2825</v>
      </c>
      <c r="E665" s="67" t="s">
        <v>2826</v>
      </c>
      <c r="F665" s="66">
        <v>7</v>
      </c>
      <c r="G665" s="66" t="s">
        <v>2775</v>
      </c>
      <c r="H665" s="68">
        <v>45196</v>
      </c>
      <c r="I665" s="68" t="s">
        <v>73</v>
      </c>
      <c r="J665" s="68" t="s">
        <v>2951</v>
      </c>
      <c r="K665" s="66" t="s">
        <v>1925</v>
      </c>
      <c r="L665" s="66" t="s">
        <v>2737</v>
      </c>
      <c r="M665" s="66" t="s">
        <v>1027</v>
      </c>
      <c r="N665" s="74" t="s">
        <v>235</v>
      </c>
      <c r="O665" s="81" t="str">
        <f t="shared" ca="1" si="36"/>
        <v>SI</v>
      </c>
      <c r="P665" s="81" t="str">
        <f t="shared" si="37"/>
        <v>DIANOSOL</v>
      </c>
      <c r="Q665" s="66" t="s">
        <v>151</v>
      </c>
      <c r="R665" s="66" t="str">
        <f>VLOOKUP($Q665,Resultados!$A$1:$B$49,2,FALSE)</f>
        <v>Prisión Preventiva</v>
      </c>
      <c r="S665" s="73">
        <v>0.34583333333333338</v>
      </c>
      <c r="T665" s="84" t="str">
        <f t="shared" si="35"/>
        <v>NO</v>
      </c>
      <c r="U665" s="84"/>
      <c r="V665" s="81"/>
      <c r="W665" s="73">
        <v>0.3756944444444445</v>
      </c>
      <c r="X665" s="66" t="s">
        <v>3018</v>
      </c>
      <c r="Y665" s="66"/>
      <c r="Z665" s="121" t="s">
        <v>743</v>
      </c>
      <c r="AA665" s="121" t="s">
        <v>1171</v>
      </c>
      <c r="AB665" s="121" t="s">
        <v>2979</v>
      </c>
      <c r="AC665" s="366"/>
    </row>
    <row r="666" spans="1:29" ht="39.950000000000003" customHeight="1" x14ac:dyDescent="0.2">
      <c r="A666" s="66">
        <v>664</v>
      </c>
      <c r="B666" s="68">
        <v>45189</v>
      </c>
      <c r="C666" s="73">
        <v>0.33333333333333331</v>
      </c>
      <c r="D666" s="66" t="s">
        <v>2839</v>
      </c>
      <c r="E666" s="67" t="s">
        <v>2925</v>
      </c>
      <c r="F666" s="66">
        <v>1</v>
      </c>
      <c r="G666" s="66" t="s">
        <v>2788</v>
      </c>
      <c r="H666" s="68">
        <v>45202</v>
      </c>
      <c r="I666" s="68" t="s">
        <v>1086</v>
      </c>
      <c r="J666" s="68" t="s">
        <v>35</v>
      </c>
      <c r="K666" s="66">
        <f>IFERROR(VLOOKUP(J666,Jueces!$A$1:$B$11,2,FALSE),"")</f>
        <v>3</v>
      </c>
      <c r="L666" s="66" t="s">
        <v>813</v>
      </c>
      <c r="M666" s="66" t="s">
        <v>711</v>
      </c>
      <c r="N666" s="66" t="s">
        <v>3154</v>
      </c>
      <c r="O666" s="66" t="str">
        <f t="shared" ca="1" si="36"/>
        <v>SI</v>
      </c>
      <c r="P666" s="66" t="str">
        <f t="shared" si="37"/>
        <v>DIANOSOL</v>
      </c>
      <c r="Q666" s="66" t="s">
        <v>151</v>
      </c>
      <c r="R666" s="66" t="str">
        <f>VLOOKUP($Q666,Resultados!$A$1:$B$49,2,FALSE)</f>
        <v>Prisión Preventiva</v>
      </c>
      <c r="S666" s="66" t="s">
        <v>3155</v>
      </c>
      <c r="T666" s="75" t="str">
        <f t="shared" si="35"/>
        <v>NO</v>
      </c>
      <c r="U666" s="75"/>
      <c r="V666" s="66"/>
      <c r="W666" s="66" t="s">
        <v>3156</v>
      </c>
      <c r="X666" s="66" t="s">
        <v>3157</v>
      </c>
      <c r="Y666" s="66"/>
      <c r="Z666" s="346" t="s">
        <v>2895</v>
      </c>
      <c r="AA666" s="346" t="s">
        <v>1169</v>
      </c>
      <c r="AB666" s="336" t="s">
        <v>1175</v>
      </c>
      <c r="AC666" s="370"/>
    </row>
    <row r="667" spans="1:29" ht="39.950000000000003" customHeight="1" x14ac:dyDescent="0.2">
      <c r="A667" s="66">
        <v>665</v>
      </c>
      <c r="B667" s="68">
        <v>45189</v>
      </c>
      <c r="C667" s="73">
        <v>0.35972222222222222</v>
      </c>
      <c r="D667" s="66" t="s">
        <v>2840</v>
      </c>
      <c r="E667" s="67" t="s">
        <v>3009</v>
      </c>
      <c r="F667" s="66">
        <v>1</v>
      </c>
      <c r="G667" s="66" t="s">
        <v>1443</v>
      </c>
      <c r="H667" s="68">
        <v>45202</v>
      </c>
      <c r="I667" s="68" t="s">
        <v>73</v>
      </c>
      <c r="J667" s="68" t="s">
        <v>2951</v>
      </c>
      <c r="K667" s="66" t="s">
        <v>1925</v>
      </c>
      <c r="L667" s="66" t="s">
        <v>807</v>
      </c>
      <c r="M667" s="66" t="s">
        <v>711</v>
      </c>
      <c r="N667" s="66" t="s">
        <v>3132</v>
      </c>
      <c r="O667" s="66" t="str">
        <f t="shared" ca="1" si="36"/>
        <v>SI</v>
      </c>
      <c r="P667" s="66" t="str">
        <f t="shared" si="37"/>
        <v>DIANOSOL</v>
      </c>
      <c r="Q667" s="66" t="s">
        <v>151</v>
      </c>
      <c r="R667" s="66" t="str">
        <f>VLOOKUP($Q667,Resultados!$A$1:$B$49,2,FALSE)</f>
        <v>Prisión Preventiva</v>
      </c>
      <c r="S667" s="66" t="s">
        <v>1134</v>
      </c>
      <c r="T667" s="75" t="str">
        <f t="shared" ref="T667:T733" si="38">IF(G667=$J$1,"SI","NO")</f>
        <v>NO</v>
      </c>
      <c r="U667" s="75"/>
      <c r="V667" s="66"/>
      <c r="W667" s="66" t="s">
        <v>1231</v>
      </c>
      <c r="X667" s="66" t="s">
        <v>2984</v>
      </c>
      <c r="Y667" s="66"/>
      <c r="Z667" s="346" t="s">
        <v>1041</v>
      </c>
      <c r="AA667" s="346" t="s">
        <v>1171</v>
      </c>
      <c r="AB667" s="336" t="s">
        <v>1174</v>
      </c>
      <c r="AC667" s="366"/>
    </row>
    <row r="668" spans="1:29" ht="39.950000000000003" customHeight="1" x14ac:dyDescent="0.2">
      <c r="A668" s="66">
        <v>666</v>
      </c>
      <c r="B668" s="68">
        <v>45189</v>
      </c>
      <c r="C668" s="73">
        <v>0.41041666666666665</v>
      </c>
      <c r="D668" s="66" t="s">
        <v>2841</v>
      </c>
      <c r="E668" s="67" t="s">
        <v>3210</v>
      </c>
      <c r="F668" s="66">
        <v>8</v>
      </c>
      <c r="G668" s="66" t="s">
        <v>568</v>
      </c>
      <c r="H668" s="68">
        <v>45205</v>
      </c>
      <c r="I668" s="68" t="s">
        <v>73</v>
      </c>
      <c r="J668" s="68" t="s">
        <v>33</v>
      </c>
      <c r="K668" s="66">
        <f>IFERROR(VLOOKUP(J668,Jueces!$A$1:$B$11,2,FALSE),"")</f>
        <v>4</v>
      </c>
      <c r="L668" s="66" t="s">
        <v>802</v>
      </c>
      <c r="M668" s="66" t="s">
        <v>887</v>
      </c>
      <c r="N668" s="66" t="s">
        <v>3240</v>
      </c>
      <c r="O668" s="66" t="str">
        <f t="shared" ca="1" si="36"/>
        <v>SI</v>
      </c>
      <c r="P668" s="66" t="str">
        <f t="shared" si="37"/>
        <v>DIANOSOL</v>
      </c>
      <c r="Q668" s="66" t="s">
        <v>905</v>
      </c>
      <c r="R668" s="66" t="str">
        <f>VLOOKUP($Q668,Resultados!$A$1:$B$49,2,FALSE)</f>
        <v>Juicio Abreviado</v>
      </c>
      <c r="S668" s="66" t="s">
        <v>749</v>
      </c>
      <c r="T668" s="75" t="str">
        <f t="shared" si="38"/>
        <v>NO</v>
      </c>
      <c r="U668" s="75"/>
      <c r="V668" s="66"/>
      <c r="W668" s="66" t="s">
        <v>1292</v>
      </c>
      <c r="X668" s="66"/>
      <c r="Y668" s="66"/>
      <c r="Z668" s="121" t="s">
        <v>2895</v>
      </c>
      <c r="AA668" s="121" t="s">
        <v>1169</v>
      </c>
      <c r="AB668" s="336" t="s">
        <v>1174</v>
      </c>
      <c r="AC668" s="366"/>
    </row>
    <row r="669" spans="1:29" ht="39.950000000000003" customHeight="1" x14ac:dyDescent="0.2">
      <c r="A669" s="66">
        <v>667</v>
      </c>
      <c r="B669" s="68">
        <v>45189</v>
      </c>
      <c r="C669" s="73">
        <v>0.47569444444444442</v>
      </c>
      <c r="D669" s="66" t="s">
        <v>2844</v>
      </c>
      <c r="E669" s="67" t="s">
        <v>2845</v>
      </c>
      <c r="F669" s="66">
        <v>1</v>
      </c>
      <c r="G669" s="66" t="s">
        <v>2775</v>
      </c>
      <c r="H669" s="68">
        <v>45209</v>
      </c>
      <c r="I669" s="68" t="s">
        <v>73</v>
      </c>
      <c r="J669" s="68" t="s">
        <v>33</v>
      </c>
      <c r="K669" s="66">
        <f>IFERROR(VLOOKUP(J669,Jueces!$A$1:$B$11,2,FALSE),"")</f>
        <v>4</v>
      </c>
      <c r="L669" s="66" t="s">
        <v>811</v>
      </c>
      <c r="M669" s="66" t="s">
        <v>711</v>
      </c>
      <c r="N669" s="66" t="s">
        <v>577</v>
      </c>
      <c r="O669" s="81" t="str">
        <f t="shared" ca="1" si="36"/>
        <v>SI</v>
      </c>
      <c r="P669" s="81" t="str">
        <f t="shared" si="37"/>
        <v>DIANOSOL</v>
      </c>
      <c r="Q669" s="66" t="s">
        <v>151</v>
      </c>
      <c r="R669" s="66" t="str">
        <f>VLOOKUP($Q669,Resultados!$A$1:$B$49,2,FALSE)</f>
        <v>Prisión Preventiva</v>
      </c>
      <c r="S669" s="66" t="s">
        <v>3289</v>
      </c>
      <c r="T669" s="84" t="str">
        <f t="shared" si="38"/>
        <v>NO</v>
      </c>
      <c r="U669" s="84"/>
      <c r="V669" s="81"/>
      <c r="W669" s="66" t="s">
        <v>3134</v>
      </c>
      <c r="X669" s="66" t="s">
        <v>3316</v>
      </c>
      <c r="Y669" s="66"/>
      <c r="Z669" s="121" t="s">
        <v>2867</v>
      </c>
      <c r="AA669" s="121" t="s">
        <v>2852</v>
      </c>
      <c r="AB669" s="121" t="s">
        <v>1177</v>
      </c>
      <c r="AC669" s="366"/>
    </row>
    <row r="670" spans="1:29" ht="39.950000000000003" customHeight="1" x14ac:dyDescent="0.2">
      <c r="A670" s="66">
        <v>668</v>
      </c>
      <c r="B670" s="68">
        <v>45189</v>
      </c>
      <c r="C670" s="73">
        <v>0.47430555555555554</v>
      </c>
      <c r="D670" s="66" t="s">
        <v>2846</v>
      </c>
      <c r="E670" s="67" t="s">
        <v>2888</v>
      </c>
      <c r="F670" s="66">
        <v>1</v>
      </c>
      <c r="G670" s="66" t="s">
        <v>2773</v>
      </c>
      <c r="H670" s="68">
        <v>45201</v>
      </c>
      <c r="I670" s="68" t="s">
        <v>73</v>
      </c>
      <c r="J670" s="68" t="s">
        <v>33</v>
      </c>
      <c r="K670" s="66">
        <f>IFERROR(VLOOKUP(J670,Jueces!$A$1:$B$11,2,FALSE),"")</f>
        <v>4</v>
      </c>
      <c r="L670" s="66" t="s">
        <v>809</v>
      </c>
      <c r="M670" s="66" t="s">
        <v>3019</v>
      </c>
      <c r="N670" s="66" t="s">
        <v>3124</v>
      </c>
      <c r="O670" s="81" t="str">
        <f t="shared" ca="1" si="36"/>
        <v>SI</v>
      </c>
      <c r="P670" s="81" t="str">
        <f t="shared" si="37"/>
        <v>DIANOSOL</v>
      </c>
      <c r="Q670" s="66" t="s">
        <v>904</v>
      </c>
      <c r="R670" s="66" t="str">
        <f>VLOOKUP($Q670,Resultados!$A$1:$B$49,2,FALSE)</f>
        <v>Juicio Abreviado</v>
      </c>
      <c r="S670" s="73">
        <v>0.42499999999999999</v>
      </c>
      <c r="T670" s="84" t="str">
        <f t="shared" si="38"/>
        <v>NO</v>
      </c>
      <c r="U670" s="84"/>
      <c r="V670" s="81"/>
      <c r="W670" s="73">
        <v>0.43402777777777773</v>
      </c>
      <c r="X670" s="230" t="s">
        <v>3125</v>
      </c>
      <c r="Y670" s="66"/>
      <c r="Z670" s="336" t="s">
        <v>2867</v>
      </c>
      <c r="AA670" s="121" t="s">
        <v>1171</v>
      </c>
      <c r="AB670" s="121" t="s">
        <v>1174</v>
      </c>
      <c r="AC670" s="366"/>
    </row>
    <row r="671" spans="1:29" ht="39.950000000000003" customHeight="1" x14ac:dyDescent="0.2">
      <c r="A671" s="66">
        <v>669</v>
      </c>
      <c r="B671" s="68">
        <v>45189</v>
      </c>
      <c r="C671" s="73">
        <v>0.4381944444444445</v>
      </c>
      <c r="D671" s="66" t="s">
        <v>2847</v>
      </c>
      <c r="E671" s="67" t="s">
        <v>3060</v>
      </c>
      <c r="F671" s="66">
        <v>8</v>
      </c>
      <c r="G671" s="66" t="s">
        <v>29</v>
      </c>
      <c r="H671" s="68">
        <v>45198</v>
      </c>
      <c r="I671" s="68" t="s">
        <v>73</v>
      </c>
      <c r="J671" s="68" t="s">
        <v>78</v>
      </c>
      <c r="K671" s="66">
        <f>IFERROR(VLOOKUP(J671,Jueces!$A$1:$B$11,2,FALSE),"")</f>
        <v>8</v>
      </c>
      <c r="L671" s="66" t="s">
        <v>791</v>
      </c>
      <c r="M671" s="66" t="s">
        <v>1087</v>
      </c>
      <c r="N671" s="66" t="s">
        <v>3082</v>
      </c>
      <c r="O671" s="66" t="str">
        <f t="shared" ca="1" si="36"/>
        <v>SI</v>
      </c>
      <c r="P671" s="66" t="str">
        <f t="shared" si="37"/>
        <v>DIANOSOL</v>
      </c>
      <c r="Q671" s="66" t="s">
        <v>905</v>
      </c>
      <c r="R671" s="66" t="str">
        <f>VLOOKUP($Q671,Resultados!$A$1:$B$49,2,FALSE)</f>
        <v>Juicio Abreviado</v>
      </c>
      <c r="S671" s="66" t="s">
        <v>1134</v>
      </c>
      <c r="T671" s="75" t="str">
        <f t="shared" si="38"/>
        <v>NO</v>
      </c>
      <c r="U671" s="75"/>
      <c r="V671" s="66"/>
      <c r="W671" s="66" t="s">
        <v>1086</v>
      </c>
      <c r="X671" s="66" t="s">
        <v>2571</v>
      </c>
      <c r="Y671" s="66"/>
      <c r="Z671" s="336" t="s">
        <v>1042</v>
      </c>
      <c r="AA671" s="121" t="s">
        <v>1169</v>
      </c>
      <c r="AB671" s="121" t="s">
        <v>1173</v>
      </c>
      <c r="AC671" s="366"/>
    </row>
    <row r="672" spans="1:29" ht="39.950000000000003" customHeight="1" x14ac:dyDescent="0.2">
      <c r="A672" s="66">
        <v>670</v>
      </c>
      <c r="B672" s="68">
        <v>45189</v>
      </c>
      <c r="C672" s="73">
        <v>0.4368055555555555</v>
      </c>
      <c r="D672" s="66" t="s">
        <v>2848</v>
      </c>
      <c r="E672" s="67" t="s">
        <v>2849</v>
      </c>
      <c r="F672" s="66">
        <v>8</v>
      </c>
      <c r="G672" s="66" t="s">
        <v>2775</v>
      </c>
      <c r="H672" s="68">
        <v>45198</v>
      </c>
      <c r="I672" s="68" t="s">
        <v>2020</v>
      </c>
      <c r="J672" s="68" t="s">
        <v>33</v>
      </c>
      <c r="K672" s="66">
        <f>IFERROR(VLOOKUP(J672,Jueces!$A$1:$B$11,2,FALSE),"")</f>
        <v>4</v>
      </c>
      <c r="L672" s="66" t="s">
        <v>800</v>
      </c>
      <c r="M672" s="66" t="s">
        <v>2991</v>
      </c>
      <c r="N672" s="66" t="s">
        <v>3095</v>
      </c>
      <c r="O672" s="66" t="str">
        <f t="shared" ca="1" si="36"/>
        <v>SI</v>
      </c>
      <c r="P672" s="66" t="str">
        <f t="shared" si="37"/>
        <v>DIANOSOL</v>
      </c>
      <c r="Q672" s="66" t="s">
        <v>151</v>
      </c>
      <c r="R672" s="66" t="str">
        <f>VLOOKUP($Q672,Resultados!$A$1:$B$49,2,FALSE)</f>
        <v>Prisión Preventiva</v>
      </c>
      <c r="S672" s="66" t="s">
        <v>3096</v>
      </c>
      <c r="T672" s="75" t="str">
        <f t="shared" si="38"/>
        <v>NO</v>
      </c>
      <c r="U672" s="75"/>
      <c r="V672" s="66"/>
      <c r="W672" s="73">
        <v>0.48194444444444445</v>
      </c>
      <c r="X672" s="66"/>
      <c r="Y672" s="66"/>
      <c r="Z672" s="336" t="s">
        <v>2867</v>
      </c>
      <c r="AA672" s="121" t="s">
        <v>2852</v>
      </c>
      <c r="AB672" s="121" t="s">
        <v>1175</v>
      </c>
      <c r="AC672" s="366"/>
    </row>
    <row r="673" spans="1:29" ht="39.950000000000003" customHeight="1" x14ac:dyDescent="0.2">
      <c r="A673" s="66">
        <v>671</v>
      </c>
      <c r="B673" s="68">
        <v>45189</v>
      </c>
      <c r="C673" s="73">
        <v>0.43472222222222223</v>
      </c>
      <c r="D673" s="66" t="s">
        <v>2850</v>
      </c>
      <c r="E673" s="67" t="s">
        <v>2887</v>
      </c>
      <c r="F673" s="66">
        <v>7</v>
      </c>
      <c r="G673" s="66" t="s">
        <v>283</v>
      </c>
      <c r="H673" s="68">
        <v>45211</v>
      </c>
      <c r="I673" s="68" t="s">
        <v>73</v>
      </c>
      <c r="J673" s="68" t="s">
        <v>35</v>
      </c>
      <c r="K673" s="66">
        <f>IFERROR(VLOOKUP(J673,Jueces!$A$1:$B$11,2,FALSE),"")</f>
        <v>3</v>
      </c>
      <c r="L673" s="66" t="s">
        <v>1070</v>
      </c>
      <c r="M673" s="66" t="s">
        <v>2886</v>
      </c>
      <c r="N673" s="66" t="s">
        <v>3409</v>
      </c>
      <c r="O673" s="66" t="str">
        <f t="shared" ca="1" si="36"/>
        <v>SI</v>
      </c>
      <c r="P673" s="66" t="str">
        <f t="shared" si="37"/>
        <v>DIANOSOL</v>
      </c>
      <c r="Q673" s="66" t="s">
        <v>151</v>
      </c>
      <c r="R673" s="66" t="s">
        <v>151</v>
      </c>
      <c r="S673" s="66" t="s">
        <v>1187</v>
      </c>
      <c r="T673" s="75" t="str">
        <f t="shared" si="38"/>
        <v>NO</v>
      </c>
      <c r="U673" s="75"/>
      <c r="V673" s="66"/>
      <c r="W673" s="66" t="s">
        <v>3410</v>
      </c>
      <c r="X673" s="66" t="s">
        <v>3411</v>
      </c>
      <c r="Y673" s="66"/>
      <c r="Z673" s="336" t="s">
        <v>770</v>
      </c>
      <c r="AA673" s="121" t="s">
        <v>2852</v>
      </c>
      <c r="AB673" s="75" t="s">
        <v>3365</v>
      </c>
      <c r="AC673" s="366"/>
    </row>
    <row r="674" spans="1:29" ht="39.950000000000003" customHeight="1" x14ac:dyDescent="0.2">
      <c r="A674" s="66">
        <v>672</v>
      </c>
      <c r="B674" s="68">
        <v>45188</v>
      </c>
      <c r="C674" s="73">
        <v>0.53819444444444442</v>
      </c>
      <c r="D674" s="66" t="s">
        <v>2851</v>
      </c>
      <c r="E674" s="67" t="s">
        <v>2853</v>
      </c>
      <c r="F674" s="66">
        <v>8</v>
      </c>
      <c r="G674" s="66" t="s">
        <v>2838</v>
      </c>
      <c r="H674" s="68">
        <v>45198</v>
      </c>
      <c r="I674" s="68" t="s">
        <v>1086</v>
      </c>
      <c r="J674" s="68" t="s">
        <v>1732</v>
      </c>
      <c r="K674" s="66" t="s">
        <v>2304</v>
      </c>
      <c r="L674" s="66" t="s">
        <v>2737</v>
      </c>
      <c r="M674" s="66" t="s">
        <v>887</v>
      </c>
      <c r="N674" s="66" t="s">
        <v>3083</v>
      </c>
      <c r="O674" s="66" t="str">
        <f t="shared" ca="1" si="36"/>
        <v>SI</v>
      </c>
      <c r="P674" s="66" t="str">
        <f t="shared" si="37"/>
        <v>DIANOSOL</v>
      </c>
      <c r="Q674" s="66" t="s">
        <v>905</v>
      </c>
      <c r="R674" s="66" t="str">
        <f>VLOOKUP($Q674,Resultados!$A$1:$B$49,2,FALSE)</f>
        <v>Juicio Abreviado</v>
      </c>
      <c r="S674" s="66" t="s">
        <v>1609</v>
      </c>
      <c r="T674" s="75" t="str">
        <f t="shared" si="38"/>
        <v>NO</v>
      </c>
      <c r="U674" s="75"/>
      <c r="V674" s="66"/>
      <c r="W674" s="66" t="s">
        <v>1337</v>
      </c>
      <c r="X674" s="66" t="s">
        <v>2253</v>
      </c>
      <c r="Y674" s="66"/>
      <c r="Z674" s="336" t="s">
        <v>1041</v>
      </c>
      <c r="AA674" s="121" t="s">
        <v>2852</v>
      </c>
      <c r="AB674" s="121" t="s">
        <v>1174</v>
      </c>
      <c r="AC674" s="366"/>
    </row>
    <row r="675" spans="1:29" ht="39.950000000000003" customHeight="1" x14ac:dyDescent="0.2">
      <c r="A675" s="66">
        <v>673</v>
      </c>
      <c r="B675" s="68">
        <v>45189</v>
      </c>
      <c r="C675" s="73">
        <v>0.5395833333333333</v>
      </c>
      <c r="D675" s="66" t="s">
        <v>2873</v>
      </c>
      <c r="E675" s="67" t="s">
        <v>2874</v>
      </c>
      <c r="F675" s="66">
        <v>7</v>
      </c>
      <c r="G675" s="66" t="s">
        <v>283</v>
      </c>
      <c r="H675" s="68">
        <v>45204</v>
      </c>
      <c r="I675" s="68" t="s">
        <v>73</v>
      </c>
      <c r="J675" s="68" t="s">
        <v>78</v>
      </c>
      <c r="K675" s="66">
        <f>IFERROR(VLOOKUP(J675,Jueces!$A$1:$B$11,2,FALSE),"")</f>
        <v>8</v>
      </c>
      <c r="L675" s="66" t="s">
        <v>814</v>
      </c>
      <c r="M675" s="66" t="s">
        <v>701</v>
      </c>
      <c r="N675" s="66" t="s">
        <v>3226</v>
      </c>
      <c r="O675" s="66" t="str">
        <f t="shared" ca="1" si="36"/>
        <v>SI</v>
      </c>
      <c r="P675" s="66" t="str">
        <f t="shared" si="37"/>
        <v>DIANOSOL</v>
      </c>
      <c r="Q675" s="66" t="s">
        <v>899</v>
      </c>
      <c r="R675" s="66" t="str">
        <f>VLOOKUP($Q675,Resultados!$A$1:$B$49,2,FALSE)</f>
        <v>Libertad</v>
      </c>
      <c r="S675" s="66" t="s">
        <v>1009</v>
      </c>
      <c r="T675" s="75" t="str">
        <f t="shared" si="38"/>
        <v>NO</v>
      </c>
      <c r="U675" s="75"/>
      <c r="V675" s="66"/>
      <c r="W675" s="66" t="s">
        <v>2904</v>
      </c>
      <c r="X675" s="66" t="s">
        <v>2571</v>
      </c>
      <c r="Y675" s="66"/>
      <c r="Z675" s="121" t="s">
        <v>748</v>
      </c>
      <c r="AA675" s="121" t="s">
        <v>1169</v>
      </c>
      <c r="AB675" s="121" t="s">
        <v>1174</v>
      </c>
      <c r="AC675" s="366"/>
    </row>
    <row r="676" spans="1:29" ht="39.950000000000003" customHeight="1" x14ac:dyDescent="0.2">
      <c r="A676" s="66">
        <v>674</v>
      </c>
      <c r="B676" s="68">
        <v>45189</v>
      </c>
      <c r="C676" s="73">
        <v>0.54027777777777775</v>
      </c>
      <c r="D676" s="66" t="s">
        <v>2875</v>
      </c>
      <c r="E676" s="67" t="s">
        <v>2876</v>
      </c>
      <c r="F676" s="66">
        <v>8</v>
      </c>
      <c r="G676" s="66" t="s">
        <v>2838</v>
      </c>
      <c r="H676" s="68">
        <v>45203</v>
      </c>
      <c r="I676" s="68" t="s">
        <v>1086</v>
      </c>
      <c r="J676" s="68" t="s">
        <v>33</v>
      </c>
      <c r="K676" s="66">
        <f>IFERROR(VLOOKUP(J676,Jueces!$A$1:$B$11,2,FALSE),"")</f>
        <v>4</v>
      </c>
      <c r="L676" s="66" t="s">
        <v>807</v>
      </c>
      <c r="M676" s="66" t="s">
        <v>887</v>
      </c>
      <c r="N676" s="66" t="s">
        <v>899</v>
      </c>
      <c r="O676" s="66" t="str">
        <f t="shared" ca="1" si="36"/>
        <v>SI</v>
      </c>
      <c r="P676" s="66" t="str">
        <f t="shared" si="37"/>
        <v>DIANOSOL</v>
      </c>
      <c r="Q676" s="66" t="s">
        <v>899</v>
      </c>
      <c r="R676" s="66" t="str">
        <f>VLOOKUP($Q676,Resultados!$A$1:$B$49,2,FALSE)</f>
        <v>Libertad</v>
      </c>
      <c r="S676" s="66" t="s">
        <v>1536</v>
      </c>
      <c r="T676" s="75" t="str">
        <f t="shared" si="38"/>
        <v>NO</v>
      </c>
      <c r="U676" s="75"/>
      <c r="V676" s="66"/>
      <c r="W676" s="66" t="s">
        <v>1445</v>
      </c>
      <c r="X676" s="66" t="s">
        <v>2571</v>
      </c>
      <c r="Y676" s="66"/>
      <c r="Z676" s="346" t="s">
        <v>1041</v>
      </c>
      <c r="AA676" s="121" t="s">
        <v>1169</v>
      </c>
      <c r="AB676" s="121" t="s">
        <v>1173</v>
      </c>
      <c r="AC676" s="366"/>
    </row>
    <row r="677" spans="1:29" ht="39.950000000000003" customHeight="1" x14ac:dyDescent="0.2">
      <c r="A677" s="66">
        <v>675</v>
      </c>
      <c r="B677" s="68">
        <v>45190</v>
      </c>
      <c r="C677" s="73">
        <v>0.33333333333333331</v>
      </c>
      <c r="D677" s="66" t="s">
        <v>2877</v>
      </c>
      <c r="E677" s="67" t="s">
        <v>3201</v>
      </c>
      <c r="F677" s="66">
        <v>8</v>
      </c>
      <c r="G677" s="66" t="s">
        <v>43</v>
      </c>
      <c r="H677" s="68">
        <v>45204</v>
      </c>
      <c r="I677" s="68" t="s">
        <v>1086</v>
      </c>
      <c r="J677" s="68" t="s">
        <v>1220</v>
      </c>
      <c r="K677" s="66">
        <f>IFERROR(VLOOKUP(J677,Jueces!$A$1:$B$11,2,FALSE),"")</f>
        <v>1</v>
      </c>
      <c r="L677" s="66" t="s">
        <v>813</v>
      </c>
      <c r="M677" s="66"/>
      <c r="N677" s="66" t="s">
        <v>3225</v>
      </c>
      <c r="O677" s="66" t="str">
        <f t="shared" ca="1" si="36"/>
        <v>SI</v>
      </c>
      <c r="P677" s="66" t="str">
        <f t="shared" si="37"/>
        <v>DIANOSOL</v>
      </c>
      <c r="Q677" s="66" t="s">
        <v>902</v>
      </c>
      <c r="R677" s="66" t="str">
        <f>VLOOKUP($Q677,Resultados!$A$1:$B$49,2,FALSE)</f>
        <v>Libertad</v>
      </c>
      <c r="S677" s="66" t="s">
        <v>1578</v>
      </c>
      <c r="T677" s="75" t="str">
        <f t="shared" si="38"/>
        <v>NO</v>
      </c>
      <c r="U677" s="75"/>
      <c r="V677" s="66"/>
      <c r="W677" s="66" t="s">
        <v>1131</v>
      </c>
      <c r="X677" s="66"/>
      <c r="Y677" s="66"/>
      <c r="Z677" s="121" t="s">
        <v>2895</v>
      </c>
      <c r="AA677" s="121" t="s">
        <v>2852</v>
      </c>
      <c r="AB677" s="121" t="s">
        <v>1175</v>
      </c>
      <c r="AC677" s="366"/>
    </row>
    <row r="678" spans="1:29" ht="39.950000000000003" customHeight="1" x14ac:dyDescent="0.2">
      <c r="A678" s="66">
        <v>677</v>
      </c>
      <c r="B678" s="68">
        <v>45190</v>
      </c>
      <c r="C678" s="73">
        <v>0.33333333333333331</v>
      </c>
      <c r="D678" s="66" t="s">
        <v>2928</v>
      </c>
      <c r="E678" s="67" t="s">
        <v>2880</v>
      </c>
      <c r="F678" s="66">
        <v>1</v>
      </c>
      <c r="G678" s="66" t="s">
        <v>2838</v>
      </c>
      <c r="H678" s="68">
        <v>45201</v>
      </c>
      <c r="I678" s="68" t="s">
        <v>1086</v>
      </c>
      <c r="J678" s="68" t="s">
        <v>35</v>
      </c>
      <c r="K678" s="66">
        <f>IFERROR(VLOOKUP(J678,Jueces!$A$1:$B$11,2,FALSE),"")</f>
        <v>3</v>
      </c>
      <c r="L678" s="66" t="s">
        <v>3121</v>
      </c>
      <c r="M678" s="66" t="s">
        <v>711</v>
      </c>
      <c r="N678" s="66" t="s">
        <v>3122</v>
      </c>
      <c r="O678" s="81" t="str">
        <f t="shared" ca="1" si="36"/>
        <v>SI</v>
      </c>
      <c r="P678" s="81" t="str">
        <f t="shared" si="37"/>
        <v>DIANOSOL</v>
      </c>
      <c r="Q678" s="66" t="s">
        <v>913</v>
      </c>
      <c r="R678" s="66" t="str">
        <f>VLOOKUP($Q678,Resultados!$A$1:$B$49,2,FALSE)</f>
        <v>Prision domiciliaria</v>
      </c>
      <c r="S678" s="73">
        <v>0.39097222222222222</v>
      </c>
      <c r="T678" s="84" t="str">
        <f t="shared" si="38"/>
        <v>NO</v>
      </c>
      <c r="U678" s="84"/>
      <c r="V678" s="81"/>
      <c r="W678" s="73">
        <v>0.44444444444444442</v>
      </c>
      <c r="X678" s="230" t="s">
        <v>3123</v>
      </c>
      <c r="Y678" s="66"/>
      <c r="Z678" s="336" t="s">
        <v>1041</v>
      </c>
      <c r="AA678" s="66" t="s">
        <v>3061</v>
      </c>
      <c r="AB678" s="121" t="s">
        <v>1175</v>
      </c>
      <c r="AC678" s="366"/>
    </row>
    <row r="679" spans="1:29" ht="39.950000000000003" customHeight="1" x14ac:dyDescent="0.2">
      <c r="A679" s="66">
        <v>678</v>
      </c>
      <c r="B679" s="68">
        <v>45190</v>
      </c>
      <c r="C679" s="73">
        <v>0.33333333333333331</v>
      </c>
      <c r="D679" s="66" t="s">
        <v>2881</v>
      </c>
      <c r="E679" s="67" t="s">
        <v>2924</v>
      </c>
      <c r="F679" s="66">
        <v>1</v>
      </c>
      <c r="G679" s="66" t="s">
        <v>568</v>
      </c>
      <c r="H679" s="68">
        <v>45203</v>
      </c>
      <c r="I679" s="68" t="s">
        <v>73</v>
      </c>
      <c r="J679" s="68" t="s">
        <v>1221</v>
      </c>
      <c r="K679" s="66" t="s">
        <v>1925</v>
      </c>
      <c r="L679" s="66" t="s">
        <v>813</v>
      </c>
      <c r="M679" s="66" t="s">
        <v>711</v>
      </c>
      <c r="N679" s="66" t="s">
        <v>577</v>
      </c>
      <c r="O679" s="66" t="str">
        <f t="shared" ca="1" si="36"/>
        <v>SI</v>
      </c>
      <c r="P679" s="66" t="str">
        <f t="shared" si="37"/>
        <v>DIANOSOL</v>
      </c>
      <c r="Q679" s="66" t="s">
        <v>151</v>
      </c>
      <c r="R679" s="66" t="str">
        <f>VLOOKUP($Q679,Resultados!$A$1:$B$49,2,FALSE)</f>
        <v>Prisión Preventiva</v>
      </c>
      <c r="S679" s="66" t="s">
        <v>2421</v>
      </c>
      <c r="T679" s="75" t="str">
        <f t="shared" si="38"/>
        <v>NO</v>
      </c>
      <c r="U679" s="75"/>
      <c r="V679" s="66"/>
      <c r="W679" s="66" t="s">
        <v>1747</v>
      </c>
      <c r="X679" s="66" t="s">
        <v>2382</v>
      </c>
      <c r="Y679" s="66"/>
      <c r="Z679" s="346" t="s">
        <v>1042</v>
      </c>
      <c r="AA679" s="121" t="s">
        <v>1169</v>
      </c>
      <c r="AB679" s="121" t="s">
        <v>1173</v>
      </c>
      <c r="AC679" s="366"/>
    </row>
    <row r="680" spans="1:29" ht="39.950000000000003" customHeight="1" x14ac:dyDescent="0.2">
      <c r="A680" s="66">
        <v>679</v>
      </c>
      <c r="B680" s="68">
        <v>45190</v>
      </c>
      <c r="C680" s="73">
        <v>0.3840277777777778</v>
      </c>
      <c r="D680" s="66" t="s">
        <v>2882</v>
      </c>
      <c r="E680" s="67" t="s">
        <v>2883</v>
      </c>
      <c r="F680" s="66">
        <v>8</v>
      </c>
      <c r="G680" s="66" t="s">
        <v>1442</v>
      </c>
      <c r="H680" s="68">
        <v>45211</v>
      </c>
      <c r="I680" s="68" t="s">
        <v>1086</v>
      </c>
      <c r="J680" s="68" t="s">
        <v>1221</v>
      </c>
      <c r="K680" s="66" t="s">
        <v>2343</v>
      </c>
      <c r="L680" s="66" t="s">
        <v>807</v>
      </c>
      <c r="M680" s="66" t="s">
        <v>887</v>
      </c>
      <c r="N680" s="230" t="s">
        <v>3406</v>
      </c>
      <c r="O680" s="66" t="str">
        <f t="shared" ca="1" si="36"/>
        <v>SI</v>
      </c>
      <c r="P680" s="66" t="str">
        <f t="shared" si="37"/>
        <v>DIANOSOL</v>
      </c>
      <c r="Q680" s="66" t="s">
        <v>904</v>
      </c>
      <c r="R680" s="66" t="str">
        <f>VLOOKUP($Q680,Resultados!$A$1:$B$49,2,FALSE)</f>
        <v>Juicio Abreviado</v>
      </c>
      <c r="S680" s="66" t="s">
        <v>1036</v>
      </c>
      <c r="T680" s="75" t="str">
        <f t="shared" si="38"/>
        <v>SI</v>
      </c>
      <c r="U680" s="75"/>
      <c r="V680" s="66"/>
      <c r="W680" s="66" t="s">
        <v>3407</v>
      </c>
      <c r="X680" s="66" t="s">
        <v>3196</v>
      </c>
      <c r="Y680" s="66"/>
      <c r="Z680" s="336" t="s">
        <v>2895</v>
      </c>
      <c r="AA680" s="121" t="s">
        <v>2852</v>
      </c>
      <c r="AB680" s="121" t="s">
        <v>1173</v>
      </c>
      <c r="AC680" s="366"/>
    </row>
    <row r="681" spans="1:29" ht="39.950000000000003" customHeight="1" x14ac:dyDescent="0.2">
      <c r="A681" s="66">
        <v>680</v>
      </c>
      <c r="B681" s="68">
        <v>45190</v>
      </c>
      <c r="C681" s="73">
        <v>0.38541666666666669</v>
      </c>
      <c r="D681" s="66" t="s">
        <v>2884</v>
      </c>
      <c r="E681" s="67" t="s">
        <v>2976</v>
      </c>
      <c r="F681" s="66">
        <v>8</v>
      </c>
      <c r="G681" s="66" t="s">
        <v>2775</v>
      </c>
      <c r="H681" s="68">
        <v>45204</v>
      </c>
      <c r="I681" s="68" t="s">
        <v>1086</v>
      </c>
      <c r="J681" s="68" t="s">
        <v>33</v>
      </c>
      <c r="K681" s="66">
        <f>IFERROR(VLOOKUP(J681,Jueces!$A$1:$B$11,2,FALSE),"")</f>
        <v>4</v>
      </c>
      <c r="L681" s="66" t="s">
        <v>807</v>
      </c>
      <c r="M681" s="66" t="s">
        <v>887</v>
      </c>
      <c r="N681" s="66" t="s">
        <v>3228</v>
      </c>
      <c r="O681" s="66" t="str">
        <f t="shared" ca="1" si="36"/>
        <v>SI</v>
      </c>
      <c r="P681" s="66" t="str">
        <f t="shared" si="37"/>
        <v>DIANOSOL</v>
      </c>
      <c r="Q681" s="66" t="s">
        <v>909</v>
      </c>
      <c r="R681" s="66" t="str">
        <f>VLOOKUP($Q681,Resultados!$A$1:$B$49,2,FALSE)</f>
        <v>Suspensión de juicio a prueba</v>
      </c>
      <c r="S681" s="66" t="s">
        <v>1450</v>
      </c>
      <c r="T681" s="75" t="str">
        <f t="shared" si="38"/>
        <v>NO</v>
      </c>
      <c r="U681" s="75"/>
      <c r="V681" s="66"/>
      <c r="W681" s="66" t="s">
        <v>3212</v>
      </c>
      <c r="X681" s="66" t="s">
        <v>2948</v>
      </c>
      <c r="Y681" s="66"/>
      <c r="Z681" s="121" t="s">
        <v>2867</v>
      </c>
      <c r="AA681" s="121" t="s">
        <v>1171</v>
      </c>
      <c r="AB681" s="121" t="s">
        <v>1177</v>
      </c>
      <c r="AC681" s="366"/>
    </row>
    <row r="682" spans="1:29" ht="39.950000000000003" customHeight="1" x14ac:dyDescent="0.2">
      <c r="A682" s="66">
        <v>681</v>
      </c>
      <c r="B682" s="68">
        <v>45190</v>
      </c>
      <c r="C682" s="73">
        <v>0.40625</v>
      </c>
      <c r="D682" s="66" t="s">
        <v>2885</v>
      </c>
      <c r="E682" s="67" t="s">
        <v>3007</v>
      </c>
      <c r="F682" s="66">
        <v>8</v>
      </c>
      <c r="G682" s="66" t="s">
        <v>283</v>
      </c>
      <c r="H682" s="68">
        <v>45203</v>
      </c>
      <c r="I682" s="68" t="s">
        <v>73</v>
      </c>
      <c r="J682" s="68" t="s">
        <v>2954</v>
      </c>
      <c r="K682" s="66" t="s">
        <v>2304</v>
      </c>
      <c r="L682" s="66" t="s">
        <v>791</v>
      </c>
      <c r="M682" s="66" t="s">
        <v>3008</v>
      </c>
      <c r="N682" s="66" t="s">
        <v>2982</v>
      </c>
      <c r="O682" s="66" t="str">
        <f t="shared" ca="1" si="36"/>
        <v>SI</v>
      </c>
      <c r="P682" s="66" t="str">
        <f t="shared" si="37"/>
        <v>DIANOSOL</v>
      </c>
      <c r="Q682" s="66" t="s">
        <v>905</v>
      </c>
      <c r="R682" s="66" t="str">
        <f>VLOOKUP($Q682,Resultados!$A$1:$B$49,2,FALSE)</f>
        <v>Juicio Abreviado</v>
      </c>
      <c r="S682" s="66" t="s">
        <v>686</v>
      </c>
      <c r="T682" s="75" t="str">
        <f t="shared" si="38"/>
        <v>NO</v>
      </c>
      <c r="U682" s="75"/>
      <c r="V682" s="66"/>
      <c r="W682" s="66" t="s">
        <v>1392</v>
      </c>
      <c r="X682" s="66" t="s">
        <v>3194</v>
      </c>
      <c r="Y682" s="66"/>
      <c r="Z682" s="346" t="s">
        <v>748</v>
      </c>
      <c r="AA682" s="121" t="s">
        <v>1171</v>
      </c>
      <c r="AB682" s="121" t="s">
        <v>1175</v>
      </c>
      <c r="AC682" s="366"/>
    </row>
    <row r="683" spans="1:29" ht="39.950000000000003" customHeight="1" x14ac:dyDescent="0.2">
      <c r="A683" s="66">
        <v>682</v>
      </c>
      <c r="B683" s="68"/>
      <c r="C683" s="66"/>
      <c r="D683" s="66" t="s">
        <v>2901</v>
      </c>
      <c r="E683" s="67" t="s">
        <v>2902</v>
      </c>
      <c r="F683" s="66">
        <v>1</v>
      </c>
      <c r="G683" s="66" t="s">
        <v>2774</v>
      </c>
      <c r="H683" s="68">
        <v>45202</v>
      </c>
      <c r="I683" s="68" t="s">
        <v>73</v>
      </c>
      <c r="J683" s="68" t="s">
        <v>33</v>
      </c>
      <c r="K683" s="66">
        <f>IFERROR(VLOOKUP(J683,Jueces!$A$1:$B$11,2,FALSE),"")</f>
        <v>4</v>
      </c>
      <c r="L683" s="66" t="s">
        <v>803</v>
      </c>
      <c r="M683" s="66" t="s">
        <v>1386</v>
      </c>
      <c r="N683" s="66" t="s">
        <v>3136</v>
      </c>
      <c r="O683" s="66" t="str">
        <f t="shared" ca="1" si="36"/>
        <v>SI</v>
      </c>
      <c r="P683" s="66" t="str">
        <f t="shared" si="37"/>
        <v>DIANOSOL</v>
      </c>
      <c r="Q683" s="66" t="s">
        <v>151</v>
      </c>
      <c r="R683" s="66" t="str">
        <f>VLOOKUP($Q683,Resultados!$A$1:$B$49,2,FALSE)</f>
        <v>Prisión Preventiva</v>
      </c>
      <c r="S683" s="66" t="s">
        <v>3137</v>
      </c>
      <c r="T683" s="75" t="str">
        <f t="shared" si="38"/>
        <v>NO</v>
      </c>
      <c r="U683" s="75"/>
      <c r="V683" s="66"/>
      <c r="W683" s="66" t="s">
        <v>1018</v>
      </c>
      <c r="X683" s="66"/>
      <c r="Y683" s="66"/>
      <c r="Z683" s="346" t="s">
        <v>748</v>
      </c>
      <c r="AA683" s="346" t="s">
        <v>1169</v>
      </c>
      <c r="AB683" s="336" t="s">
        <v>1175</v>
      </c>
      <c r="AC683" s="366"/>
    </row>
    <row r="684" spans="1:29" ht="39.950000000000003"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39">IF(H684&lt;&gt;"",IF(H684&lt;=TODAY(),"SI","NO"),"LIMBO")</f>
        <v>SI</v>
      </c>
      <c r="P684" s="66" t="str">
        <f t="shared" si="37"/>
        <v>DIANOSOL</v>
      </c>
      <c r="Q684" s="66" t="s">
        <v>151</v>
      </c>
      <c r="R684" s="66" t="str">
        <f>VLOOKUP($Q684,Resultados!$A$1:$B$49,2,FALSE)</f>
        <v>Prisión Preventiva</v>
      </c>
      <c r="S684" s="66" t="s">
        <v>749</v>
      </c>
      <c r="T684" s="75" t="str">
        <f t="shared" si="38"/>
        <v>NO</v>
      </c>
      <c r="U684" s="75"/>
      <c r="V684" s="66"/>
      <c r="W684" s="66" t="s">
        <v>1587</v>
      </c>
      <c r="X684" s="66"/>
      <c r="Y684" s="66"/>
      <c r="Z684" s="121" t="s">
        <v>770</v>
      </c>
      <c r="AA684" s="121" t="s">
        <v>2852</v>
      </c>
      <c r="AB684" s="121" t="s">
        <v>1173</v>
      </c>
      <c r="AC684" s="366"/>
    </row>
    <row r="685" spans="1:29" ht="39.950000000000003" customHeight="1" x14ac:dyDescent="0.2">
      <c r="A685" s="66">
        <v>685</v>
      </c>
      <c r="B685" s="68">
        <v>45190</v>
      </c>
      <c r="C685" s="73">
        <v>0.52361111111111114</v>
      </c>
      <c r="D685" s="66" t="s">
        <v>2914</v>
      </c>
      <c r="E685" s="67" t="s">
        <v>2926</v>
      </c>
      <c r="F685" s="66">
        <v>1</v>
      </c>
      <c r="G685" s="66" t="s">
        <v>43</v>
      </c>
      <c r="H685" s="68">
        <v>45197</v>
      </c>
      <c r="I685" s="68" t="s">
        <v>1086</v>
      </c>
      <c r="J685" s="68" t="s">
        <v>31</v>
      </c>
      <c r="K685" s="66">
        <f>IFERROR(VLOOKUP(J685,Jueces!$A$1:$B$11,2,FALSE),"")</f>
        <v>2</v>
      </c>
      <c r="L685" s="66" t="s">
        <v>2737</v>
      </c>
      <c r="M685" s="66" t="s">
        <v>711</v>
      </c>
      <c r="N685" s="210" t="s">
        <v>3071</v>
      </c>
      <c r="O685" s="81" t="str">
        <f t="shared" ca="1" si="39"/>
        <v>SI</v>
      </c>
      <c r="P685" s="81" t="str">
        <f t="shared" si="37"/>
        <v>DIANOSOL</v>
      </c>
      <c r="Q685" s="66" t="s">
        <v>904</v>
      </c>
      <c r="R685" s="66" t="str">
        <f>VLOOKUP($Q685,Resultados!$A$1:$B$49,2,FALSE)</f>
        <v>Juicio Abreviado</v>
      </c>
      <c r="S685" s="73">
        <v>0.41041666666666665</v>
      </c>
      <c r="T685" s="84" t="str">
        <f t="shared" si="38"/>
        <v>NO</v>
      </c>
      <c r="U685" s="84"/>
      <c r="V685" s="81"/>
      <c r="W685" s="73">
        <v>0.42499999999999999</v>
      </c>
      <c r="X685" s="66" t="s">
        <v>3072</v>
      </c>
      <c r="Y685" s="66"/>
      <c r="Z685" s="121" t="s">
        <v>748</v>
      </c>
      <c r="AA685" s="121" t="s">
        <v>1169</v>
      </c>
      <c r="AB685" s="121" t="s">
        <v>1177</v>
      </c>
      <c r="AC685" s="366"/>
    </row>
    <row r="686" spans="1:29" ht="39.950000000000003" customHeight="1" x14ac:dyDescent="0.2">
      <c r="A686" s="66">
        <v>686</v>
      </c>
      <c r="B686" s="68">
        <v>45191</v>
      </c>
      <c r="C686" s="73">
        <v>0.33333333333333331</v>
      </c>
      <c r="D686" s="66" t="s">
        <v>2915</v>
      </c>
      <c r="E686" s="67" t="s">
        <v>3130</v>
      </c>
      <c r="F686" s="66">
        <v>6</v>
      </c>
      <c r="G686" s="66" t="s">
        <v>43</v>
      </c>
      <c r="H686" s="68">
        <v>45203</v>
      </c>
      <c r="I686" s="68" t="s">
        <v>73</v>
      </c>
      <c r="J686" s="68" t="s">
        <v>78</v>
      </c>
      <c r="K686" s="66">
        <f>IFERROR(VLOOKUP(J686,Jueces!$A$1:$B$11,2,FALSE),"")</f>
        <v>8</v>
      </c>
      <c r="L686" s="66" t="s">
        <v>789</v>
      </c>
      <c r="M686" s="66" t="s">
        <v>887</v>
      </c>
      <c r="N686" s="66" t="s">
        <v>3193</v>
      </c>
      <c r="O686" s="66" t="str">
        <f t="shared" ca="1" si="39"/>
        <v>SI</v>
      </c>
      <c r="P686" s="66" t="str">
        <f t="shared" si="37"/>
        <v>DIANOSOL</v>
      </c>
      <c r="Q686" s="66" t="s">
        <v>904</v>
      </c>
      <c r="R686" s="66" t="str">
        <f>VLOOKUP($Q686,Resultados!$A$1:$B$49,2,FALSE)</f>
        <v>Juicio Abreviado</v>
      </c>
      <c r="S686" s="66" t="s">
        <v>1292</v>
      </c>
      <c r="T686" s="75" t="str">
        <f t="shared" si="38"/>
        <v>NO</v>
      </c>
      <c r="U686" s="75"/>
      <c r="V686" s="66"/>
      <c r="W686" s="66" t="s">
        <v>76</v>
      </c>
      <c r="X686" s="66" t="s">
        <v>2571</v>
      </c>
      <c r="Y686" s="66"/>
      <c r="Z686" s="346" t="s">
        <v>743</v>
      </c>
      <c r="AA686" s="121" t="s">
        <v>1171</v>
      </c>
      <c r="AB686" s="121" t="s">
        <v>1177</v>
      </c>
      <c r="AC686" s="366"/>
    </row>
    <row r="687" spans="1:29" ht="39.950000000000003" customHeight="1" x14ac:dyDescent="0.2">
      <c r="A687" s="66">
        <v>687</v>
      </c>
      <c r="B687" s="68">
        <v>45190</v>
      </c>
      <c r="C687" s="73">
        <v>0.45208333333333334</v>
      </c>
      <c r="D687" s="66" t="s">
        <v>2916</v>
      </c>
      <c r="E687" s="67" t="s">
        <v>2918</v>
      </c>
      <c r="F687" s="66">
        <v>8</v>
      </c>
      <c r="G687" s="66" t="s">
        <v>1441</v>
      </c>
      <c r="H687" s="68">
        <v>45202</v>
      </c>
      <c r="I687" s="68" t="s">
        <v>989</v>
      </c>
      <c r="J687" s="68" t="s">
        <v>1221</v>
      </c>
      <c r="K687" s="66" t="s">
        <v>1925</v>
      </c>
      <c r="L687" s="66" t="s">
        <v>811</v>
      </c>
      <c r="M687" s="66" t="s">
        <v>1087</v>
      </c>
      <c r="N687" s="66" t="s">
        <v>3159</v>
      </c>
      <c r="O687" s="66" t="str">
        <f t="shared" ca="1" si="39"/>
        <v>SI</v>
      </c>
      <c r="P687" s="66" t="str">
        <f t="shared" si="37"/>
        <v>DIANOSOL</v>
      </c>
      <c r="Q687" s="66" t="s">
        <v>151</v>
      </c>
      <c r="R687" s="66" t="str">
        <f>VLOOKUP($Q687,Resultados!$A$1:$B$49,2,FALSE)</f>
        <v>Prisión Preventiva</v>
      </c>
      <c r="S687" s="66" t="s">
        <v>3160</v>
      </c>
      <c r="T687" s="75" t="str">
        <f t="shared" si="38"/>
        <v>NO</v>
      </c>
      <c r="U687" s="75"/>
      <c r="V687" s="66"/>
      <c r="W687" s="66" t="s">
        <v>1040</v>
      </c>
      <c r="X687" s="66" t="s">
        <v>2984</v>
      </c>
      <c r="Y687" s="66"/>
      <c r="Z687" s="346" t="s">
        <v>743</v>
      </c>
      <c r="AA687" s="346" t="s">
        <v>2852</v>
      </c>
      <c r="AB687" s="336" t="s">
        <v>3113</v>
      </c>
      <c r="AC687" s="366"/>
    </row>
    <row r="688" spans="1:29" ht="39.950000000000003" customHeight="1" x14ac:dyDescent="0.2">
      <c r="A688" s="66">
        <v>688</v>
      </c>
      <c r="B688" s="68">
        <v>45190</v>
      </c>
      <c r="C688" s="73">
        <v>0.44513888888888892</v>
      </c>
      <c r="D688" s="66" t="s">
        <v>2919</v>
      </c>
      <c r="E688" s="67" t="s">
        <v>2920</v>
      </c>
      <c r="F688" s="66">
        <v>8</v>
      </c>
      <c r="G688" s="66" t="s">
        <v>29</v>
      </c>
      <c r="H688" s="68">
        <v>45209</v>
      </c>
      <c r="I688" s="68" t="s">
        <v>73</v>
      </c>
      <c r="J688" s="68" t="s">
        <v>1221</v>
      </c>
      <c r="K688" s="66" t="s">
        <v>1925</v>
      </c>
      <c r="L688" s="66" t="s">
        <v>802</v>
      </c>
      <c r="M688" s="66" t="s">
        <v>3023</v>
      </c>
      <c r="N688" s="66" t="s">
        <v>3317</v>
      </c>
      <c r="O688" s="81" t="str">
        <f t="shared" ca="1" si="39"/>
        <v>SI</v>
      </c>
      <c r="P688" s="81" t="str">
        <f t="shared" si="37"/>
        <v>DIANOSOL</v>
      </c>
      <c r="Q688" s="66" t="s">
        <v>151</v>
      </c>
      <c r="R688" s="66" t="str">
        <f>VLOOKUP($Q688,Resultados!$A$1:$B$49,2,FALSE)</f>
        <v>Prisión Preventiva</v>
      </c>
      <c r="S688" s="66" t="s">
        <v>1296</v>
      </c>
      <c r="T688" s="84" t="str">
        <f t="shared" si="38"/>
        <v>NO</v>
      </c>
      <c r="U688" s="84"/>
      <c r="V688" s="81"/>
      <c r="W688" s="66" t="s">
        <v>1138</v>
      </c>
      <c r="X688" s="66" t="s">
        <v>3293</v>
      </c>
      <c r="Y688" s="66"/>
      <c r="Z688" s="121" t="s">
        <v>770</v>
      </c>
      <c r="AA688" s="121" t="s">
        <v>2852</v>
      </c>
      <c r="AB688" s="121" t="s">
        <v>1174</v>
      </c>
      <c r="AC688" s="366"/>
    </row>
    <row r="689" spans="1:29" ht="39.950000000000003" customHeight="1" x14ac:dyDescent="0.2">
      <c r="A689" s="66">
        <v>689</v>
      </c>
      <c r="B689" s="68">
        <v>45190</v>
      </c>
      <c r="C689" s="73">
        <v>0.44097222222222227</v>
      </c>
      <c r="D689" s="66" t="s">
        <v>2921</v>
      </c>
      <c r="E689" s="67" t="s">
        <v>2968</v>
      </c>
      <c r="F689" s="66">
        <v>8</v>
      </c>
      <c r="G689" s="66" t="s">
        <v>2788</v>
      </c>
      <c r="H689" s="68">
        <v>45205</v>
      </c>
      <c r="I689" s="68" t="s">
        <v>1086</v>
      </c>
      <c r="J689" s="68" t="s">
        <v>1221</v>
      </c>
      <c r="K689" s="66" t="s">
        <v>1925</v>
      </c>
      <c r="L689" s="66" t="s">
        <v>807</v>
      </c>
      <c r="M689" s="66" t="s">
        <v>887</v>
      </c>
      <c r="N689" s="66" t="s">
        <v>899</v>
      </c>
      <c r="O689" s="66" t="str">
        <f t="shared" ca="1" si="39"/>
        <v>SI</v>
      </c>
      <c r="P689" s="66" t="str">
        <f t="shared" si="37"/>
        <v>DIANOSOL</v>
      </c>
      <c r="Q689" s="66" t="s">
        <v>899</v>
      </c>
      <c r="R689" s="66" t="str">
        <f>VLOOKUP($Q689,Resultados!$A$1:$B$49,2,FALSE)</f>
        <v>Libertad</v>
      </c>
      <c r="S689" s="66" t="s">
        <v>2385</v>
      </c>
      <c r="T689" s="75" t="str">
        <f t="shared" si="38"/>
        <v>NO</v>
      </c>
      <c r="U689" s="75"/>
      <c r="V689" s="66"/>
      <c r="W689" s="66" t="s">
        <v>1445</v>
      </c>
      <c r="X689" s="66"/>
      <c r="Y689" s="66"/>
      <c r="Z689" s="121" t="s">
        <v>2867</v>
      </c>
      <c r="AA689" s="121" t="s">
        <v>1171</v>
      </c>
      <c r="AB689" s="336" t="s">
        <v>1174</v>
      </c>
      <c r="AC689" s="366"/>
    </row>
    <row r="690" spans="1:29" ht="39.950000000000003" customHeight="1" x14ac:dyDescent="0.2">
      <c r="A690" s="66">
        <v>690</v>
      </c>
      <c r="B690" s="68">
        <v>45190</v>
      </c>
      <c r="C690" s="73">
        <v>0.53333333333333333</v>
      </c>
      <c r="D690" s="66" t="s">
        <v>2922</v>
      </c>
      <c r="E690" s="67" t="s">
        <v>3006</v>
      </c>
      <c r="F690" s="66">
        <v>8</v>
      </c>
      <c r="G690" s="66" t="s">
        <v>2773</v>
      </c>
      <c r="H690" s="68">
        <v>45205</v>
      </c>
      <c r="I690" s="68" t="s">
        <v>228</v>
      </c>
      <c r="J690" s="68" t="s">
        <v>78</v>
      </c>
      <c r="K690" s="66">
        <f>IFERROR(VLOOKUP(J690,Jueces!$A$1:$B$11,2,FALSE),"")</f>
        <v>8</v>
      </c>
      <c r="L690" s="66" t="s">
        <v>801</v>
      </c>
      <c r="M690" s="66" t="s">
        <v>1286</v>
      </c>
      <c r="N690" s="66" t="s">
        <v>899</v>
      </c>
      <c r="O690" s="66" t="str">
        <f t="shared" ca="1" si="39"/>
        <v>SI</v>
      </c>
      <c r="P690" s="66" t="str">
        <f t="shared" si="37"/>
        <v>DIANOSOL</v>
      </c>
      <c r="Q690" s="66" t="s">
        <v>899</v>
      </c>
      <c r="R690" s="66" t="str">
        <f>VLOOKUP($Q690,Resultados!$A$1:$B$49,2,FALSE)</f>
        <v>Libertad</v>
      </c>
      <c r="S690" s="66" t="s">
        <v>3243</v>
      </c>
      <c r="T690" s="75" t="str">
        <f t="shared" si="38"/>
        <v>NO</v>
      </c>
      <c r="U690" s="75"/>
      <c r="V690" s="66"/>
      <c r="W690" s="66" t="s">
        <v>1241</v>
      </c>
      <c r="X690" s="66" t="s">
        <v>3244</v>
      </c>
      <c r="Y690" s="66"/>
      <c r="Z690" s="121" t="s">
        <v>748</v>
      </c>
      <c r="AA690" s="121" t="s">
        <v>2852</v>
      </c>
      <c r="AB690" s="336" t="s">
        <v>1174</v>
      </c>
      <c r="AC690" s="366"/>
    </row>
    <row r="691" spans="1:29" ht="39.950000000000003" customHeight="1" x14ac:dyDescent="0.2">
      <c r="A691" s="66">
        <v>691</v>
      </c>
      <c r="B691" s="68">
        <v>45191</v>
      </c>
      <c r="C691" s="73">
        <v>0.48749999999999999</v>
      </c>
      <c r="D691" s="66" t="s">
        <v>2929</v>
      </c>
      <c r="E691" s="67" t="s">
        <v>3026</v>
      </c>
      <c r="F691" s="66">
        <v>5</v>
      </c>
      <c r="G691" s="66" t="s">
        <v>1443</v>
      </c>
      <c r="H691" s="68">
        <v>45201</v>
      </c>
      <c r="I691" s="68" t="s">
        <v>73</v>
      </c>
      <c r="J691" s="68" t="s">
        <v>78</v>
      </c>
      <c r="K691" s="66">
        <f>IFERROR(VLOOKUP(J691,Jueces!$A$1:$B$11,2,FALSE),"")</f>
        <v>8</v>
      </c>
      <c r="L691" s="66" t="s">
        <v>1306</v>
      </c>
      <c r="M691" s="66" t="s">
        <v>767</v>
      </c>
      <c r="N691" s="66" t="s">
        <v>2569</v>
      </c>
      <c r="O691" s="81" t="str">
        <f t="shared" ca="1" si="39"/>
        <v>SI</v>
      </c>
      <c r="P691" s="81" t="str">
        <f t="shared" si="37"/>
        <v>DIANOSOL</v>
      </c>
      <c r="Q691" s="66" t="s">
        <v>899</v>
      </c>
      <c r="R691" s="66" t="str">
        <f>VLOOKUP($Q691,Resultados!$A$1:$B$49,2,FALSE)</f>
        <v>Libertad</v>
      </c>
      <c r="S691" s="73">
        <v>0.3576388888888889</v>
      </c>
      <c r="T691" s="84" t="str">
        <f t="shared" si="38"/>
        <v>NO</v>
      </c>
      <c r="U691" s="84"/>
      <c r="V691" s="81"/>
      <c r="W691" s="73">
        <v>0.38611111111111113</v>
      </c>
      <c r="X691" s="66" t="s">
        <v>3127</v>
      </c>
      <c r="Y691" s="66"/>
      <c r="Z691" s="336" t="s">
        <v>2895</v>
      </c>
      <c r="AA691" s="121" t="s">
        <v>2852</v>
      </c>
      <c r="AB691" s="121" t="s">
        <v>1175</v>
      </c>
      <c r="AC691" s="366"/>
    </row>
    <row r="692" spans="1:29" ht="39.950000000000003" customHeight="1" x14ac:dyDescent="0.2">
      <c r="A692" s="66">
        <v>692</v>
      </c>
      <c r="B692" s="68">
        <v>45191</v>
      </c>
      <c r="C692" s="73">
        <v>0.48819444444444443</v>
      </c>
      <c r="D692" s="66" t="s">
        <v>2930</v>
      </c>
      <c r="E692" s="67" t="s">
        <v>2969</v>
      </c>
      <c r="F692" s="66">
        <v>8</v>
      </c>
      <c r="G692" s="66" t="s">
        <v>29</v>
      </c>
      <c r="H692" s="68">
        <v>45208</v>
      </c>
      <c r="I692" s="68" t="s">
        <v>73</v>
      </c>
      <c r="J692" s="68" t="s">
        <v>1221</v>
      </c>
      <c r="K692" s="66" t="s">
        <v>1925</v>
      </c>
      <c r="L692" s="66" t="s">
        <v>807</v>
      </c>
      <c r="M692" s="66" t="s">
        <v>887</v>
      </c>
      <c r="N692" s="66" t="s">
        <v>3257</v>
      </c>
      <c r="O692" s="66" t="str">
        <f t="shared" ca="1" si="39"/>
        <v>SI</v>
      </c>
      <c r="P692" s="66" t="str">
        <f t="shared" si="37"/>
        <v>DIANOSOL</v>
      </c>
      <c r="Q692" s="66" t="s">
        <v>151</v>
      </c>
      <c r="R692" s="66" t="str">
        <f>VLOOKUP($Q692,Resultados!$A$1:$B$49,2,FALSE)</f>
        <v>Prisión Preventiva</v>
      </c>
      <c r="S692" s="66" t="s">
        <v>686</v>
      </c>
      <c r="T692" s="75" t="str">
        <f t="shared" si="38"/>
        <v>NO</v>
      </c>
      <c r="U692" s="75"/>
      <c r="V692" s="66"/>
      <c r="W692" s="66" t="s">
        <v>1065</v>
      </c>
      <c r="X692" s="66" t="s">
        <v>3258</v>
      </c>
      <c r="Y692" s="66"/>
      <c r="Z692" s="121" t="s">
        <v>2895</v>
      </c>
      <c r="AA692" s="121" t="s">
        <v>1169</v>
      </c>
      <c r="AB692" s="121" t="s">
        <v>1173</v>
      </c>
      <c r="AC692" s="366"/>
    </row>
    <row r="693" spans="1:29" ht="39.950000000000003"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39"/>
        <v>SI</v>
      </c>
      <c r="P693" s="66" t="str">
        <f t="shared" si="37"/>
        <v>DIANOSOL</v>
      </c>
      <c r="Q693" s="66" t="s">
        <v>151</v>
      </c>
      <c r="R693" s="66" t="str">
        <f>VLOOKUP($Q693,Resultados!$A$1:$B$49,2,FALSE)</f>
        <v>Prisión Preventiva</v>
      </c>
      <c r="S693" s="66" t="s">
        <v>76</v>
      </c>
      <c r="T693" s="75" t="str">
        <f t="shared" si="38"/>
        <v>NO</v>
      </c>
      <c r="U693" s="75"/>
      <c r="V693" s="66"/>
      <c r="W693" s="66" t="s">
        <v>2904</v>
      </c>
      <c r="X693" s="66"/>
      <c r="Y693" s="66"/>
      <c r="Z693" s="121" t="s">
        <v>2895</v>
      </c>
      <c r="AA693" s="121" t="s">
        <v>1169</v>
      </c>
      <c r="AB693" s="336" t="s">
        <v>1173</v>
      </c>
      <c r="AC693" s="366"/>
    </row>
    <row r="694" spans="1:29" ht="39.950000000000003" customHeight="1" x14ac:dyDescent="0.2">
      <c r="A694" s="66">
        <v>695</v>
      </c>
      <c r="B694" s="68">
        <v>45191</v>
      </c>
      <c r="C694" s="73">
        <v>0.54166666666666663</v>
      </c>
      <c r="D694" s="66" t="s">
        <v>2937</v>
      </c>
      <c r="E694" s="67" t="s">
        <v>2977</v>
      </c>
      <c r="F694" s="66">
        <v>8</v>
      </c>
      <c r="G694" s="66" t="s">
        <v>283</v>
      </c>
      <c r="H694" s="68">
        <v>45202</v>
      </c>
      <c r="I694" s="68" t="s">
        <v>73</v>
      </c>
      <c r="J694" s="68" t="s">
        <v>1220</v>
      </c>
      <c r="K694" s="66">
        <f>IFERROR(VLOOKUP(J694,Jueces!$A$1:$B$11,2,FALSE),"")</f>
        <v>1</v>
      </c>
      <c r="L694" s="66" t="s">
        <v>798</v>
      </c>
      <c r="M694" s="66" t="s">
        <v>1087</v>
      </c>
      <c r="N694" s="66" t="s">
        <v>3142</v>
      </c>
      <c r="O694" s="66" t="str">
        <f t="shared" ca="1" si="39"/>
        <v>SI</v>
      </c>
      <c r="P694" s="66" t="str">
        <f t="shared" si="37"/>
        <v>DIANOSOL</v>
      </c>
      <c r="Q694" s="66" t="s">
        <v>905</v>
      </c>
      <c r="R694" s="66" t="str">
        <f>VLOOKUP($Q694,Resultados!$A$1:$B$49,2,FALSE)</f>
        <v>Juicio Abreviado</v>
      </c>
      <c r="S694" s="73" t="s">
        <v>1006</v>
      </c>
      <c r="T694" s="75" t="str">
        <f t="shared" si="38"/>
        <v>NO</v>
      </c>
      <c r="U694" s="75"/>
      <c r="V694" s="66"/>
      <c r="W694" s="66" t="s">
        <v>1538</v>
      </c>
      <c r="X694" s="66" t="s">
        <v>3143</v>
      </c>
      <c r="Y694" s="66"/>
      <c r="Z694" s="346" t="s">
        <v>770</v>
      </c>
      <c r="AA694" s="346" t="s">
        <v>2852</v>
      </c>
      <c r="AB694" s="336" t="s">
        <v>1177</v>
      </c>
      <c r="AC694" s="366"/>
    </row>
    <row r="695" spans="1:29" ht="39.950000000000003" customHeight="1" x14ac:dyDescent="0.2">
      <c r="A695" s="66">
        <v>696</v>
      </c>
      <c r="B695" s="68">
        <v>45191</v>
      </c>
      <c r="C695" s="73">
        <v>0.54166666666666663</v>
      </c>
      <c r="D695" s="66" t="s">
        <v>2938</v>
      </c>
      <c r="E695" s="67" t="s">
        <v>2939</v>
      </c>
      <c r="F695" s="66">
        <v>1</v>
      </c>
      <c r="G695" s="66" t="s">
        <v>29</v>
      </c>
      <c r="H695" s="68">
        <v>45203</v>
      </c>
      <c r="I695" s="68" t="s">
        <v>1086</v>
      </c>
      <c r="J695" s="68" t="s">
        <v>35</v>
      </c>
      <c r="K695" s="66">
        <f>IFERROR(VLOOKUP(J695,Jueces!$A$1:$B$11,2,FALSE),"")</f>
        <v>3</v>
      </c>
      <c r="L695" s="66" t="s">
        <v>813</v>
      </c>
      <c r="M695" s="66" t="s">
        <v>711</v>
      </c>
      <c r="N695" s="66" t="s">
        <v>577</v>
      </c>
      <c r="O695" s="66" t="str">
        <f t="shared" ca="1" si="39"/>
        <v>SI</v>
      </c>
      <c r="P695" s="66" t="str">
        <f t="shared" si="37"/>
        <v>DIANOSOL</v>
      </c>
      <c r="Q695" s="66" t="s">
        <v>151</v>
      </c>
      <c r="R695" s="66" t="str">
        <f>VLOOKUP($Q695,Resultados!$A$1:$B$49,2,FALSE)</f>
        <v>Prisión Preventiva</v>
      </c>
      <c r="S695" s="66" t="s">
        <v>3199</v>
      </c>
      <c r="T695" s="75" t="str">
        <f t="shared" si="38"/>
        <v>NO</v>
      </c>
      <c r="U695" s="75"/>
      <c r="V695" s="66"/>
      <c r="W695" s="66" t="s">
        <v>77</v>
      </c>
      <c r="X695" s="66" t="s">
        <v>3196</v>
      </c>
      <c r="Y695" s="66"/>
      <c r="Z695" s="346" t="s">
        <v>2867</v>
      </c>
      <c r="AA695" s="121" t="s">
        <v>1171</v>
      </c>
      <c r="AB695" s="121" t="s">
        <v>1175</v>
      </c>
      <c r="AC695" s="366"/>
    </row>
    <row r="696" spans="1:29" ht="39.950000000000003" customHeight="1" x14ac:dyDescent="0.2">
      <c r="A696" s="66">
        <v>697</v>
      </c>
      <c r="B696" s="68">
        <v>45191</v>
      </c>
      <c r="C696" s="73">
        <v>0.54791666666666672</v>
      </c>
      <c r="D696" s="66" t="s">
        <v>2940</v>
      </c>
      <c r="E696" s="67" t="s">
        <v>2941</v>
      </c>
      <c r="F696" s="66">
        <v>3</v>
      </c>
      <c r="G696" s="66" t="s">
        <v>1442</v>
      </c>
      <c r="H696" s="68">
        <v>45205</v>
      </c>
      <c r="I696" s="68" t="s">
        <v>73</v>
      </c>
      <c r="J696" s="68" t="s">
        <v>1732</v>
      </c>
      <c r="K696" s="66" t="s">
        <v>1326</v>
      </c>
      <c r="L696" s="66" t="s">
        <v>192</v>
      </c>
      <c r="M696" s="66" t="s">
        <v>2967</v>
      </c>
      <c r="N696" s="66" t="s">
        <v>3254</v>
      </c>
      <c r="O696" s="66" t="str">
        <f t="shared" ca="1" si="39"/>
        <v>SI</v>
      </c>
      <c r="P696" s="66" t="str">
        <f t="shared" si="37"/>
        <v>DIANOSOL</v>
      </c>
      <c r="Q696" s="66" t="s">
        <v>913</v>
      </c>
      <c r="R696" s="66" t="str">
        <f>VLOOKUP($Q696,Resultados!$A$1:$B$49,2,FALSE)</f>
        <v>Prision domiciliaria</v>
      </c>
      <c r="S696" s="66" t="s">
        <v>1566</v>
      </c>
      <c r="T696" s="75" t="str">
        <f t="shared" si="38"/>
        <v>SI</v>
      </c>
      <c r="U696" s="75"/>
      <c r="V696" s="66"/>
      <c r="W696" s="66" t="s">
        <v>3255</v>
      </c>
      <c r="X696" s="66" t="s">
        <v>3256</v>
      </c>
      <c r="Y696" s="66"/>
      <c r="Z696" s="121" t="s">
        <v>770</v>
      </c>
      <c r="AA696" s="121" t="s">
        <v>3229</v>
      </c>
      <c r="AB696" s="336" t="s">
        <v>1173</v>
      </c>
      <c r="AC696" s="366"/>
    </row>
    <row r="697" spans="1:29" ht="39.950000000000003" customHeight="1" x14ac:dyDescent="0.2">
      <c r="A697" s="66">
        <v>698</v>
      </c>
      <c r="B697" s="68">
        <v>45191</v>
      </c>
      <c r="C697" s="73">
        <v>0.5493055555555556</v>
      </c>
      <c r="D697" s="66" t="s">
        <v>2942</v>
      </c>
      <c r="E697" s="67" t="s">
        <v>2943</v>
      </c>
      <c r="F697" s="66">
        <v>8</v>
      </c>
      <c r="G697" s="66" t="s">
        <v>2775</v>
      </c>
      <c r="H697" s="68">
        <v>45203</v>
      </c>
      <c r="I697" s="68" t="s">
        <v>1086</v>
      </c>
      <c r="J697" s="68" t="s">
        <v>2951</v>
      </c>
      <c r="K697" s="66" t="s">
        <v>1925</v>
      </c>
      <c r="L697" s="66" t="s">
        <v>2090</v>
      </c>
      <c r="M697" s="66" t="s">
        <v>3019</v>
      </c>
      <c r="N697" s="66" t="s">
        <v>3083</v>
      </c>
      <c r="O697" s="66" t="str">
        <f t="shared" ca="1" si="39"/>
        <v>SI</v>
      </c>
      <c r="P697" s="66" t="str">
        <f t="shared" si="37"/>
        <v>DIANOSOL</v>
      </c>
      <c r="Q697" s="66" t="s">
        <v>905</v>
      </c>
      <c r="R697" s="66" t="str">
        <f>VLOOKUP($Q697,Resultados!$A$1:$B$49,2,FALSE)</f>
        <v>Juicio Abreviado</v>
      </c>
      <c r="S697" s="66" t="s">
        <v>1210</v>
      </c>
      <c r="T697" s="75" t="str">
        <f t="shared" si="38"/>
        <v>NO</v>
      </c>
      <c r="U697" s="75"/>
      <c r="V697" s="66"/>
      <c r="W697" s="66" t="s">
        <v>1229</v>
      </c>
      <c r="X697" s="66" t="s">
        <v>3196</v>
      </c>
      <c r="Y697" s="66"/>
      <c r="Z697" s="346" t="s">
        <v>2895</v>
      </c>
      <c r="AA697" s="121" t="s">
        <v>1169</v>
      </c>
      <c r="AB697" s="121" t="s">
        <v>1177</v>
      </c>
      <c r="AC697" s="366"/>
    </row>
    <row r="698" spans="1:29" ht="39.950000000000003" customHeight="1" x14ac:dyDescent="0.2">
      <c r="A698" s="66">
        <v>699</v>
      </c>
      <c r="B698" s="68">
        <v>45191</v>
      </c>
      <c r="C698" s="73">
        <v>0.55069444444444449</v>
      </c>
      <c r="D698" s="66" t="s">
        <v>2944</v>
      </c>
      <c r="E698" s="67" t="s">
        <v>3002</v>
      </c>
      <c r="F698" s="66">
        <v>8</v>
      </c>
      <c r="G698" s="66" t="s">
        <v>1443</v>
      </c>
      <c r="H698" s="68">
        <v>45205</v>
      </c>
      <c r="I698" s="68" t="s">
        <v>1210</v>
      </c>
      <c r="J698" s="68" t="s">
        <v>1220</v>
      </c>
      <c r="K698" s="66" t="s">
        <v>1925</v>
      </c>
      <c r="L698" s="66" t="s">
        <v>807</v>
      </c>
      <c r="M698" s="66" t="s">
        <v>1087</v>
      </c>
      <c r="N698" s="66" t="s">
        <v>2196</v>
      </c>
      <c r="O698" s="66" t="str">
        <f t="shared" ca="1" si="39"/>
        <v>SI</v>
      </c>
      <c r="P698" s="66" t="str">
        <f t="shared" si="37"/>
        <v>DIANOSOL</v>
      </c>
      <c r="Q698" s="66" t="s">
        <v>904</v>
      </c>
      <c r="R698" s="66" t="str">
        <f>VLOOKUP($Q698,Resultados!$A$1:$B$49,2,FALSE)</f>
        <v>Juicio Abreviado</v>
      </c>
      <c r="S698" s="66" t="s">
        <v>2277</v>
      </c>
      <c r="T698" s="75" t="str">
        <f t="shared" si="38"/>
        <v>NO</v>
      </c>
      <c r="U698" s="75"/>
      <c r="V698" s="66"/>
      <c r="W698" s="66" t="s">
        <v>3245</v>
      </c>
      <c r="X698" s="66" t="s">
        <v>3246</v>
      </c>
      <c r="Y698" s="66"/>
      <c r="Z698" s="121" t="s">
        <v>748</v>
      </c>
      <c r="AA698" s="121" t="s">
        <v>1171</v>
      </c>
      <c r="AB698" s="336" t="s">
        <v>1177</v>
      </c>
      <c r="AC698" s="366"/>
    </row>
    <row r="699" spans="1:29" ht="39.950000000000003" customHeight="1" x14ac:dyDescent="0.2">
      <c r="A699" s="66">
        <v>700</v>
      </c>
      <c r="B699" s="68">
        <v>45191</v>
      </c>
      <c r="C699" s="73">
        <v>0.56180555555555556</v>
      </c>
      <c r="D699" s="66" t="s">
        <v>2945</v>
      </c>
      <c r="E699" s="67" t="s">
        <v>2946</v>
      </c>
      <c r="F699" s="66">
        <v>1</v>
      </c>
      <c r="G699" s="66" t="s">
        <v>43</v>
      </c>
      <c r="H699" s="68">
        <v>45208</v>
      </c>
      <c r="I699" s="68" t="s">
        <v>73</v>
      </c>
      <c r="J699" s="68" t="s">
        <v>78</v>
      </c>
      <c r="K699" s="66">
        <f>IFERROR(VLOOKUP(J699,Jueces!$A$1:$B$11,2,FALSE),"")</f>
        <v>8</v>
      </c>
      <c r="L699" s="66" t="s">
        <v>569</v>
      </c>
      <c r="M699" s="66" t="s">
        <v>711</v>
      </c>
      <c r="N699" s="66" t="s">
        <v>3262</v>
      </c>
      <c r="O699" s="66" t="str">
        <f t="shared" ca="1" si="39"/>
        <v>SI</v>
      </c>
      <c r="P699" s="66" t="str">
        <f t="shared" si="37"/>
        <v>DIANOSOL</v>
      </c>
      <c r="Q699" s="66" t="s">
        <v>904</v>
      </c>
      <c r="R699" s="66" t="str">
        <f>VLOOKUP($Q699,Resultados!$A$1:$B$49,2,FALSE)</f>
        <v>Juicio Abreviado</v>
      </c>
      <c r="S699" s="66" t="s">
        <v>1065</v>
      </c>
      <c r="T699" s="75" t="str">
        <f t="shared" si="38"/>
        <v>NO</v>
      </c>
      <c r="U699" s="75"/>
      <c r="V699" s="66"/>
      <c r="W699" s="66" t="s">
        <v>1609</v>
      </c>
      <c r="X699" s="66" t="s">
        <v>3263</v>
      </c>
      <c r="Y699" s="66"/>
      <c r="Z699" s="121" t="s">
        <v>2867</v>
      </c>
      <c r="AA699" s="121" t="s">
        <v>2852</v>
      </c>
      <c r="AB699" s="121" t="s">
        <v>1175</v>
      </c>
      <c r="AC699" s="366"/>
    </row>
    <row r="700" spans="1:29" ht="39.950000000000003" customHeight="1" x14ac:dyDescent="0.2">
      <c r="A700" s="66">
        <v>701</v>
      </c>
      <c r="B700" s="68">
        <v>45194</v>
      </c>
      <c r="C700" s="73">
        <v>0.47152777777777777</v>
      </c>
      <c r="D700" s="66" t="s">
        <v>2971</v>
      </c>
      <c r="E700" s="67" t="s">
        <v>3106</v>
      </c>
      <c r="F700" s="66">
        <v>7</v>
      </c>
      <c r="G700" s="66" t="s">
        <v>43</v>
      </c>
      <c r="H700" s="68">
        <v>45201</v>
      </c>
      <c r="I700" s="68" t="s">
        <v>73</v>
      </c>
      <c r="J700" s="68" t="s">
        <v>1732</v>
      </c>
      <c r="K700" s="66" t="s">
        <v>1346</v>
      </c>
      <c r="L700" s="66" t="s">
        <v>1502</v>
      </c>
      <c r="M700" s="66" t="s">
        <v>2568</v>
      </c>
      <c r="N700" s="66" t="s">
        <v>235</v>
      </c>
      <c r="O700" s="81" t="str">
        <f t="shared" ca="1" si="39"/>
        <v>SI</v>
      </c>
      <c r="P700" s="81" t="str">
        <f t="shared" si="37"/>
        <v>DIANOSOL</v>
      </c>
      <c r="Q700" s="66" t="s">
        <v>151</v>
      </c>
      <c r="R700" s="66" t="str">
        <f>VLOOKUP($Q700,Resultados!$A$1:$B$49,2,FALSE)</f>
        <v>Prisión Preventiva</v>
      </c>
      <c r="S700" s="73">
        <v>0.35347222222222219</v>
      </c>
      <c r="T700" s="84" t="str">
        <f t="shared" si="38"/>
        <v>NO</v>
      </c>
      <c r="U700" s="84"/>
      <c r="V700" s="81"/>
      <c r="W700" s="73">
        <v>0.37291666666666662</v>
      </c>
      <c r="X700" s="66"/>
      <c r="Y700" s="66"/>
      <c r="Z700" s="336" t="s">
        <v>748</v>
      </c>
      <c r="AA700" s="121" t="s">
        <v>1171</v>
      </c>
      <c r="AB700" s="121" t="s">
        <v>1177</v>
      </c>
      <c r="AC700" s="366"/>
    </row>
    <row r="701" spans="1:29" ht="38.25" x14ac:dyDescent="0.2">
      <c r="A701" s="66">
        <v>702</v>
      </c>
      <c r="B701" s="68">
        <v>45194</v>
      </c>
      <c r="C701" s="73">
        <v>0.38472222222222219</v>
      </c>
      <c r="D701" s="66" t="s">
        <v>2972</v>
      </c>
      <c r="E701" s="67" t="s">
        <v>2973</v>
      </c>
      <c r="F701" s="66">
        <v>8</v>
      </c>
      <c r="G701" s="66" t="s">
        <v>2774</v>
      </c>
      <c r="H701" s="68">
        <v>45210</v>
      </c>
      <c r="I701" s="68" t="s">
        <v>73</v>
      </c>
      <c r="J701" s="68" t="s">
        <v>1221</v>
      </c>
      <c r="K701" s="66" t="s">
        <v>1925</v>
      </c>
      <c r="L701" s="66" t="s">
        <v>796</v>
      </c>
      <c r="M701" s="66" t="s">
        <v>3102</v>
      </c>
      <c r="N701" s="66" t="s">
        <v>3361</v>
      </c>
      <c r="O701" s="81" t="str">
        <f t="shared" ca="1" si="39"/>
        <v>SI</v>
      </c>
      <c r="P701" s="81" t="str">
        <f t="shared" si="37"/>
        <v>DIANOSOL</v>
      </c>
      <c r="Q701" s="66" t="s">
        <v>151</v>
      </c>
      <c r="R701" s="66" t="str">
        <f>VLOOKUP($Q701,Resultados!$A$1:$B$49,2,FALSE)</f>
        <v>Prisión Preventiva</v>
      </c>
      <c r="S701" s="73">
        <v>0.35347222222222219</v>
      </c>
      <c r="T701" s="84" t="str">
        <f t="shared" si="38"/>
        <v>NO</v>
      </c>
      <c r="U701" s="84"/>
      <c r="V701" s="81"/>
      <c r="W701" s="66" t="s">
        <v>1130</v>
      </c>
      <c r="X701" s="66"/>
      <c r="Y701" s="66"/>
      <c r="Z701" s="121" t="s">
        <v>2867</v>
      </c>
      <c r="AA701" s="121" t="s">
        <v>2852</v>
      </c>
      <c r="AB701" s="121" t="s">
        <v>3302</v>
      </c>
      <c r="AC701" s="366"/>
    </row>
    <row r="702" spans="1:29" ht="102" x14ac:dyDescent="0.2">
      <c r="A702" s="66">
        <v>703</v>
      </c>
      <c r="B702" s="68">
        <v>45194</v>
      </c>
      <c r="C702" s="66" t="s">
        <v>2175</v>
      </c>
      <c r="D702" s="66" t="s">
        <v>2974</v>
      </c>
      <c r="E702" s="67" t="s">
        <v>2996</v>
      </c>
      <c r="F702" s="66">
        <v>8</v>
      </c>
      <c r="G702" s="66" t="s">
        <v>2788</v>
      </c>
      <c r="H702" s="68">
        <v>45203</v>
      </c>
      <c r="I702" s="68" t="s">
        <v>73</v>
      </c>
      <c r="J702" s="68" t="s">
        <v>35</v>
      </c>
      <c r="K702" s="66">
        <f>IFERROR(VLOOKUP(J702,Jueces!$A$1:$B$11,2,FALSE),"")</f>
        <v>3</v>
      </c>
      <c r="L702" s="66" t="s">
        <v>796</v>
      </c>
      <c r="M702" s="66" t="s">
        <v>1087</v>
      </c>
      <c r="N702" s="66" t="s">
        <v>3197</v>
      </c>
      <c r="O702" s="66" t="str">
        <f t="shared" ca="1" si="39"/>
        <v>SI</v>
      </c>
      <c r="P702" s="66" t="str">
        <f t="shared" si="37"/>
        <v>DIANOSOL</v>
      </c>
      <c r="Q702" s="66" t="s">
        <v>151</v>
      </c>
      <c r="R702" s="66" t="s">
        <v>151</v>
      </c>
      <c r="S702" s="66" t="s">
        <v>3134</v>
      </c>
      <c r="T702" s="75" t="str">
        <f t="shared" si="38"/>
        <v>NO</v>
      </c>
      <c r="U702" s="75"/>
      <c r="V702" s="66"/>
      <c r="W702" s="66" t="s">
        <v>3198</v>
      </c>
      <c r="X702" s="66" t="s">
        <v>2382</v>
      </c>
      <c r="Y702" s="66"/>
      <c r="Z702" s="346" t="s">
        <v>770</v>
      </c>
      <c r="AA702" s="121" t="s">
        <v>2852</v>
      </c>
      <c r="AB702" s="121" t="s">
        <v>1174</v>
      </c>
      <c r="AC702" s="366"/>
    </row>
    <row r="703" spans="1:29" ht="89.25" x14ac:dyDescent="0.2">
      <c r="A703" s="66">
        <v>704</v>
      </c>
      <c r="B703" s="68">
        <v>45195</v>
      </c>
      <c r="C703" s="73">
        <v>0.4055555555555555</v>
      </c>
      <c r="D703" s="66" t="s">
        <v>2978</v>
      </c>
      <c r="E703" s="67" t="s">
        <v>3158</v>
      </c>
      <c r="F703" s="66">
        <v>1</v>
      </c>
      <c r="G703" s="66" t="s">
        <v>2773</v>
      </c>
      <c r="H703" s="68">
        <v>45210</v>
      </c>
      <c r="I703" s="68" t="s">
        <v>73</v>
      </c>
      <c r="J703" s="68" t="s">
        <v>2954</v>
      </c>
      <c r="K703" s="66" t="s">
        <v>2394</v>
      </c>
      <c r="L703" s="66" t="s">
        <v>791</v>
      </c>
      <c r="M703" s="66" t="s">
        <v>711</v>
      </c>
      <c r="N703" s="66" t="s">
        <v>1753</v>
      </c>
      <c r="O703" s="81" t="str">
        <f t="shared" ca="1" si="39"/>
        <v>SI</v>
      </c>
      <c r="P703" s="81" t="str">
        <f t="shared" si="37"/>
        <v>DIANOSOL</v>
      </c>
      <c r="Q703" s="66" t="s">
        <v>151</v>
      </c>
      <c r="R703" s="66" t="str">
        <f>VLOOKUP($Q703,Resultados!$A$1:$B$49,2,FALSE)</f>
        <v>Prisión Preventiva</v>
      </c>
      <c r="S703" s="66" t="s">
        <v>2711</v>
      </c>
      <c r="T703" s="84" t="str">
        <f t="shared" si="38"/>
        <v>NO</v>
      </c>
      <c r="U703" s="84"/>
      <c r="V703" s="81"/>
      <c r="W703" s="66" t="s">
        <v>1034</v>
      </c>
      <c r="X703" s="66"/>
      <c r="Y703" s="66"/>
      <c r="Z703" s="121" t="s">
        <v>748</v>
      </c>
      <c r="AA703" s="121" t="s">
        <v>1169</v>
      </c>
      <c r="AB703" s="121" t="s">
        <v>1173</v>
      </c>
      <c r="AC703" s="366"/>
    </row>
    <row r="704" spans="1:29" ht="63.75" x14ac:dyDescent="0.2">
      <c r="A704" s="66">
        <v>705</v>
      </c>
      <c r="B704" s="68">
        <v>45195</v>
      </c>
      <c r="C704" s="73">
        <v>0.47638888888888892</v>
      </c>
      <c r="D704" s="66" t="s">
        <v>2992</v>
      </c>
      <c r="E704" s="67" t="s">
        <v>2993</v>
      </c>
      <c r="F704" s="66">
        <v>8</v>
      </c>
      <c r="G704" s="66" t="s">
        <v>2773</v>
      </c>
      <c r="H704" s="68">
        <v>45208</v>
      </c>
      <c r="I704" s="68" t="s">
        <v>749</v>
      </c>
      <c r="J704" s="68" t="s">
        <v>1225</v>
      </c>
      <c r="K704" s="66">
        <f>IFERROR(VLOOKUP(J704,Jueces!$A$1:$B$11,2,FALSE),"")</f>
        <v>6</v>
      </c>
      <c r="L704" s="66" t="s">
        <v>2431</v>
      </c>
      <c r="M704" s="66" t="s">
        <v>3019</v>
      </c>
      <c r="N704" s="66" t="s">
        <v>577</v>
      </c>
      <c r="O704" s="66" t="str">
        <f t="shared" ca="1" si="39"/>
        <v>SI</v>
      </c>
      <c r="P704" s="66" t="str">
        <f t="shared" si="37"/>
        <v>DIANOSOL</v>
      </c>
      <c r="Q704" s="66" t="s">
        <v>151</v>
      </c>
      <c r="R704" s="66" t="str">
        <f>VLOOKUP($Q704,Resultados!$A$1:$B$49,2,FALSE)</f>
        <v>Prisión Preventiva</v>
      </c>
      <c r="S704" s="66" t="s">
        <v>1429</v>
      </c>
      <c r="T704" s="75" t="str">
        <f t="shared" si="38"/>
        <v>NO</v>
      </c>
      <c r="U704" s="75"/>
      <c r="V704" s="66"/>
      <c r="W704" s="66" t="s">
        <v>1193</v>
      </c>
      <c r="X704" s="66" t="s">
        <v>2382</v>
      </c>
      <c r="Y704" s="66"/>
      <c r="Z704" s="121" t="s">
        <v>748</v>
      </c>
      <c r="AA704" s="121" t="s">
        <v>1171</v>
      </c>
      <c r="AB704" s="121" t="s">
        <v>1175</v>
      </c>
      <c r="AC704" s="366"/>
    </row>
    <row r="705" spans="1:29" ht="51" x14ac:dyDescent="0.2">
      <c r="A705" s="66">
        <v>707</v>
      </c>
      <c r="B705" s="68">
        <v>45195</v>
      </c>
      <c r="C705" s="73">
        <v>0.5395833333333333</v>
      </c>
      <c r="D705" s="66" t="s">
        <v>2997</v>
      </c>
      <c r="E705" s="67" t="s">
        <v>3100</v>
      </c>
      <c r="F705" s="66">
        <v>1</v>
      </c>
      <c r="G705" s="66" t="s">
        <v>1442</v>
      </c>
      <c r="H705" s="68">
        <v>45210</v>
      </c>
      <c r="I705" s="68" t="s">
        <v>1086</v>
      </c>
      <c r="J705" s="68" t="s">
        <v>2951</v>
      </c>
      <c r="K705" s="66" t="s">
        <v>1925</v>
      </c>
      <c r="L705" s="66" t="s">
        <v>2237</v>
      </c>
      <c r="M705" s="66" t="s">
        <v>712</v>
      </c>
      <c r="N705" s="66" t="s">
        <v>3351</v>
      </c>
      <c r="O705" s="81" t="str">
        <f t="shared" ca="1" si="39"/>
        <v>SI</v>
      </c>
      <c r="P705" s="81" t="str">
        <f t="shared" si="37"/>
        <v>DIANOSOL</v>
      </c>
      <c r="Q705" s="66" t="s">
        <v>899</v>
      </c>
      <c r="R705" s="66" t="str">
        <f>VLOOKUP($Q705,Resultados!$A$1:$B$49,2,FALSE)</f>
        <v>Libertad</v>
      </c>
      <c r="S705" s="66" t="s">
        <v>1050</v>
      </c>
      <c r="T705" s="84" t="str">
        <f t="shared" si="38"/>
        <v>SI</v>
      </c>
      <c r="U705" s="84"/>
      <c r="V705" s="81"/>
      <c r="W705" s="66" t="s">
        <v>1276</v>
      </c>
      <c r="X705" s="66"/>
      <c r="Y705" s="66"/>
      <c r="Z705" s="121" t="s">
        <v>2867</v>
      </c>
      <c r="AA705" s="121" t="s">
        <v>1171</v>
      </c>
      <c r="AB705" s="121" t="s">
        <v>1177</v>
      </c>
      <c r="AC705" s="366"/>
    </row>
    <row r="706" spans="1:29" ht="38.25" x14ac:dyDescent="0.2">
      <c r="A706" s="66">
        <v>708</v>
      </c>
      <c r="B706" s="68">
        <v>45195</v>
      </c>
      <c r="C706" s="73">
        <v>0.53611111111111109</v>
      </c>
      <c r="D706" s="66" t="s">
        <v>2998</v>
      </c>
      <c r="E706" s="67" t="s">
        <v>3030</v>
      </c>
      <c r="F706" s="66">
        <v>1</v>
      </c>
      <c r="G706" s="66" t="s">
        <v>2838</v>
      </c>
      <c r="H706" s="68">
        <v>45205</v>
      </c>
      <c r="I706" s="68" t="s">
        <v>73</v>
      </c>
      <c r="J706" s="68" t="s">
        <v>2954</v>
      </c>
      <c r="K706" s="66" t="s">
        <v>1925</v>
      </c>
      <c r="L706" s="66" t="s">
        <v>812</v>
      </c>
      <c r="M706" s="66" t="s">
        <v>711</v>
      </c>
      <c r="N706" s="66" t="s">
        <v>899</v>
      </c>
      <c r="O706" s="66" t="str">
        <f t="shared" ca="1" si="39"/>
        <v>SI</v>
      </c>
      <c r="P706" s="66" t="str">
        <f t="shared" si="37"/>
        <v>DIANOSOL</v>
      </c>
      <c r="Q706" s="66" t="s">
        <v>899</v>
      </c>
      <c r="R706" s="66" t="str">
        <f>VLOOKUP($Q706,Resultados!$A$1:$B$49,2,FALSE)</f>
        <v>Libertad</v>
      </c>
      <c r="S706" s="66" t="s">
        <v>1134</v>
      </c>
      <c r="T706" s="75" t="str">
        <f t="shared" si="38"/>
        <v>NO</v>
      </c>
      <c r="U706" s="75"/>
      <c r="V706" s="66"/>
      <c r="W706" s="73">
        <v>0.39583333333333331</v>
      </c>
      <c r="X706" s="66" t="s">
        <v>3241</v>
      </c>
      <c r="Y706" s="66"/>
      <c r="Z706" s="121" t="s">
        <v>2867</v>
      </c>
      <c r="AA706" s="121" t="s">
        <v>2852</v>
      </c>
      <c r="AB706" s="336" t="s">
        <v>1175</v>
      </c>
      <c r="AC706" s="366"/>
    </row>
    <row r="707" spans="1:29" ht="76.5" x14ac:dyDescent="0.2">
      <c r="A707" s="66">
        <v>709</v>
      </c>
      <c r="B707" s="68">
        <v>45195</v>
      </c>
      <c r="C707" s="73">
        <v>0.53194444444444444</v>
      </c>
      <c r="D707" s="66" t="s">
        <v>2999</v>
      </c>
      <c r="E707" s="67" t="s">
        <v>3111</v>
      </c>
      <c r="F707" s="66">
        <v>1</v>
      </c>
      <c r="G707" s="66" t="s">
        <v>283</v>
      </c>
      <c r="H707" s="68">
        <v>45210</v>
      </c>
      <c r="I707" s="68" t="s">
        <v>547</v>
      </c>
      <c r="J707" s="68" t="s">
        <v>33</v>
      </c>
      <c r="K707" s="66">
        <f>IFERROR(VLOOKUP(J707,Jueces!$A$1:$B$11,2,FALSE),"")</f>
        <v>4</v>
      </c>
      <c r="L707" s="66" t="s">
        <v>812</v>
      </c>
      <c r="M707" s="66" t="s">
        <v>711</v>
      </c>
      <c r="N707" s="66" t="s">
        <v>3353</v>
      </c>
      <c r="O707" s="81" t="str">
        <f t="shared" ca="1" si="39"/>
        <v>SI</v>
      </c>
      <c r="P707" s="81" t="str">
        <f t="shared" ref="P707:P770" si="40">IF($P$1=H707,"DIASOL", "DIANOSOL")</f>
        <v>DIANOSOL</v>
      </c>
      <c r="Q707" s="66" t="s">
        <v>904</v>
      </c>
      <c r="R707" s="66" t="str">
        <f>VLOOKUP($Q707,Resultados!$A$1:$B$49,2,FALSE)</f>
        <v>Juicio Abreviado</v>
      </c>
      <c r="S707" s="66" t="s">
        <v>3352</v>
      </c>
      <c r="T707" s="84" t="str">
        <f t="shared" si="38"/>
        <v>NO</v>
      </c>
      <c r="U707" s="84"/>
      <c r="V707" s="81"/>
      <c r="W707" s="66" t="s">
        <v>1639</v>
      </c>
      <c r="X707" s="230" t="s">
        <v>3354</v>
      </c>
      <c r="Y707" s="66"/>
      <c r="Z707" s="121" t="s">
        <v>2895</v>
      </c>
      <c r="AA707" s="121" t="s">
        <v>2852</v>
      </c>
      <c r="AB707" s="121" t="s">
        <v>1173</v>
      </c>
      <c r="AC707" s="366"/>
    </row>
    <row r="708" spans="1:29" ht="89.25" x14ac:dyDescent="0.2">
      <c r="A708" s="66">
        <v>710</v>
      </c>
      <c r="B708" s="68">
        <v>45195</v>
      </c>
      <c r="C708" s="73">
        <v>0.53333333333333333</v>
      </c>
      <c r="D708" s="66" t="s">
        <v>3000</v>
      </c>
      <c r="E708" s="67" t="s">
        <v>3001</v>
      </c>
      <c r="F708" s="66">
        <v>8</v>
      </c>
      <c r="G708" s="66" t="s">
        <v>2774</v>
      </c>
      <c r="H708" s="68">
        <v>45205</v>
      </c>
      <c r="I708" s="68" t="s">
        <v>360</v>
      </c>
      <c r="J708" s="68" t="s">
        <v>2954</v>
      </c>
      <c r="K708" s="66" t="s">
        <v>1520</v>
      </c>
      <c r="L708" s="66" t="s">
        <v>807</v>
      </c>
      <c r="M708" s="66" t="s">
        <v>3034</v>
      </c>
      <c r="N708" s="66" t="s">
        <v>3238</v>
      </c>
      <c r="O708" s="66" t="str">
        <f t="shared" ca="1" si="39"/>
        <v>SI</v>
      </c>
      <c r="P708" s="66" t="str">
        <f t="shared" si="40"/>
        <v>DIANOSOL</v>
      </c>
      <c r="Q708" s="66" t="s">
        <v>909</v>
      </c>
      <c r="R708" s="66" t="str">
        <f>VLOOKUP($Q708,Resultados!$A$1:$B$49,2,FALSE)</f>
        <v>Suspensión de juicio a prueba</v>
      </c>
      <c r="S708" s="66" t="s">
        <v>1014</v>
      </c>
      <c r="T708" s="75" t="str">
        <f t="shared" si="38"/>
        <v>NO</v>
      </c>
      <c r="U708" s="75"/>
      <c r="V708" s="66"/>
      <c r="W708" s="66" t="s">
        <v>1333</v>
      </c>
      <c r="X708" s="66" t="s">
        <v>3239</v>
      </c>
      <c r="Y708" s="66"/>
      <c r="Z708" s="336" t="s">
        <v>1041</v>
      </c>
      <c r="AA708" s="121" t="s">
        <v>1169</v>
      </c>
      <c r="AB708" s="121" t="s">
        <v>1173</v>
      </c>
      <c r="AC708" s="366"/>
    </row>
    <row r="709" spans="1:29" ht="76.5" x14ac:dyDescent="0.2">
      <c r="A709" s="66">
        <v>711</v>
      </c>
      <c r="B709" s="68">
        <v>45195</v>
      </c>
      <c r="C709" s="73">
        <v>0.54722222222222217</v>
      </c>
      <c r="D709" s="66" t="s">
        <v>3003</v>
      </c>
      <c r="E709" s="67" t="s">
        <v>3233</v>
      </c>
      <c r="F709" s="66">
        <v>8</v>
      </c>
      <c r="G709" s="66" t="s">
        <v>283</v>
      </c>
      <c r="H709" s="68">
        <v>45205</v>
      </c>
      <c r="I709" s="68" t="s">
        <v>749</v>
      </c>
      <c r="J709" s="68" t="s">
        <v>1225</v>
      </c>
      <c r="K709" s="66">
        <f>IFERROR(VLOOKUP(J709,Jueces!$A$1:$B$11,2,FALSE),"")</f>
        <v>6</v>
      </c>
      <c r="L709" s="66" t="s">
        <v>790</v>
      </c>
      <c r="M709" s="66" t="s">
        <v>767</v>
      </c>
      <c r="N709" s="66" t="s">
        <v>3247</v>
      </c>
      <c r="O709" s="66" t="str">
        <f t="shared" ca="1" si="39"/>
        <v>SI</v>
      </c>
      <c r="P709" s="66" t="str">
        <f t="shared" si="40"/>
        <v>DIANOSOL</v>
      </c>
      <c r="Q709" s="66" t="s">
        <v>899</v>
      </c>
      <c r="R709" s="66" t="str">
        <f>VLOOKUP($Q709,Resultados!$A$1:$B$49,2,FALSE)</f>
        <v>Libertad</v>
      </c>
      <c r="S709" s="66" t="s">
        <v>1064</v>
      </c>
      <c r="T709" s="75" t="str">
        <f t="shared" si="38"/>
        <v>NO</v>
      </c>
      <c r="U709" s="75"/>
      <c r="V709" s="66"/>
      <c r="W709" s="66" t="s">
        <v>1450</v>
      </c>
      <c r="X709" s="66" t="s">
        <v>3248</v>
      </c>
      <c r="Y709" s="66"/>
      <c r="Z709" s="121" t="s">
        <v>1042</v>
      </c>
      <c r="AA709" s="121" t="s">
        <v>1169</v>
      </c>
      <c r="AB709" s="336" t="s">
        <v>1177</v>
      </c>
      <c r="AC709" s="366"/>
    </row>
    <row r="710" spans="1:29" ht="63.75" x14ac:dyDescent="0.2">
      <c r="A710" s="66">
        <v>712</v>
      </c>
      <c r="B710" s="68">
        <v>45196</v>
      </c>
      <c r="C710" s="73">
        <v>0.34236111111111112</v>
      </c>
      <c r="D710" s="66" t="s">
        <v>3011</v>
      </c>
      <c r="E710" s="67" t="s">
        <v>3099</v>
      </c>
      <c r="F710" s="66">
        <v>1</v>
      </c>
      <c r="G710" s="66" t="s">
        <v>2788</v>
      </c>
      <c r="H710" s="68">
        <v>45209</v>
      </c>
      <c r="I710" s="68" t="s">
        <v>1086</v>
      </c>
      <c r="J710" s="68" t="s">
        <v>1221</v>
      </c>
      <c r="K710" s="66" t="s">
        <v>2343</v>
      </c>
      <c r="L710" s="66" t="s">
        <v>812</v>
      </c>
      <c r="M710" s="66" t="s">
        <v>712</v>
      </c>
      <c r="N710" s="66" t="s">
        <v>3285</v>
      </c>
      <c r="O710" s="66" t="str">
        <f t="shared" ca="1" si="39"/>
        <v>SI</v>
      </c>
      <c r="P710" s="66" t="str">
        <f t="shared" si="40"/>
        <v>DIANOSOL</v>
      </c>
      <c r="Q710" s="66" t="s">
        <v>904</v>
      </c>
      <c r="R710" s="66" t="str">
        <f>VLOOKUP($Q710,Resultados!$A$1:$B$49,2,FALSE)</f>
        <v>Juicio Abreviado</v>
      </c>
      <c r="S710" s="66" t="s">
        <v>1238</v>
      </c>
      <c r="T710" s="75" t="str">
        <f t="shared" si="38"/>
        <v>NO</v>
      </c>
      <c r="U710" s="75"/>
      <c r="V710" s="66"/>
      <c r="W710" s="66" t="s">
        <v>1746</v>
      </c>
      <c r="X710" s="66" t="s">
        <v>3286</v>
      </c>
      <c r="Y710" s="66"/>
      <c r="Z710" s="121" t="s">
        <v>748</v>
      </c>
      <c r="AA710" s="121" t="s">
        <v>1171</v>
      </c>
      <c r="AB710" s="121" t="s">
        <v>1173</v>
      </c>
      <c r="AC710" s="366"/>
    </row>
    <row r="711" spans="1:29" ht="38.25" x14ac:dyDescent="0.2">
      <c r="A711" s="66">
        <v>713</v>
      </c>
      <c r="B711" s="68">
        <v>45196</v>
      </c>
      <c r="C711" s="73">
        <v>0.42777777777777781</v>
      </c>
      <c r="D711" s="66" t="s">
        <v>3012</v>
      </c>
      <c r="E711" s="67" t="s">
        <v>3013</v>
      </c>
      <c r="F711" s="66">
        <v>8</v>
      </c>
      <c r="G711" s="66" t="s">
        <v>2838</v>
      </c>
      <c r="H711" s="68">
        <v>45208</v>
      </c>
      <c r="I711" s="68" t="s">
        <v>1086</v>
      </c>
      <c r="J711" s="68" t="s">
        <v>33</v>
      </c>
      <c r="K711" s="66">
        <f>IFERROR(VLOOKUP(J711,Jueces!$A$1:$B$11,2,FALSE),"")</f>
        <v>4</v>
      </c>
      <c r="L711" s="66" t="s">
        <v>1070</v>
      </c>
      <c r="M711" s="66" t="s">
        <v>1087</v>
      </c>
      <c r="N711" s="66" t="s">
        <v>577</v>
      </c>
      <c r="O711" s="66" t="str">
        <f t="shared" ca="1" si="39"/>
        <v>SI</v>
      </c>
      <c r="P711" s="66" t="str">
        <f t="shared" si="40"/>
        <v>DIANOSOL</v>
      </c>
      <c r="Q711" s="66" t="s">
        <v>151</v>
      </c>
      <c r="R711" s="66" t="str">
        <f>VLOOKUP($Q711,Resultados!$A$1:$B$49,2,FALSE)</f>
        <v>Prisión Preventiva</v>
      </c>
      <c r="S711" s="66" t="s">
        <v>3275</v>
      </c>
      <c r="T711" s="75" t="str">
        <f t="shared" si="38"/>
        <v>NO</v>
      </c>
      <c r="U711" s="75"/>
      <c r="V711" s="66"/>
      <c r="W711" s="66" t="s">
        <v>1274</v>
      </c>
      <c r="X711" s="66" t="s">
        <v>3276</v>
      </c>
      <c r="Y711" s="66"/>
      <c r="Z711" s="121" t="s">
        <v>770</v>
      </c>
      <c r="AA711" s="121" t="s">
        <v>2852</v>
      </c>
      <c r="AB711" s="121" t="s">
        <v>1174</v>
      </c>
      <c r="AC711" s="366"/>
    </row>
    <row r="712" spans="1:29" ht="63.75" x14ac:dyDescent="0.2">
      <c r="A712" s="66">
        <v>714</v>
      </c>
      <c r="B712" s="68">
        <v>45196</v>
      </c>
      <c r="C712" s="73">
        <v>0.48194444444444445</v>
      </c>
      <c r="D712" s="66" t="s">
        <v>3024</v>
      </c>
      <c r="E712" s="67" t="s">
        <v>3312</v>
      </c>
      <c r="F712" s="66">
        <v>1</v>
      </c>
      <c r="G712" s="66" t="s">
        <v>568</v>
      </c>
      <c r="H712" s="68">
        <v>45210</v>
      </c>
      <c r="I712" s="68" t="s">
        <v>73</v>
      </c>
      <c r="J712" s="68" t="s">
        <v>35</v>
      </c>
      <c r="K712" s="66">
        <f>IFERROR(VLOOKUP(J712,Jueces!$A$1:$B$11,2,FALSE),"")</f>
        <v>3</v>
      </c>
      <c r="L712" s="66" t="s">
        <v>2088</v>
      </c>
      <c r="M712" s="66" t="s">
        <v>712</v>
      </c>
      <c r="N712" s="66" t="s">
        <v>3349</v>
      </c>
      <c r="O712" s="81" t="str">
        <f t="shared" ca="1" si="39"/>
        <v>SI</v>
      </c>
      <c r="P712" s="81" t="str">
        <f t="shared" si="40"/>
        <v>DIANOSOL</v>
      </c>
      <c r="Q712" s="66" t="s">
        <v>905</v>
      </c>
      <c r="R712" s="66" t="str">
        <f>VLOOKUP($Q712,Resultados!$A$1:$B$49,2,FALSE)</f>
        <v>Juicio Abreviado</v>
      </c>
      <c r="S712" s="73">
        <v>0.3576388888888889</v>
      </c>
      <c r="T712" s="84" t="str">
        <f t="shared" si="38"/>
        <v>NO</v>
      </c>
      <c r="U712" s="84"/>
      <c r="V712" s="81"/>
      <c r="W712" s="66" t="s">
        <v>1458</v>
      </c>
      <c r="X712" s="230" t="s">
        <v>3350</v>
      </c>
      <c r="Y712" s="66"/>
      <c r="Z712" s="121" t="s">
        <v>770</v>
      </c>
      <c r="AA712" s="121" t="s">
        <v>1169</v>
      </c>
      <c r="AB712" s="121" t="s">
        <v>3301</v>
      </c>
      <c r="AC712" s="366"/>
    </row>
    <row r="713" spans="1:29" ht="63.75"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39"/>
        <v>SI</v>
      </c>
      <c r="P713" s="81" t="str">
        <f t="shared" si="40"/>
        <v>DIANOSOL</v>
      </c>
      <c r="Q713" s="66" t="s">
        <v>151</v>
      </c>
      <c r="R713" s="66" t="str">
        <f>VLOOKUP($Q713,Resultados!$A$1:$B$49,2,FALSE)</f>
        <v>Prisión Preventiva</v>
      </c>
      <c r="S713" s="66" t="s">
        <v>1243</v>
      </c>
      <c r="T713" s="84" t="str">
        <f t="shared" si="38"/>
        <v>NO</v>
      </c>
      <c r="U713" s="84"/>
      <c r="V713" s="81"/>
      <c r="W713" s="66" t="s">
        <v>2908</v>
      </c>
      <c r="X713" s="66" t="s">
        <v>2571</v>
      </c>
      <c r="Y713" s="66"/>
      <c r="Z713" s="121" t="s">
        <v>770</v>
      </c>
      <c r="AA713" s="121" t="s">
        <v>1171</v>
      </c>
      <c r="AB713" s="121" t="s">
        <v>1175</v>
      </c>
      <c r="AC713" s="366"/>
    </row>
    <row r="714" spans="1:29" ht="38.25" x14ac:dyDescent="0.2">
      <c r="A714" s="81">
        <v>716</v>
      </c>
      <c r="B714" s="83">
        <v>45196</v>
      </c>
      <c r="C714" s="323">
        <v>0.48819444444444443</v>
      </c>
      <c r="D714" s="81" t="s">
        <v>3028</v>
      </c>
      <c r="E714" s="82" t="s">
        <v>3129</v>
      </c>
      <c r="F714" s="81">
        <v>1</v>
      </c>
      <c r="G714" s="81" t="s">
        <v>2838</v>
      </c>
      <c r="H714" s="83">
        <v>45229</v>
      </c>
      <c r="I714" s="83" t="s">
        <v>77</v>
      </c>
      <c r="J714" s="83" t="s">
        <v>33</v>
      </c>
      <c r="K714" s="81">
        <f>IFERROR(VLOOKUP(J714,Jueces!$A$1:$B$11,2,FALSE),"")</f>
        <v>4</v>
      </c>
      <c r="L714" s="81" t="s">
        <v>811</v>
      </c>
      <c r="M714" s="81" t="s">
        <v>712</v>
      </c>
      <c r="N714" s="81" t="s">
        <v>3526</v>
      </c>
      <c r="O714" s="81" t="str">
        <f t="shared" ca="1" si="39"/>
        <v>NO</v>
      </c>
      <c r="P714" s="81" t="str">
        <f t="shared" si="40"/>
        <v>DIASOL</v>
      </c>
      <c r="Q714" s="81"/>
      <c r="R714" s="81" t="e">
        <f>VLOOKUP($Q714,Resultados!$A$1:$B$49,2,FALSE)</f>
        <v>#N/A</v>
      </c>
      <c r="S714" s="81"/>
      <c r="T714" s="84" t="str">
        <f t="shared" si="38"/>
        <v>NO</v>
      </c>
      <c r="U714" s="84"/>
      <c r="V714" s="81"/>
      <c r="W714" s="81"/>
      <c r="X714" s="81"/>
      <c r="Y714" s="81"/>
      <c r="Z714" s="337" t="s">
        <v>770</v>
      </c>
      <c r="AA714" s="321" t="s">
        <v>1169</v>
      </c>
      <c r="AB714" s="321" t="s">
        <v>3301</v>
      </c>
      <c r="AC714" s="88"/>
    </row>
    <row r="715" spans="1:29" ht="51" x14ac:dyDescent="0.2">
      <c r="A715" s="66">
        <v>717</v>
      </c>
      <c r="B715" s="68">
        <v>45197</v>
      </c>
      <c r="C715" s="73">
        <v>0.33333333333333331</v>
      </c>
      <c r="D715" s="66" t="s">
        <v>3038</v>
      </c>
      <c r="E715" s="67" t="s">
        <v>3103</v>
      </c>
      <c r="F715" s="66">
        <v>8</v>
      </c>
      <c r="G715" s="66" t="s">
        <v>2838</v>
      </c>
      <c r="H715" s="68">
        <v>45210</v>
      </c>
      <c r="I715" s="68" t="s">
        <v>73</v>
      </c>
      <c r="J715" s="68" t="s">
        <v>1732</v>
      </c>
      <c r="K715" s="66" t="s">
        <v>1346</v>
      </c>
      <c r="L715" s="66" t="s">
        <v>809</v>
      </c>
      <c r="M715" s="66"/>
      <c r="N715" s="66" t="s">
        <v>3412</v>
      </c>
      <c r="O715" s="81" t="str">
        <f t="shared" ca="1" si="39"/>
        <v>SI</v>
      </c>
      <c r="P715" s="81" t="str">
        <f t="shared" si="40"/>
        <v>DIANOSOL</v>
      </c>
      <c r="Q715" s="66" t="s">
        <v>905</v>
      </c>
      <c r="R715" s="66" t="s">
        <v>100</v>
      </c>
      <c r="S715" s="66" t="s">
        <v>3355</v>
      </c>
      <c r="T715" s="84" t="str">
        <f t="shared" si="38"/>
        <v>NO</v>
      </c>
      <c r="U715" s="84"/>
      <c r="V715" s="81"/>
      <c r="W715" s="66" t="s">
        <v>3356</v>
      </c>
      <c r="X715" s="230"/>
      <c r="Y715" s="66"/>
      <c r="Z715" s="121" t="s">
        <v>2895</v>
      </c>
      <c r="AA715" s="121" t="s">
        <v>2852</v>
      </c>
      <c r="AB715" s="121" t="s">
        <v>1175</v>
      </c>
      <c r="AC715" s="366"/>
    </row>
    <row r="716" spans="1:29" ht="63.75" x14ac:dyDescent="0.2">
      <c r="A716" s="66">
        <v>718</v>
      </c>
      <c r="B716" s="68">
        <v>45197</v>
      </c>
      <c r="C716" s="73">
        <v>0.33333333333333331</v>
      </c>
      <c r="D716" s="66" t="s">
        <v>3037</v>
      </c>
      <c r="E716" s="67" t="s">
        <v>3107</v>
      </c>
      <c r="F716" s="66">
        <v>1</v>
      </c>
      <c r="G716" s="66" t="s">
        <v>43</v>
      </c>
      <c r="H716" s="68">
        <v>45209</v>
      </c>
      <c r="I716" s="68" t="s">
        <v>73</v>
      </c>
      <c r="J716" s="68" t="s">
        <v>2954</v>
      </c>
      <c r="K716" s="66" t="s">
        <v>2343</v>
      </c>
      <c r="L716" s="66" t="s">
        <v>2237</v>
      </c>
      <c r="M716" s="66" t="s">
        <v>700</v>
      </c>
      <c r="N716" s="66" t="s">
        <v>3291</v>
      </c>
      <c r="O716" s="81" t="str">
        <f t="shared" ca="1" si="39"/>
        <v>SI</v>
      </c>
      <c r="P716" s="81" t="str">
        <f t="shared" si="40"/>
        <v>DIANOSOL</v>
      </c>
      <c r="Q716" s="66" t="s">
        <v>905</v>
      </c>
      <c r="R716" s="66" t="str">
        <f>VLOOKUP($Q716,Resultados!$A$1:$B$49,2,FALSE)</f>
        <v>Juicio Abreviado</v>
      </c>
      <c r="S716" s="66" t="s">
        <v>1429</v>
      </c>
      <c r="T716" s="84" t="str">
        <f t="shared" si="38"/>
        <v>NO</v>
      </c>
      <c r="U716" s="84"/>
      <c r="V716" s="81"/>
      <c r="W716" s="66" t="s">
        <v>1497</v>
      </c>
      <c r="X716" s="66" t="s">
        <v>3292</v>
      </c>
      <c r="Y716" s="66"/>
      <c r="Z716" s="121" t="s">
        <v>748</v>
      </c>
      <c r="AA716" s="121" t="s">
        <v>1171</v>
      </c>
      <c r="AB716" s="121" t="s">
        <v>1173</v>
      </c>
      <c r="AC716" s="366"/>
    </row>
    <row r="717" spans="1:29" ht="63.75" x14ac:dyDescent="0.2">
      <c r="A717" s="66">
        <v>719</v>
      </c>
      <c r="B717" s="68">
        <v>45197</v>
      </c>
      <c r="C717" s="66" t="s">
        <v>1229</v>
      </c>
      <c r="D717" s="66" t="s">
        <v>2599</v>
      </c>
      <c r="E717" s="67" t="s">
        <v>3066</v>
      </c>
      <c r="F717" s="66">
        <v>7</v>
      </c>
      <c r="G717" s="66" t="s">
        <v>2775</v>
      </c>
      <c r="H717" s="68">
        <v>45208</v>
      </c>
      <c r="I717" s="68" t="s">
        <v>73</v>
      </c>
      <c r="J717" s="68" t="s">
        <v>35</v>
      </c>
      <c r="K717" s="66">
        <f>IFERROR(VLOOKUP(J717,Jueces!$A$1:$B$11,2,FALSE),"")</f>
        <v>3</v>
      </c>
      <c r="L717" s="66" t="s">
        <v>801</v>
      </c>
      <c r="M717" s="66" t="s">
        <v>725</v>
      </c>
      <c r="N717" s="66" t="s">
        <v>913</v>
      </c>
      <c r="O717" s="66" t="str">
        <f t="shared" ca="1" si="39"/>
        <v>SI</v>
      </c>
      <c r="P717" s="66" t="str">
        <f t="shared" si="40"/>
        <v>DIANOSOL</v>
      </c>
      <c r="Q717" s="66" t="s">
        <v>913</v>
      </c>
      <c r="R717" s="66" t="str">
        <f>VLOOKUP($Q717,Resultados!$A$1:$B$49,2,FALSE)</f>
        <v>Prision domiciliaria</v>
      </c>
      <c r="S717" s="66" t="s">
        <v>1086</v>
      </c>
      <c r="T717" s="75" t="str">
        <f t="shared" si="38"/>
        <v>NO</v>
      </c>
      <c r="U717" s="75"/>
      <c r="V717" s="66"/>
      <c r="W717" s="66" t="s">
        <v>3260</v>
      </c>
      <c r="X717" s="387" t="s">
        <v>3261</v>
      </c>
      <c r="Y717" s="66"/>
      <c r="Z717" s="121" t="s">
        <v>1041</v>
      </c>
      <c r="AA717" s="121" t="s">
        <v>1171</v>
      </c>
      <c r="AB717" s="121" t="s">
        <v>1177</v>
      </c>
      <c r="AC717" s="366"/>
    </row>
    <row r="718" spans="1:29" ht="38.25" x14ac:dyDescent="0.2">
      <c r="A718" s="66">
        <v>720</v>
      </c>
      <c r="B718" s="68">
        <v>45197</v>
      </c>
      <c r="C718" s="66" t="s">
        <v>1450</v>
      </c>
      <c r="D718" s="66" t="s">
        <v>3042</v>
      </c>
      <c r="E718" s="67" t="s">
        <v>3109</v>
      </c>
      <c r="F718" s="66">
        <v>1</v>
      </c>
      <c r="G718" s="66" t="s">
        <v>2775</v>
      </c>
      <c r="H718" s="68">
        <v>45211</v>
      </c>
      <c r="I718" s="68" t="s">
        <v>2020</v>
      </c>
      <c r="J718" s="68" t="s">
        <v>33</v>
      </c>
      <c r="K718" s="66" t="s">
        <v>1925</v>
      </c>
      <c r="L718" s="66" t="s">
        <v>806</v>
      </c>
      <c r="M718" s="66" t="s">
        <v>711</v>
      </c>
      <c r="N718" s="66" t="s">
        <v>577</v>
      </c>
      <c r="O718" s="66" t="str">
        <f t="shared" ca="1" si="39"/>
        <v>SI</v>
      </c>
      <c r="P718" s="66" t="str">
        <f t="shared" si="40"/>
        <v>DIANOSOL</v>
      </c>
      <c r="Q718" s="66" t="s">
        <v>151</v>
      </c>
      <c r="R718" s="66" t="str">
        <f>VLOOKUP($Q718,Resultados!$A$1:$B$49,2,FALSE)</f>
        <v>Prisión Preventiva</v>
      </c>
      <c r="S718" s="66" t="s">
        <v>1039</v>
      </c>
      <c r="T718" s="75" t="str">
        <f t="shared" si="38"/>
        <v>NO</v>
      </c>
      <c r="U718" s="75"/>
      <c r="V718" s="66"/>
      <c r="W718" s="66" t="s">
        <v>2518</v>
      </c>
      <c r="X718" s="387" t="s">
        <v>3408</v>
      </c>
      <c r="Y718" s="66"/>
      <c r="Z718" s="336" t="s">
        <v>3364</v>
      </c>
      <c r="AA718" s="121" t="s">
        <v>1169</v>
      </c>
      <c r="AB718" s="121" t="s">
        <v>1175</v>
      </c>
      <c r="AC718" s="366"/>
    </row>
    <row r="719" spans="1:29" ht="51" x14ac:dyDescent="0.2">
      <c r="A719" s="66">
        <v>721</v>
      </c>
      <c r="B719" s="68">
        <v>45197</v>
      </c>
      <c r="C719" s="66" t="s">
        <v>1570</v>
      </c>
      <c r="D719" s="66" t="s">
        <v>3043</v>
      </c>
      <c r="E719" s="67" t="s">
        <v>3128</v>
      </c>
      <c r="F719" s="66">
        <v>1</v>
      </c>
      <c r="G719" s="66" t="s">
        <v>2773</v>
      </c>
      <c r="H719" s="68">
        <v>45209</v>
      </c>
      <c r="I719" s="68" t="s">
        <v>1086</v>
      </c>
      <c r="J719" s="68" t="s">
        <v>33</v>
      </c>
      <c r="K719" s="66">
        <f>IFERROR(VLOOKUP(J719,Jueces!$A$1:$B$11,2,FALSE),"")</f>
        <v>4</v>
      </c>
      <c r="L719" s="66" t="s">
        <v>791</v>
      </c>
      <c r="M719" s="66" t="s">
        <v>711</v>
      </c>
      <c r="N719" s="66" t="s">
        <v>3294</v>
      </c>
      <c r="O719" s="81" t="str">
        <f t="shared" ca="1" si="39"/>
        <v>SI</v>
      </c>
      <c r="P719" s="81" t="str">
        <f t="shared" si="40"/>
        <v>DIANOSOL</v>
      </c>
      <c r="Q719" s="66" t="s">
        <v>904</v>
      </c>
      <c r="R719" s="66" t="str">
        <f>VLOOKUP($Q719,Resultados!$A$1:$B$49,2,FALSE)</f>
        <v>Juicio Abreviado</v>
      </c>
      <c r="S719" s="66" t="s">
        <v>1189</v>
      </c>
      <c r="T719" s="84" t="str">
        <f t="shared" si="38"/>
        <v>NO</v>
      </c>
      <c r="U719" s="84"/>
      <c r="V719" s="81"/>
      <c r="W719" s="66" t="s">
        <v>1592</v>
      </c>
      <c r="X719" s="66" t="s">
        <v>3295</v>
      </c>
      <c r="Y719" s="66"/>
      <c r="Z719" s="121" t="s">
        <v>2867</v>
      </c>
      <c r="AA719" s="121" t="s">
        <v>1169</v>
      </c>
      <c r="AB719" s="121" t="s">
        <v>1177</v>
      </c>
      <c r="AC719" s="366"/>
    </row>
    <row r="720" spans="1:29" ht="38.25" x14ac:dyDescent="0.2">
      <c r="A720" s="66">
        <v>722</v>
      </c>
      <c r="B720" s="68">
        <v>45197</v>
      </c>
      <c r="C720" s="66" t="s">
        <v>1193</v>
      </c>
      <c r="D720" s="66" t="s">
        <v>3074</v>
      </c>
      <c r="E720" s="67" t="s">
        <v>3062</v>
      </c>
      <c r="F720" s="66">
        <v>4</v>
      </c>
      <c r="G720" s="66" t="s">
        <v>2775</v>
      </c>
      <c r="H720" s="68">
        <v>45217</v>
      </c>
      <c r="I720" s="68" t="s">
        <v>989</v>
      </c>
      <c r="J720" s="68" t="s">
        <v>33</v>
      </c>
      <c r="K720" s="66">
        <f>IFERROR(VLOOKUP(J720,Jueces!$A$1:$B$11,2,FALSE),"")</f>
        <v>4</v>
      </c>
      <c r="L720" s="66" t="s">
        <v>1070</v>
      </c>
      <c r="M720" s="66" t="s">
        <v>3063</v>
      </c>
      <c r="N720" s="66" t="s">
        <v>3496</v>
      </c>
      <c r="O720" s="81" t="str">
        <f t="shared" ca="1" si="39"/>
        <v>SI</v>
      </c>
      <c r="P720" s="81" t="str">
        <f t="shared" si="40"/>
        <v>DIANOSOL</v>
      </c>
      <c r="Q720" s="66" t="s">
        <v>151</v>
      </c>
      <c r="R720" s="66" t="s">
        <v>151</v>
      </c>
      <c r="S720" s="66" t="s">
        <v>3494</v>
      </c>
      <c r="T720" s="84" t="str">
        <f t="shared" si="38"/>
        <v>NO</v>
      </c>
      <c r="U720" s="84"/>
      <c r="V720" s="81"/>
      <c r="W720" s="66" t="s">
        <v>3495</v>
      </c>
      <c r="X720" s="66"/>
      <c r="Y720" s="66"/>
      <c r="Z720" s="369" t="s">
        <v>2867</v>
      </c>
      <c r="AA720" s="369" t="s">
        <v>1171</v>
      </c>
      <c r="AB720" s="369" t="s">
        <v>1174</v>
      </c>
      <c r="AC720" s="370"/>
    </row>
    <row r="721" spans="1:29" ht="51" x14ac:dyDescent="0.2">
      <c r="A721" s="66">
        <v>723</v>
      </c>
      <c r="B721" s="68">
        <v>45197</v>
      </c>
      <c r="C721" s="66" t="s">
        <v>2958</v>
      </c>
      <c r="D721" s="66" t="s">
        <v>3044</v>
      </c>
      <c r="E721" s="67" t="s">
        <v>3064</v>
      </c>
      <c r="F721" s="66">
        <v>1</v>
      </c>
      <c r="G721" s="66" t="s">
        <v>283</v>
      </c>
      <c r="H721" s="68">
        <v>45208</v>
      </c>
      <c r="I721" s="68" t="s">
        <v>73</v>
      </c>
      <c r="J721" s="68" t="s">
        <v>33</v>
      </c>
      <c r="K721" s="66">
        <f>IFERROR(VLOOKUP(J721,Jueces!$A$1:$B$11,2,FALSE),"")</f>
        <v>4</v>
      </c>
      <c r="L721" s="66" t="s">
        <v>809</v>
      </c>
      <c r="M721" s="66" t="s">
        <v>712</v>
      </c>
      <c r="N721" s="66" t="s">
        <v>3259</v>
      </c>
      <c r="O721" s="66" t="str">
        <f t="shared" ca="1" si="39"/>
        <v>SI</v>
      </c>
      <c r="P721" s="66" t="str">
        <f t="shared" si="40"/>
        <v>DIANOSOL</v>
      </c>
      <c r="Q721" s="66" t="s">
        <v>904</v>
      </c>
      <c r="R721" s="66" t="str">
        <f>VLOOKUP($Q721,Resultados!$A$1:$B$49,2,FALSE)</f>
        <v>Juicio Abreviado</v>
      </c>
      <c r="S721" s="66" t="s">
        <v>1008</v>
      </c>
      <c r="T721" s="75" t="str">
        <f t="shared" si="38"/>
        <v>NO</v>
      </c>
      <c r="U721" s="75"/>
      <c r="V721" s="66"/>
      <c r="W721" s="66" t="s">
        <v>1124</v>
      </c>
      <c r="X721" s="66" t="s">
        <v>2896</v>
      </c>
      <c r="Y721" s="66"/>
      <c r="Z721" s="121" t="s">
        <v>770</v>
      </c>
      <c r="AA721" s="121" t="s">
        <v>2852</v>
      </c>
      <c r="AB721" s="121" t="s">
        <v>1174</v>
      </c>
      <c r="AC721" s="366"/>
    </row>
    <row r="722" spans="1:29" ht="25.5" x14ac:dyDescent="0.2">
      <c r="A722" s="66">
        <v>724</v>
      </c>
      <c r="B722" s="68">
        <v>45196</v>
      </c>
      <c r="C722" s="73">
        <v>0.35347222222222219</v>
      </c>
      <c r="D722" s="66" t="s">
        <v>3067</v>
      </c>
      <c r="E722" s="67" t="s">
        <v>3068</v>
      </c>
      <c r="F722" s="66">
        <v>8</v>
      </c>
      <c r="G722" s="66" t="s">
        <v>43</v>
      </c>
      <c r="H722" s="68">
        <v>45205</v>
      </c>
      <c r="I722" s="68" t="s">
        <v>1086</v>
      </c>
      <c r="J722" s="68" t="s">
        <v>35</v>
      </c>
      <c r="K722" s="66">
        <f>IFERROR(VLOOKUP(J722,Jueces!$A$1:$B$11,2,FALSE),"")</f>
        <v>3</v>
      </c>
      <c r="L722" s="66" t="s">
        <v>811</v>
      </c>
      <c r="M722" s="66" t="s">
        <v>1087</v>
      </c>
      <c r="N722" s="66" t="s">
        <v>577</v>
      </c>
      <c r="O722" s="66" t="str">
        <f t="shared" ca="1" si="39"/>
        <v>SI</v>
      </c>
      <c r="P722" s="66" t="str">
        <f t="shared" si="40"/>
        <v>DIANOSOL</v>
      </c>
      <c r="Q722" s="66" t="s">
        <v>151</v>
      </c>
      <c r="R722" s="66" t="str">
        <f>VLOOKUP($Q722,Resultados!$A$1:$B$49,2,FALSE)</f>
        <v>Prisión Preventiva</v>
      </c>
      <c r="S722" s="66" t="s">
        <v>1006</v>
      </c>
      <c r="T722" s="75" t="str">
        <f t="shared" si="38"/>
        <v>NO</v>
      </c>
      <c r="U722" s="75"/>
      <c r="V722" s="66"/>
      <c r="W722" s="66" t="s">
        <v>2904</v>
      </c>
      <c r="X722" s="6" t="s">
        <v>2948</v>
      </c>
      <c r="Y722" s="66"/>
      <c r="Z722" s="121" t="s">
        <v>770</v>
      </c>
      <c r="AA722" s="121" t="s">
        <v>2852</v>
      </c>
      <c r="AB722" s="336" t="s">
        <v>1175</v>
      </c>
      <c r="AC722" s="366"/>
    </row>
    <row r="723" spans="1:29" ht="51" x14ac:dyDescent="0.2">
      <c r="A723" s="66">
        <v>725</v>
      </c>
      <c r="B723" s="68">
        <v>45197</v>
      </c>
      <c r="C723" s="73">
        <v>0.42222222222222222</v>
      </c>
      <c r="D723" s="66" t="s">
        <v>3075</v>
      </c>
      <c r="E723" s="67" t="s">
        <v>3439</v>
      </c>
      <c r="F723" s="66">
        <v>1</v>
      </c>
      <c r="G723" s="66" t="s">
        <v>2838</v>
      </c>
      <c r="H723" s="68">
        <v>45216</v>
      </c>
      <c r="I723" s="68" t="s">
        <v>1086</v>
      </c>
      <c r="J723" s="68" t="s">
        <v>1221</v>
      </c>
      <c r="K723" s="66" t="s">
        <v>2343</v>
      </c>
      <c r="L723" s="66" t="s">
        <v>813</v>
      </c>
      <c r="M723" s="66" t="s">
        <v>711</v>
      </c>
      <c r="N723" s="66" t="s">
        <v>3440</v>
      </c>
      <c r="O723" s="66" t="str">
        <f t="shared" ca="1" si="39"/>
        <v>SI</v>
      </c>
      <c r="P723" s="66" t="str">
        <f t="shared" si="40"/>
        <v>DIANOSOL</v>
      </c>
      <c r="Q723" s="66" t="s">
        <v>151</v>
      </c>
      <c r="R723" s="66" t="str">
        <f>VLOOKUP($Q723,Resultados!$A$1:$B$49,2,FALSE)</f>
        <v>Prisión Preventiva</v>
      </c>
      <c r="S723" s="66" t="s">
        <v>1538</v>
      </c>
      <c r="T723" s="75" t="str">
        <f t="shared" si="38"/>
        <v>NO</v>
      </c>
      <c r="U723" s="75"/>
      <c r="V723" s="66"/>
      <c r="W723" s="66" t="s">
        <v>2685</v>
      </c>
      <c r="X723" s="387" t="s">
        <v>2948</v>
      </c>
      <c r="Y723" s="66"/>
      <c r="Z723" s="336" t="s">
        <v>3416</v>
      </c>
      <c r="AA723" s="336" t="s">
        <v>2852</v>
      </c>
      <c r="AB723" s="336" t="s">
        <v>3301</v>
      </c>
      <c r="AC723" s="366"/>
    </row>
    <row r="724" spans="1:29" ht="51" x14ac:dyDescent="0.2">
      <c r="A724" s="170">
        <v>726</v>
      </c>
      <c r="B724" s="326">
        <v>45197</v>
      </c>
      <c r="C724" s="327">
        <v>0.4201388888888889</v>
      </c>
      <c r="D724" s="170"/>
      <c r="E724" s="171" t="s">
        <v>3077</v>
      </c>
      <c r="F724" s="170">
        <v>1</v>
      </c>
      <c r="G724" s="170"/>
      <c r="H724" s="326"/>
      <c r="I724" s="326"/>
      <c r="J724" s="326"/>
      <c r="K724" s="170" t="str">
        <f>IFERROR(VLOOKUP(J724,Jueces!$A$1:$B$11,2,FALSE),"")</f>
        <v/>
      </c>
      <c r="L724" s="170" t="s">
        <v>2090</v>
      </c>
      <c r="M724" s="170"/>
      <c r="N724" s="170"/>
      <c r="O724" s="170" t="str">
        <f t="shared" ca="1" si="39"/>
        <v>LIMBO</v>
      </c>
      <c r="P724" s="170" t="str">
        <f t="shared" si="40"/>
        <v>DIANOSOL</v>
      </c>
      <c r="Q724" s="170" t="s">
        <v>951</v>
      </c>
      <c r="R724" s="170" t="str">
        <f>VLOOKUP($Q724,Resultados!$A$1:$B$49,2,FALSE)</f>
        <v xml:space="preserve"> _</v>
      </c>
      <c r="S724" s="170"/>
      <c r="T724" s="172" t="str">
        <f t="shared" si="38"/>
        <v>NO</v>
      </c>
      <c r="U724" s="172"/>
      <c r="V724" s="170"/>
      <c r="W724" s="170"/>
      <c r="X724" s="402"/>
      <c r="Y724" s="170"/>
      <c r="Z724" s="170"/>
      <c r="AA724" s="170"/>
      <c r="AB724" s="170"/>
      <c r="AC724" s="366"/>
    </row>
    <row r="725" spans="1:29" ht="76.5" x14ac:dyDescent="0.2">
      <c r="A725" s="66">
        <v>727</v>
      </c>
      <c r="B725" s="68">
        <v>45197</v>
      </c>
      <c r="C725" s="73">
        <v>0.50138888888888888</v>
      </c>
      <c r="D725" s="66" t="s">
        <v>3076</v>
      </c>
      <c r="E725" s="67" t="s">
        <v>3101</v>
      </c>
      <c r="F725" s="66">
        <v>1</v>
      </c>
      <c r="G725" s="66" t="s">
        <v>2838</v>
      </c>
      <c r="H725" s="68">
        <v>45209</v>
      </c>
      <c r="I725" s="68" t="s">
        <v>73</v>
      </c>
      <c r="J725" s="68" t="s">
        <v>1220</v>
      </c>
      <c r="K725" s="66">
        <f>IFERROR(VLOOKUP(J725,Jueces!$A$1:$B$11,2,FALSE),"")</f>
        <v>1</v>
      </c>
      <c r="L725" s="66" t="s">
        <v>2090</v>
      </c>
      <c r="M725" s="66" t="s">
        <v>712</v>
      </c>
      <c r="N725" s="66" t="s">
        <v>577</v>
      </c>
      <c r="O725" s="81" t="str">
        <f t="shared" ca="1" si="39"/>
        <v>SI</v>
      </c>
      <c r="P725" s="81" t="str">
        <f t="shared" si="40"/>
        <v>DIANOSOL</v>
      </c>
      <c r="Q725" s="66" t="s">
        <v>151</v>
      </c>
      <c r="R725" s="66" t="str">
        <f>VLOOKUP($Q725,Resultados!$A$1:$B$49,2,FALSE)</f>
        <v>Prisión Preventiva</v>
      </c>
      <c r="S725" s="66" t="s">
        <v>1231</v>
      </c>
      <c r="T725" s="84" t="str">
        <f t="shared" si="38"/>
        <v>NO</v>
      </c>
      <c r="U725" s="84"/>
      <c r="V725" s="81"/>
      <c r="W725" s="66" t="s">
        <v>1135</v>
      </c>
      <c r="X725" s="66" t="s">
        <v>3290</v>
      </c>
      <c r="Y725" s="66"/>
      <c r="Z725" s="121" t="s">
        <v>2895</v>
      </c>
      <c r="AA725" s="121" t="s">
        <v>2852</v>
      </c>
      <c r="AB725" s="121" t="s">
        <v>1175</v>
      </c>
      <c r="AC725" s="366"/>
    </row>
    <row r="726" spans="1:29" ht="39.950000000000003" customHeight="1" x14ac:dyDescent="0.2">
      <c r="A726" s="66">
        <v>728</v>
      </c>
      <c r="B726" s="68">
        <v>45197</v>
      </c>
      <c r="C726" s="73">
        <v>0.50138888888888888</v>
      </c>
      <c r="D726" s="66" t="s">
        <v>3078</v>
      </c>
      <c r="E726" s="67" t="s">
        <v>3079</v>
      </c>
      <c r="F726" s="66">
        <v>1</v>
      </c>
      <c r="G726" s="66" t="s">
        <v>3366</v>
      </c>
      <c r="H726" s="68">
        <v>45223</v>
      </c>
      <c r="I726" s="68" t="s">
        <v>73</v>
      </c>
      <c r="J726" s="68" t="s">
        <v>31</v>
      </c>
      <c r="K726" s="66">
        <f>IFERROR(VLOOKUP(J726,Jueces!$A$1:$B$11,2,FALSE),"")</f>
        <v>2</v>
      </c>
      <c r="L726" s="66" t="s">
        <v>2094</v>
      </c>
      <c r="M726" s="66" t="s">
        <v>3251</v>
      </c>
      <c r="N726" s="66" t="s">
        <v>3613</v>
      </c>
      <c r="O726" s="66" t="str">
        <f t="shared" ca="1" si="39"/>
        <v>SI</v>
      </c>
      <c r="P726" s="66" t="str">
        <f t="shared" si="40"/>
        <v>DIANOSOL</v>
      </c>
      <c r="Q726" s="66" t="s">
        <v>151</v>
      </c>
      <c r="R726" s="66" t="str">
        <f>VLOOKUP($Q726,Resultados!$A$1:$B$49,2,FALSE)</f>
        <v>Prisión Preventiva</v>
      </c>
      <c r="S726" s="66" t="s">
        <v>3134</v>
      </c>
      <c r="T726" s="75" t="str">
        <f t="shared" si="38"/>
        <v>NO</v>
      </c>
      <c r="U726" s="75"/>
      <c r="V726" s="66"/>
      <c r="W726" s="66" t="s">
        <v>1135</v>
      </c>
      <c r="X726" s="66" t="s">
        <v>3614</v>
      </c>
      <c r="Y726" s="66"/>
      <c r="Z726" s="121" t="s">
        <v>3483</v>
      </c>
      <c r="AA726" s="336" t="s">
        <v>1169</v>
      </c>
      <c r="AB726" s="121" t="s">
        <v>1174</v>
      </c>
      <c r="AC726" s="370"/>
    </row>
    <row r="727" spans="1:29" ht="39.950000000000003" customHeight="1" x14ac:dyDescent="0.2">
      <c r="A727" s="66">
        <v>729</v>
      </c>
      <c r="B727" s="68">
        <v>45198</v>
      </c>
      <c r="C727" s="66" t="s">
        <v>1466</v>
      </c>
      <c r="D727" s="66" t="s">
        <v>3084</v>
      </c>
      <c r="E727" s="67" t="s">
        <v>3085</v>
      </c>
      <c r="F727" s="66">
        <v>1</v>
      </c>
      <c r="G727" s="66" t="s">
        <v>2788</v>
      </c>
      <c r="H727" s="68">
        <v>45208</v>
      </c>
      <c r="I727" s="68" t="s">
        <v>1086</v>
      </c>
      <c r="J727" s="68" t="s">
        <v>1221</v>
      </c>
      <c r="K727" s="66" t="s">
        <v>1925</v>
      </c>
      <c r="L727" s="66" t="s">
        <v>796</v>
      </c>
      <c r="M727" s="66" t="s">
        <v>711</v>
      </c>
      <c r="N727" s="66" t="s">
        <v>577</v>
      </c>
      <c r="O727" s="66" t="str">
        <f t="shared" ca="1" si="39"/>
        <v>SI</v>
      </c>
      <c r="P727" s="66" t="str">
        <f t="shared" si="40"/>
        <v>DIANOSOL</v>
      </c>
      <c r="Q727" s="66" t="s">
        <v>151</v>
      </c>
      <c r="R727" s="66" t="str">
        <f>VLOOKUP($Q727,Resultados!$A$1:$B$49,2,FALSE)</f>
        <v>Prisión Preventiva</v>
      </c>
      <c r="S727" s="66" t="s">
        <v>1310</v>
      </c>
      <c r="T727" s="75" t="str">
        <f t="shared" si="38"/>
        <v>NO</v>
      </c>
      <c r="U727" s="75"/>
      <c r="V727" s="66"/>
      <c r="W727" s="66" t="s">
        <v>1274</v>
      </c>
      <c r="X727" s="66" t="s">
        <v>3196</v>
      </c>
      <c r="Y727" s="66"/>
      <c r="Z727" s="121" t="s">
        <v>2895</v>
      </c>
      <c r="AA727" s="121" t="s">
        <v>1171</v>
      </c>
      <c r="AB727" s="121" t="s">
        <v>1173</v>
      </c>
      <c r="AC727" s="366"/>
    </row>
    <row r="728" spans="1:29" ht="39.950000000000003" customHeight="1" x14ac:dyDescent="0.2">
      <c r="A728" s="66">
        <v>730</v>
      </c>
      <c r="B728" s="68">
        <v>45198</v>
      </c>
      <c r="C728" s="66" t="s">
        <v>2277</v>
      </c>
      <c r="D728" s="66" t="s">
        <v>3086</v>
      </c>
      <c r="E728" s="67" t="s">
        <v>3284</v>
      </c>
      <c r="F728" s="66">
        <v>1</v>
      </c>
      <c r="G728" s="66" t="s">
        <v>29</v>
      </c>
      <c r="H728" s="68">
        <v>45210</v>
      </c>
      <c r="I728" s="68" t="s">
        <v>1562</v>
      </c>
      <c r="J728" s="68" t="s">
        <v>1221</v>
      </c>
      <c r="K728" s="66" t="s">
        <v>1346</v>
      </c>
      <c r="L728" s="66" t="s">
        <v>2737</v>
      </c>
      <c r="M728" s="66" t="s">
        <v>711</v>
      </c>
      <c r="N728" s="66" t="s">
        <v>1753</v>
      </c>
      <c r="O728" s="81" t="str">
        <f t="shared" ca="1" si="39"/>
        <v>SI</v>
      </c>
      <c r="P728" s="81" t="str">
        <f t="shared" si="40"/>
        <v>DIANOSOL</v>
      </c>
      <c r="Q728" s="66" t="s">
        <v>151</v>
      </c>
      <c r="R728" s="66" t="str">
        <f>VLOOKUP($Q728,Resultados!$A$1:$B$49,2,FALSE)</f>
        <v>Prisión Preventiva</v>
      </c>
      <c r="S728" s="66" t="s">
        <v>1239</v>
      </c>
      <c r="T728" s="84" t="str">
        <f t="shared" si="38"/>
        <v>NO</v>
      </c>
      <c r="U728" s="84"/>
      <c r="V728" s="81"/>
      <c r="W728" s="66" t="s">
        <v>3359</v>
      </c>
      <c r="X728" s="403" t="s">
        <v>3360</v>
      </c>
      <c r="Y728" s="66"/>
      <c r="Z728" s="121" t="s">
        <v>770</v>
      </c>
      <c r="AA728" s="121" t="s">
        <v>1171</v>
      </c>
      <c r="AB728" s="121" t="s">
        <v>3301</v>
      </c>
      <c r="AC728" s="366"/>
    </row>
    <row r="729" spans="1:29" ht="39.950000000000003" customHeight="1" x14ac:dyDescent="0.2">
      <c r="A729" s="66">
        <v>731</v>
      </c>
      <c r="B729" s="68">
        <v>45198</v>
      </c>
      <c r="C729" s="66" t="s">
        <v>547</v>
      </c>
      <c r="D729" s="66" t="s">
        <v>3087</v>
      </c>
      <c r="E729" s="67" t="s">
        <v>3119</v>
      </c>
      <c r="F729" s="66">
        <v>1</v>
      </c>
      <c r="G729" s="66" t="s">
        <v>2773</v>
      </c>
      <c r="H729" s="68">
        <v>45216</v>
      </c>
      <c r="I729" s="68" t="s">
        <v>73</v>
      </c>
      <c r="J729" s="68" t="s">
        <v>1221</v>
      </c>
      <c r="K729" s="66" t="s">
        <v>2343</v>
      </c>
      <c r="L729" s="66" t="s">
        <v>806</v>
      </c>
      <c r="M729" s="66" t="s">
        <v>711</v>
      </c>
      <c r="N729" s="66" t="s">
        <v>899</v>
      </c>
      <c r="O729" s="66" t="str">
        <f t="shared" ca="1" si="39"/>
        <v>SI</v>
      </c>
      <c r="P729" s="66" t="str">
        <f t="shared" si="40"/>
        <v>DIANOSOL</v>
      </c>
      <c r="Q729" s="66" t="s">
        <v>899</v>
      </c>
      <c r="R729" s="66" t="str">
        <f>VLOOKUP($Q729,Resultados!$A$1:$B$49,2,FALSE)</f>
        <v>Libertad</v>
      </c>
      <c r="S729" s="66" t="s">
        <v>686</v>
      </c>
      <c r="T729" s="75" t="str">
        <f t="shared" si="38"/>
        <v>NO</v>
      </c>
      <c r="U729" s="75"/>
      <c r="V729" s="66"/>
      <c r="W729" s="66" t="s">
        <v>1237</v>
      </c>
      <c r="X729" s="66" t="s">
        <v>2984</v>
      </c>
      <c r="Y729" s="66"/>
      <c r="Z729" s="336" t="s">
        <v>3416</v>
      </c>
      <c r="AA729" s="336" t="s">
        <v>1171</v>
      </c>
      <c r="AB729" s="336" t="s">
        <v>3365</v>
      </c>
      <c r="AC729" s="366"/>
    </row>
    <row r="730" spans="1:29" ht="39.950000000000003" customHeight="1" x14ac:dyDescent="0.2">
      <c r="A730" s="66">
        <v>732</v>
      </c>
      <c r="B730" s="68">
        <v>45197</v>
      </c>
      <c r="C730" s="73">
        <v>0.42638888888888887</v>
      </c>
      <c r="D730" s="66" t="s">
        <v>3088</v>
      </c>
      <c r="E730" s="67" t="s">
        <v>3108</v>
      </c>
      <c r="F730" s="66">
        <v>8</v>
      </c>
      <c r="G730" s="66" t="s">
        <v>1443</v>
      </c>
      <c r="H730" s="68">
        <v>45208</v>
      </c>
      <c r="I730" s="68" t="s">
        <v>73</v>
      </c>
      <c r="J730" s="68" t="s">
        <v>1220</v>
      </c>
      <c r="K730" s="66">
        <f>IFERROR(VLOOKUP(J730,Jueces!$A$1:$B$11,2,FALSE),"")</f>
        <v>1</v>
      </c>
      <c r="L730" s="66" t="s">
        <v>829</v>
      </c>
      <c r="M730" s="66" t="s">
        <v>783</v>
      </c>
      <c r="N730" s="66" t="s">
        <v>2982</v>
      </c>
      <c r="O730" s="66" t="str">
        <f t="shared" ca="1" si="39"/>
        <v>SI</v>
      </c>
      <c r="P730" s="66" t="str">
        <f t="shared" si="40"/>
        <v>DIANOSOL</v>
      </c>
      <c r="Q730" s="66" t="s">
        <v>905</v>
      </c>
      <c r="R730" s="66" t="str">
        <f>VLOOKUP($Q730,Resultados!$A$1:$B$49,2,FALSE)</f>
        <v>Juicio Abreviado</v>
      </c>
      <c r="S730" s="66" t="s">
        <v>1015</v>
      </c>
      <c r="T730" s="75" t="str">
        <f t="shared" si="38"/>
        <v>NO</v>
      </c>
      <c r="U730" s="75"/>
      <c r="V730" s="66"/>
      <c r="W730" s="66" t="s">
        <v>1538</v>
      </c>
      <c r="X730" s="66" t="s">
        <v>2253</v>
      </c>
      <c r="Y730" s="66"/>
      <c r="Z730" s="121" t="s">
        <v>743</v>
      </c>
      <c r="AA730" s="121" t="s">
        <v>1169</v>
      </c>
      <c r="AB730" s="121" t="s">
        <v>1173</v>
      </c>
      <c r="AC730" s="366"/>
    </row>
    <row r="731" spans="1:29" ht="39.950000000000003" customHeight="1" x14ac:dyDescent="0.2">
      <c r="A731" s="66">
        <v>733</v>
      </c>
      <c r="B731" s="68">
        <v>45197</v>
      </c>
      <c r="C731" s="66" t="s">
        <v>1274</v>
      </c>
      <c r="D731" s="66" t="s">
        <v>3089</v>
      </c>
      <c r="E731" s="67" t="s">
        <v>3090</v>
      </c>
      <c r="F731" s="66">
        <v>8</v>
      </c>
      <c r="G731" s="66" t="s">
        <v>283</v>
      </c>
      <c r="H731" s="68">
        <v>45209</v>
      </c>
      <c r="I731" s="68" t="s">
        <v>749</v>
      </c>
      <c r="J731" s="68" t="s">
        <v>1225</v>
      </c>
      <c r="K731" s="66">
        <f>IFERROR(VLOOKUP(J731,Jueces!$A$1:$B$11,2,FALSE),"")</f>
        <v>6</v>
      </c>
      <c r="L731" s="66" t="s">
        <v>799</v>
      </c>
      <c r="M731" s="66" t="s">
        <v>711</v>
      </c>
      <c r="N731" s="356" t="s">
        <v>577</v>
      </c>
      <c r="O731" s="81" t="str">
        <f t="shared" ca="1" si="39"/>
        <v>SI</v>
      </c>
      <c r="P731" s="81" t="str">
        <f t="shared" si="40"/>
        <v>DIANOSOL</v>
      </c>
      <c r="Q731" s="66" t="s">
        <v>151</v>
      </c>
      <c r="R731" s="66" t="str">
        <f>VLOOKUP($Q731,Resultados!$A$1:$B$49,2,FALSE)</f>
        <v>Prisión Preventiva</v>
      </c>
      <c r="S731" s="66" t="s">
        <v>1246</v>
      </c>
      <c r="T731" s="84" t="str">
        <f t="shared" si="38"/>
        <v>NO</v>
      </c>
      <c r="U731" s="84"/>
      <c r="V731" s="81"/>
      <c r="W731" s="66" t="s">
        <v>1538</v>
      </c>
      <c r="X731" s="66"/>
      <c r="Y731" s="66"/>
      <c r="Z731" s="121" t="s">
        <v>743</v>
      </c>
      <c r="AA731" s="121" t="s">
        <v>1169</v>
      </c>
      <c r="AB731" s="121" t="s">
        <v>1174</v>
      </c>
      <c r="AC731" s="366"/>
    </row>
    <row r="732" spans="1:29" ht="39.950000000000003" customHeight="1" x14ac:dyDescent="0.2">
      <c r="A732" s="66">
        <v>734</v>
      </c>
      <c r="B732" s="68">
        <v>45197</v>
      </c>
      <c r="C732" s="66" t="s">
        <v>1372</v>
      </c>
      <c r="D732" s="66" t="s">
        <v>3091</v>
      </c>
      <c r="E732" s="67" t="s">
        <v>3092</v>
      </c>
      <c r="F732" s="66">
        <v>8</v>
      </c>
      <c r="G732" s="66" t="s">
        <v>43</v>
      </c>
      <c r="H732" s="68">
        <v>45211</v>
      </c>
      <c r="I732" s="68" t="s">
        <v>73</v>
      </c>
      <c r="J732" s="68" t="s">
        <v>1220</v>
      </c>
      <c r="K732" s="66">
        <f>IFERROR(VLOOKUP(J732,Jueces!$A$1:$B$11,2,FALSE),"")</f>
        <v>1</v>
      </c>
      <c r="L732" s="66" t="s">
        <v>811</v>
      </c>
      <c r="M732" s="66" t="s">
        <v>1087</v>
      </c>
      <c r="N732" s="66" t="s">
        <v>3413</v>
      </c>
      <c r="O732" s="66" t="str">
        <f t="shared" ca="1" si="39"/>
        <v>SI</v>
      </c>
      <c r="P732" s="66" t="str">
        <f t="shared" si="40"/>
        <v>DIANOSOL</v>
      </c>
      <c r="Q732" s="66" t="s">
        <v>905</v>
      </c>
      <c r="R732" s="66" t="str">
        <f>VLOOKUP($Q732,Resultados!$A$1:$B$49,2,FALSE)</f>
        <v>Juicio Abreviado</v>
      </c>
      <c r="S732" s="66" t="s">
        <v>1210</v>
      </c>
      <c r="T732" s="75" t="str">
        <f t="shared" si="38"/>
        <v>NO</v>
      </c>
      <c r="U732" s="75"/>
      <c r="V732" s="66"/>
      <c r="W732" s="66" t="s">
        <v>2567</v>
      </c>
      <c r="X732" s="66" t="s">
        <v>3414</v>
      </c>
      <c r="Y732" s="66"/>
      <c r="Z732" s="336" t="s">
        <v>3363</v>
      </c>
      <c r="AA732" s="121" t="s">
        <v>1169</v>
      </c>
      <c r="AB732" s="121" t="s">
        <v>1173</v>
      </c>
      <c r="AC732" s="366"/>
    </row>
    <row r="733" spans="1:29" ht="39.950000000000003" customHeight="1" x14ac:dyDescent="0.2">
      <c r="A733" s="66">
        <v>735</v>
      </c>
      <c r="B733" s="68">
        <v>45197</v>
      </c>
      <c r="C733" s="66" t="s">
        <v>2057</v>
      </c>
      <c r="D733" s="66" t="s">
        <v>3093</v>
      </c>
      <c r="E733" s="67" t="s">
        <v>3094</v>
      </c>
      <c r="F733" s="66">
        <v>8</v>
      </c>
      <c r="G733" s="66" t="s">
        <v>1441</v>
      </c>
      <c r="H733" s="68">
        <v>45218</v>
      </c>
      <c r="I733" s="68" t="s">
        <v>3212</v>
      </c>
      <c r="J733" s="68" t="s">
        <v>31</v>
      </c>
      <c r="K733" s="66">
        <f>IFERROR(VLOOKUP(J733,Jueces!$A$1:$B$11,2,FALSE),"")</f>
        <v>2</v>
      </c>
      <c r="L733" s="66" t="s">
        <v>809</v>
      </c>
      <c r="M733" s="66" t="s">
        <v>1416</v>
      </c>
      <c r="N733" s="66" t="s">
        <v>3520</v>
      </c>
      <c r="O733" s="66" t="str">
        <f t="shared" ca="1" si="39"/>
        <v>SI</v>
      </c>
      <c r="P733" s="66" t="str">
        <f t="shared" si="40"/>
        <v>DIANOSOL</v>
      </c>
      <c r="Q733" s="66" t="s">
        <v>899</v>
      </c>
      <c r="R733" s="66" t="str">
        <f>VLOOKUP($Q733,Resultados!$A$1:$B$49,2,FALSE)</f>
        <v>Libertad</v>
      </c>
      <c r="S733" s="66" t="s">
        <v>3521</v>
      </c>
      <c r="T733" s="75" t="str">
        <f t="shared" si="38"/>
        <v>NO</v>
      </c>
      <c r="U733" s="75"/>
      <c r="V733" s="66"/>
      <c r="W733" s="66" t="s">
        <v>3522</v>
      </c>
      <c r="X733" s="66" t="s">
        <v>3196</v>
      </c>
      <c r="Y733" s="66"/>
      <c r="Z733" s="121" t="s">
        <v>3416</v>
      </c>
      <c r="AA733" s="121" t="s">
        <v>1169</v>
      </c>
      <c r="AB733" s="121" t="s">
        <v>3301</v>
      </c>
      <c r="AC733" s="370"/>
    </row>
    <row r="734" spans="1:29" ht="39.950000000000003" customHeight="1" x14ac:dyDescent="0.2">
      <c r="A734" s="66">
        <v>736</v>
      </c>
      <c r="B734" s="68">
        <v>45197</v>
      </c>
      <c r="C734" s="66" t="s">
        <v>1465</v>
      </c>
      <c r="D734" s="66" t="s">
        <v>3105</v>
      </c>
      <c r="E734" s="67" t="s">
        <v>3112</v>
      </c>
      <c r="F734" s="66">
        <v>1</v>
      </c>
      <c r="G734" s="66" t="s">
        <v>1441</v>
      </c>
      <c r="H734" s="68">
        <v>45210</v>
      </c>
      <c r="I734" s="68" t="s">
        <v>1562</v>
      </c>
      <c r="J734" s="68" t="s">
        <v>33</v>
      </c>
      <c r="K734" s="66">
        <f>IFERROR(VLOOKUP(J734,Jueces!$A$1:$B$11,2,FALSE),"")</f>
        <v>4</v>
      </c>
      <c r="L734" s="66" t="s">
        <v>799</v>
      </c>
      <c r="M734" s="66" t="s">
        <v>1179</v>
      </c>
      <c r="N734" s="66" t="s">
        <v>3357</v>
      </c>
      <c r="O734" s="81" t="str">
        <f t="shared" ca="1" si="39"/>
        <v>SI</v>
      </c>
      <c r="P734" s="81" t="str">
        <f t="shared" si="40"/>
        <v>DIANOSOL</v>
      </c>
      <c r="Q734" s="66" t="s">
        <v>905</v>
      </c>
      <c r="R734" s="66" t="str">
        <f>VLOOKUP($Q734,Resultados!$A$1:$B$49,2,FALSE)</f>
        <v>Juicio Abreviado</v>
      </c>
      <c r="S734" s="66" t="s">
        <v>3355</v>
      </c>
      <c r="T734" s="66" t="s">
        <v>3356</v>
      </c>
      <c r="U734" s="84"/>
      <c r="V734" s="81"/>
      <c r="W734" s="66" t="s">
        <v>3356</v>
      </c>
      <c r="X734" s="230" t="s">
        <v>3358</v>
      </c>
      <c r="Y734" s="66"/>
      <c r="Z734" s="121" t="s">
        <v>743</v>
      </c>
      <c r="AA734" s="121" t="s">
        <v>1169</v>
      </c>
      <c r="AB734" s="121" t="s">
        <v>1175</v>
      </c>
      <c r="AC734" s="366"/>
    </row>
    <row r="735" spans="1:29" ht="39.950000000000003" customHeight="1" x14ac:dyDescent="0.2">
      <c r="A735" s="66">
        <v>737</v>
      </c>
      <c r="B735" s="68">
        <v>45201</v>
      </c>
      <c r="C735" s="66" t="s">
        <v>1538</v>
      </c>
      <c r="D735" s="66" t="s">
        <v>3114</v>
      </c>
      <c r="E735" s="67" t="s">
        <v>3215</v>
      </c>
      <c r="F735" s="66">
        <v>1</v>
      </c>
      <c r="G735" s="66" t="s">
        <v>1442</v>
      </c>
      <c r="H735" s="68">
        <v>45219</v>
      </c>
      <c r="I735" s="68" t="s">
        <v>73</v>
      </c>
      <c r="J735" s="68" t="s">
        <v>2951</v>
      </c>
      <c r="K735" s="66" t="s">
        <v>1925</v>
      </c>
      <c r="L735" s="66" t="s">
        <v>806</v>
      </c>
      <c r="M735" s="66" t="s">
        <v>711</v>
      </c>
      <c r="N735" s="66" t="s">
        <v>913</v>
      </c>
      <c r="O735" s="81" t="str">
        <f t="shared" ca="1" si="39"/>
        <v>SI</v>
      </c>
      <c r="P735" s="81" t="str">
        <f t="shared" si="40"/>
        <v>DIANOSOL</v>
      </c>
      <c r="Q735" s="66" t="s">
        <v>913</v>
      </c>
      <c r="R735" s="66" t="str">
        <f>VLOOKUP($Q735,Resultados!$A$1:$B$49,2,FALSE)</f>
        <v>Prision domiciliaria</v>
      </c>
      <c r="S735" s="66" t="s">
        <v>2060</v>
      </c>
      <c r="T735" s="84" t="str">
        <f t="shared" ref="T735:T766" si="41">IF(G735=$J$1,"SI","NO")</f>
        <v>SI</v>
      </c>
      <c r="U735" s="84"/>
      <c r="V735" s="81"/>
      <c r="W735" s="66" t="s">
        <v>1210</v>
      </c>
      <c r="X735" s="66" t="s">
        <v>3540</v>
      </c>
      <c r="Y735" s="66"/>
      <c r="Z735" s="121" t="s">
        <v>2867</v>
      </c>
      <c r="AA735" s="336" t="s">
        <v>1169</v>
      </c>
      <c r="AB735" s="121" t="s">
        <v>1177</v>
      </c>
      <c r="AC735" s="370"/>
    </row>
    <row r="736" spans="1:29" ht="39.950000000000003" customHeight="1" x14ac:dyDescent="0.2">
      <c r="A736" s="66">
        <v>738</v>
      </c>
      <c r="B736" s="68">
        <v>45201</v>
      </c>
      <c r="C736" s="73">
        <v>0.3972222222222222</v>
      </c>
      <c r="D736" s="66" t="s">
        <v>2111</v>
      </c>
      <c r="E736" s="67" t="s">
        <v>3115</v>
      </c>
      <c r="F736" s="66">
        <v>1</v>
      </c>
      <c r="G736" s="66" t="s">
        <v>568</v>
      </c>
      <c r="H736" s="68">
        <v>45217</v>
      </c>
      <c r="I736" s="68" t="s">
        <v>1086</v>
      </c>
      <c r="J736" s="68" t="s">
        <v>1220</v>
      </c>
      <c r="K736" s="66">
        <f>IFERROR(VLOOKUP(J736,Jueces!$A$1:$B$11,2,FALSE),"")</f>
        <v>1</v>
      </c>
      <c r="L736" s="66" t="s">
        <v>192</v>
      </c>
      <c r="M736" s="66" t="s">
        <v>712</v>
      </c>
      <c r="N736" s="66" t="s">
        <v>3489</v>
      </c>
      <c r="O736" s="81" t="str">
        <f t="shared" ca="1" si="39"/>
        <v>SI</v>
      </c>
      <c r="P736" s="81" t="str">
        <f t="shared" si="40"/>
        <v>DIANOSOL</v>
      </c>
      <c r="Q736" s="66" t="s">
        <v>151</v>
      </c>
      <c r="R736" s="66" t="s">
        <v>151</v>
      </c>
      <c r="S736" s="66" t="s">
        <v>2710</v>
      </c>
      <c r="T736" s="84" t="str">
        <f t="shared" si="41"/>
        <v>NO</v>
      </c>
      <c r="U736" s="84"/>
      <c r="V736" s="81"/>
      <c r="W736" s="66" t="s">
        <v>1005</v>
      </c>
      <c r="X736" s="66" t="s">
        <v>3081</v>
      </c>
      <c r="Y736" s="66"/>
      <c r="Z736" s="369" t="s">
        <v>748</v>
      </c>
      <c r="AA736" s="369" t="s">
        <v>1169</v>
      </c>
      <c r="AB736" s="369" t="s">
        <v>1175</v>
      </c>
      <c r="AC736" s="370"/>
    </row>
    <row r="737" spans="1:29" ht="39.950000000000003" customHeight="1" x14ac:dyDescent="0.2">
      <c r="A737" s="66">
        <v>739</v>
      </c>
      <c r="B737" s="68">
        <v>45201</v>
      </c>
      <c r="C737" s="73">
        <v>0.47916666666666669</v>
      </c>
      <c r="D737" s="66" t="s">
        <v>3116</v>
      </c>
      <c r="E737" s="67" t="s">
        <v>3217</v>
      </c>
      <c r="F737" s="66">
        <v>1</v>
      </c>
      <c r="G737" s="66" t="s">
        <v>2788</v>
      </c>
      <c r="H737" s="68">
        <v>45219</v>
      </c>
      <c r="I737" s="68" t="s">
        <v>1086</v>
      </c>
      <c r="J737" s="68" t="s">
        <v>1732</v>
      </c>
      <c r="K737" s="66" t="s">
        <v>1925</v>
      </c>
      <c r="L737" s="66" t="s">
        <v>789</v>
      </c>
      <c r="M737" s="66" t="s">
        <v>3218</v>
      </c>
      <c r="N737" s="66" t="s">
        <v>3543</v>
      </c>
      <c r="O737" s="81" t="str">
        <f t="shared" ca="1" si="39"/>
        <v>SI</v>
      </c>
      <c r="P737" s="81" t="str">
        <f t="shared" si="40"/>
        <v>DIANOSOL</v>
      </c>
      <c r="Q737" s="66" t="s">
        <v>151</v>
      </c>
      <c r="R737" s="66" t="str">
        <f>VLOOKUP($Q737,Resultados!$A$1:$B$49,2,FALSE)</f>
        <v>Prisión Preventiva</v>
      </c>
      <c r="S737" s="66" t="s">
        <v>1230</v>
      </c>
      <c r="T737" s="84" t="str">
        <f t="shared" si="41"/>
        <v>NO</v>
      </c>
      <c r="U737" s="84"/>
      <c r="V737" s="81"/>
      <c r="W737" s="66" t="s">
        <v>1635</v>
      </c>
      <c r="X737" s="66" t="s">
        <v>3544</v>
      </c>
      <c r="Y737" s="66"/>
      <c r="Z737" s="121" t="s">
        <v>2867</v>
      </c>
      <c r="AA737" s="336" t="s">
        <v>1169</v>
      </c>
      <c r="AB737" s="121" t="s">
        <v>1174</v>
      </c>
      <c r="AC737" s="370"/>
    </row>
    <row r="738" spans="1:29" ht="39.950000000000003" customHeight="1" x14ac:dyDescent="0.2">
      <c r="A738" s="66">
        <v>740</v>
      </c>
      <c r="B738" s="68">
        <v>45201</v>
      </c>
      <c r="C738" s="73">
        <v>0.4916666666666667</v>
      </c>
      <c r="D738" s="66" t="s">
        <v>3117</v>
      </c>
      <c r="E738" s="67" t="s">
        <v>3214</v>
      </c>
      <c r="F738" s="66">
        <v>1</v>
      </c>
      <c r="G738" s="66" t="s">
        <v>2775</v>
      </c>
      <c r="H738" s="68">
        <v>45218</v>
      </c>
      <c r="I738" s="68" t="s">
        <v>73</v>
      </c>
      <c r="J738" s="68" t="s">
        <v>33</v>
      </c>
      <c r="K738" s="66">
        <f>IFERROR(VLOOKUP(J738,Jueces!$A$1:$B$11,2,FALSE),"")</f>
        <v>4</v>
      </c>
      <c r="L738" s="66" t="s">
        <v>809</v>
      </c>
      <c r="M738" s="66" t="s">
        <v>711</v>
      </c>
      <c r="N738" s="66" t="s">
        <v>899</v>
      </c>
      <c r="O738" s="66" t="str">
        <f t="shared" ca="1" si="39"/>
        <v>SI</v>
      </c>
      <c r="P738" s="66" t="str">
        <f t="shared" si="40"/>
        <v>DIANOSOL</v>
      </c>
      <c r="Q738" s="66" t="s">
        <v>899</v>
      </c>
      <c r="R738" s="66" t="str">
        <f>VLOOKUP($Q738,Resultados!$A$1:$B$49,2,FALSE)</f>
        <v>Libertad</v>
      </c>
      <c r="S738" s="66" t="s">
        <v>1532</v>
      </c>
      <c r="T738" s="75" t="str">
        <f t="shared" si="41"/>
        <v>NO</v>
      </c>
      <c r="U738" s="75"/>
      <c r="V738" s="66"/>
      <c r="W738" s="66" t="s">
        <v>1086</v>
      </c>
      <c r="X738" s="66" t="s">
        <v>3487</v>
      </c>
      <c r="Y738" s="66"/>
      <c r="Z738" s="121" t="s">
        <v>3483</v>
      </c>
      <c r="AA738" s="336" t="s">
        <v>1169</v>
      </c>
      <c r="AB738" s="121" t="s">
        <v>1173</v>
      </c>
      <c r="AC738" s="370"/>
    </row>
    <row r="739" spans="1:29" ht="39.950000000000003" customHeight="1" x14ac:dyDescent="0.2">
      <c r="A739" s="66">
        <v>741</v>
      </c>
      <c r="B739" s="68">
        <v>45201</v>
      </c>
      <c r="C739" s="73">
        <v>0.49374999999999997</v>
      </c>
      <c r="D739" s="66" t="s">
        <v>3118</v>
      </c>
      <c r="E739" s="67" t="s">
        <v>3205</v>
      </c>
      <c r="F739" s="66">
        <v>1</v>
      </c>
      <c r="G739" s="66" t="s">
        <v>1441</v>
      </c>
      <c r="H739" s="68">
        <v>45217</v>
      </c>
      <c r="I739" s="68" t="s">
        <v>73</v>
      </c>
      <c r="J739" s="68" t="s">
        <v>2954</v>
      </c>
      <c r="K739" s="66" t="s">
        <v>1520</v>
      </c>
      <c r="L739" s="66" t="s">
        <v>809</v>
      </c>
      <c r="M739" s="66" t="s">
        <v>1179</v>
      </c>
      <c r="N739" s="66" t="s">
        <v>3485</v>
      </c>
      <c r="O739" s="66" t="str">
        <f t="shared" ca="1" si="39"/>
        <v>SI</v>
      </c>
      <c r="P739" s="66" t="str">
        <f t="shared" si="40"/>
        <v>DIANOSOL</v>
      </c>
      <c r="Q739" s="66" t="s">
        <v>904</v>
      </c>
      <c r="R739" s="66" t="str">
        <f>VLOOKUP($Q739,Resultados!$A$1:$B$49,2,FALSE)</f>
        <v>Juicio Abreviado</v>
      </c>
      <c r="S739" s="66" t="s">
        <v>1064</v>
      </c>
      <c r="T739" s="75" t="str">
        <f t="shared" si="41"/>
        <v>NO</v>
      </c>
      <c r="U739" s="75"/>
      <c r="V739" s="66"/>
      <c r="W739" s="66" t="s">
        <v>679</v>
      </c>
      <c r="X739" s="66" t="s">
        <v>3486</v>
      </c>
      <c r="Y739" s="66"/>
      <c r="Z739" s="369" t="s">
        <v>3416</v>
      </c>
      <c r="AA739" s="369" t="s">
        <v>1169</v>
      </c>
      <c r="AB739" s="369" t="s">
        <v>1174</v>
      </c>
      <c r="AC739" s="370"/>
    </row>
    <row r="740" spans="1:29" ht="39.950000000000003" customHeight="1" x14ac:dyDescent="0.2">
      <c r="A740" s="66">
        <v>742</v>
      </c>
      <c r="B740" s="68">
        <v>45201</v>
      </c>
      <c r="C740" s="73">
        <v>0.38958333333333334</v>
      </c>
      <c r="D740" s="66" t="s">
        <v>2690</v>
      </c>
      <c r="E740" s="67" t="s">
        <v>2729</v>
      </c>
      <c r="F740" s="66">
        <v>8</v>
      </c>
      <c r="G740" s="66" t="s">
        <v>2774</v>
      </c>
      <c r="H740" s="68">
        <v>45211</v>
      </c>
      <c r="I740" s="68" t="s">
        <v>73</v>
      </c>
      <c r="J740" s="68" t="s">
        <v>1221</v>
      </c>
      <c r="K740" s="66" t="s">
        <v>2343</v>
      </c>
      <c r="L740" s="66" t="s">
        <v>789</v>
      </c>
      <c r="M740" s="66" t="s">
        <v>887</v>
      </c>
      <c r="N740" s="66" t="s">
        <v>3402</v>
      </c>
      <c r="O740" s="66" t="str">
        <f t="shared" ca="1" si="39"/>
        <v>SI</v>
      </c>
      <c r="P740" s="66" t="str">
        <f t="shared" si="40"/>
        <v>DIANOSOL</v>
      </c>
      <c r="Q740" s="66" t="s">
        <v>904</v>
      </c>
      <c r="R740" s="66" t="str">
        <f>VLOOKUP($Q740,Resultados!$A$1:$B$49,2,FALSE)</f>
        <v>Juicio Abreviado</v>
      </c>
      <c r="S740" s="73" t="s">
        <v>1129</v>
      </c>
      <c r="T740" s="75" t="str">
        <f t="shared" si="41"/>
        <v>NO</v>
      </c>
      <c r="U740" s="75"/>
      <c r="V740" s="66"/>
      <c r="W740" s="66" t="s">
        <v>1135</v>
      </c>
      <c r="X740" s="66" t="s">
        <v>2984</v>
      </c>
      <c r="Y740" s="66"/>
      <c r="Z740" s="336" t="s">
        <v>2895</v>
      </c>
      <c r="AA740" s="121" t="s">
        <v>2852</v>
      </c>
      <c r="AB740" s="121" t="s">
        <v>3301</v>
      </c>
      <c r="AC740" s="366"/>
    </row>
    <row r="741" spans="1:29" ht="39.950000000000003" customHeight="1" x14ac:dyDescent="0.2">
      <c r="A741" s="66">
        <v>743</v>
      </c>
      <c r="B741" s="68">
        <v>45202</v>
      </c>
      <c r="C741" s="66" t="s">
        <v>73</v>
      </c>
      <c r="D741" s="66" t="s">
        <v>3144</v>
      </c>
      <c r="E741" s="67" t="s">
        <v>3145</v>
      </c>
      <c r="F741" s="66">
        <v>1</v>
      </c>
      <c r="G741" s="66" t="s">
        <v>29</v>
      </c>
      <c r="H741" s="68">
        <v>45216</v>
      </c>
      <c r="I741" s="68" t="s">
        <v>1086</v>
      </c>
      <c r="J741" s="68" t="s">
        <v>1220</v>
      </c>
      <c r="K741" s="66" t="s">
        <v>1925</v>
      </c>
      <c r="L741" s="66" t="s">
        <v>793</v>
      </c>
      <c r="M741" s="66" t="s">
        <v>712</v>
      </c>
      <c r="N741" s="66" t="s">
        <v>3441</v>
      </c>
      <c r="O741" s="66" t="str">
        <f t="shared" ca="1" si="39"/>
        <v>SI</v>
      </c>
      <c r="P741" s="66" t="str">
        <f t="shared" si="40"/>
        <v>DIANOSOL</v>
      </c>
      <c r="Q741" s="66" t="s">
        <v>151</v>
      </c>
      <c r="R741" s="66" t="str">
        <f>VLOOKUP($Q741,Resultados!$A$1:$B$49,2,FALSE)</f>
        <v>Prisión Preventiva</v>
      </c>
      <c r="S741" s="66" t="s">
        <v>1570</v>
      </c>
      <c r="T741" s="75" t="str">
        <f t="shared" si="41"/>
        <v>NO</v>
      </c>
      <c r="U741" s="75"/>
      <c r="V741" s="66"/>
      <c r="W741" s="66" t="s">
        <v>3151</v>
      </c>
      <c r="X741" s="66" t="s">
        <v>3442</v>
      </c>
      <c r="Y741" s="66"/>
      <c r="Z741" s="336" t="s">
        <v>2867</v>
      </c>
      <c r="AA741" s="336" t="s">
        <v>1171</v>
      </c>
      <c r="AB741" s="336" t="s">
        <v>1175</v>
      </c>
      <c r="AC741" s="366"/>
    </row>
    <row r="742" spans="1:29" ht="39.950000000000003" customHeight="1" x14ac:dyDescent="0.2">
      <c r="A742" s="66">
        <v>744</v>
      </c>
      <c r="B742" s="68">
        <v>45201</v>
      </c>
      <c r="C742" s="66" t="s">
        <v>2761</v>
      </c>
      <c r="D742" s="66" t="s">
        <v>3146</v>
      </c>
      <c r="E742" s="67" t="s">
        <v>3147</v>
      </c>
      <c r="F742" s="66">
        <v>1</v>
      </c>
      <c r="G742" s="66" t="s">
        <v>1441</v>
      </c>
      <c r="H742" s="68">
        <v>45216</v>
      </c>
      <c r="I742" s="68" t="s">
        <v>749</v>
      </c>
      <c r="J742" s="68" t="s">
        <v>1225</v>
      </c>
      <c r="K742" s="66" t="s">
        <v>2394</v>
      </c>
      <c r="L742" s="66" t="s">
        <v>812</v>
      </c>
      <c r="M742" s="66" t="s">
        <v>712</v>
      </c>
      <c r="N742" s="66" t="s">
        <v>3436</v>
      </c>
      <c r="O742" s="66" t="str">
        <f t="shared" ca="1" si="39"/>
        <v>SI</v>
      </c>
      <c r="P742" s="66" t="str">
        <f t="shared" si="40"/>
        <v>DIANOSOL</v>
      </c>
      <c r="Q742" s="66" t="s">
        <v>151</v>
      </c>
      <c r="R742" s="66" t="str">
        <f>VLOOKUP($Q742,Resultados!$A$1:$B$49,2,FALSE)</f>
        <v>Prisión Preventiva</v>
      </c>
      <c r="S742" s="66" t="s">
        <v>1086</v>
      </c>
      <c r="T742" s="75" t="str">
        <f t="shared" si="41"/>
        <v>NO</v>
      </c>
      <c r="U742" s="75"/>
      <c r="V742" s="66"/>
      <c r="W742" s="66" t="s">
        <v>1392</v>
      </c>
      <c r="X742" s="66" t="s">
        <v>3437</v>
      </c>
      <c r="Y742" s="66"/>
      <c r="Z742" s="336" t="s">
        <v>2895</v>
      </c>
      <c r="AA742" s="336" t="s">
        <v>1169</v>
      </c>
      <c r="AB742" s="336" t="s">
        <v>1173</v>
      </c>
      <c r="AC742" s="366"/>
    </row>
    <row r="743" spans="1:29" ht="39.950000000000003" customHeight="1" x14ac:dyDescent="0.2">
      <c r="A743" s="66">
        <v>745</v>
      </c>
      <c r="B743" s="68">
        <v>45202</v>
      </c>
      <c r="C743" s="66" t="s">
        <v>3148</v>
      </c>
      <c r="D743" s="66" t="s">
        <v>3149</v>
      </c>
      <c r="E743" s="67" t="s">
        <v>3150</v>
      </c>
      <c r="F743" s="66">
        <v>1</v>
      </c>
      <c r="G743" s="66" t="s">
        <v>3366</v>
      </c>
      <c r="H743" s="68">
        <v>45218</v>
      </c>
      <c r="I743" s="68" t="s">
        <v>1086</v>
      </c>
      <c r="J743" s="68" t="s">
        <v>1225</v>
      </c>
      <c r="K743" s="66">
        <f>IFERROR(VLOOKUP(J743,Jueces!$A$1:$B$11,2,FALSE),"")</f>
        <v>6</v>
      </c>
      <c r="L743" s="66" t="s">
        <v>2088</v>
      </c>
      <c r="M743" s="66" t="s">
        <v>712</v>
      </c>
      <c r="N743" s="66" t="s">
        <v>577</v>
      </c>
      <c r="O743" s="66" t="str">
        <f t="shared" ca="1" si="39"/>
        <v>SI</v>
      </c>
      <c r="P743" s="66" t="str">
        <f t="shared" si="40"/>
        <v>DIANOSOL</v>
      </c>
      <c r="Q743" s="66" t="s">
        <v>151</v>
      </c>
      <c r="R743" s="66" t="str">
        <f>VLOOKUP($Q743,Resultados!$A$1:$B$49,2,FALSE)</f>
        <v>Prisión Preventiva</v>
      </c>
      <c r="S743" s="66" t="s">
        <v>1138</v>
      </c>
      <c r="T743" s="75" t="str">
        <f t="shared" si="41"/>
        <v>NO</v>
      </c>
      <c r="U743" s="75"/>
      <c r="V743" s="66"/>
      <c r="W743" s="66" t="s">
        <v>1193</v>
      </c>
      <c r="X743" s="66"/>
      <c r="Y743" s="66"/>
      <c r="Z743" s="121" t="s">
        <v>2895</v>
      </c>
      <c r="AA743" s="336" t="s">
        <v>1169</v>
      </c>
      <c r="AB743" s="121" t="s">
        <v>3365</v>
      </c>
      <c r="AC743" s="370"/>
    </row>
    <row r="744" spans="1:29" ht="39.950000000000003" customHeight="1" x14ac:dyDescent="0.2">
      <c r="A744" s="66">
        <v>746</v>
      </c>
      <c r="B744" s="68">
        <v>45202</v>
      </c>
      <c r="C744" s="66" t="s">
        <v>3151</v>
      </c>
      <c r="D744" s="66" t="s">
        <v>3152</v>
      </c>
      <c r="E744" s="67" t="s">
        <v>3216</v>
      </c>
      <c r="F744" s="66">
        <v>1</v>
      </c>
      <c r="G744" s="66" t="s">
        <v>1441</v>
      </c>
      <c r="H744" s="68">
        <v>45218</v>
      </c>
      <c r="I744" s="68" t="s">
        <v>73</v>
      </c>
      <c r="J744" s="68" t="s">
        <v>1732</v>
      </c>
      <c r="K744" s="66" t="s">
        <v>1925</v>
      </c>
      <c r="L744" s="66" t="s">
        <v>789</v>
      </c>
      <c r="M744" s="66" t="s">
        <v>1179</v>
      </c>
      <c r="N744" s="66" t="s">
        <v>3514</v>
      </c>
      <c r="O744" s="66" t="str">
        <f t="shared" ca="1" si="39"/>
        <v>SI</v>
      </c>
      <c r="P744" s="66" t="str">
        <f t="shared" si="40"/>
        <v>DIANOSOL</v>
      </c>
      <c r="Q744" s="66" t="s">
        <v>151</v>
      </c>
      <c r="R744" s="66" t="s">
        <v>151</v>
      </c>
      <c r="S744" s="66" t="s">
        <v>1296</v>
      </c>
      <c r="T744" s="75" t="str">
        <f t="shared" si="41"/>
        <v>NO</v>
      </c>
      <c r="U744" s="75"/>
      <c r="V744" s="66"/>
      <c r="W744" s="66" t="s">
        <v>1499</v>
      </c>
      <c r="X744" s="66" t="s">
        <v>3515</v>
      </c>
      <c r="Y744" s="66"/>
      <c r="Z744" s="121" t="s">
        <v>1041</v>
      </c>
      <c r="AA744" s="336" t="s">
        <v>1171</v>
      </c>
      <c r="AB744" s="121" t="s">
        <v>3301</v>
      </c>
      <c r="AC744" s="370"/>
    </row>
    <row r="745" spans="1:29" ht="39.950000000000003" customHeight="1" x14ac:dyDescent="0.2">
      <c r="A745" s="66">
        <v>747</v>
      </c>
      <c r="B745" s="68">
        <v>45202</v>
      </c>
      <c r="C745" s="66" t="s">
        <v>1783</v>
      </c>
      <c r="D745" s="66" t="s">
        <v>3153</v>
      </c>
      <c r="E745" s="67" t="s">
        <v>3209</v>
      </c>
      <c r="F745" s="66">
        <v>1</v>
      </c>
      <c r="G745" s="66" t="s">
        <v>1443</v>
      </c>
      <c r="H745" s="68">
        <v>45216</v>
      </c>
      <c r="I745" s="68" t="s">
        <v>73</v>
      </c>
      <c r="J745" s="68" t="s">
        <v>2954</v>
      </c>
      <c r="K745" s="66" t="s">
        <v>1346</v>
      </c>
      <c r="L745" s="66" t="s">
        <v>793</v>
      </c>
      <c r="M745" s="66" t="s">
        <v>1087</v>
      </c>
      <c r="N745" s="66" t="s">
        <v>2982</v>
      </c>
      <c r="O745" s="66" t="str">
        <f t="shared" ca="1" si="39"/>
        <v>SI</v>
      </c>
      <c r="P745" s="66" t="str">
        <f t="shared" si="40"/>
        <v>DIANOSOL</v>
      </c>
      <c r="Q745" s="66" t="s">
        <v>905</v>
      </c>
      <c r="R745" s="66" t="str">
        <f>VLOOKUP($Q745,Resultados!$A$1:$B$49,2,FALSE)</f>
        <v>Juicio Abreviado</v>
      </c>
      <c r="S745" s="66" t="s">
        <v>1650</v>
      </c>
      <c r="T745" s="75" t="str">
        <f t="shared" si="41"/>
        <v>NO</v>
      </c>
      <c r="U745" s="75"/>
      <c r="V745" s="66"/>
      <c r="W745" s="66" t="s">
        <v>1084</v>
      </c>
      <c r="X745" s="66" t="s">
        <v>3438</v>
      </c>
      <c r="Y745" s="66"/>
      <c r="Z745" s="336" t="s">
        <v>748</v>
      </c>
      <c r="AA745" s="336" t="s">
        <v>1171</v>
      </c>
      <c r="AB745" s="336" t="s">
        <v>1177</v>
      </c>
      <c r="AC745" s="366"/>
    </row>
    <row r="746" spans="1:29" ht="39.950000000000003" customHeight="1" x14ac:dyDescent="0.2">
      <c r="A746" s="66">
        <v>748</v>
      </c>
      <c r="B746" s="68">
        <v>45202</v>
      </c>
      <c r="C746" s="73">
        <v>0.47083333333333338</v>
      </c>
      <c r="D746" s="66" t="s">
        <v>3162</v>
      </c>
      <c r="E746" s="67" t="s">
        <v>3163</v>
      </c>
      <c r="F746" s="66">
        <v>8</v>
      </c>
      <c r="G746" s="66" t="s">
        <v>3367</v>
      </c>
      <c r="H746" s="68">
        <v>45223</v>
      </c>
      <c r="I746" s="68" t="s">
        <v>73</v>
      </c>
      <c r="J746" s="68" t="s">
        <v>2951</v>
      </c>
      <c r="K746" s="66" t="s">
        <v>1346</v>
      </c>
      <c r="L746" s="66" t="s">
        <v>791</v>
      </c>
      <c r="M746" s="66" t="s">
        <v>887</v>
      </c>
      <c r="N746" s="66" t="s">
        <v>3607</v>
      </c>
      <c r="O746" s="81" t="str">
        <f t="shared" ca="1" si="39"/>
        <v>SI</v>
      </c>
      <c r="P746" s="81" t="str">
        <f t="shared" si="40"/>
        <v>DIANOSOL</v>
      </c>
      <c r="Q746" s="66" t="s">
        <v>905</v>
      </c>
      <c r="R746" s="66" t="str">
        <f>VLOOKUP($Q746,Resultados!$A$1:$B$49,2,FALSE)</f>
        <v>Juicio Abreviado</v>
      </c>
      <c r="S746" s="66" t="s">
        <v>2256</v>
      </c>
      <c r="T746" s="84" t="str">
        <f t="shared" si="41"/>
        <v>NO</v>
      </c>
      <c r="U746" s="84"/>
      <c r="V746" s="81"/>
      <c r="W746" s="66" t="s">
        <v>1499</v>
      </c>
      <c r="X746" s="66"/>
      <c r="Y746" s="66"/>
      <c r="Z746" s="121" t="s">
        <v>748</v>
      </c>
      <c r="AA746" s="336" t="s">
        <v>2852</v>
      </c>
      <c r="AB746" s="121" t="s">
        <v>1173</v>
      </c>
      <c r="AC746" s="370"/>
    </row>
    <row r="747" spans="1:29" ht="39.950000000000003" customHeight="1" x14ac:dyDescent="0.2">
      <c r="A747" s="66">
        <v>749</v>
      </c>
      <c r="B747" s="68">
        <v>45202</v>
      </c>
      <c r="C747" s="73">
        <v>0.46249999999999997</v>
      </c>
      <c r="D747" s="66" t="s">
        <v>3164</v>
      </c>
      <c r="E747" s="67" t="s">
        <v>3165</v>
      </c>
      <c r="F747" s="66">
        <v>8</v>
      </c>
      <c r="G747" s="66" t="s">
        <v>1441</v>
      </c>
      <c r="H747" s="68">
        <v>45219</v>
      </c>
      <c r="I747" s="68" t="s">
        <v>1086</v>
      </c>
      <c r="J747" s="68" t="s">
        <v>1225</v>
      </c>
      <c r="K747" s="66">
        <f>IFERROR(VLOOKUP(J747,Jueces!$A$1:$B$11,2,FALSE),"")</f>
        <v>6</v>
      </c>
      <c r="L747" s="66" t="s">
        <v>2090</v>
      </c>
      <c r="M747" s="66" t="s">
        <v>711</v>
      </c>
      <c r="N747" s="66" t="s">
        <v>3539</v>
      </c>
      <c r="O747" s="81" t="str">
        <f t="shared" ca="1" si="39"/>
        <v>SI</v>
      </c>
      <c r="P747" s="81" t="str">
        <f t="shared" si="40"/>
        <v>DIANOSOL</v>
      </c>
      <c r="Q747" s="66" t="s">
        <v>911</v>
      </c>
      <c r="R747" s="66" t="str">
        <f>VLOOKUP($Q747,Resultados!$A$1:$B$49,2,FALSE)</f>
        <v>Suspendida</v>
      </c>
      <c r="S747" s="66" t="s">
        <v>1008</v>
      </c>
      <c r="T747" s="84" t="str">
        <f t="shared" si="41"/>
        <v>NO</v>
      </c>
      <c r="U747" s="84"/>
      <c r="V747" s="81"/>
      <c r="W747" s="66" t="s">
        <v>2076</v>
      </c>
      <c r="X747" s="66"/>
      <c r="Y747" s="66"/>
      <c r="Z747" s="121" t="s">
        <v>748</v>
      </c>
      <c r="AA747" s="336" t="s">
        <v>1171</v>
      </c>
      <c r="AB747" s="121" t="s">
        <v>1173</v>
      </c>
      <c r="AC747" s="370"/>
    </row>
    <row r="748" spans="1:29" ht="39.950000000000003" customHeight="1" x14ac:dyDescent="0.2">
      <c r="A748" s="66">
        <v>750</v>
      </c>
      <c r="B748" s="68">
        <v>45202</v>
      </c>
      <c r="C748" s="73">
        <v>0.45208333333333334</v>
      </c>
      <c r="D748" s="66" t="s">
        <v>3166</v>
      </c>
      <c r="E748" s="67" t="s">
        <v>3206</v>
      </c>
      <c r="F748" s="66">
        <v>2</v>
      </c>
      <c r="G748" s="66" t="s">
        <v>2774</v>
      </c>
      <c r="H748" s="68">
        <v>45216</v>
      </c>
      <c r="I748" s="68" t="s">
        <v>73</v>
      </c>
      <c r="J748" s="68" t="s">
        <v>2951</v>
      </c>
      <c r="K748" s="66" t="s">
        <v>1925</v>
      </c>
      <c r="L748" s="66" t="s">
        <v>809</v>
      </c>
      <c r="M748" s="66" t="s">
        <v>692</v>
      </c>
      <c r="N748" s="66" t="s">
        <v>577</v>
      </c>
      <c r="O748" s="66" t="str">
        <f t="shared" ref="O748:O811" ca="1" si="42">IF(H748&lt;&gt;"",IF(H748&lt;=TODAY(),"SI","NO"),"LIMBO")</f>
        <v>SI</v>
      </c>
      <c r="P748" s="66" t="str">
        <f t="shared" si="40"/>
        <v>DIANOSOL</v>
      </c>
      <c r="Q748" s="66" t="s">
        <v>151</v>
      </c>
      <c r="R748" s="66" t="str">
        <f>VLOOKUP($Q748,Resultados!$A$1:$B$49,2,FALSE)</f>
        <v>Prisión Preventiva</v>
      </c>
      <c r="S748" s="73">
        <v>0.34513888888888888</v>
      </c>
      <c r="T748" s="75" t="str">
        <f t="shared" si="41"/>
        <v>NO</v>
      </c>
      <c r="U748" s="75"/>
      <c r="V748" s="66"/>
      <c r="W748" s="66" t="s">
        <v>3134</v>
      </c>
      <c r="X748" s="66"/>
      <c r="Y748" s="66"/>
      <c r="Z748" s="336" t="s">
        <v>2867</v>
      </c>
      <c r="AA748" s="336" t="s">
        <v>1169</v>
      </c>
      <c r="AB748" s="336" t="s">
        <v>1174</v>
      </c>
      <c r="AC748" s="366"/>
    </row>
    <row r="749" spans="1:29" ht="39.950000000000003" customHeight="1" x14ac:dyDescent="0.2">
      <c r="A749" s="66">
        <v>751</v>
      </c>
      <c r="B749" s="68">
        <v>45202</v>
      </c>
      <c r="C749" s="73">
        <v>0.44861111111111113</v>
      </c>
      <c r="D749" s="66" t="s">
        <v>3167</v>
      </c>
      <c r="E749" s="67" t="s">
        <v>3207</v>
      </c>
      <c r="F749" s="66">
        <v>2</v>
      </c>
      <c r="G749" s="66" t="s">
        <v>1443</v>
      </c>
      <c r="H749" s="68">
        <v>45210</v>
      </c>
      <c r="I749" s="68" t="s">
        <v>1086</v>
      </c>
      <c r="J749" s="68" t="s">
        <v>1225</v>
      </c>
      <c r="K749" s="66">
        <f>IFERROR(VLOOKUP(J749,Jueces!$A$1:$B$11,2,FALSE),"")</f>
        <v>6</v>
      </c>
      <c r="L749" s="66" t="s">
        <v>791</v>
      </c>
      <c r="M749" s="66" t="s">
        <v>692</v>
      </c>
      <c r="N749" s="66" t="s">
        <v>3362</v>
      </c>
      <c r="O749" s="81" t="str">
        <f t="shared" ca="1" si="42"/>
        <v>SI</v>
      </c>
      <c r="P749" s="81" t="str">
        <f t="shared" si="40"/>
        <v>DIANOSOL</v>
      </c>
      <c r="Q749" s="66" t="s">
        <v>151</v>
      </c>
      <c r="R749" s="66" t="str">
        <f>VLOOKUP($Q749,Resultados!$A$1:$B$49,2,FALSE)</f>
        <v>Prisión Preventiva</v>
      </c>
      <c r="S749" s="66" t="s">
        <v>1065</v>
      </c>
      <c r="T749" s="84" t="str">
        <f t="shared" si="41"/>
        <v>NO</v>
      </c>
      <c r="U749" s="84"/>
      <c r="V749" s="81"/>
      <c r="W749" s="66" t="s">
        <v>1125</v>
      </c>
      <c r="X749" s="66"/>
      <c r="Y749" s="66"/>
      <c r="Z749" s="121" t="s">
        <v>748</v>
      </c>
      <c r="AA749" s="336" t="s">
        <v>1171</v>
      </c>
      <c r="AB749" s="121" t="s">
        <v>1174</v>
      </c>
      <c r="AC749" s="366"/>
    </row>
    <row r="750" spans="1:29" ht="39.950000000000003" customHeight="1" x14ac:dyDescent="0.2">
      <c r="A750" s="66">
        <v>752</v>
      </c>
      <c r="B750" s="68">
        <v>45202</v>
      </c>
      <c r="C750" s="73">
        <v>0.47500000000000003</v>
      </c>
      <c r="D750" s="66" t="s">
        <v>3168</v>
      </c>
      <c r="E750" s="67" t="s">
        <v>3169</v>
      </c>
      <c r="F750" s="66">
        <v>1</v>
      </c>
      <c r="G750" s="66" t="s">
        <v>2788</v>
      </c>
      <c r="H750" s="68">
        <v>45211</v>
      </c>
      <c r="I750" s="68" t="s">
        <v>73</v>
      </c>
      <c r="J750" s="68" t="s">
        <v>1732</v>
      </c>
      <c r="K750" s="66" t="s">
        <v>1925</v>
      </c>
      <c r="L750" s="66" t="s">
        <v>801</v>
      </c>
      <c r="M750" s="66" t="s">
        <v>711</v>
      </c>
      <c r="N750" s="66" t="s">
        <v>3403</v>
      </c>
      <c r="O750" s="66" t="str">
        <f t="shared" ca="1" si="42"/>
        <v>SI</v>
      </c>
      <c r="P750" s="66" t="str">
        <f t="shared" si="40"/>
        <v>DIANOSOL</v>
      </c>
      <c r="Q750" s="66" t="s">
        <v>905</v>
      </c>
      <c r="R750" s="66" t="str">
        <f>VLOOKUP($Q750,Resultados!$A$1:$B$49,2,FALSE)</f>
        <v>Juicio Abreviado</v>
      </c>
      <c r="S750" s="66" t="s">
        <v>1587</v>
      </c>
      <c r="T750" s="75" t="str">
        <f t="shared" si="41"/>
        <v>NO</v>
      </c>
      <c r="U750" s="75"/>
      <c r="V750" s="66"/>
      <c r="W750" s="66" t="s">
        <v>1009</v>
      </c>
      <c r="X750" s="66" t="s">
        <v>2571</v>
      </c>
      <c r="Y750" s="66"/>
      <c r="Z750" s="336" t="s">
        <v>2867</v>
      </c>
      <c r="AA750" s="336" t="s">
        <v>1171</v>
      </c>
      <c r="AB750" s="121" t="s">
        <v>1175</v>
      </c>
      <c r="AC750" s="366"/>
    </row>
    <row r="751" spans="1:29" ht="39.950000000000003" customHeight="1" x14ac:dyDescent="0.2">
      <c r="A751" s="66">
        <v>753</v>
      </c>
      <c r="B751" s="68">
        <v>45202</v>
      </c>
      <c r="C751" s="73">
        <v>0.47638888888888892</v>
      </c>
      <c r="D751" s="66" t="s">
        <v>3170</v>
      </c>
      <c r="E751" s="67" t="s">
        <v>3330</v>
      </c>
      <c r="F751" s="66">
        <v>1</v>
      </c>
      <c r="G751" s="66" t="s">
        <v>568</v>
      </c>
      <c r="H751" s="68">
        <v>45222</v>
      </c>
      <c r="I751" s="68" t="s">
        <v>989</v>
      </c>
      <c r="J751" s="68" t="s">
        <v>1221</v>
      </c>
      <c r="K751" s="66" t="s">
        <v>1925</v>
      </c>
      <c r="L751" s="66" t="s">
        <v>812</v>
      </c>
      <c r="M751" s="66" t="s">
        <v>712</v>
      </c>
      <c r="N751" s="66" t="s">
        <v>3584</v>
      </c>
      <c r="O751" s="66" t="str">
        <f t="shared" ca="1" si="42"/>
        <v>SI</v>
      </c>
      <c r="P751" s="66" t="str">
        <f t="shared" si="40"/>
        <v>DIANOSOL</v>
      </c>
      <c r="Q751" s="66" t="s">
        <v>904</v>
      </c>
      <c r="R751" s="66" t="str">
        <f>VLOOKUP($Q751,Resultados!$A$1:$B$49,2,FALSE)</f>
        <v>Juicio Abreviado</v>
      </c>
      <c r="S751" s="66" t="s">
        <v>3585</v>
      </c>
      <c r="T751" s="75" t="str">
        <f t="shared" si="41"/>
        <v>NO</v>
      </c>
      <c r="U751" s="75"/>
      <c r="V751" s="66"/>
      <c r="W751" s="66" t="s">
        <v>77</v>
      </c>
      <c r="X751" s="66" t="s">
        <v>3586</v>
      </c>
      <c r="Y751" s="66"/>
      <c r="Z751" s="121" t="s">
        <v>3483</v>
      </c>
      <c r="AA751" s="336" t="s">
        <v>1169</v>
      </c>
      <c r="AB751" s="121" t="s">
        <v>1177</v>
      </c>
      <c r="AC751" s="370"/>
    </row>
    <row r="752" spans="1:29" ht="39.950000000000003" customHeight="1" x14ac:dyDescent="0.2">
      <c r="A752" s="66">
        <v>754</v>
      </c>
      <c r="B752" s="68">
        <v>45202</v>
      </c>
      <c r="C752" s="73">
        <v>0.53194444444444444</v>
      </c>
      <c r="D752" s="66" t="s">
        <v>3171</v>
      </c>
      <c r="E752" s="67" t="s">
        <v>3172</v>
      </c>
      <c r="F752" s="66">
        <v>1</v>
      </c>
      <c r="G752" s="66" t="s">
        <v>1442</v>
      </c>
      <c r="H752" s="68">
        <v>45222</v>
      </c>
      <c r="I752" s="68" t="s">
        <v>73</v>
      </c>
      <c r="J752" s="68" t="s">
        <v>2951</v>
      </c>
      <c r="K752" s="66" t="s">
        <v>1925</v>
      </c>
      <c r="L752" s="66" t="s">
        <v>814</v>
      </c>
      <c r="M752" s="66" t="s">
        <v>711</v>
      </c>
      <c r="N752" s="66" t="s">
        <v>3574</v>
      </c>
      <c r="O752" s="66" t="str">
        <f t="shared" ca="1" si="42"/>
        <v>SI</v>
      </c>
      <c r="P752" s="66" t="str">
        <f t="shared" si="40"/>
        <v>DIANOSOL</v>
      </c>
      <c r="Q752" s="66" t="s">
        <v>151</v>
      </c>
      <c r="R752" s="66" t="str">
        <f>VLOOKUP($Q752,Resultados!$A$1:$B$49,2,FALSE)</f>
        <v>Prisión Preventiva</v>
      </c>
      <c r="S752" s="66" t="s">
        <v>1292</v>
      </c>
      <c r="T752" s="75" t="str">
        <f t="shared" si="41"/>
        <v>SI</v>
      </c>
      <c r="U752" s="75"/>
      <c r="V752" s="66"/>
      <c r="W752" s="66" t="s">
        <v>1252</v>
      </c>
      <c r="X752" s="66" t="s">
        <v>3575</v>
      </c>
      <c r="Y752" s="66"/>
      <c r="Z752" s="121" t="s">
        <v>748</v>
      </c>
      <c r="AA752" s="336" t="s">
        <v>1171</v>
      </c>
      <c r="AB752" s="121" t="s">
        <v>1177</v>
      </c>
      <c r="AC752" s="370"/>
    </row>
    <row r="753" spans="1:29" ht="39.950000000000003" customHeight="1" x14ac:dyDescent="0.2">
      <c r="A753" s="66">
        <v>755</v>
      </c>
      <c r="B753" s="68">
        <v>45202</v>
      </c>
      <c r="C753" s="73">
        <v>0.54513888888888895</v>
      </c>
      <c r="D753" s="66" t="s">
        <v>3173</v>
      </c>
      <c r="E753" s="67" t="s">
        <v>3213</v>
      </c>
      <c r="F753" s="66">
        <v>8</v>
      </c>
      <c r="G753" s="66" t="s">
        <v>3366</v>
      </c>
      <c r="H753" s="68">
        <v>45219</v>
      </c>
      <c r="I753" s="68" t="s">
        <v>73</v>
      </c>
      <c r="J753" s="68" t="s">
        <v>2954</v>
      </c>
      <c r="K753" s="66" t="s">
        <v>2343</v>
      </c>
      <c r="L753" s="66" t="s">
        <v>789</v>
      </c>
      <c r="M753" s="66" t="s">
        <v>1087</v>
      </c>
      <c r="N753" s="66" t="s">
        <v>3541</v>
      </c>
      <c r="O753" s="81" t="str">
        <f t="shared" ca="1" si="42"/>
        <v>SI</v>
      </c>
      <c r="P753" s="81" t="str">
        <f t="shared" si="40"/>
        <v>DIANOSOL</v>
      </c>
      <c r="Q753" s="66" t="s">
        <v>899</v>
      </c>
      <c r="R753" s="66" t="str">
        <f>VLOOKUP($Q753,Resultados!$A$1:$B$49,2,FALSE)</f>
        <v>Libertad</v>
      </c>
      <c r="S753" s="66" t="s">
        <v>1129</v>
      </c>
      <c r="T753" s="84" t="str">
        <f t="shared" si="41"/>
        <v>NO</v>
      </c>
      <c r="U753" s="84"/>
      <c r="V753" s="81"/>
      <c r="W753" s="66" t="s">
        <v>1564</v>
      </c>
      <c r="X753" s="66" t="s">
        <v>3542</v>
      </c>
      <c r="Y753" s="66"/>
      <c r="Z753" s="121" t="s">
        <v>3416</v>
      </c>
      <c r="AA753" s="336" t="s">
        <v>2852</v>
      </c>
      <c r="AB753" s="121" t="s">
        <v>3365</v>
      </c>
      <c r="AC753" s="370"/>
    </row>
    <row r="754" spans="1:29" ht="39.950000000000003" customHeight="1" x14ac:dyDescent="0.2">
      <c r="A754" s="66">
        <v>756</v>
      </c>
      <c r="B754" s="68">
        <v>45202</v>
      </c>
      <c r="C754" s="73">
        <v>0.54791666666666672</v>
      </c>
      <c r="D754" s="66" t="s">
        <v>3174</v>
      </c>
      <c r="E754" s="67" t="s">
        <v>3242</v>
      </c>
      <c r="F754" s="66">
        <v>8</v>
      </c>
      <c r="G754" s="66" t="s">
        <v>2774</v>
      </c>
      <c r="H754" s="68">
        <v>45208</v>
      </c>
      <c r="I754" s="68" t="s">
        <v>1086</v>
      </c>
      <c r="J754" s="68" t="s">
        <v>2954</v>
      </c>
      <c r="K754" s="66" t="s">
        <v>2394</v>
      </c>
      <c r="L754" s="66" t="s">
        <v>798</v>
      </c>
      <c r="M754" s="66" t="s">
        <v>1031</v>
      </c>
      <c r="N754" s="66" t="s">
        <v>3277</v>
      </c>
      <c r="O754" s="66" t="str">
        <f t="shared" ca="1" si="42"/>
        <v>SI</v>
      </c>
      <c r="P754" s="66" t="str">
        <f t="shared" si="40"/>
        <v>DIANOSOL</v>
      </c>
      <c r="Q754" s="66" t="s">
        <v>905</v>
      </c>
      <c r="R754" s="66" t="str">
        <f>VLOOKUP($Q754,Resultados!$A$1:$B$49,2,FALSE)</f>
        <v>Juicio Abreviado</v>
      </c>
      <c r="S754" s="66" t="s">
        <v>3278</v>
      </c>
      <c r="T754" s="75" t="str">
        <f t="shared" si="41"/>
        <v>NO</v>
      </c>
      <c r="U754" s="75"/>
      <c r="V754" s="66"/>
      <c r="W754" s="66" t="s">
        <v>3279</v>
      </c>
      <c r="X754" s="66" t="s">
        <v>3280</v>
      </c>
      <c r="Y754" s="66"/>
      <c r="Z754" s="121" t="s">
        <v>748</v>
      </c>
      <c r="AA754" s="336" t="s">
        <v>2852</v>
      </c>
      <c r="AB754" s="121" t="s">
        <v>1175</v>
      </c>
      <c r="AC754" s="366"/>
    </row>
    <row r="755" spans="1:29" ht="39.950000000000003" customHeight="1" x14ac:dyDescent="0.2">
      <c r="A755" s="66">
        <v>757</v>
      </c>
      <c r="B755" s="68">
        <v>45202</v>
      </c>
      <c r="C755" s="73">
        <v>0.55694444444444446</v>
      </c>
      <c r="D755" s="66" t="s">
        <v>3175</v>
      </c>
      <c r="E755" s="67" t="s">
        <v>3208</v>
      </c>
      <c r="F755" s="66">
        <v>1</v>
      </c>
      <c r="G755" s="66" t="s">
        <v>2773</v>
      </c>
      <c r="H755" s="68">
        <v>45217</v>
      </c>
      <c r="I755" s="68" t="s">
        <v>3212</v>
      </c>
      <c r="J755" s="68" t="s">
        <v>31</v>
      </c>
      <c r="K755" s="66">
        <f>IFERROR(VLOOKUP(J755,Jueces!$A$1:$B$11,2,FALSE),"")</f>
        <v>2</v>
      </c>
      <c r="L755" s="66" t="s">
        <v>806</v>
      </c>
      <c r="M755" s="66" t="s">
        <v>712</v>
      </c>
      <c r="N755" s="66" t="s">
        <v>3490</v>
      </c>
      <c r="O755" s="81" t="str">
        <f t="shared" ca="1" si="42"/>
        <v>SI</v>
      </c>
      <c r="P755" s="81" t="str">
        <f t="shared" si="40"/>
        <v>DIANOSOL</v>
      </c>
      <c r="Q755" s="66" t="s">
        <v>904</v>
      </c>
      <c r="R755" s="66" t="str">
        <f>VLOOKUP($Q755,Resultados!$A$1:$B$49,2,FALSE)</f>
        <v>Juicio Abreviado</v>
      </c>
      <c r="S755" s="66" t="s">
        <v>3491</v>
      </c>
      <c r="T755" s="84" t="str">
        <f t="shared" si="41"/>
        <v>NO</v>
      </c>
      <c r="U755" s="84"/>
      <c r="V755" s="81"/>
      <c r="W755" s="66" t="s">
        <v>3492</v>
      </c>
      <c r="X755" s="66" t="s">
        <v>3493</v>
      </c>
      <c r="Y755" s="66"/>
      <c r="Z755" s="369" t="s">
        <v>3416</v>
      </c>
      <c r="AA755" s="369" t="s">
        <v>2852</v>
      </c>
      <c r="AB755" s="369" t="s">
        <v>1177</v>
      </c>
      <c r="AC755" s="370"/>
    </row>
    <row r="756" spans="1:29" ht="39.950000000000003" customHeight="1" x14ac:dyDescent="0.2">
      <c r="A756" s="211">
        <v>758</v>
      </c>
      <c r="B756" s="317">
        <v>45202</v>
      </c>
      <c r="C756" s="318">
        <v>0.33333333333333331</v>
      </c>
      <c r="D756" s="211" t="s">
        <v>2971</v>
      </c>
      <c r="E756" s="212" t="s">
        <v>3176</v>
      </c>
      <c r="F756" s="211">
        <v>6</v>
      </c>
      <c r="G756" s="211" t="s">
        <v>43</v>
      </c>
      <c r="H756" s="317">
        <v>45231</v>
      </c>
      <c r="I756" s="317" t="s">
        <v>73</v>
      </c>
      <c r="J756" s="317" t="s">
        <v>1732</v>
      </c>
      <c r="K756" s="211" t="s">
        <v>1925</v>
      </c>
      <c r="L756" s="211" t="s">
        <v>791</v>
      </c>
      <c r="M756" s="211" t="s">
        <v>725</v>
      </c>
      <c r="N756" s="211" t="s">
        <v>3177</v>
      </c>
      <c r="O756" s="211" t="str">
        <f t="shared" ca="1" si="42"/>
        <v>NO</v>
      </c>
      <c r="P756" s="211" t="str">
        <f t="shared" si="40"/>
        <v>DIANOSOL</v>
      </c>
      <c r="Q756" s="211" t="s">
        <v>951</v>
      </c>
      <c r="R756" s="211" t="str">
        <f>VLOOKUP($Q756,Resultados!$A$1:$B$49,2,FALSE)</f>
        <v xml:space="preserve"> _</v>
      </c>
      <c r="S756" s="211"/>
      <c r="T756" s="276" t="str">
        <f t="shared" si="41"/>
        <v>NO</v>
      </c>
      <c r="U756" s="276"/>
      <c r="V756" s="211"/>
      <c r="W756" s="211"/>
      <c r="X756" s="211"/>
      <c r="Y756" s="211"/>
      <c r="Z756" s="211"/>
      <c r="AA756" s="334" t="s">
        <v>3428</v>
      </c>
      <c r="AB756" s="211"/>
      <c r="AC756" s="366"/>
    </row>
    <row r="757" spans="1:29" ht="39.950000000000003" customHeight="1" x14ac:dyDescent="0.2">
      <c r="A757" s="211">
        <v>759</v>
      </c>
      <c r="B757" s="317"/>
      <c r="C757" s="211"/>
      <c r="D757" s="367" t="s">
        <v>2901</v>
      </c>
      <c r="E757" s="212" t="s">
        <v>2902</v>
      </c>
      <c r="F757" s="211">
        <v>1</v>
      </c>
      <c r="G757" s="211" t="s">
        <v>2774</v>
      </c>
      <c r="H757" s="317">
        <v>45230</v>
      </c>
      <c r="I757" s="317" t="s">
        <v>73</v>
      </c>
      <c r="J757" s="317" t="s">
        <v>33</v>
      </c>
      <c r="K757" s="211">
        <f>IFERROR(VLOOKUP(J757,Jueces!$A$1:$B$11,2,FALSE),"")</f>
        <v>4</v>
      </c>
      <c r="L757" s="211" t="s">
        <v>803</v>
      </c>
      <c r="M757" s="211" t="s">
        <v>1386</v>
      </c>
      <c r="N757" s="211" t="s">
        <v>3177</v>
      </c>
      <c r="O757" s="211" t="str">
        <f t="shared" ca="1" si="42"/>
        <v>NO</v>
      </c>
      <c r="P757" s="211" t="str">
        <f t="shared" si="40"/>
        <v>DIANOSOL</v>
      </c>
      <c r="Q757" s="211" t="s">
        <v>951</v>
      </c>
      <c r="R757" s="211" t="str">
        <f>VLOOKUP($Q757,Resultados!$A$1:$B$49,2,FALSE)</f>
        <v xml:space="preserve"> _</v>
      </c>
      <c r="S757" s="211"/>
      <c r="T757" s="276" t="str">
        <f t="shared" si="41"/>
        <v>NO</v>
      </c>
      <c r="U757" s="276"/>
      <c r="V757" s="211"/>
      <c r="W757" s="211"/>
      <c r="X757" s="211"/>
      <c r="Y757" s="211"/>
      <c r="Z757" s="211"/>
      <c r="AA757" s="334" t="s">
        <v>1171</v>
      </c>
      <c r="AB757" s="211"/>
      <c r="AC757" s="366" t="s">
        <v>1801</v>
      </c>
    </row>
    <row r="758" spans="1:29" ht="39.950000000000003" customHeight="1" x14ac:dyDescent="0.2">
      <c r="A758" s="211">
        <v>760</v>
      </c>
      <c r="B758" s="317">
        <v>45206</v>
      </c>
      <c r="C758" s="318">
        <v>0.47013888888888888</v>
      </c>
      <c r="D758" s="357" t="s">
        <v>2495</v>
      </c>
      <c r="E758" s="212" t="s">
        <v>3219</v>
      </c>
      <c r="F758" s="211">
        <v>4</v>
      </c>
      <c r="G758" s="211" t="s">
        <v>568</v>
      </c>
      <c r="H758" s="317">
        <v>45233</v>
      </c>
      <c r="I758" s="317" t="s">
        <v>73</v>
      </c>
      <c r="J758" s="317" t="s">
        <v>31</v>
      </c>
      <c r="K758" s="211">
        <f>IFERROR(VLOOKUP(J758,Jueces!$A$1:$B$11,2,FALSE),"")</f>
        <v>2</v>
      </c>
      <c r="L758" s="211" t="s">
        <v>798</v>
      </c>
      <c r="M758" s="211" t="s">
        <v>695</v>
      </c>
      <c r="N758" s="359" t="s">
        <v>3415</v>
      </c>
      <c r="O758" s="211" t="str">
        <f t="shared" ca="1" si="42"/>
        <v>NO</v>
      </c>
      <c r="P758" s="211" t="str">
        <f t="shared" si="40"/>
        <v>DIANOSOL</v>
      </c>
      <c r="Q758" s="211" t="s">
        <v>951</v>
      </c>
      <c r="R758" s="211" t="str">
        <f>VLOOKUP($Q758,Resultados!$A$1:$B$49,2,FALSE)</f>
        <v xml:space="preserve"> _</v>
      </c>
      <c r="S758" s="211"/>
      <c r="T758" s="276" t="str">
        <f t="shared" si="41"/>
        <v>NO</v>
      </c>
      <c r="U758" s="276"/>
      <c r="V758" s="211"/>
      <c r="W758" s="211"/>
      <c r="X758" s="211"/>
      <c r="Y758" s="211"/>
      <c r="Z758" s="211"/>
      <c r="AA758" s="358" t="s">
        <v>1169</v>
      </c>
      <c r="AB758" s="358" t="s">
        <v>1173</v>
      </c>
      <c r="AC758" s="366"/>
    </row>
    <row r="759" spans="1:29" ht="39.950000000000003" customHeight="1" x14ac:dyDescent="0.2">
      <c r="A759" s="66">
        <v>761</v>
      </c>
      <c r="B759" s="68">
        <v>45204</v>
      </c>
      <c r="C759" s="73">
        <v>0.37291666666666662</v>
      </c>
      <c r="D759" s="367" t="s">
        <v>3221</v>
      </c>
      <c r="E759" s="67" t="s">
        <v>3222</v>
      </c>
      <c r="F759" s="66">
        <v>1</v>
      </c>
      <c r="G759" s="66" t="s">
        <v>2838</v>
      </c>
      <c r="H759" s="68">
        <v>45219</v>
      </c>
      <c r="I759" s="68" t="s">
        <v>1210</v>
      </c>
      <c r="J759" s="68" t="s">
        <v>33</v>
      </c>
      <c r="K759" s="66" t="s">
        <v>3307</v>
      </c>
      <c r="L759" s="66" t="s">
        <v>807</v>
      </c>
      <c r="M759" s="66" t="s">
        <v>712</v>
      </c>
      <c r="N759" s="66" t="s">
        <v>3548</v>
      </c>
      <c r="O759" s="81" t="str">
        <f t="shared" ca="1" si="42"/>
        <v>SI</v>
      </c>
      <c r="P759" s="81" t="str">
        <f t="shared" si="40"/>
        <v>DIANOSOL</v>
      </c>
      <c r="Q759" s="66" t="s">
        <v>911</v>
      </c>
      <c r="R759" s="66" t="str">
        <f>VLOOKUP($Q759,Resultados!$A$1:$B$49,2,FALSE)</f>
        <v>Suspendida</v>
      </c>
      <c r="S759" s="66"/>
      <c r="T759" s="84" t="str">
        <f t="shared" si="41"/>
        <v>NO</v>
      </c>
      <c r="U759" s="84"/>
      <c r="V759" s="81"/>
      <c r="W759" s="66"/>
      <c r="X759" s="66" t="s">
        <v>3549</v>
      </c>
      <c r="Y759" s="66"/>
      <c r="Z759" s="121" t="s">
        <v>3416</v>
      </c>
      <c r="AA759" s="121" t="s">
        <v>3348</v>
      </c>
      <c r="AB759" s="121" t="s">
        <v>1175</v>
      </c>
      <c r="AC759" s="370" t="s">
        <v>1801</v>
      </c>
    </row>
    <row r="760" spans="1:29" ht="39.950000000000003" customHeight="1" x14ac:dyDescent="0.2">
      <c r="A760" s="66">
        <v>762</v>
      </c>
      <c r="B760" s="68">
        <v>45204</v>
      </c>
      <c r="C760" s="73">
        <v>0.36944444444444446</v>
      </c>
      <c r="D760" s="66" t="s">
        <v>2477</v>
      </c>
      <c r="E760" s="67" t="s">
        <v>3427</v>
      </c>
      <c r="F760" s="66">
        <v>7</v>
      </c>
      <c r="G760" s="66" t="s">
        <v>283</v>
      </c>
      <c r="H760" s="68">
        <v>45217</v>
      </c>
      <c r="I760" s="68" t="s">
        <v>73</v>
      </c>
      <c r="J760" s="68" t="s">
        <v>1221</v>
      </c>
      <c r="K760" s="66" t="s">
        <v>2343</v>
      </c>
      <c r="L760" s="66" t="s">
        <v>800</v>
      </c>
      <c r="M760" s="66" t="s">
        <v>725</v>
      </c>
      <c r="N760" s="66" t="s">
        <v>3488</v>
      </c>
      <c r="O760" s="66" t="str">
        <f t="shared" ca="1" si="42"/>
        <v>SI</v>
      </c>
      <c r="P760" s="66" t="str">
        <f t="shared" si="40"/>
        <v>DIANOSOL</v>
      </c>
      <c r="Q760" s="66" t="s">
        <v>904</v>
      </c>
      <c r="R760" s="66" t="s">
        <v>100</v>
      </c>
      <c r="S760" s="66" t="s">
        <v>1065</v>
      </c>
      <c r="T760" s="75" t="str">
        <f t="shared" si="41"/>
        <v>NO</v>
      </c>
      <c r="U760" s="75"/>
      <c r="V760" s="66"/>
      <c r="W760" s="66" t="s">
        <v>1130</v>
      </c>
      <c r="X760" s="66" t="s">
        <v>2571</v>
      </c>
      <c r="Y760" s="66"/>
      <c r="Z760" s="369" t="s">
        <v>2867</v>
      </c>
      <c r="AA760" s="369" t="s">
        <v>1171</v>
      </c>
      <c r="AB760" s="369" t="s">
        <v>1173</v>
      </c>
      <c r="AC760" s="370"/>
    </row>
    <row r="761" spans="1:29" ht="39.950000000000003" customHeight="1" x14ac:dyDescent="0.2">
      <c r="A761" s="66">
        <v>763</v>
      </c>
      <c r="B761" s="68">
        <v>45204</v>
      </c>
      <c r="C761" s="73">
        <v>0.4201388888888889</v>
      </c>
      <c r="D761" s="66" t="s">
        <v>3223</v>
      </c>
      <c r="E761" s="67" t="s">
        <v>3505</v>
      </c>
      <c r="F761" s="66">
        <v>1</v>
      </c>
      <c r="G761" s="66" t="s">
        <v>283</v>
      </c>
      <c r="H761" s="68">
        <v>45219</v>
      </c>
      <c r="I761" s="68" t="s">
        <v>73</v>
      </c>
      <c r="J761" s="68" t="s">
        <v>31</v>
      </c>
      <c r="K761" s="66">
        <f>IFERROR(VLOOKUP(J761,Jueces!$A$1:$B$11,2,FALSE),"")</f>
        <v>2</v>
      </c>
      <c r="L761" s="66" t="s">
        <v>800</v>
      </c>
      <c r="M761" s="66" t="s">
        <v>712</v>
      </c>
      <c r="N761" s="66" t="s">
        <v>3546</v>
      </c>
      <c r="O761" s="81" t="str">
        <f t="shared" ca="1" si="42"/>
        <v>SI</v>
      </c>
      <c r="P761" s="81" t="str">
        <f t="shared" si="40"/>
        <v>DIANOSOL</v>
      </c>
      <c r="Q761" s="66" t="s">
        <v>905</v>
      </c>
      <c r="R761" s="66" t="str">
        <f>VLOOKUP($Q761,Resultados!$A$1:$B$49,2,FALSE)</f>
        <v>Juicio Abreviado</v>
      </c>
      <c r="S761" s="66" t="s">
        <v>1341</v>
      </c>
      <c r="T761" s="84" t="str">
        <f t="shared" si="41"/>
        <v>NO</v>
      </c>
      <c r="U761" s="84"/>
      <c r="V761" s="81"/>
      <c r="W761" s="66" t="s">
        <v>1236</v>
      </c>
      <c r="X761" s="66" t="s">
        <v>3547</v>
      </c>
      <c r="Y761" s="66"/>
      <c r="Z761" s="121" t="s">
        <v>3483</v>
      </c>
      <c r="AA761" s="336" t="s">
        <v>1171</v>
      </c>
      <c r="AB761" s="121" t="s">
        <v>1175</v>
      </c>
      <c r="AC761" s="370"/>
    </row>
    <row r="762" spans="1:29" ht="39.950000000000003" customHeight="1" x14ac:dyDescent="0.2">
      <c r="A762" s="66">
        <v>764</v>
      </c>
      <c r="B762" s="68">
        <v>45204</v>
      </c>
      <c r="C762" s="73">
        <v>0.51666666666666672</v>
      </c>
      <c r="D762" s="66" t="s">
        <v>3231</v>
      </c>
      <c r="E762" s="67" t="s">
        <v>3232</v>
      </c>
      <c r="F762" s="66">
        <v>2</v>
      </c>
      <c r="G762" s="66" t="s">
        <v>2774</v>
      </c>
      <c r="H762" s="68">
        <v>45217</v>
      </c>
      <c r="I762" s="68" t="s">
        <v>1086</v>
      </c>
      <c r="J762" s="68" t="s">
        <v>1225</v>
      </c>
      <c r="K762" s="66">
        <f>IFERROR(VLOOKUP(J762,Jueces!$A$1:$B$11,2,FALSE),"")</f>
        <v>6</v>
      </c>
      <c r="L762" s="66" t="s">
        <v>809</v>
      </c>
      <c r="M762" s="66" t="s">
        <v>692</v>
      </c>
      <c r="N762" s="66" t="s">
        <v>577</v>
      </c>
      <c r="O762" s="66" t="str">
        <f t="shared" ca="1" si="42"/>
        <v>SI</v>
      </c>
      <c r="P762" s="66" t="str">
        <f t="shared" si="40"/>
        <v>DIANOSOL</v>
      </c>
      <c r="Q762" s="66" t="s">
        <v>151</v>
      </c>
      <c r="R762" s="66" t="str">
        <f>VLOOKUP($Q762,Resultados!$A$1:$B$49,2,FALSE)</f>
        <v>Prisión Preventiva</v>
      </c>
      <c r="S762" s="66" t="s">
        <v>1065</v>
      </c>
      <c r="T762" s="75" t="str">
        <f t="shared" si="41"/>
        <v>NO</v>
      </c>
      <c r="U762" s="75"/>
      <c r="V762" s="66"/>
      <c r="W762" s="66" t="s">
        <v>1168</v>
      </c>
      <c r="X762" s="66"/>
      <c r="Y762" s="66"/>
      <c r="Z762" s="369" t="s">
        <v>770</v>
      </c>
      <c r="AA762" s="369" t="s">
        <v>1171</v>
      </c>
      <c r="AB762" s="369" t="s">
        <v>3365</v>
      </c>
      <c r="AC762" s="370"/>
    </row>
    <row r="763" spans="1:29" ht="39.950000000000003" customHeight="1" x14ac:dyDescent="0.2">
      <c r="A763" s="66">
        <v>765</v>
      </c>
      <c r="B763" s="68">
        <v>45205</v>
      </c>
      <c r="C763" s="73">
        <v>0.48333333333333334</v>
      </c>
      <c r="D763" s="66" t="s">
        <v>3234</v>
      </c>
      <c r="E763" s="67" t="s">
        <v>3250</v>
      </c>
      <c r="F763" s="66">
        <v>2</v>
      </c>
      <c r="G763" s="66" t="s">
        <v>1442</v>
      </c>
      <c r="H763" s="68">
        <v>45216</v>
      </c>
      <c r="I763" s="68" t="s">
        <v>1086</v>
      </c>
      <c r="J763" s="68" t="s">
        <v>31</v>
      </c>
      <c r="K763" s="66">
        <f>IFERROR(VLOOKUP(J763,Jueces!$A$1:$B$11,2,FALSE),"")</f>
        <v>2</v>
      </c>
      <c r="L763" s="66" t="s">
        <v>812</v>
      </c>
      <c r="M763" s="66" t="s">
        <v>692</v>
      </c>
      <c r="N763" s="66" t="s">
        <v>577</v>
      </c>
      <c r="O763" s="66" t="str">
        <f t="shared" ca="1" si="42"/>
        <v>SI</v>
      </c>
      <c r="P763" s="66" t="str">
        <f t="shared" si="40"/>
        <v>DIANOSOL</v>
      </c>
      <c r="Q763" s="66" t="s">
        <v>151</v>
      </c>
      <c r="R763" s="66" t="str">
        <f>VLOOKUP($Q763,Resultados!$A$1:$B$49,2,FALSE)</f>
        <v>Prisión Preventiva</v>
      </c>
      <c r="S763" s="66" t="s">
        <v>1337</v>
      </c>
      <c r="T763" s="75" t="str">
        <f t="shared" si="41"/>
        <v>SI</v>
      </c>
      <c r="U763" s="75"/>
      <c r="V763" s="66"/>
      <c r="W763" s="66" t="s">
        <v>3212</v>
      </c>
      <c r="X763" s="66" t="s">
        <v>2571</v>
      </c>
      <c r="Y763" s="66"/>
      <c r="Z763" s="336" t="s">
        <v>770</v>
      </c>
      <c r="AA763" s="336" t="s">
        <v>2852</v>
      </c>
      <c r="AB763" s="336" t="s">
        <v>3365</v>
      </c>
      <c r="AC763" s="366"/>
    </row>
    <row r="764" spans="1:29" ht="39.950000000000003" customHeight="1" x14ac:dyDescent="0.2">
      <c r="A764" s="81">
        <v>766</v>
      </c>
      <c r="B764" s="83">
        <v>45205</v>
      </c>
      <c r="C764" s="323">
        <v>0.45347222222222222</v>
      </c>
      <c r="D764" s="81" t="s">
        <v>3235</v>
      </c>
      <c r="E764" s="82" t="s">
        <v>3236</v>
      </c>
      <c r="F764" s="81">
        <v>1</v>
      </c>
      <c r="G764" s="81" t="s">
        <v>2788</v>
      </c>
      <c r="H764" s="83">
        <v>45229</v>
      </c>
      <c r="I764" s="83" t="s">
        <v>76</v>
      </c>
      <c r="J764" s="83" t="s">
        <v>1221</v>
      </c>
      <c r="K764" s="81" t="s">
        <v>2343</v>
      </c>
      <c r="L764" s="81" t="s">
        <v>812</v>
      </c>
      <c r="M764" s="81" t="s">
        <v>712</v>
      </c>
      <c r="N764" s="81" t="s">
        <v>3675</v>
      </c>
      <c r="O764" s="81" t="str">
        <f t="shared" ca="1" si="42"/>
        <v>NO</v>
      </c>
      <c r="P764" s="81" t="str">
        <f t="shared" si="40"/>
        <v>DIASOL</v>
      </c>
      <c r="Q764" s="81" t="s">
        <v>951</v>
      </c>
      <c r="R764" s="81" t="str">
        <f>VLOOKUP($Q764,Resultados!$A$1:$B$49,2,FALSE)</f>
        <v xml:space="preserve"> _</v>
      </c>
      <c r="S764" s="81"/>
      <c r="T764" s="84" t="str">
        <f t="shared" si="41"/>
        <v>NO</v>
      </c>
      <c r="U764" s="84"/>
      <c r="V764" s="81"/>
      <c r="W764" s="81"/>
      <c r="X764" s="81"/>
      <c r="Y764" s="81"/>
      <c r="Z764" s="321" t="s">
        <v>2867</v>
      </c>
      <c r="AA764" s="321" t="s">
        <v>3428</v>
      </c>
      <c r="AB764" s="321" t="s">
        <v>1177</v>
      </c>
      <c r="AC764" s="366"/>
    </row>
    <row r="765" spans="1:29" ht="39.950000000000003" customHeight="1" x14ac:dyDescent="0.2">
      <c r="A765" s="66">
        <v>767</v>
      </c>
      <c r="B765" s="68">
        <v>45205</v>
      </c>
      <c r="C765" s="73">
        <v>0.4548611111111111</v>
      </c>
      <c r="D765" s="66" t="s">
        <v>3237</v>
      </c>
      <c r="E765" s="67" t="s">
        <v>3253</v>
      </c>
      <c r="F765" s="66">
        <v>1</v>
      </c>
      <c r="G765" s="66" t="s">
        <v>2774</v>
      </c>
      <c r="H765" s="68">
        <v>45219</v>
      </c>
      <c r="I765" s="68" t="s">
        <v>1086</v>
      </c>
      <c r="J765" s="68" t="s">
        <v>1220</v>
      </c>
      <c r="K765" s="66">
        <f>IFERROR(VLOOKUP(J765,Jueces!$A$1:$B$11,2,FALSE),"")</f>
        <v>1</v>
      </c>
      <c r="L765" s="66" t="s">
        <v>809</v>
      </c>
      <c r="M765" s="66" t="s">
        <v>697</v>
      </c>
      <c r="N765" s="66" t="s">
        <v>577</v>
      </c>
      <c r="O765" s="81" t="str">
        <f t="shared" ca="1" si="42"/>
        <v>SI</v>
      </c>
      <c r="P765" s="81" t="str">
        <f t="shared" si="40"/>
        <v>DIANOSOL</v>
      </c>
      <c r="Q765" s="66" t="s">
        <v>151</v>
      </c>
      <c r="R765" s="66" t="str">
        <f>VLOOKUP($Q765,Resultados!$A$1:$B$49,2,FALSE)</f>
        <v>Prisión Preventiva</v>
      </c>
      <c r="S765" s="66" t="s">
        <v>1231</v>
      </c>
      <c r="T765" s="84" t="str">
        <f t="shared" si="41"/>
        <v>NO</v>
      </c>
      <c r="U765" s="84"/>
      <c r="V765" s="81"/>
      <c r="W765" s="66" t="s">
        <v>2904</v>
      </c>
      <c r="X765" s="66"/>
      <c r="Y765" s="66"/>
      <c r="Z765" s="121" t="s">
        <v>2895</v>
      </c>
      <c r="AA765" s="336" t="s">
        <v>2852</v>
      </c>
      <c r="AB765" s="121" t="s">
        <v>3301</v>
      </c>
      <c r="AC765" s="370"/>
    </row>
    <row r="766" spans="1:29" ht="39.950000000000003" customHeight="1" x14ac:dyDescent="0.2">
      <c r="A766" s="66">
        <v>768</v>
      </c>
      <c r="B766" s="68">
        <v>45203</v>
      </c>
      <c r="C766" s="73">
        <v>0.33333333333333331</v>
      </c>
      <c r="D766" s="66" t="s">
        <v>3178</v>
      </c>
      <c r="E766" s="67" t="s">
        <v>3484</v>
      </c>
      <c r="F766" s="66">
        <v>2</v>
      </c>
      <c r="G766" s="66" t="s">
        <v>283</v>
      </c>
      <c r="H766" s="68">
        <v>45218</v>
      </c>
      <c r="I766" s="68" t="s">
        <v>1210</v>
      </c>
      <c r="J766" s="68" t="s">
        <v>31</v>
      </c>
      <c r="K766" s="66">
        <f>IFERROR(VLOOKUP(J766,Jueces!$A$1:$B$11,2,FALSE),"")</f>
        <v>2</v>
      </c>
      <c r="L766" s="66" t="s">
        <v>789</v>
      </c>
      <c r="M766" s="6" t="s">
        <v>692</v>
      </c>
      <c r="N766" s="66" t="s">
        <v>3519</v>
      </c>
      <c r="O766" s="66" t="str">
        <f t="shared" ca="1" si="42"/>
        <v>SI</v>
      </c>
      <c r="P766" s="66" t="str">
        <f t="shared" si="40"/>
        <v>DIANOSOL</v>
      </c>
      <c r="Q766" s="66" t="s">
        <v>904</v>
      </c>
      <c r="R766" s="66" t="str">
        <f>VLOOKUP($Q766,Resultados!$A$1:$B$49,2,FALSE)</f>
        <v>Juicio Abreviado</v>
      </c>
      <c r="S766" s="66" t="s">
        <v>1802</v>
      </c>
      <c r="T766" s="75" t="str">
        <f t="shared" si="41"/>
        <v>NO</v>
      </c>
      <c r="U766" s="75"/>
      <c r="V766" s="66"/>
      <c r="W766" s="66" t="s">
        <v>547</v>
      </c>
      <c r="X766" s="66" t="s">
        <v>3518</v>
      </c>
      <c r="Y766" s="66"/>
      <c r="Z766" s="121" t="s">
        <v>3416</v>
      </c>
      <c r="AA766" s="336" t="s">
        <v>2852</v>
      </c>
      <c r="AB766" s="121" t="s">
        <v>1173</v>
      </c>
      <c r="AC766" s="370"/>
    </row>
    <row r="767" spans="1:29" ht="39.950000000000003" customHeight="1" x14ac:dyDescent="0.2">
      <c r="A767" s="66">
        <v>769</v>
      </c>
      <c r="B767" s="68">
        <v>45196</v>
      </c>
      <c r="C767" s="73">
        <v>0.4861111111111111</v>
      </c>
      <c r="D767" s="66" t="s">
        <v>3191</v>
      </c>
      <c r="E767" s="67" t="s">
        <v>3192</v>
      </c>
      <c r="F767" s="66">
        <v>8</v>
      </c>
      <c r="G767" s="66" t="s">
        <v>1443</v>
      </c>
      <c r="H767" s="68">
        <v>45217</v>
      </c>
      <c r="I767" s="68" t="s">
        <v>73</v>
      </c>
      <c r="J767" s="68" t="s">
        <v>2951</v>
      </c>
      <c r="K767" s="66" t="s">
        <v>1925</v>
      </c>
      <c r="L767" s="66" t="s">
        <v>2090</v>
      </c>
      <c r="M767" s="66" t="s">
        <v>1087</v>
      </c>
      <c r="N767" s="66" t="s">
        <v>2569</v>
      </c>
      <c r="O767" s="66" t="str">
        <f t="shared" ca="1" si="42"/>
        <v>SI</v>
      </c>
      <c r="P767" s="66" t="str">
        <f t="shared" si="40"/>
        <v>DIANOSOL</v>
      </c>
      <c r="Q767" s="66" t="s">
        <v>899</v>
      </c>
      <c r="R767" s="66" t="s">
        <v>902</v>
      </c>
      <c r="S767" s="66" t="s">
        <v>2421</v>
      </c>
      <c r="T767" s="75" t="str">
        <f t="shared" ref="T767:T798" si="43">IF(G767=$J$1,"SI","NO")</f>
        <v>NO</v>
      </c>
      <c r="U767" s="75"/>
      <c r="V767" s="66"/>
      <c r="W767" s="66" t="s">
        <v>1566</v>
      </c>
      <c r="X767" s="387" t="s">
        <v>3487</v>
      </c>
      <c r="Y767" s="66"/>
      <c r="Z767" s="369" t="s">
        <v>2895</v>
      </c>
      <c r="AA767" s="369" t="s">
        <v>2852</v>
      </c>
      <c r="AB767" s="369" t="s">
        <v>3301</v>
      </c>
      <c r="AC767" s="370"/>
    </row>
    <row r="768" spans="1:29" ht="39.950000000000003" customHeight="1" x14ac:dyDescent="0.2">
      <c r="A768" s="66">
        <v>770</v>
      </c>
      <c r="B768" s="68">
        <v>45203</v>
      </c>
      <c r="C768" s="66" t="s">
        <v>3202</v>
      </c>
      <c r="D768" s="66" t="s">
        <v>3203</v>
      </c>
      <c r="E768" s="67" t="s">
        <v>3252</v>
      </c>
      <c r="F768" s="66">
        <v>2</v>
      </c>
      <c r="G768" s="66" t="s">
        <v>43</v>
      </c>
      <c r="H768" s="68">
        <v>45218</v>
      </c>
      <c r="I768" s="68" t="s">
        <v>1086</v>
      </c>
      <c r="J768" s="68" t="s">
        <v>1221</v>
      </c>
      <c r="K768" s="66" t="s">
        <v>1326</v>
      </c>
      <c r="L768" s="66" t="s">
        <v>809</v>
      </c>
      <c r="M768" s="66" t="s">
        <v>692</v>
      </c>
      <c r="N768" s="66" t="s">
        <v>577</v>
      </c>
      <c r="O768" s="66" t="str">
        <f t="shared" ca="1" si="42"/>
        <v>SI</v>
      </c>
      <c r="P768" s="66" t="str">
        <f t="shared" si="40"/>
        <v>DIANOSOL</v>
      </c>
      <c r="Q768" s="66" t="s">
        <v>151</v>
      </c>
      <c r="R768" s="66" t="str">
        <f>VLOOKUP($Q768,Resultados!$A$1:$B$49,2,FALSE)</f>
        <v>Prisión Preventiva</v>
      </c>
      <c r="S768" s="66" t="s">
        <v>1396</v>
      </c>
      <c r="T768" s="75" t="str">
        <f t="shared" si="43"/>
        <v>NO</v>
      </c>
      <c r="U768" s="75"/>
      <c r="V768" s="66"/>
      <c r="W768" s="66" t="s">
        <v>1132</v>
      </c>
      <c r="X768" s="66" t="s">
        <v>3517</v>
      </c>
      <c r="Y768" s="66"/>
      <c r="Z768" s="121" t="s">
        <v>3416</v>
      </c>
      <c r="AA768" s="336" t="s">
        <v>2852</v>
      </c>
      <c r="AB768" s="121" t="s">
        <v>1177</v>
      </c>
      <c r="AC768" s="370"/>
    </row>
    <row r="769" spans="1:29" ht="39.950000000000003" customHeight="1" x14ac:dyDescent="0.2">
      <c r="A769" s="66">
        <v>771</v>
      </c>
      <c r="B769" s="68">
        <v>45203</v>
      </c>
      <c r="C769" s="73">
        <v>0.4777777777777778</v>
      </c>
      <c r="D769" s="66" t="s">
        <v>3204</v>
      </c>
      <c r="E769" s="67" t="s">
        <v>3459</v>
      </c>
      <c r="F769" s="66">
        <v>8</v>
      </c>
      <c r="G769" s="66" t="s">
        <v>568</v>
      </c>
      <c r="H769" s="68">
        <v>45218</v>
      </c>
      <c r="I769" s="68" t="s">
        <v>1086</v>
      </c>
      <c r="J769" s="68" t="s">
        <v>1220</v>
      </c>
      <c r="K769" s="66" t="s">
        <v>2343</v>
      </c>
      <c r="L769" s="66" t="s">
        <v>791</v>
      </c>
      <c r="M769" s="66" t="s">
        <v>1031</v>
      </c>
      <c r="N769" s="66" t="s">
        <v>2198</v>
      </c>
      <c r="O769" s="66" t="str">
        <f t="shared" ca="1" si="42"/>
        <v>SI</v>
      </c>
      <c r="P769" s="66" t="str">
        <f t="shared" si="40"/>
        <v>DIANOSOL</v>
      </c>
      <c r="Q769" s="66" t="s">
        <v>904</v>
      </c>
      <c r="R769" s="66" t="str">
        <f>VLOOKUP($Q769,Resultados!$A$1:$B$49,2,FALSE)</f>
        <v>Juicio Abreviado</v>
      </c>
      <c r="S769" s="66" t="s">
        <v>1130</v>
      </c>
      <c r="T769" s="75" t="str">
        <f t="shared" si="43"/>
        <v>NO</v>
      </c>
      <c r="U769" s="75"/>
      <c r="V769" s="66"/>
      <c r="W769" s="66" t="s">
        <v>1746</v>
      </c>
      <c r="X769" s="66" t="s">
        <v>3516</v>
      </c>
      <c r="Y769" s="66"/>
      <c r="Z769" s="121" t="s">
        <v>748</v>
      </c>
      <c r="AA769" s="336" t="s">
        <v>1171</v>
      </c>
      <c r="AB769" s="121" t="s">
        <v>1174</v>
      </c>
      <c r="AC769" s="370"/>
    </row>
    <row r="770" spans="1:29" ht="39.950000000000003" customHeight="1" x14ac:dyDescent="0.2">
      <c r="A770" s="66">
        <v>772</v>
      </c>
      <c r="B770" s="68"/>
      <c r="C770" s="66"/>
      <c r="D770" s="66" t="s">
        <v>2712</v>
      </c>
      <c r="E770" s="67" t="s">
        <v>2713</v>
      </c>
      <c r="F770" s="66">
        <v>7</v>
      </c>
      <c r="G770" s="66" t="s">
        <v>2775</v>
      </c>
      <c r="H770" s="68">
        <v>45209</v>
      </c>
      <c r="I770" s="68" t="s">
        <v>75</v>
      </c>
      <c r="J770" s="68" t="s">
        <v>33</v>
      </c>
      <c r="K770" s="66" t="s">
        <v>2304</v>
      </c>
      <c r="L770" s="66" t="s">
        <v>809</v>
      </c>
      <c r="M770" s="66" t="s">
        <v>700</v>
      </c>
      <c r="N770" s="66" t="s">
        <v>3318</v>
      </c>
      <c r="O770" s="81" t="str">
        <f t="shared" ca="1" si="42"/>
        <v>SI</v>
      </c>
      <c r="P770" s="81" t="str">
        <f t="shared" si="40"/>
        <v>DIANOSOL</v>
      </c>
      <c r="Q770" s="66" t="s">
        <v>904</v>
      </c>
      <c r="R770" s="66" t="str">
        <f>VLOOKUP($Q770,Resultados!$A$1:$B$49,2,FALSE)</f>
        <v>Juicio Abreviado</v>
      </c>
      <c r="S770" s="66" t="s">
        <v>3296</v>
      </c>
      <c r="T770" s="84" t="str">
        <f t="shared" si="43"/>
        <v>NO</v>
      </c>
      <c r="U770" s="84"/>
      <c r="V770" s="81"/>
      <c r="W770" s="66" t="s">
        <v>3297</v>
      </c>
      <c r="X770" s="66" t="s">
        <v>3298</v>
      </c>
      <c r="Y770" s="66"/>
      <c r="Z770" s="121" t="s">
        <v>2895</v>
      </c>
      <c r="AA770" s="66"/>
      <c r="AB770" s="121" t="s">
        <v>1174</v>
      </c>
      <c r="AC770" s="366"/>
    </row>
    <row r="771" spans="1:29" ht="39.950000000000003" customHeight="1" x14ac:dyDescent="0.2">
      <c r="A771" s="66">
        <v>773</v>
      </c>
      <c r="B771" s="68">
        <v>45208</v>
      </c>
      <c r="C771" s="66" t="s">
        <v>3266</v>
      </c>
      <c r="D771" s="66" t="s">
        <v>3267</v>
      </c>
      <c r="E771" s="67" t="s">
        <v>3331</v>
      </c>
      <c r="F771" s="66">
        <v>8</v>
      </c>
      <c r="G771" s="66" t="s">
        <v>1443</v>
      </c>
      <c r="H771" s="68">
        <v>45216</v>
      </c>
      <c r="I771" s="68" t="s">
        <v>77</v>
      </c>
      <c r="J771" s="68" t="s">
        <v>1221</v>
      </c>
      <c r="K771" s="66" t="s">
        <v>1520</v>
      </c>
      <c r="L771" s="66" t="s">
        <v>790</v>
      </c>
      <c r="M771" s="66" t="s">
        <v>1416</v>
      </c>
      <c r="N771" s="66" t="s">
        <v>3443</v>
      </c>
      <c r="O771" s="66" t="str">
        <f t="shared" ca="1" si="42"/>
        <v>SI</v>
      </c>
      <c r="P771" s="66" t="str">
        <f t="shared" ref="P771:P834" si="44">IF($P$1=H771,"DIASOL", "DIANOSOL")</f>
        <v>DIANOSOL</v>
      </c>
      <c r="Q771" s="66" t="s">
        <v>905</v>
      </c>
      <c r="R771" s="66" t="str">
        <f>VLOOKUP($Q771,Resultados!$A$1:$B$49,2,FALSE)</f>
        <v>Juicio Abreviado</v>
      </c>
      <c r="S771" s="66" t="s">
        <v>3444</v>
      </c>
      <c r="T771" s="75" t="str">
        <f t="shared" si="43"/>
        <v>NO</v>
      </c>
      <c r="U771" s="75"/>
      <c r="V771" s="66"/>
      <c r="W771" s="66" t="s">
        <v>1207</v>
      </c>
      <c r="X771" s="66" t="s">
        <v>2571</v>
      </c>
      <c r="Y771" s="66"/>
      <c r="Z771" s="336" t="s">
        <v>770</v>
      </c>
      <c r="AA771" s="121" t="s">
        <v>3348</v>
      </c>
      <c r="AB771" s="121" t="s">
        <v>1177</v>
      </c>
      <c r="AC771" s="366"/>
    </row>
    <row r="772" spans="1:29" ht="39.950000000000003" customHeight="1" x14ac:dyDescent="0.2">
      <c r="A772" s="66">
        <v>774</v>
      </c>
      <c r="B772" s="68" t="s">
        <v>3270</v>
      </c>
      <c r="C772" s="66" t="s">
        <v>3268</v>
      </c>
      <c r="D772" s="66" t="s">
        <v>3269</v>
      </c>
      <c r="E772" s="67" t="s">
        <v>3338</v>
      </c>
      <c r="F772" s="66">
        <v>2</v>
      </c>
      <c r="G772" s="66" t="s">
        <v>3367</v>
      </c>
      <c r="H772" s="68">
        <v>45222</v>
      </c>
      <c r="I772" s="68" t="s">
        <v>1210</v>
      </c>
      <c r="J772" s="68" t="s">
        <v>78</v>
      </c>
      <c r="K772" s="66">
        <f>IFERROR(VLOOKUP(J772,Jueces!$A$1:$B$11,2,FALSE),"")</f>
        <v>8</v>
      </c>
      <c r="L772" s="66" t="s">
        <v>806</v>
      </c>
      <c r="M772" s="66" t="s">
        <v>692</v>
      </c>
      <c r="N772" s="66" t="s">
        <v>3576</v>
      </c>
      <c r="O772" s="66" t="str">
        <f t="shared" ca="1" si="42"/>
        <v>SI</v>
      </c>
      <c r="P772" s="66" t="str">
        <f t="shared" si="44"/>
        <v>DIANOSOL</v>
      </c>
      <c r="Q772" s="66" t="s">
        <v>904</v>
      </c>
      <c r="R772" s="66" t="str">
        <f>VLOOKUP($Q772,Resultados!$A$1:$B$49,2,FALSE)</f>
        <v>Juicio Abreviado</v>
      </c>
      <c r="S772" s="66" t="s">
        <v>3577</v>
      </c>
      <c r="T772" s="75" t="str">
        <f t="shared" si="43"/>
        <v>NO</v>
      </c>
      <c r="U772" s="75"/>
      <c r="V772" s="66"/>
      <c r="W772" s="66" t="s">
        <v>3578</v>
      </c>
      <c r="X772" s="66" t="s">
        <v>3579</v>
      </c>
      <c r="Y772" s="66"/>
      <c r="Z772" s="121" t="s">
        <v>3416</v>
      </c>
      <c r="AA772" s="121" t="s">
        <v>3428</v>
      </c>
      <c r="AB772" s="121" t="s">
        <v>3301</v>
      </c>
      <c r="AC772" s="370"/>
    </row>
    <row r="773" spans="1:29" ht="39.950000000000003" customHeight="1" x14ac:dyDescent="0.2">
      <c r="A773" s="66">
        <v>775</v>
      </c>
      <c r="B773" s="68">
        <v>45208</v>
      </c>
      <c r="C773" s="66" t="s">
        <v>3271</v>
      </c>
      <c r="D773" s="66" t="s">
        <v>3272</v>
      </c>
      <c r="E773" s="67" t="s">
        <v>3339</v>
      </c>
      <c r="F773" s="66">
        <v>2</v>
      </c>
      <c r="G773" s="66" t="s">
        <v>2838</v>
      </c>
      <c r="H773" s="68">
        <v>45224</v>
      </c>
      <c r="I773" s="68" t="s">
        <v>547</v>
      </c>
      <c r="J773" s="68" t="s">
        <v>33</v>
      </c>
      <c r="K773" s="66" t="s">
        <v>3503</v>
      </c>
      <c r="L773" s="66" t="s">
        <v>192</v>
      </c>
      <c r="M773" s="66" t="s">
        <v>3445</v>
      </c>
      <c r="N773" s="66" t="s">
        <v>3635</v>
      </c>
      <c r="O773" s="81" t="str">
        <f t="shared" ca="1" si="42"/>
        <v>SI</v>
      </c>
      <c r="P773" s="81" t="str">
        <f t="shared" si="44"/>
        <v>DIANOSOL</v>
      </c>
      <c r="Q773" s="66" t="s">
        <v>151</v>
      </c>
      <c r="R773" s="66" t="str">
        <f>VLOOKUP($Q773,Resultados!$A$1:$B$49,2,FALSE)</f>
        <v>Prisión Preventiva</v>
      </c>
      <c r="S773" s="66" t="s">
        <v>1404</v>
      </c>
      <c r="T773" s="84" t="str">
        <f t="shared" si="43"/>
        <v>NO</v>
      </c>
      <c r="U773" s="84"/>
      <c r="V773" s="81"/>
      <c r="W773" s="66" t="s">
        <v>3636</v>
      </c>
      <c r="X773" s="66"/>
      <c r="Y773" s="66"/>
      <c r="Z773" s="121" t="s">
        <v>3616</v>
      </c>
      <c r="AA773" s="121" t="s">
        <v>1171</v>
      </c>
      <c r="AB773" s="121" t="s">
        <v>1173</v>
      </c>
      <c r="AC773" s="370"/>
    </row>
    <row r="774" spans="1:29" ht="39.950000000000003" customHeight="1" x14ac:dyDescent="0.2">
      <c r="A774" s="66">
        <v>776</v>
      </c>
      <c r="B774" s="68">
        <v>45209</v>
      </c>
      <c r="C774" s="73">
        <v>0.33333333333333331</v>
      </c>
      <c r="D774" s="66" t="s">
        <v>3273</v>
      </c>
      <c r="E774" s="67" t="s">
        <v>3274</v>
      </c>
      <c r="F774" s="66">
        <v>1</v>
      </c>
      <c r="G774" s="66" t="s">
        <v>3366</v>
      </c>
      <c r="H774" s="68">
        <v>45222</v>
      </c>
      <c r="I774" s="68" t="s">
        <v>3212</v>
      </c>
      <c r="J774" s="68" t="s">
        <v>33</v>
      </c>
      <c r="K774" s="66" t="s">
        <v>2343</v>
      </c>
      <c r="L774" s="66" t="s">
        <v>806</v>
      </c>
      <c r="M774" s="66" t="s">
        <v>1179</v>
      </c>
      <c r="N774" s="66" t="s">
        <v>3592</v>
      </c>
      <c r="O774" s="66" t="str">
        <f t="shared" ca="1" si="42"/>
        <v>SI</v>
      </c>
      <c r="P774" s="66" t="str">
        <f t="shared" si="44"/>
        <v>DIANOSOL</v>
      </c>
      <c r="Q774" s="66" t="s">
        <v>905</v>
      </c>
      <c r="R774" s="66" t="str">
        <f>VLOOKUP($Q774,Resultados!$A$1:$B$49,2,FALSE)</f>
        <v>Juicio Abreviado</v>
      </c>
      <c r="S774" s="66" t="s">
        <v>989</v>
      </c>
      <c r="T774" s="75" t="str">
        <f t="shared" si="43"/>
        <v>NO</v>
      </c>
      <c r="U774" s="75"/>
      <c r="V774" s="66"/>
      <c r="W774" s="66" t="s">
        <v>3591</v>
      </c>
      <c r="X774" s="230" t="s">
        <v>3593</v>
      </c>
      <c r="Y774" s="66"/>
      <c r="Z774" s="121" t="s">
        <v>748</v>
      </c>
      <c r="AA774" s="121" t="s">
        <v>1171</v>
      </c>
      <c r="AB774" s="121" t="s">
        <v>3365</v>
      </c>
      <c r="AC774" s="370"/>
    </row>
    <row r="775" spans="1:29" ht="39.950000000000003" customHeight="1" x14ac:dyDescent="0.2">
      <c r="A775" s="81">
        <v>777</v>
      </c>
      <c r="B775" s="83">
        <v>45209</v>
      </c>
      <c r="C775" s="81" t="s">
        <v>73</v>
      </c>
      <c r="D775" s="81" t="s">
        <v>3281</v>
      </c>
      <c r="E775" s="82" t="s">
        <v>3332</v>
      </c>
      <c r="F775" s="81">
        <v>6</v>
      </c>
      <c r="G775" s="81" t="s">
        <v>2788</v>
      </c>
      <c r="H775" s="83">
        <v>45229</v>
      </c>
      <c r="I775" s="83" t="s">
        <v>1086</v>
      </c>
      <c r="J775" s="83" t="s">
        <v>31</v>
      </c>
      <c r="K775" s="81">
        <f>IFERROR(VLOOKUP(J775,Jueces!$A$1:$B$11,2,FALSE),"")</f>
        <v>2</v>
      </c>
      <c r="L775" s="81" t="s">
        <v>800</v>
      </c>
      <c r="M775" s="81" t="s">
        <v>712</v>
      </c>
      <c r="N775" s="81"/>
      <c r="O775" s="81" t="str">
        <f t="shared" ca="1" si="42"/>
        <v>NO</v>
      </c>
      <c r="P775" s="81" t="str">
        <f t="shared" si="44"/>
        <v>DIASOL</v>
      </c>
      <c r="Q775" s="81" t="s">
        <v>951</v>
      </c>
      <c r="R775" s="81" t="str">
        <f>VLOOKUP($Q775,Resultados!$A$1:$B$49,2,FALSE)</f>
        <v xml:space="preserve"> _</v>
      </c>
      <c r="S775" s="81"/>
      <c r="T775" s="84" t="str">
        <f t="shared" si="43"/>
        <v>NO</v>
      </c>
      <c r="U775" s="84"/>
      <c r="V775" s="81"/>
      <c r="W775" s="81"/>
      <c r="X775" s="81"/>
      <c r="Y775" s="81"/>
      <c r="Z775" s="81"/>
      <c r="AA775" s="321" t="s">
        <v>3348</v>
      </c>
      <c r="AB775" s="81"/>
      <c r="AC775" s="366"/>
    </row>
    <row r="776" spans="1:29" ht="39.950000000000003" customHeight="1" x14ac:dyDescent="0.2">
      <c r="A776" s="66">
        <v>778</v>
      </c>
      <c r="B776" s="68">
        <v>45205</v>
      </c>
      <c r="C776" s="66" t="s">
        <v>3282</v>
      </c>
      <c r="D776" s="66" t="s">
        <v>3283</v>
      </c>
      <c r="E776" s="67" t="s">
        <v>3461</v>
      </c>
      <c r="F776" s="66">
        <v>8</v>
      </c>
      <c r="G776" s="66" t="s">
        <v>29</v>
      </c>
      <c r="H776" s="68">
        <v>45218</v>
      </c>
      <c r="I776" s="68" t="s">
        <v>73</v>
      </c>
      <c r="J776" s="68" t="s">
        <v>2951</v>
      </c>
      <c r="K776" s="66" t="s">
        <v>2343</v>
      </c>
      <c r="L776" s="66" t="s">
        <v>789</v>
      </c>
      <c r="M776" s="66" t="s">
        <v>2121</v>
      </c>
      <c r="N776" s="66" t="s">
        <v>3193</v>
      </c>
      <c r="O776" s="66" t="str">
        <f t="shared" ca="1" si="42"/>
        <v>SI</v>
      </c>
      <c r="P776" s="66" t="str">
        <f t="shared" si="44"/>
        <v>DIANOSOL</v>
      </c>
      <c r="Q776" s="66" t="s">
        <v>904</v>
      </c>
      <c r="R776" s="66" t="str">
        <f>VLOOKUP($Q776,Resultados!$A$1:$B$49,2,FALSE)</f>
        <v>Juicio Abreviado</v>
      </c>
      <c r="S776" s="66" t="s">
        <v>1130</v>
      </c>
      <c r="T776" s="75" t="str">
        <f t="shared" si="43"/>
        <v>NO</v>
      </c>
      <c r="U776" s="75"/>
      <c r="V776" s="66"/>
      <c r="W776" s="66" t="s">
        <v>2684</v>
      </c>
      <c r="X776" s="66" t="s">
        <v>3518</v>
      </c>
      <c r="Y776" s="66"/>
      <c r="Z776" s="121" t="s">
        <v>748</v>
      </c>
      <c r="AA776" s="121" t="s">
        <v>3348</v>
      </c>
      <c r="AB776" s="121" t="s">
        <v>1175</v>
      </c>
      <c r="AC776" s="370"/>
    </row>
    <row r="777" spans="1:29" ht="39.950000000000003" customHeight="1" x14ac:dyDescent="0.2">
      <c r="A777" s="66">
        <v>779</v>
      </c>
      <c r="B777" s="68">
        <v>45209</v>
      </c>
      <c r="C777" s="66" t="s">
        <v>3287</v>
      </c>
      <c r="D777" s="66" t="s">
        <v>3288</v>
      </c>
      <c r="E777" s="67" t="s">
        <v>3329</v>
      </c>
      <c r="F777" s="66">
        <v>1</v>
      </c>
      <c r="G777" s="66" t="s">
        <v>2838</v>
      </c>
      <c r="H777" s="68">
        <v>45223</v>
      </c>
      <c r="I777" s="68" t="s">
        <v>1086</v>
      </c>
      <c r="J777" s="68" t="s">
        <v>1220</v>
      </c>
      <c r="K777" s="66">
        <f>IFERROR(VLOOKUP(J777,Jueces!$A$1:$B$11,2,FALSE),"")</f>
        <v>1</v>
      </c>
      <c r="L777" s="66" t="s">
        <v>806</v>
      </c>
      <c r="M777" s="66" t="s">
        <v>1179</v>
      </c>
      <c r="N777" s="66" t="s">
        <v>621</v>
      </c>
      <c r="O777" s="81" t="str">
        <f t="shared" ca="1" si="42"/>
        <v>SI</v>
      </c>
      <c r="P777" s="81" t="str">
        <f t="shared" si="44"/>
        <v>DIANOSOL</v>
      </c>
      <c r="Q777" s="66" t="s">
        <v>151</v>
      </c>
      <c r="R777" s="66" t="str">
        <f>VLOOKUP($Q777,Resultados!$A$1:$B$49,2,FALSE)</f>
        <v>Prisión Preventiva</v>
      </c>
      <c r="S777" s="66" t="s">
        <v>1036</v>
      </c>
      <c r="T777" s="84" t="str">
        <f t="shared" si="43"/>
        <v>NO</v>
      </c>
      <c r="U777" s="84"/>
      <c r="V777" s="81"/>
      <c r="W777" s="66" t="s">
        <v>1005</v>
      </c>
      <c r="X777" s="66" t="s">
        <v>2571</v>
      </c>
      <c r="Y777" s="66"/>
      <c r="Z777" s="121" t="s">
        <v>748</v>
      </c>
      <c r="AA777" s="121" t="s">
        <v>1171</v>
      </c>
      <c r="AB777" s="121" t="s">
        <v>3365</v>
      </c>
      <c r="AC777" s="370"/>
    </row>
    <row r="778" spans="1:29" ht="39.950000000000003" customHeight="1" x14ac:dyDescent="0.2">
      <c r="A778" s="66">
        <v>780</v>
      </c>
      <c r="B778" s="68">
        <v>45209</v>
      </c>
      <c r="C778" s="73">
        <v>0.40069444444444446</v>
      </c>
      <c r="D778" s="367" t="s">
        <v>3299</v>
      </c>
      <c r="E778" s="67" t="s">
        <v>3342</v>
      </c>
      <c r="F778" s="66">
        <v>1</v>
      </c>
      <c r="G778" s="66" t="s">
        <v>2838</v>
      </c>
      <c r="H778" s="68">
        <v>45222</v>
      </c>
      <c r="I778" s="68" t="s">
        <v>73</v>
      </c>
      <c r="J778" s="68" t="s">
        <v>2954</v>
      </c>
      <c r="K778" s="66" t="s">
        <v>1346</v>
      </c>
      <c r="L778" s="66" t="s">
        <v>569</v>
      </c>
      <c r="M778" s="66" t="s">
        <v>3343</v>
      </c>
      <c r="N778" s="66" t="s">
        <v>3582</v>
      </c>
      <c r="O778" s="66" t="str">
        <f t="shared" ca="1" si="42"/>
        <v>SI</v>
      </c>
      <c r="P778" s="66" t="str">
        <f t="shared" si="44"/>
        <v>DIANOSOL</v>
      </c>
      <c r="Q778" s="66" t="s">
        <v>904</v>
      </c>
      <c r="R778" s="66" t="str">
        <f>VLOOKUP($Q778,Resultados!$A$1:$B$49,2,FALSE)</f>
        <v>Juicio Abreviado</v>
      </c>
      <c r="S778" s="66" t="s">
        <v>2421</v>
      </c>
      <c r="T778" s="75" t="str">
        <f t="shared" si="43"/>
        <v>NO</v>
      </c>
      <c r="U778" s="75"/>
      <c r="V778" s="66"/>
      <c r="W778" s="66" t="s">
        <v>1138</v>
      </c>
      <c r="X778" s="66" t="s">
        <v>3583</v>
      </c>
      <c r="Y778" s="66"/>
      <c r="Z778" s="121" t="s">
        <v>3483</v>
      </c>
      <c r="AA778" s="121"/>
      <c r="AB778" s="121" t="s">
        <v>1174</v>
      </c>
      <c r="AC778" s="370" t="s">
        <v>1801</v>
      </c>
    </row>
    <row r="779" spans="1:29" ht="39.950000000000003" customHeight="1" x14ac:dyDescent="0.2">
      <c r="A779" s="66">
        <v>781</v>
      </c>
      <c r="B779" s="68">
        <v>45208</v>
      </c>
      <c r="C779" s="66" t="s">
        <v>73</v>
      </c>
      <c r="D779" s="66" t="s">
        <v>3300</v>
      </c>
      <c r="E779" s="67" t="s">
        <v>3340</v>
      </c>
      <c r="F779" s="66">
        <v>2</v>
      </c>
      <c r="G779" s="66" t="s">
        <v>1441</v>
      </c>
      <c r="H779" s="68">
        <v>45223</v>
      </c>
      <c r="I779" s="68" t="s">
        <v>73</v>
      </c>
      <c r="J779" s="68" t="s">
        <v>33</v>
      </c>
      <c r="K779" s="66">
        <f>IFERROR(VLOOKUP(J779,Jueces!$A$1:$B$11,2,FALSE),"")</f>
        <v>4</v>
      </c>
      <c r="L779" s="66" t="s">
        <v>813</v>
      </c>
      <c r="M779" s="66" t="s">
        <v>692</v>
      </c>
      <c r="N779" s="66" t="s">
        <v>151</v>
      </c>
      <c r="O779" s="81" t="str">
        <f t="shared" ca="1" si="42"/>
        <v>SI</v>
      </c>
      <c r="P779" s="81" t="str">
        <f t="shared" si="44"/>
        <v>DIANOSOL</v>
      </c>
      <c r="Q779" s="66" t="s">
        <v>151</v>
      </c>
      <c r="R779" s="66" t="str">
        <f>VLOOKUP($Q779,Resultados!$A$1:$B$49,2,FALSE)</f>
        <v>Prisión Preventiva</v>
      </c>
      <c r="S779" s="66" t="s">
        <v>1034</v>
      </c>
      <c r="T779" s="84" t="str">
        <f t="shared" si="43"/>
        <v>NO</v>
      </c>
      <c r="U779" s="84"/>
      <c r="V779" s="81"/>
      <c r="W779" s="66" t="s">
        <v>1231</v>
      </c>
      <c r="X779" s="66" t="s">
        <v>2571</v>
      </c>
      <c r="Y779" s="66"/>
      <c r="Z779" s="121" t="s">
        <v>2867</v>
      </c>
      <c r="AA779" s="121" t="s">
        <v>3428</v>
      </c>
      <c r="AB779" s="121" t="s">
        <v>3301</v>
      </c>
      <c r="AC779" s="370"/>
    </row>
    <row r="780" spans="1:29" ht="39.950000000000003" customHeight="1" x14ac:dyDescent="0.2">
      <c r="A780" s="66">
        <v>782</v>
      </c>
      <c r="B780" s="68"/>
      <c r="C780" s="66"/>
      <c r="D780" s="66" t="s">
        <v>3305</v>
      </c>
      <c r="E780" s="67" t="s">
        <v>3306</v>
      </c>
      <c r="F780" s="66">
        <v>1</v>
      </c>
      <c r="G780" s="66" t="s">
        <v>1443</v>
      </c>
      <c r="H780" s="68">
        <v>45222</v>
      </c>
      <c r="I780" s="68" t="s">
        <v>73</v>
      </c>
      <c r="J780" s="68" t="s">
        <v>1732</v>
      </c>
      <c r="K780" s="66" t="s">
        <v>2343</v>
      </c>
      <c r="L780" s="66" t="s">
        <v>812</v>
      </c>
      <c r="M780" s="373" t="s">
        <v>2238</v>
      </c>
      <c r="N780" s="66" t="s">
        <v>3580</v>
      </c>
      <c r="O780" s="66" t="str">
        <f t="shared" ca="1" si="42"/>
        <v>SI</v>
      </c>
      <c r="P780" s="66" t="str">
        <f t="shared" si="44"/>
        <v>DIANOSOL</v>
      </c>
      <c r="Q780" s="66" t="s">
        <v>151</v>
      </c>
      <c r="R780" s="66" t="str">
        <f>VLOOKUP($Q780,Resultados!$A$1:$B$49,2,FALSE)</f>
        <v>Prisión Preventiva</v>
      </c>
      <c r="S780" s="66" t="s">
        <v>1134</v>
      </c>
      <c r="T780" s="75" t="str">
        <f t="shared" si="43"/>
        <v>NO</v>
      </c>
      <c r="U780" s="75"/>
      <c r="V780" s="66"/>
      <c r="W780" s="66" t="s">
        <v>76</v>
      </c>
      <c r="X780" s="66" t="s">
        <v>3581</v>
      </c>
      <c r="Y780" s="66"/>
      <c r="Z780" s="121" t="s">
        <v>2867</v>
      </c>
      <c r="AA780" s="336" t="s">
        <v>2852</v>
      </c>
      <c r="AB780" s="121" t="s">
        <v>1173</v>
      </c>
      <c r="AC780" s="370"/>
    </row>
    <row r="781" spans="1:29" ht="39.950000000000003" customHeight="1" x14ac:dyDescent="0.2">
      <c r="A781" s="81">
        <v>783</v>
      </c>
      <c r="B781" s="83">
        <v>45205</v>
      </c>
      <c r="C781" s="81" t="s">
        <v>3308</v>
      </c>
      <c r="D781" s="367" t="s">
        <v>3309</v>
      </c>
      <c r="E781" s="82" t="s">
        <v>3341</v>
      </c>
      <c r="F781" s="81">
        <v>2</v>
      </c>
      <c r="G781" s="81" t="s">
        <v>568</v>
      </c>
      <c r="H781" s="83">
        <v>45229</v>
      </c>
      <c r="I781" s="83" t="s">
        <v>1086</v>
      </c>
      <c r="J781" s="83" t="s">
        <v>1732</v>
      </c>
      <c r="K781" s="81" t="s">
        <v>1925</v>
      </c>
      <c r="L781" s="81" t="s">
        <v>807</v>
      </c>
      <c r="M781" s="81" t="s">
        <v>692</v>
      </c>
      <c r="N781" s="81" t="s">
        <v>3629</v>
      </c>
      <c r="O781" s="81" t="str">
        <f t="shared" ca="1" si="42"/>
        <v>NO</v>
      </c>
      <c r="P781" s="81" t="str">
        <f t="shared" si="44"/>
        <v>DIASOL</v>
      </c>
      <c r="Q781" s="81" t="s">
        <v>951</v>
      </c>
      <c r="R781" s="81" t="str">
        <f>VLOOKUP($Q781,Resultados!$A$1:$B$49,2,FALSE)</f>
        <v xml:space="preserve"> _</v>
      </c>
      <c r="S781" s="81"/>
      <c r="T781" s="84" t="str">
        <f t="shared" si="43"/>
        <v>NO</v>
      </c>
      <c r="U781" s="84"/>
      <c r="V781" s="81"/>
      <c r="W781" s="81"/>
      <c r="X781" s="81"/>
      <c r="Y781" s="81"/>
      <c r="Z781" s="321" t="s">
        <v>748</v>
      </c>
      <c r="AA781" s="321" t="s">
        <v>2895</v>
      </c>
      <c r="AB781" s="321" t="s">
        <v>1177</v>
      </c>
      <c r="AC781" s="88" t="s">
        <v>1801</v>
      </c>
    </row>
    <row r="782" spans="1:29" ht="39.950000000000003" customHeight="1" x14ac:dyDescent="0.2">
      <c r="A782" s="81">
        <v>784</v>
      </c>
      <c r="B782" s="83">
        <v>45209</v>
      </c>
      <c r="C782" s="81" t="s">
        <v>1193</v>
      </c>
      <c r="D782" s="81" t="s">
        <v>3310</v>
      </c>
      <c r="E782" s="82" t="s">
        <v>3458</v>
      </c>
      <c r="F782" s="81">
        <v>1</v>
      </c>
      <c r="G782" s="81" t="s">
        <v>1442</v>
      </c>
      <c r="H782" s="83">
        <v>45230</v>
      </c>
      <c r="I782" s="83" t="s">
        <v>1086</v>
      </c>
      <c r="J782" s="83" t="s">
        <v>78</v>
      </c>
      <c r="K782" s="81">
        <f>IFERROR(VLOOKUP(J782,Jueces!$A$1:$B$11,2,FALSE),"")</f>
        <v>8</v>
      </c>
      <c r="L782" s="81" t="s">
        <v>811</v>
      </c>
      <c r="M782" s="81" t="s">
        <v>712</v>
      </c>
      <c r="N782" s="81"/>
      <c r="O782" s="81" t="str">
        <f t="shared" ca="1" si="42"/>
        <v>NO</v>
      </c>
      <c r="P782" s="81" t="str">
        <f t="shared" si="44"/>
        <v>DIANOSOL</v>
      </c>
      <c r="Q782" s="81" t="s">
        <v>951</v>
      </c>
      <c r="R782" s="81" t="str">
        <f>VLOOKUP($Q782,Resultados!$A$1:$B$49,2,FALSE)</f>
        <v xml:space="preserve"> _</v>
      </c>
      <c r="S782" s="81"/>
      <c r="T782" s="84" t="str">
        <f t="shared" si="43"/>
        <v>SI</v>
      </c>
      <c r="U782" s="84"/>
      <c r="V782" s="81"/>
      <c r="W782" s="81"/>
      <c r="X782" s="81"/>
      <c r="Y782" s="81"/>
      <c r="Z782" s="81"/>
      <c r="AA782" s="321" t="s">
        <v>2852</v>
      </c>
      <c r="AB782" s="81"/>
      <c r="AC782" s="88"/>
    </row>
    <row r="783" spans="1:29" ht="39.950000000000003" customHeight="1" x14ac:dyDescent="0.2">
      <c r="A783" s="66">
        <v>785</v>
      </c>
      <c r="B783" s="68">
        <v>45209</v>
      </c>
      <c r="C783" s="66" t="s">
        <v>1274</v>
      </c>
      <c r="D783" s="66" t="s">
        <v>3311</v>
      </c>
      <c r="E783" s="67" t="s">
        <v>3400</v>
      </c>
      <c r="F783" s="66">
        <v>1</v>
      </c>
      <c r="G783" s="66" t="s">
        <v>283</v>
      </c>
      <c r="H783" s="68">
        <v>45225</v>
      </c>
      <c r="I783" s="68" t="s">
        <v>73</v>
      </c>
      <c r="J783" s="68" t="s">
        <v>2954</v>
      </c>
      <c r="K783" s="66" t="s">
        <v>1925</v>
      </c>
      <c r="L783" s="66" t="s">
        <v>811</v>
      </c>
      <c r="M783" s="66" t="s">
        <v>712</v>
      </c>
      <c r="N783" s="66" t="s">
        <v>3682</v>
      </c>
      <c r="O783" s="81" t="str">
        <f t="shared" ca="1" si="42"/>
        <v>SI</v>
      </c>
      <c r="P783" s="81" t="str">
        <f t="shared" si="44"/>
        <v>DIANOSOL</v>
      </c>
      <c r="Q783" s="66" t="s">
        <v>905</v>
      </c>
      <c r="R783" s="66" t="str">
        <f>VLOOKUP($Q783,Resultados!$A$1:$B$49,2,FALSE)</f>
        <v>Juicio Abreviado</v>
      </c>
      <c r="S783" s="66" t="s">
        <v>1138</v>
      </c>
      <c r="T783" s="84" t="str">
        <f t="shared" si="43"/>
        <v>NO</v>
      </c>
      <c r="U783" s="84"/>
      <c r="V783" s="81"/>
      <c r="W783" s="66" t="s">
        <v>1130</v>
      </c>
      <c r="X783" s="66" t="s">
        <v>2156</v>
      </c>
      <c r="Y783" s="66"/>
      <c r="Z783" s="121" t="s">
        <v>2867</v>
      </c>
      <c r="AA783" s="121" t="s">
        <v>3429</v>
      </c>
      <c r="AB783" s="121" t="s">
        <v>3301</v>
      </c>
      <c r="AC783" s="370"/>
    </row>
    <row r="784" spans="1:29" ht="39.950000000000003" customHeight="1" x14ac:dyDescent="0.2">
      <c r="A784" s="66">
        <v>786</v>
      </c>
      <c r="B784" s="68">
        <v>45209</v>
      </c>
      <c r="C784" s="66" t="s">
        <v>3313</v>
      </c>
      <c r="D784" s="66" t="s">
        <v>3314</v>
      </c>
      <c r="E784" s="67" t="s">
        <v>3347</v>
      </c>
      <c r="F784" s="66">
        <v>2</v>
      </c>
      <c r="G784" s="66" t="s">
        <v>1441</v>
      </c>
      <c r="H784" s="68">
        <v>45224</v>
      </c>
      <c r="I784" s="68" t="s">
        <v>73</v>
      </c>
      <c r="J784" s="68" t="s">
        <v>33</v>
      </c>
      <c r="K784" s="66">
        <f>IFERROR(VLOOKUP(J784,Jueces!$A$1:$B$11,2,FALSE),"")</f>
        <v>4</v>
      </c>
      <c r="L784" s="66" t="s">
        <v>806</v>
      </c>
      <c r="M784" s="66" t="s">
        <v>692</v>
      </c>
      <c r="N784" s="66" t="s">
        <v>3634</v>
      </c>
      <c r="O784" s="81" t="str">
        <f t="shared" ca="1" si="42"/>
        <v>SI</v>
      </c>
      <c r="P784" s="81" t="str">
        <f t="shared" si="44"/>
        <v>DIANOSOL</v>
      </c>
      <c r="Q784" s="66" t="s">
        <v>905</v>
      </c>
      <c r="R784" s="66" t="str">
        <f>VLOOKUP($Q784,Resultados!$A$1:$B$49,2,FALSE)</f>
        <v>Juicio Abreviado</v>
      </c>
      <c r="S784" s="66" t="s">
        <v>1008</v>
      </c>
      <c r="T784" s="84" t="str">
        <f t="shared" si="43"/>
        <v>NO</v>
      </c>
      <c r="U784" s="84"/>
      <c r="V784" s="81"/>
      <c r="W784" s="66" t="s">
        <v>1396</v>
      </c>
      <c r="X784" s="66" t="s">
        <v>2571</v>
      </c>
      <c r="Y784" s="66"/>
      <c r="Z784" s="121" t="s">
        <v>3416</v>
      </c>
      <c r="AA784" s="121" t="s">
        <v>1169</v>
      </c>
      <c r="AB784" s="121" t="s">
        <v>3301</v>
      </c>
      <c r="AC784" s="370"/>
    </row>
    <row r="785" spans="1:29" ht="39.950000000000003" customHeight="1" x14ac:dyDescent="0.2">
      <c r="A785" s="66">
        <v>787</v>
      </c>
      <c r="B785" s="68">
        <v>45209</v>
      </c>
      <c r="C785" s="66" t="s">
        <v>1040</v>
      </c>
      <c r="D785" s="66" t="s">
        <v>3315</v>
      </c>
      <c r="E785" s="67" t="s">
        <v>3344</v>
      </c>
      <c r="F785" s="66">
        <v>2</v>
      </c>
      <c r="G785" s="66" t="s">
        <v>283</v>
      </c>
      <c r="H785" s="68">
        <v>45223</v>
      </c>
      <c r="I785" s="68" t="s">
        <v>1450</v>
      </c>
      <c r="J785" s="68" t="s">
        <v>31</v>
      </c>
      <c r="K785" s="66" t="s">
        <v>2304</v>
      </c>
      <c r="L785" s="66" t="s">
        <v>806</v>
      </c>
      <c r="M785" s="66" t="s">
        <v>692</v>
      </c>
      <c r="N785" s="66" t="s">
        <v>3610</v>
      </c>
      <c r="O785" s="81" t="str">
        <f t="shared" ca="1" si="42"/>
        <v>SI</v>
      </c>
      <c r="P785" s="81" t="str">
        <f t="shared" si="44"/>
        <v>DIANOSOL</v>
      </c>
      <c r="Q785" s="66" t="s">
        <v>905</v>
      </c>
      <c r="R785" s="66" t="str">
        <f>VLOOKUP($Q785,Resultados!$A$1:$B$49,2,FALSE)</f>
        <v>Juicio Abreviado</v>
      </c>
      <c r="S785" s="66" t="s">
        <v>3279</v>
      </c>
      <c r="T785" s="84" t="str">
        <f t="shared" si="43"/>
        <v>NO</v>
      </c>
      <c r="U785" s="84"/>
      <c r="V785" s="81"/>
      <c r="W785" s="66" t="s">
        <v>3611</v>
      </c>
      <c r="X785" s="66" t="s">
        <v>2571</v>
      </c>
      <c r="Y785" s="66"/>
      <c r="Z785" s="121" t="s">
        <v>2867</v>
      </c>
      <c r="AA785" s="121" t="s">
        <v>1171</v>
      </c>
      <c r="AB785" s="121" t="s">
        <v>1173</v>
      </c>
      <c r="AC785" s="370"/>
    </row>
    <row r="786" spans="1:29" ht="39.950000000000003" customHeight="1" x14ac:dyDescent="0.2">
      <c r="A786" s="66">
        <v>788</v>
      </c>
      <c r="B786" s="68">
        <v>45209</v>
      </c>
      <c r="C786" s="73">
        <v>0.52361111111111114</v>
      </c>
      <c r="D786" s="66" t="s">
        <v>3319</v>
      </c>
      <c r="E786" s="67" t="s">
        <v>3345</v>
      </c>
      <c r="F786" s="66">
        <v>2</v>
      </c>
      <c r="G786" s="66" t="s">
        <v>3366</v>
      </c>
      <c r="H786" s="68">
        <v>45225</v>
      </c>
      <c r="I786" s="68" t="s">
        <v>1086</v>
      </c>
      <c r="J786" s="68" t="s">
        <v>33</v>
      </c>
      <c r="K786" s="66">
        <f>IFERROR(VLOOKUP(J786,Jueces!$A$1:$B$11,2,FALSE),"")</f>
        <v>4</v>
      </c>
      <c r="L786" s="66" t="s">
        <v>811</v>
      </c>
      <c r="M786" s="66" t="s">
        <v>692</v>
      </c>
      <c r="N786" s="66" t="s">
        <v>3684</v>
      </c>
      <c r="O786" s="81" t="str">
        <f t="shared" ca="1" si="42"/>
        <v>SI</v>
      </c>
      <c r="P786" s="81" t="str">
        <f t="shared" si="44"/>
        <v>DIANOSOL</v>
      </c>
      <c r="Q786" s="66" t="s">
        <v>904</v>
      </c>
      <c r="R786" s="66" t="str">
        <f>VLOOKUP($Q786,Resultados!$A$1:$B$49,2,FALSE)</f>
        <v>Juicio Abreviado</v>
      </c>
      <c r="S786" s="66" t="s">
        <v>1230</v>
      </c>
      <c r="T786" s="84" t="str">
        <f t="shared" si="43"/>
        <v>NO</v>
      </c>
      <c r="U786" s="84"/>
      <c r="V786" s="81"/>
      <c r="W786" s="66" t="s">
        <v>1465</v>
      </c>
      <c r="X786" s="66" t="s">
        <v>3196</v>
      </c>
      <c r="Y786" s="66"/>
      <c r="Z786" s="121" t="s">
        <v>3416</v>
      </c>
      <c r="AA786" s="121" t="s">
        <v>2895</v>
      </c>
      <c r="AB786" s="121" t="s">
        <v>1174</v>
      </c>
      <c r="AC786" s="370"/>
    </row>
    <row r="787" spans="1:29" ht="39.950000000000003" customHeight="1" x14ac:dyDescent="0.2">
      <c r="A787" s="81">
        <v>789</v>
      </c>
      <c r="B787" s="83">
        <v>45209</v>
      </c>
      <c r="C787" s="323">
        <v>0.4465277777777778</v>
      </c>
      <c r="D787" s="81" t="s">
        <v>3320</v>
      </c>
      <c r="E787" s="82" t="s">
        <v>3595</v>
      </c>
      <c r="F787" s="81">
        <v>1</v>
      </c>
      <c r="G787" s="81" t="s">
        <v>568</v>
      </c>
      <c r="H787" s="83">
        <v>45236</v>
      </c>
      <c r="I787" s="83" t="s">
        <v>73</v>
      </c>
      <c r="J787" s="83" t="s">
        <v>78</v>
      </c>
      <c r="K787" s="81">
        <f>IFERROR(VLOOKUP(J787,Jueces!$A$1:$B$11,2,FALSE),"")</f>
        <v>8</v>
      </c>
      <c r="L787" s="81" t="s">
        <v>806</v>
      </c>
      <c r="M787" s="81" t="s">
        <v>692</v>
      </c>
      <c r="N787" s="81"/>
      <c r="O787" s="81" t="str">
        <f t="shared" ca="1" si="42"/>
        <v>NO</v>
      </c>
      <c r="P787" s="81" t="str">
        <f t="shared" si="44"/>
        <v>DIANOSOL</v>
      </c>
      <c r="Q787" s="81" t="s">
        <v>951</v>
      </c>
      <c r="R787" s="81" t="str">
        <f>VLOOKUP($Q787,Resultados!$A$1:$B$49,2,FALSE)</f>
        <v xml:space="preserve"> _</v>
      </c>
      <c r="S787" s="81"/>
      <c r="T787" s="84" t="str">
        <f t="shared" si="43"/>
        <v>NO</v>
      </c>
      <c r="U787" s="84"/>
      <c r="V787" s="81"/>
      <c r="W787" s="81"/>
      <c r="X787" s="81"/>
      <c r="Y787" s="81"/>
      <c r="Z787" s="81"/>
      <c r="AA787" s="321" t="s">
        <v>3429</v>
      </c>
      <c r="AB787" s="81"/>
      <c r="AC787" s="88"/>
    </row>
    <row r="788" spans="1:29" ht="39.950000000000003" customHeight="1" x14ac:dyDescent="0.2">
      <c r="A788" s="81">
        <v>790</v>
      </c>
      <c r="B788" s="83">
        <v>45209</v>
      </c>
      <c r="C788" s="323">
        <v>0.52361111111111114</v>
      </c>
      <c r="D788" s="81" t="s">
        <v>3346</v>
      </c>
      <c r="E788" s="82" t="s">
        <v>3321</v>
      </c>
      <c r="F788" s="81">
        <v>2</v>
      </c>
      <c r="G788" s="81" t="s">
        <v>3366</v>
      </c>
      <c r="H788" s="83">
        <v>45229</v>
      </c>
      <c r="I788" s="83" t="s">
        <v>73</v>
      </c>
      <c r="J788" s="83" t="s">
        <v>78</v>
      </c>
      <c r="K788" s="81">
        <f>IFERROR(VLOOKUP(J788,Jueces!$A$1:$B$11,2,FALSE),"")</f>
        <v>8</v>
      </c>
      <c r="L788" s="81" t="s">
        <v>810</v>
      </c>
      <c r="M788" s="81" t="s">
        <v>693</v>
      </c>
      <c r="N788" s="81"/>
      <c r="O788" s="81" t="str">
        <f t="shared" ca="1" si="42"/>
        <v>NO</v>
      </c>
      <c r="P788" s="81" t="str">
        <f t="shared" si="44"/>
        <v>DIASOL</v>
      </c>
      <c r="Q788" s="81" t="s">
        <v>951</v>
      </c>
      <c r="R788" s="81" t="str">
        <f>VLOOKUP($Q788,Resultados!$A$1:$B$49,2,FALSE)</f>
        <v xml:space="preserve"> _</v>
      </c>
      <c r="S788" s="81"/>
      <c r="T788" s="84" t="str">
        <f t="shared" si="43"/>
        <v>NO</v>
      </c>
      <c r="U788" s="84"/>
      <c r="V788" s="81"/>
      <c r="W788" s="81"/>
      <c r="X788" s="81"/>
      <c r="Y788" s="81"/>
      <c r="Z788" s="81"/>
      <c r="AA788" s="321" t="s">
        <v>3429</v>
      </c>
      <c r="AB788" s="81"/>
      <c r="AC788" s="366"/>
    </row>
    <row r="789" spans="1:29" ht="39.950000000000003" customHeight="1" x14ac:dyDescent="0.2">
      <c r="A789" s="66">
        <v>791</v>
      </c>
      <c r="B789" s="68">
        <v>45209</v>
      </c>
      <c r="C789" s="73">
        <v>0.44861111111111113</v>
      </c>
      <c r="D789" s="66" t="s">
        <v>3322</v>
      </c>
      <c r="E789" s="67" t="s">
        <v>1196</v>
      </c>
      <c r="F789" s="66">
        <v>2</v>
      </c>
      <c r="G789" s="66" t="s">
        <v>3366</v>
      </c>
      <c r="H789" s="68">
        <v>45226</v>
      </c>
      <c r="I789" s="68" t="s">
        <v>1086</v>
      </c>
      <c r="J789" s="68" t="s">
        <v>78</v>
      </c>
      <c r="K789" s="66">
        <v>8</v>
      </c>
      <c r="L789" s="66" t="s">
        <v>801</v>
      </c>
      <c r="M789" s="66" t="s">
        <v>692</v>
      </c>
      <c r="N789" s="66" t="s">
        <v>3719</v>
      </c>
      <c r="O789" s="66" t="str">
        <f t="shared" ca="1" si="42"/>
        <v>SI</v>
      </c>
      <c r="P789" s="66" t="str">
        <f t="shared" si="44"/>
        <v>DIANOSOL</v>
      </c>
      <c r="Q789" s="66" t="s">
        <v>904</v>
      </c>
      <c r="R789" s="66" t="str">
        <f>VLOOKUP($Q789,Resultados!$A$1:$B$49,2,FALSE)</f>
        <v>Juicio Abreviado</v>
      </c>
      <c r="S789" s="66" t="s">
        <v>1009</v>
      </c>
      <c r="T789" s="75" t="str">
        <f t="shared" si="43"/>
        <v>NO</v>
      </c>
      <c r="U789" s="75"/>
      <c r="V789" s="66"/>
      <c r="W789" s="66" t="s">
        <v>1570</v>
      </c>
      <c r="X789" s="66" t="s">
        <v>2571</v>
      </c>
      <c r="Y789" s="66"/>
      <c r="Z789" s="121" t="s">
        <v>770</v>
      </c>
      <c r="AA789" s="121" t="s">
        <v>2895</v>
      </c>
      <c r="AB789" s="121" t="s">
        <v>1177</v>
      </c>
      <c r="AC789" s="370"/>
    </row>
    <row r="790" spans="1:29" ht="39.950000000000003" customHeight="1" x14ac:dyDescent="0.2">
      <c r="A790" s="66">
        <v>792</v>
      </c>
      <c r="B790" s="68">
        <v>45209</v>
      </c>
      <c r="C790" s="73">
        <v>0.38958333333333334</v>
      </c>
      <c r="D790" s="66" t="s">
        <v>3323</v>
      </c>
      <c r="E790" s="67" t="s">
        <v>3324</v>
      </c>
      <c r="F790" s="66">
        <v>1</v>
      </c>
      <c r="G790" s="66" t="s">
        <v>1442</v>
      </c>
      <c r="H790" s="68">
        <v>45223</v>
      </c>
      <c r="I790" s="68" t="s">
        <v>73</v>
      </c>
      <c r="J790" s="68" t="s">
        <v>78</v>
      </c>
      <c r="K790" s="66">
        <f>IFERROR(VLOOKUP(J790,Jueces!$A$1:$B$11,2,FALSE),"")</f>
        <v>8</v>
      </c>
      <c r="L790" s="66" t="s">
        <v>811</v>
      </c>
      <c r="M790" s="66" t="s">
        <v>712</v>
      </c>
      <c r="N790" s="66" t="s">
        <v>2586</v>
      </c>
      <c r="O790" s="81" t="str">
        <f t="shared" ca="1" si="42"/>
        <v>SI</v>
      </c>
      <c r="P790" s="81" t="str">
        <f t="shared" si="44"/>
        <v>DIANOSOL</v>
      </c>
      <c r="Q790" s="66" t="s">
        <v>904</v>
      </c>
      <c r="R790" s="66" t="str">
        <f>VLOOKUP($Q790,Resultados!$A$1:$B$49,2,FALSE)</f>
        <v>Juicio Abreviado</v>
      </c>
      <c r="S790" s="66" t="s">
        <v>1564</v>
      </c>
      <c r="T790" s="84" t="str">
        <f t="shared" si="43"/>
        <v>SI</v>
      </c>
      <c r="U790" s="84"/>
      <c r="V790" s="81"/>
      <c r="W790" s="66" t="s">
        <v>3608</v>
      </c>
      <c r="X790" s="66" t="s">
        <v>3609</v>
      </c>
      <c r="Y790" s="66"/>
      <c r="Z790" s="121" t="s">
        <v>3416</v>
      </c>
      <c r="AA790" s="336" t="s">
        <v>2852</v>
      </c>
      <c r="AB790" s="121" t="s">
        <v>2891</v>
      </c>
      <c r="AC790" s="370"/>
    </row>
    <row r="791" spans="1:29" ht="39.950000000000003" customHeight="1" x14ac:dyDescent="0.2">
      <c r="A791" s="66">
        <v>793</v>
      </c>
      <c r="B791" s="68">
        <v>45209</v>
      </c>
      <c r="C791" s="73">
        <v>0.38819444444444445</v>
      </c>
      <c r="D791" s="66" t="s">
        <v>3325</v>
      </c>
      <c r="E791" s="67" t="s">
        <v>3326</v>
      </c>
      <c r="F791" s="66">
        <v>1</v>
      </c>
      <c r="G791" s="66" t="s">
        <v>1443</v>
      </c>
      <c r="H791" s="68">
        <v>45225</v>
      </c>
      <c r="I791" s="68" t="s">
        <v>73</v>
      </c>
      <c r="J791" s="68" t="s">
        <v>78</v>
      </c>
      <c r="K791" s="66">
        <f>IFERROR(VLOOKUP(J791,Jueces!$A$1:$B$11,2,FALSE),"")</f>
        <v>8</v>
      </c>
      <c r="L791" s="66" t="s">
        <v>801</v>
      </c>
      <c r="M791" s="66" t="s">
        <v>692</v>
      </c>
      <c r="N791" s="66" t="s">
        <v>3097</v>
      </c>
      <c r="O791" s="81" t="str">
        <f t="shared" ca="1" si="42"/>
        <v>SI</v>
      </c>
      <c r="P791" s="81" t="str">
        <f t="shared" si="44"/>
        <v>DIANOSOL</v>
      </c>
      <c r="Q791" s="66" t="s">
        <v>904</v>
      </c>
      <c r="R791" s="66" t="s">
        <v>100</v>
      </c>
      <c r="S791" s="66" t="s">
        <v>1129</v>
      </c>
      <c r="T791" s="84" t="str">
        <f t="shared" si="43"/>
        <v>NO</v>
      </c>
      <c r="U791" s="84"/>
      <c r="V791" s="81"/>
      <c r="W791" s="66" t="s">
        <v>1006</v>
      </c>
      <c r="X791" s="66" t="s">
        <v>2571</v>
      </c>
      <c r="Y791" s="66"/>
      <c r="Z791" s="121" t="s">
        <v>748</v>
      </c>
      <c r="AA791" s="121" t="s">
        <v>1171</v>
      </c>
      <c r="AB791" s="121" t="s">
        <v>1175</v>
      </c>
      <c r="AC791" s="370"/>
    </row>
    <row r="792" spans="1:29" ht="39.950000000000003" customHeight="1" x14ac:dyDescent="0.2">
      <c r="A792" s="81">
        <v>794</v>
      </c>
      <c r="B792" s="83">
        <v>45209</v>
      </c>
      <c r="C792" s="323">
        <v>0.37986111111111115</v>
      </c>
      <c r="D792" s="81" t="s">
        <v>3327</v>
      </c>
      <c r="E792" s="82" t="s">
        <v>3328</v>
      </c>
      <c r="F792" s="81">
        <v>7</v>
      </c>
      <c r="G792" s="81" t="s">
        <v>1441</v>
      </c>
      <c r="H792" s="83">
        <v>45229</v>
      </c>
      <c r="I792" s="83" t="s">
        <v>749</v>
      </c>
      <c r="J792" s="83" t="s">
        <v>1225</v>
      </c>
      <c r="K792" s="81">
        <f>IFERROR(VLOOKUP(J792,Jueces!$A$1:$B$11,2,FALSE),"")</f>
        <v>6</v>
      </c>
      <c r="L792" s="81" t="s">
        <v>800</v>
      </c>
      <c r="M792" s="81" t="s">
        <v>712</v>
      </c>
      <c r="N792" s="84"/>
      <c r="O792" s="81" t="str">
        <f t="shared" ca="1" si="42"/>
        <v>NO</v>
      </c>
      <c r="P792" s="81" t="str">
        <f t="shared" si="44"/>
        <v>DIASOL</v>
      </c>
      <c r="Q792" s="81" t="s">
        <v>951</v>
      </c>
      <c r="R792" s="81" t="str">
        <f>VLOOKUP($Q792,Resultados!$A$1:$B$49,2,FALSE)</f>
        <v xml:space="preserve"> _</v>
      </c>
      <c r="S792" s="81"/>
      <c r="T792" s="84" t="str">
        <f t="shared" si="43"/>
        <v>NO</v>
      </c>
      <c r="U792" s="84"/>
      <c r="V792" s="81"/>
      <c r="W792" s="81"/>
      <c r="X792" s="81"/>
      <c r="Y792" s="81"/>
      <c r="Z792" s="81"/>
      <c r="AA792" s="337" t="s">
        <v>1169</v>
      </c>
      <c r="AB792" s="81"/>
      <c r="AC792" s="366"/>
    </row>
    <row r="793" spans="1:29" ht="39.950000000000003" customHeight="1" x14ac:dyDescent="0.2">
      <c r="A793" s="66">
        <v>795</v>
      </c>
      <c r="B793" s="68">
        <v>45210</v>
      </c>
      <c r="C793" s="73">
        <v>0.36249999999999999</v>
      </c>
      <c r="D793" s="66" t="s">
        <v>3333</v>
      </c>
      <c r="E793" s="67" t="s">
        <v>3334</v>
      </c>
      <c r="F793" s="66">
        <v>1</v>
      </c>
      <c r="G793" s="66" t="s">
        <v>283</v>
      </c>
      <c r="H793" s="68">
        <v>45226</v>
      </c>
      <c r="I793" s="68" t="s">
        <v>1086</v>
      </c>
      <c r="J793" s="68" t="s">
        <v>1221</v>
      </c>
      <c r="K793" s="66" t="s">
        <v>1925</v>
      </c>
      <c r="L793" s="66" t="s">
        <v>508</v>
      </c>
      <c r="M793" s="66" t="s">
        <v>711</v>
      </c>
      <c r="N793" s="66" t="s">
        <v>3403</v>
      </c>
      <c r="O793" s="66" t="str">
        <f t="shared" ca="1" si="42"/>
        <v>SI</v>
      </c>
      <c r="P793" s="66" t="str">
        <f t="shared" si="44"/>
        <v>DIANOSOL</v>
      </c>
      <c r="Q793" s="66" t="s">
        <v>905</v>
      </c>
      <c r="R793" s="66" t="str">
        <f>VLOOKUP($Q793,Resultados!$A$1:$B$49,2,FALSE)</f>
        <v>Juicio Abreviado</v>
      </c>
      <c r="S793" s="66" t="s">
        <v>2684</v>
      </c>
      <c r="T793" s="75" t="str">
        <f t="shared" si="43"/>
        <v>NO</v>
      </c>
      <c r="U793" s="75"/>
      <c r="V793" s="66"/>
      <c r="W793" s="66" t="s">
        <v>3720</v>
      </c>
      <c r="X793" s="66" t="s">
        <v>3196</v>
      </c>
      <c r="Y793" s="66"/>
      <c r="Z793" s="121" t="s">
        <v>2867</v>
      </c>
      <c r="AA793" s="121" t="s">
        <v>2852</v>
      </c>
      <c r="AB793" s="121" t="s">
        <v>1174</v>
      </c>
      <c r="AC793" s="370"/>
    </row>
    <row r="794" spans="1:29" ht="39.950000000000003" customHeight="1" x14ac:dyDescent="0.2">
      <c r="A794" s="66">
        <v>796</v>
      </c>
      <c r="B794" s="68">
        <v>45210</v>
      </c>
      <c r="C794" s="73">
        <v>0.41250000000000003</v>
      </c>
      <c r="D794" s="66" t="s">
        <v>3337</v>
      </c>
      <c r="E794" s="67" t="s">
        <v>3336</v>
      </c>
      <c r="F794" s="66">
        <v>2</v>
      </c>
      <c r="G794" s="66" t="s">
        <v>568</v>
      </c>
      <c r="H794" s="68">
        <v>45223</v>
      </c>
      <c r="I794" s="68" t="s">
        <v>1086</v>
      </c>
      <c r="J794" s="68" t="s">
        <v>1221</v>
      </c>
      <c r="K794" s="66" t="s">
        <v>1925</v>
      </c>
      <c r="L794" s="66" t="s">
        <v>813</v>
      </c>
      <c r="M794" s="66" t="s">
        <v>693</v>
      </c>
      <c r="N794" s="66" t="s">
        <v>2196</v>
      </c>
      <c r="O794" s="81" t="str">
        <f t="shared" ca="1" si="42"/>
        <v>SI</v>
      </c>
      <c r="P794" s="81" t="str">
        <f t="shared" si="44"/>
        <v>DIANOSOL</v>
      </c>
      <c r="Q794" s="66" t="s">
        <v>904</v>
      </c>
      <c r="R794" s="66" t="str">
        <f>VLOOKUP($Q794,Resultados!$A$1:$B$49,2,FALSE)</f>
        <v>Juicio Abreviado</v>
      </c>
      <c r="S794" s="66" t="s">
        <v>1609</v>
      </c>
      <c r="T794" s="84" t="str">
        <f t="shared" si="43"/>
        <v>NO</v>
      </c>
      <c r="U794" s="84"/>
      <c r="V794" s="81"/>
      <c r="W794" s="66" t="s">
        <v>1003</v>
      </c>
      <c r="X794" s="66" t="s">
        <v>2571</v>
      </c>
      <c r="Y794" s="66"/>
      <c r="Z794" s="121" t="s">
        <v>3416</v>
      </c>
      <c r="AA794" s="336" t="s">
        <v>1169</v>
      </c>
      <c r="AB794" s="121" t="s">
        <v>1177</v>
      </c>
      <c r="AC794" s="370"/>
    </row>
    <row r="795" spans="1:29" ht="39.950000000000003" customHeight="1" x14ac:dyDescent="0.2">
      <c r="A795" s="66">
        <v>797</v>
      </c>
      <c r="B795" s="68"/>
      <c r="C795" s="66"/>
      <c r="D795" s="66" t="s">
        <v>3368</v>
      </c>
      <c r="E795" s="67" t="s">
        <v>3369</v>
      </c>
      <c r="F795" s="66">
        <v>5</v>
      </c>
      <c r="G795" s="66" t="s">
        <v>2774</v>
      </c>
      <c r="H795" s="68">
        <v>45224</v>
      </c>
      <c r="I795" s="68" t="s">
        <v>73</v>
      </c>
      <c r="J795" s="68" t="s">
        <v>31</v>
      </c>
      <c r="K795" s="66">
        <f>IFERROR(VLOOKUP(J795,Jueces!$A$1:$B$11,2,FALSE),"")</f>
        <v>2</v>
      </c>
      <c r="L795" s="66" t="s">
        <v>796</v>
      </c>
      <c r="M795" s="66" t="s">
        <v>3370</v>
      </c>
      <c r="N795" s="66" t="s">
        <v>3632</v>
      </c>
      <c r="O795" s="81" t="str">
        <f t="shared" ca="1" si="42"/>
        <v>SI</v>
      </c>
      <c r="P795" s="81" t="str">
        <f t="shared" si="44"/>
        <v>DIANOSOL</v>
      </c>
      <c r="Q795" s="66" t="s">
        <v>151</v>
      </c>
      <c r="R795" s="66" t="str">
        <f>VLOOKUP($Q795,Resultados!$A$1:$B$49,2,FALSE)</f>
        <v>Prisión Preventiva</v>
      </c>
      <c r="S795" s="66" t="s">
        <v>1009</v>
      </c>
      <c r="T795" s="84" t="str">
        <f t="shared" si="43"/>
        <v>NO</v>
      </c>
      <c r="U795" s="84"/>
      <c r="V795" s="81"/>
      <c r="W795" s="66" t="s">
        <v>1210</v>
      </c>
      <c r="X795" s="66" t="s">
        <v>3633</v>
      </c>
      <c r="Y795" s="66"/>
      <c r="Z795" s="121" t="s">
        <v>3483</v>
      </c>
      <c r="AA795" s="121" t="s">
        <v>2852</v>
      </c>
      <c r="AB795" s="121" t="s">
        <v>1175</v>
      </c>
      <c r="AC795" s="370"/>
    </row>
    <row r="796" spans="1:29" ht="39.950000000000003" customHeight="1" x14ac:dyDescent="0.2">
      <c r="A796" s="81">
        <v>798</v>
      </c>
      <c r="B796" s="83">
        <v>45211</v>
      </c>
      <c r="C796" s="323">
        <v>0.33333333333333331</v>
      </c>
      <c r="D796" s="81" t="s">
        <v>3371</v>
      </c>
      <c r="E796" s="82" t="s">
        <v>3372</v>
      </c>
      <c r="F796" s="81">
        <v>1</v>
      </c>
      <c r="G796" s="81" t="s">
        <v>1441</v>
      </c>
      <c r="H796" s="83">
        <v>45231</v>
      </c>
      <c r="I796" s="83" t="s">
        <v>749</v>
      </c>
      <c r="J796" s="83" t="s">
        <v>1225</v>
      </c>
      <c r="K796" s="81">
        <f>IFERROR(VLOOKUP(J796,Jueces!$A$1:$B$11,2,FALSE),"")</f>
        <v>6</v>
      </c>
      <c r="L796" s="81" t="s">
        <v>829</v>
      </c>
      <c r="M796" s="81" t="s">
        <v>712</v>
      </c>
      <c r="N796" s="81"/>
      <c r="O796" s="81" t="str">
        <f t="shared" ca="1" si="42"/>
        <v>NO</v>
      </c>
      <c r="P796" s="81" t="str">
        <f t="shared" si="44"/>
        <v>DIANOSOL</v>
      </c>
      <c r="Q796" s="81" t="s">
        <v>951</v>
      </c>
      <c r="R796" s="81" t="str">
        <f>VLOOKUP($Q796,Resultados!$A$1:$B$49,2,FALSE)</f>
        <v xml:space="preserve"> _</v>
      </c>
      <c r="S796" s="81"/>
      <c r="T796" s="84" t="str">
        <f t="shared" si="43"/>
        <v>NO</v>
      </c>
      <c r="U796" s="84"/>
      <c r="V796" s="81"/>
      <c r="W796" s="81"/>
      <c r="X796" s="81"/>
      <c r="Y796" s="81"/>
      <c r="Z796" s="81"/>
      <c r="AA796" s="321" t="s">
        <v>2895</v>
      </c>
      <c r="AB796" s="81"/>
      <c r="AC796" s="88"/>
    </row>
    <row r="797" spans="1:29" ht="39.950000000000003" customHeight="1" x14ac:dyDescent="0.2">
      <c r="A797" s="66">
        <v>799</v>
      </c>
      <c r="B797" s="68">
        <v>45210</v>
      </c>
      <c r="C797" s="73">
        <v>0.51874999999999993</v>
      </c>
      <c r="D797" s="66" t="s">
        <v>3373</v>
      </c>
      <c r="E797" s="67" t="s">
        <v>3375</v>
      </c>
      <c r="F797" s="66">
        <v>1</v>
      </c>
      <c r="G797" s="66" t="s">
        <v>1441</v>
      </c>
      <c r="H797" s="68">
        <v>45226</v>
      </c>
      <c r="I797" s="68" t="s">
        <v>749</v>
      </c>
      <c r="J797" s="68" t="s">
        <v>2954</v>
      </c>
      <c r="K797" s="66" t="s">
        <v>2394</v>
      </c>
      <c r="L797" s="66" t="s">
        <v>582</v>
      </c>
      <c r="M797" s="66" t="s">
        <v>783</v>
      </c>
      <c r="N797" s="210" t="s">
        <v>3713</v>
      </c>
      <c r="O797" s="66" t="str">
        <f t="shared" ca="1" si="42"/>
        <v>SI</v>
      </c>
      <c r="P797" s="66" t="str">
        <f t="shared" si="44"/>
        <v>DIANOSOL</v>
      </c>
      <c r="Q797" s="66" t="s">
        <v>904</v>
      </c>
      <c r="R797" s="66" t="str">
        <f>VLOOKUP($Q797,Resultados!$A$1:$B$49,2,FALSE)</f>
        <v>Juicio Abreviado</v>
      </c>
      <c r="S797" s="66" t="s">
        <v>1584</v>
      </c>
      <c r="T797" s="75" t="str">
        <f t="shared" si="43"/>
        <v>NO</v>
      </c>
      <c r="U797" s="75"/>
      <c r="V797" s="66"/>
      <c r="W797" s="66" t="s">
        <v>3134</v>
      </c>
      <c r="X797" s="66"/>
      <c r="Y797" s="66"/>
      <c r="Z797" s="121" t="s">
        <v>748</v>
      </c>
      <c r="AA797" s="121"/>
      <c r="AB797" s="121" t="s">
        <v>3365</v>
      </c>
      <c r="AC797" s="370"/>
    </row>
    <row r="798" spans="1:29" ht="39.950000000000003" customHeight="1" x14ac:dyDescent="0.2">
      <c r="A798" s="66">
        <v>800</v>
      </c>
      <c r="B798" s="68">
        <v>45210</v>
      </c>
      <c r="C798" s="73">
        <v>0.51597222222222217</v>
      </c>
      <c r="D798" s="367" t="s">
        <v>3374</v>
      </c>
      <c r="E798" s="67" t="s">
        <v>3383</v>
      </c>
      <c r="F798" s="66">
        <v>1</v>
      </c>
      <c r="G798" s="66" t="s">
        <v>1442</v>
      </c>
      <c r="H798" s="68">
        <v>45225</v>
      </c>
      <c r="I798" s="68" t="s">
        <v>228</v>
      </c>
      <c r="J798" s="68" t="s">
        <v>31</v>
      </c>
      <c r="K798" s="66">
        <f>IFERROR(VLOOKUP(J798,Jueces!$A$1:$B$11,2,FALSE),"")</f>
        <v>2</v>
      </c>
      <c r="L798" s="66" t="s">
        <v>582</v>
      </c>
      <c r="M798" s="66" t="s">
        <v>783</v>
      </c>
      <c r="N798" s="66" t="s">
        <v>3685</v>
      </c>
      <c r="O798" s="81" t="str">
        <f t="shared" ca="1" si="42"/>
        <v>SI</v>
      </c>
      <c r="P798" s="81" t="str">
        <f t="shared" si="44"/>
        <v>DIANOSOL</v>
      </c>
      <c r="Q798" s="66" t="s">
        <v>904</v>
      </c>
      <c r="R798" s="66" t="str">
        <f>VLOOKUP($Q798,Resultados!$A$1:$B$49,2,FALSE)</f>
        <v>Juicio Abreviado</v>
      </c>
      <c r="S798" s="66" t="s">
        <v>2761</v>
      </c>
      <c r="T798" s="84" t="str">
        <f t="shared" si="43"/>
        <v>SI</v>
      </c>
      <c r="U798" s="84"/>
      <c r="V798" s="81"/>
      <c r="W798" s="66" t="s">
        <v>3686</v>
      </c>
      <c r="X798" s="66" t="s">
        <v>3258</v>
      </c>
      <c r="Y798" s="66"/>
      <c r="Z798" s="121" t="s">
        <v>2867</v>
      </c>
      <c r="AA798" s="121"/>
      <c r="AB798" s="121" t="s">
        <v>3301</v>
      </c>
      <c r="AC798" s="370" t="s">
        <v>1801</v>
      </c>
    </row>
    <row r="799" spans="1:29" ht="39.950000000000003" customHeight="1" x14ac:dyDescent="0.2">
      <c r="A799" s="81">
        <v>801</v>
      </c>
      <c r="B799" s="83">
        <v>45241</v>
      </c>
      <c r="C799" s="323">
        <v>0.49652777777777773</v>
      </c>
      <c r="D799" s="367" t="s">
        <v>3376</v>
      </c>
      <c r="E799" s="82" t="s">
        <v>3377</v>
      </c>
      <c r="F799" s="81">
        <v>4</v>
      </c>
      <c r="G799" s="81" t="s">
        <v>283</v>
      </c>
      <c r="H799" s="83">
        <v>45229</v>
      </c>
      <c r="I799" s="83" t="s">
        <v>73</v>
      </c>
      <c r="J799" s="83" t="s">
        <v>2954</v>
      </c>
      <c r="K799" s="81" t="s">
        <v>1925</v>
      </c>
      <c r="L799" s="81" t="s">
        <v>812</v>
      </c>
      <c r="M799" s="81" t="s">
        <v>1965</v>
      </c>
      <c r="N799" s="81" t="s">
        <v>3597</v>
      </c>
      <c r="O799" s="81" t="str">
        <f t="shared" ca="1" si="42"/>
        <v>NO</v>
      </c>
      <c r="P799" s="81" t="str">
        <f t="shared" si="44"/>
        <v>DIASOL</v>
      </c>
      <c r="Q799" s="81" t="s">
        <v>951</v>
      </c>
      <c r="R799" s="81" t="str">
        <f>VLOOKUP($Q799,Resultados!$A$1:$B$49,2,FALSE)</f>
        <v xml:space="preserve"> _</v>
      </c>
      <c r="S799" s="81"/>
      <c r="T799" s="84" t="str">
        <f t="shared" ref="T799:T830" si="45">IF(G799=$J$1,"SI","NO")</f>
        <v>NO</v>
      </c>
      <c r="U799" s="84"/>
      <c r="V799" s="81"/>
      <c r="W799" s="81"/>
      <c r="X799" s="81"/>
      <c r="Y799" s="81"/>
      <c r="Z799" s="81"/>
      <c r="AA799" s="321" t="s">
        <v>1171</v>
      </c>
      <c r="AB799" s="81"/>
      <c r="AC799" s="366" t="s">
        <v>1801</v>
      </c>
    </row>
    <row r="800" spans="1:29" ht="39.950000000000003" customHeight="1" x14ac:dyDescent="0.2">
      <c r="A800" s="240">
        <v>802</v>
      </c>
      <c r="B800" s="324">
        <v>45210</v>
      </c>
      <c r="C800" s="240" t="s">
        <v>3378</v>
      </c>
      <c r="D800" s="240" t="s">
        <v>3379</v>
      </c>
      <c r="E800" s="243" t="s">
        <v>3380</v>
      </c>
      <c r="F800" s="240">
        <v>4</v>
      </c>
      <c r="G800" s="240"/>
      <c r="H800" s="324"/>
      <c r="I800" s="324"/>
      <c r="J800" s="324"/>
      <c r="K800" s="240" t="str">
        <f>IFERROR(VLOOKUP(J800,Jueces!$A$1:$B$11,2,FALSE),"")</f>
        <v/>
      </c>
      <c r="L800" s="240" t="s">
        <v>814</v>
      </c>
      <c r="M800" s="240" t="s">
        <v>2286</v>
      </c>
      <c r="N800" s="240"/>
      <c r="O800" s="240" t="str">
        <f t="shared" ca="1" si="42"/>
        <v>LIMBO</v>
      </c>
      <c r="P800" s="240" t="str">
        <f t="shared" si="44"/>
        <v>DIANOSOL</v>
      </c>
      <c r="Q800" s="240" t="s">
        <v>951</v>
      </c>
      <c r="R800" s="240" t="str">
        <f>VLOOKUP($Q800,Resultados!$A$1:$B$49,2,FALSE)</f>
        <v xml:space="preserve"> _</v>
      </c>
      <c r="S800" s="240"/>
      <c r="T800" s="241" t="str">
        <f t="shared" si="45"/>
        <v>NO</v>
      </c>
      <c r="U800" s="241"/>
      <c r="V800" s="240"/>
      <c r="W800" s="240"/>
      <c r="X800" s="240"/>
      <c r="Y800" s="240"/>
      <c r="Z800" s="240"/>
      <c r="AA800" s="240"/>
      <c r="AB800" s="240"/>
      <c r="AC800" s="366"/>
    </row>
    <row r="801" spans="1:29" ht="39.950000000000003" customHeight="1" x14ac:dyDescent="0.2">
      <c r="A801" s="66">
        <v>803</v>
      </c>
      <c r="B801" s="68">
        <v>45209</v>
      </c>
      <c r="C801" s="73">
        <v>0.4458333333333333</v>
      </c>
      <c r="D801" s="66" t="s">
        <v>3381</v>
      </c>
      <c r="E801" s="67" t="s">
        <v>3382</v>
      </c>
      <c r="F801" s="66">
        <v>1</v>
      </c>
      <c r="G801" s="66" t="s">
        <v>1443</v>
      </c>
      <c r="H801" s="68">
        <v>45226</v>
      </c>
      <c r="I801" s="68" t="s">
        <v>73</v>
      </c>
      <c r="J801" s="68" t="s">
        <v>2951</v>
      </c>
      <c r="K801" s="66" t="s">
        <v>1925</v>
      </c>
      <c r="L801" s="66" t="s">
        <v>793</v>
      </c>
      <c r="M801" s="66" t="s">
        <v>692</v>
      </c>
      <c r="N801" s="66" t="s">
        <v>3714</v>
      </c>
      <c r="O801" s="66" t="str">
        <f t="shared" ca="1" si="42"/>
        <v>SI</v>
      </c>
      <c r="P801" s="66" t="str">
        <f t="shared" si="44"/>
        <v>DIANOSOL</v>
      </c>
      <c r="Q801" s="66" t="s">
        <v>904</v>
      </c>
      <c r="R801" s="66" t="str">
        <f>VLOOKUP($Q801,Resultados!$A$1:$B$49,2,FALSE)</f>
        <v>Juicio Abreviado</v>
      </c>
      <c r="S801" s="66" t="s">
        <v>1612</v>
      </c>
      <c r="T801" s="75" t="str">
        <f t="shared" si="45"/>
        <v>NO</v>
      </c>
      <c r="U801" s="75"/>
      <c r="V801" s="66"/>
      <c r="W801" s="66" t="s">
        <v>2060</v>
      </c>
      <c r="X801" s="66" t="s">
        <v>2571</v>
      </c>
      <c r="Y801" s="66"/>
      <c r="Z801" s="121" t="s">
        <v>2867</v>
      </c>
      <c r="AA801" s="121" t="s">
        <v>1171</v>
      </c>
      <c r="AB801" s="121" t="s">
        <v>1175</v>
      </c>
      <c r="AC801" s="370"/>
    </row>
    <row r="802" spans="1:29" ht="39.950000000000003" customHeight="1" x14ac:dyDescent="0.2">
      <c r="A802" s="66">
        <v>804</v>
      </c>
      <c r="B802" s="68">
        <v>45210</v>
      </c>
      <c r="C802" s="73">
        <v>0.38472222222222219</v>
      </c>
      <c r="D802" s="66" t="s">
        <v>3384</v>
      </c>
      <c r="E802" s="67" t="s">
        <v>3385</v>
      </c>
      <c r="F802" s="66">
        <v>2</v>
      </c>
      <c r="G802" s="66" t="s">
        <v>2774</v>
      </c>
      <c r="H802" s="68">
        <v>45223</v>
      </c>
      <c r="I802" s="68" t="s">
        <v>1086</v>
      </c>
      <c r="J802" s="68" t="s">
        <v>1225</v>
      </c>
      <c r="K802" s="66">
        <f>IFERROR(VLOOKUP(J802,Jueces!$A$1:$B$11,2,FALSE),"")</f>
        <v>6</v>
      </c>
      <c r="L802" s="66" t="s">
        <v>812</v>
      </c>
      <c r="M802" s="66" t="s">
        <v>692</v>
      </c>
      <c r="N802" s="66" t="s">
        <v>621</v>
      </c>
      <c r="O802" s="81" t="str">
        <f t="shared" ca="1" si="42"/>
        <v>SI</v>
      </c>
      <c r="P802" s="81" t="str">
        <f t="shared" si="44"/>
        <v>DIANOSOL</v>
      </c>
      <c r="Q802" s="66" t="s">
        <v>151</v>
      </c>
      <c r="R802" s="66" t="str">
        <f>VLOOKUP($Q802,Resultados!$A$1:$B$49,2,FALSE)</f>
        <v>Prisión Preventiva</v>
      </c>
      <c r="S802" s="66" t="s">
        <v>2076</v>
      </c>
      <c r="T802" s="84" t="str">
        <f t="shared" si="45"/>
        <v>NO</v>
      </c>
      <c r="U802" s="84"/>
      <c r="V802" s="81"/>
      <c r="W802" s="66" t="s">
        <v>1578</v>
      </c>
      <c r="X802" s="66"/>
      <c r="Y802" s="66"/>
      <c r="Z802" s="121" t="s">
        <v>3483</v>
      </c>
      <c r="AA802" s="121" t="s">
        <v>3428</v>
      </c>
      <c r="AB802" s="121" t="s">
        <v>1174</v>
      </c>
      <c r="AC802" s="370"/>
    </row>
    <row r="803" spans="1:29" ht="39.950000000000003" customHeight="1" x14ac:dyDescent="0.2">
      <c r="A803" s="240">
        <v>805</v>
      </c>
      <c r="B803" s="324">
        <v>45202</v>
      </c>
      <c r="C803" s="325">
        <v>0.47083333333333338</v>
      </c>
      <c r="D803" s="240" t="s">
        <v>3162</v>
      </c>
      <c r="E803" s="243" t="s">
        <v>3386</v>
      </c>
      <c r="F803" s="240">
        <v>8</v>
      </c>
      <c r="G803" s="240"/>
      <c r="H803" s="324"/>
      <c r="I803" s="324"/>
      <c r="J803" s="324"/>
      <c r="K803" s="240" t="str">
        <f>IFERROR(VLOOKUP(J803,Jueces!$A$1:$B$11,2,FALSE),"")</f>
        <v/>
      </c>
      <c r="L803" s="240" t="s">
        <v>791</v>
      </c>
      <c r="M803" s="240" t="s">
        <v>887</v>
      </c>
      <c r="N803" s="240"/>
      <c r="O803" s="240" t="str">
        <f t="shared" ca="1" si="42"/>
        <v>LIMBO</v>
      </c>
      <c r="P803" s="240" t="str">
        <f t="shared" si="44"/>
        <v>DIANOSOL</v>
      </c>
      <c r="Q803" s="240" t="s">
        <v>951</v>
      </c>
      <c r="R803" s="240" t="str">
        <f>VLOOKUP($Q803,Resultados!$A$1:$B$49,2,FALSE)</f>
        <v xml:space="preserve"> _</v>
      </c>
      <c r="S803" s="240"/>
      <c r="T803" s="241" t="str">
        <f t="shared" si="45"/>
        <v>NO</v>
      </c>
      <c r="U803" s="241"/>
      <c r="V803" s="240"/>
      <c r="W803" s="240"/>
      <c r="X803" s="240"/>
      <c r="Y803" s="240"/>
      <c r="Z803" s="240"/>
      <c r="AA803" s="240"/>
      <c r="AB803" s="240"/>
      <c r="AC803" s="366"/>
    </row>
    <row r="804" spans="1:29" ht="39.950000000000003" customHeight="1" x14ac:dyDescent="0.2">
      <c r="A804" s="66">
        <v>806</v>
      </c>
      <c r="B804" s="68">
        <v>45210</v>
      </c>
      <c r="C804" s="73">
        <v>0.38819444444444445</v>
      </c>
      <c r="D804" s="66" t="s">
        <v>3387</v>
      </c>
      <c r="E804" s="67" t="s">
        <v>3388</v>
      </c>
      <c r="F804" s="66">
        <v>1</v>
      </c>
      <c r="G804" s="66" t="s">
        <v>568</v>
      </c>
      <c r="H804" s="68">
        <v>45226</v>
      </c>
      <c r="I804" s="68" t="s">
        <v>1086</v>
      </c>
      <c r="J804" s="68" t="s">
        <v>31</v>
      </c>
      <c r="K804" s="66">
        <f>IFERROR(VLOOKUP(J804,Jueces!$A$1:$B$11,2,FALSE),"")</f>
        <v>2</v>
      </c>
      <c r="L804" s="66" t="s">
        <v>582</v>
      </c>
      <c r="M804" s="66" t="s">
        <v>712</v>
      </c>
      <c r="N804" s="104" t="s">
        <v>3715</v>
      </c>
      <c r="O804" s="66" t="str">
        <f t="shared" ca="1" si="42"/>
        <v>SI</v>
      </c>
      <c r="P804" s="66" t="str">
        <f t="shared" si="44"/>
        <v>DIANOSOL</v>
      </c>
      <c r="Q804" s="66" t="s">
        <v>904</v>
      </c>
      <c r="R804" s="66" t="str">
        <f>VLOOKUP($Q804,Resultados!$A$1:$B$49,2,FALSE)</f>
        <v>Juicio Abreviado</v>
      </c>
      <c r="S804" s="66" t="s">
        <v>2964</v>
      </c>
      <c r="T804" s="75" t="str">
        <f t="shared" si="45"/>
        <v>NO</v>
      </c>
      <c r="U804" s="75"/>
      <c r="V804" s="66"/>
      <c r="W804" s="66" t="s">
        <v>75</v>
      </c>
      <c r="X804" s="66" t="s">
        <v>3716</v>
      </c>
      <c r="Y804" s="66"/>
      <c r="Z804" s="121" t="s">
        <v>748</v>
      </c>
      <c r="AA804" s="121"/>
      <c r="AB804" s="121" t="s">
        <v>1173</v>
      </c>
      <c r="AC804" s="370"/>
    </row>
    <row r="805" spans="1:29" ht="39.950000000000003" customHeight="1" x14ac:dyDescent="0.2">
      <c r="A805" s="66">
        <v>807</v>
      </c>
      <c r="B805" s="68">
        <v>45210</v>
      </c>
      <c r="C805" s="73">
        <v>0.3840277777777778</v>
      </c>
      <c r="D805" s="66" t="s">
        <v>3389</v>
      </c>
      <c r="E805" s="67" t="s">
        <v>3390</v>
      </c>
      <c r="F805" s="66">
        <v>1</v>
      </c>
      <c r="G805" s="66" t="s">
        <v>3366</v>
      </c>
      <c r="H805" s="68">
        <v>45224</v>
      </c>
      <c r="I805" s="68" t="s">
        <v>73</v>
      </c>
      <c r="J805" s="68" t="s">
        <v>78</v>
      </c>
      <c r="K805" s="66">
        <f>IFERROR(VLOOKUP(J805,Jueces!$A$1:$B$11,2,FALSE),"")</f>
        <v>8</v>
      </c>
      <c r="L805" s="66" t="s">
        <v>829</v>
      </c>
      <c r="M805" s="66" t="s">
        <v>1179</v>
      </c>
      <c r="N805" s="66" t="s">
        <v>3637</v>
      </c>
      <c r="O805" s="81" t="str">
        <f t="shared" ca="1" si="42"/>
        <v>SI</v>
      </c>
      <c r="P805" s="81" t="str">
        <f t="shared" si="44"/>
        <v>DIANOSOL</v>
      </c>
      <c r="Q805" s="66" t="s">
        <v>911</v>
      </c>
      <c r="R805" s="66" t="str">
        <f>VLOOKUP($Q805,Resultados!$A$1:$B$49,2,FALSE)</f>
        <v>Suspendida</v>
      </c>
      <c r="S805" s="66" t="s">
        <v>3638</v>
      </c>
      <c r="T805" s="84" t="str">
        <f t="shared" si="45"/>
        <v>NO</v>
      </c>
      <c r="U805" s="84"/>
      <c r="V805" s="81"/>
      <c r="W805" s="66" t="s">
        <v>989</v>
      </c>
      <c r="X805" s="66" t="s">
        <v>2155</v>
      </c>
      <c r="Y805" s="66"/>
      <c r="Z805" s="121" t="s">
        <v>748</v>
      </c>
      <c r="AA805" s="121" t="s">
        <v>3428</v>
      </c>
      <c r="AB805" s="121" t="s">
        <v>3365</v>
      </c>
      <c r="AC805" s="370"/>
    </row>
    <row r="806" spans="1:29" ht="39.950000000000003" customHeight="1" x14ac:dyDescent="0.2">
      <c r="A806" s="81">
        <v>808</v>
      </c>
      <c r="B806" s="83">
        <v>45210</v>
      </c>
      <c r="C806" s="323">
        <v>0.37013888888888885</v>
      </c>
      <c r="D806" s="81" t="s">
        <v>3391</v>
      </c>
      <c r="E806" s="82" t="s">
        <v>3392</v>
      </c>
      <c r="F806" s="81">
        <v>1</v>
      </c>
      <c r="G806" s="81" t="s">
        <v>1443</v>
      </c>
      <c r="H806" s="83">
        <v>45229</v>
      </c>
      <c r="I806" s="83" t="s">
        <v>73</v>
      </c>
      <c r="J806" s="83" t="s">
        <v>2951</v>
      </c>
      <c r="K806" s="81" t="s">
        <v>1346</v>
      </c>
      <c r="L806" s="81" t="s">
        <v>813</v>
      </c>
      <c r="M806" s="81" t="s">
        <v>711</v>
      </c>
      <c r="N806" s="81"/>
      <c r="O806" s="81" t="str">
        <f t="shared" ca="1" si="42"/>
        <v>NO</v>
      </c>
      <c r="P806" s="81" t="str">
        <f t="shared" si="44"/>
        <v>DIASOL</v>
      </c>
      <c r="Q806" s="81" t="s">
        <v>951</v>
      </c>
      <c r="R806" s="81" t="str">
        <f>VLOOKUP($Q806,Resultados!$A$1:$B$49,2,FALSE)</f>
        <v xml:space="preserve"> _</v>
      </c>
      <c r="S806" s="81"/>
      <c r="T806" s="84" t="str">
        <f t="shared" si="45"/>
        <v>NO</v>
      </c>
      <c r="U806" s="84"/>
      <c r="V806" s="81"/>
      <c r="W806" s="81"/>
      <c r="X806" s="81"/>
      <c r="Y806" s="81"/>
      <c r="Z806" s="81"/>
      <c r="AA806" s="321" t="s">
        <v>2895</v>
      </c>
      <c r="AB806" s="81"/>
      <c r="AC806" s="366"/>
    </row>
    <row r="807" spans="1:29" ht="39.950000000000003" customHeight="1" x14ac:dyDescent="0.2">
      <c r="A807" s="81">
        <v>809</v>
      </c>
      <c r="B807" s="83">
        <v>45210</v>
      </c>
      <c r="C807" s="323">
        <v>0.3659722222222222</v>
      </c>
      <c r="D807" s="81" t="s">
        <v>3393</v>
      </c>
      <c r="E807" s="82" t="s">
        <v>3394</v>
      </c>
      <c r="F807" s="81">
        <v>1</v>
      </c>
      <c r="G807" s="81" t="s">
        <v>3367</v>
      </c>
      <c r="H807" s="83">
        <v>45230</v>
      </c>
      <c r="I807" s="83" t="s">
        <v>73</v>
      </c>
      <c r="J807" s="83" t="s">
        <v>2951</v>
      </c>
      <c r="K807" s="81" t="s">
        <v>1925</v>
      </c>
      <c r="L807" s="81" t="s">
        <v>810</v>
      </c>
      <c r="M807" s="81" t="s">
        <v>3395</v>
      </c>
      <c r="N807" s="81" t="s">
        <v>3622</v>
      </c>
      <c r="O807" s="81" t="str">
        <f t="shared" ca="1" si="42"/>
        <v>NO</v>
      </c>
      <c r="P807" s="81" t="str">
        <f t="shared" si="44"/>
        <v>DIANOSOL</v>
      </c>
      <c r="Q807" s="81" t="s">
        <v>951</v>
      </c>
      <c r="R807" s="81" t="str">
        <f>VLOOKUP($Q807,Resultados!$A$1:$B$49,2,FALSE)</f>
        <v xml:space="preserve"> _</v>
      </c>
      <c r="S807" s="81"/>
      <c r="T807" s="84" t="str">
        <f t="shared" si="45"/>
        <v>NO</v>
      </c>
      <c r="U807" s="84"/>
      <c r="V807" s="81"/>
      <c r="W807" s="81"/>
      <c r="X807" s="81"/>
      <c r="Y807" s="81"/>
      <c r="Z807" s="81"/>
      <c r="AA807" s="321" t="s">
        <v>2895</v>
      </c>
      <c r="AB807" s="81"/>
      <c r="AC807" s="366"/>
    </row>
    <row r="808" spans="1:29" ht="39.950000000000003" customHeight="1" x14ac:dyDescent="0.2">
      <c r="A808" s="81">
        <v>810</v>
      </c>
      <c r="B808" s="83">
        <v>45211</v>
      </c>
      <c r="C808" s="323">
        <v>0.38680555555555557</v>
      </c>
      <c r="D808" s="81" t="s">
        <v>3396</v>
      </c>
      <c r="E808" s="82" t="s">
        <v>3397</v>
      </c>
      <c r="F808" s="81">
        <v>7</v>
      </c>
      <c r="G808" s="81" t="s">
        <v>283</v>
      </c>
      <c r="H808" s="83">
        <v>45233</v>
      </c>
      <c r="I808" s="83" t="s">
        <v>1086</v>
      </c>
      <c r="J808" s="83" t="s">
        <v>35</v>
      </c>
      <c r="K808" s="81">
        <f>IFERROR(VLOOKUP(J808,Jueces!$A$1:$B$11,2,FALSE),"")</f>
        <v>3</v>
      </c>
      <c r="L808" s="81" t="s">
        <v>1070</v>
      </c>
      <c r="M808" s="81" t="s">
        <v>692</v>
      </c>
      <c r="N808" s="81" t="s">
        <v>3553</v>
      </c>
      <c r="O808" s="81" t="str">
        <f t="shared" ca="1" si="42"/>
        <v>NO</v>
      </c>
      <c r="P808" s="81" t="str">
        <f t="shared" si="44"/>
        <v>DIANOSOL</v>
      </c>
      <c r="Q808" s="81" t="s">
        <v>951</v>
      </c>
      <c r="R808" s="81" t="str">
        <f>VLOOKUP($Q808,Resultados!$A$1:$B$49,2,FALSE)</f>
        <v xml:space="preserve"> _</v>
      </c>
      <c r="S808" s="81"/>
      <c r="T808" s="84" t="str">
        <f t="shared" si="45"/>
        <v>NO</v>
      </c>
      <c r="U808" s="84"/>
      <c r="V808" s="81"/>
      <c r="W808" s="81"/>
      <c r="X808" s="81"/>
      <c r="Y808" s="81"/>
      <c r="Z808" s="81"/>
      <c r="AA808" s="321" t="s">
        <v>3428</v>
      </c>
      <c r="AB808" s="81"/>
      <c r="AC808" s="88"/>
    </row>
    <row r="809" spans="1:29" ht="39.950000000000003" customHeight="1" x14ac:dyDescent="0.2">
      <c r="A809" s="66">
        <v>811</v>
      </c>
      <c r="B809" s="68">
        <v>45211</v>
      </c>
      <c r="C809" s="66" t="s">
        <v>1235</v>
      </c>
      <c r="D809" s="66" t="s">
        <v>3398</v>
      </c>
      <c r="E809" s="67" t="s">
        <v>3401</v>
      </c>
      <c r="F809" s="66">
        <v>1</v>
      </c>
      <c r="G809" s="66" t="s">
        <v>1442</v>
      </c>
      <c r="H809" s="68">
        <v>45226</v>
      </c>
      <c r="I809" s="68" t="s">
        <v>1210</v>
      </c>
      <c r="J809" s="68" t="s">
        <v>33</v>
      </c>
      <c r="K809" s="66">
        <f>IFERROR(VLOOKUP(J809,Jueces!$A$1:$B$11,2,FALSE),"")</f>
        <v>4</v>
      </c>
      <c r="L809" s="66" t="s">
        <v>812</v>
      </c>
      <c r="M809" s="66" t="s">
        <v>1179</v>
      </c>
      <c r="N809" s="66" t="s">
        <v>577</v>
      </c>
      <c r="O809" s="66" t="str">
        <f t="shared" ca="1" si="42"/>
        <v>SI</v>
      </c>
      <c r="P809" s="66" t="str">
        <f t="shared" si="44"/>
        <v>DIANOSOL</v>
      </c>
      <c r="Q809" s="66" t="s">
        <v>151</v>
      </c>
      <c r="R809" s="66" t="str">
        <f>VLOOKUP($Q809,Resultados!$A$1:$B$49,2,FALSE)</f>
        <v>Prisión Preventiva</v>
      </c>
      <c r="S809" s="66" t="s">
        <v>1337</v>
      </c>
      <c r="T809" s="75" t="str">
        <f t="shared" si="45"/>
        <v>SI</v>
      </c>
      <c r="U809" s="75"/>
      <c r="V809" s="66"/>
      <c r="W809" s="66" t="s">
        <v>2685</v>
      </c>
      <c r="X809" s="66" t="s">
        <v>2571</v>
      </c>
      <c r="Y809" s="66"/>
      <c r="Z809" s="121" t="s">
        <v>3416</v>
      </c>
      <c r="AA809" s="121" t="s">
        <v>3428</v>
      </c>
      <c r="AB809" s="121" t="s">
        <v>3301</v>
      </c>
      <c r="AC809" s="370"/>
    </row>
    <row r="810" spans="1:29" ht="39.950000000000003" customHeight="1" x14ac:dyDescent="0.2">
      <c r="A810" s="240">
        <v>812</v>
      </c>
      <c r="B810" s="324">
        <v>45210</v>
      </c>
      <c r="C810" s="325">
        <v>0.41250000000000003</v>
      </c>
      <c r="D810" s="240" t="s">
        <v>3337</v>
      </c>
      <c r="E810" s="243" t="s">
        <v>3399</v>
      </c>
      <c r="F810" s="240">
        <v>2</v>
      </c>
      <c r="G810" s="240"/>
      <c r="H810" s="324"/>
      <c r="I810" s="324"/>
      <c r="J810" s="324"/>
      <c r="K810" s="240" t="str">
        <f>IFERROR(VLOOKUP(J810,Jueces!$A$1:$B$11,2,FALSE),"")</f>
        <v/>
      </c>
      <c r="L810" s="240" t="s">
        <v>813</v>
      </c>
      <c r="M810" s="240" t="s">
        <v>693</v>
      </c>
      <c r="N810" s="240"/>
      <c r="O810" s="240" t="str">
        <f t="shared" ca="1" si="42"/>
        <v>LIMBO</v>
      </c>
      <c r="P810" s="240" t="str">
        <f t="shared" si="44"/>
        <v>DIANOSOL</v>
      </c>
      <c r="Q810" s="240" t="s">
        <v>951</v>
      </c>
      <c r="R810" s="240" t="str">
        <f>VLOOKUP($Q810,Resultados!$A$1:$B$49,2,FALSE)</f>
        <v xml:space="preserve"> _</v>
      </c>
      <c r="S810" s="240"/>
      <c r="T810" s="241" t="str">
        <f t="shared" si="45"/>
        <v>NO</v>
      </c>
      <c r="U810" s="241"/>
      <c r="V810" s="240"/>
      <c r="W810" s="240"/>
      <c r="X810" s="240"/>
      <c r="Y810" s="240"/>
      <c r="Z810" s="240"/>
      <c r="AA810" s="240"/>
      <c r="AB810" s="240"/>
      <c r="AC810" s="366"/>
    </row>
    <row r="811" spans="1:29" ht="39.950000000000003" customHeight="1" x14ac:dyDescent="0.2">
      <c r="A811" s="170">
        <v>813</v>
      </c>
      <c r="B811" s="326"/>
      <c r="C811" s="170"/>
      <c r="D811" s="170"/>
      <c r="E811" s="171" t="s">
        <v>3417</v>
      </c>
      <c r="F811" s="170">
        <v>1</v>
      </c>
      <c r="G811" s="170"/>
      <c r="H811" s="326"/>
      <c r="I811" s="326"/>
      <c r="J811" s="326"/>
      <c r="K811" s="170" t="str">
        <f>IFERROR(VLOOKUP(J811,Jueces!$A$1:$B$11,2,FALSE),"")</f>
        <v/>
      </c>
      <c r="L811" s="170" t="s">
        <v>812</v>
      </c>
      <c r="M811" s="170"/>
      <c r="N811" s="170"/>
      <c r="O811" s="170" t="str">
        <f t="shared" ca="1" si="42"/>
        <v>LIMBO</v>
      </c>
      <c r="P811" s="170" t="str">
        <f t="shared" si="44"/>
        <v>DIANOSOL</v>
      </c>
      <c r="Q811" s="170" t="s">
        <v>951</v>
      </c>
      <c r="R811" s="170" t="str">
        <f>VLOOKUP($Q811,Resultados!$A$1:$B$49,2,FALSE)</f>
        <v xml:space="preserve"> _</v>
      </c>
      <c r="S811" s="170"/>
      <c r="T811" s="172" t="str">
        <f t="shared" si="45"/>
        <v>NO</v>
      </c>
      <c r="U811" s="172"/>
      <c r="V811" s="170"/>
      <c r="W811" s="170"/>
      <c r="X811" s="170"/>
      <c r="Y811" s="170"/>
      <c r="Z811" s="170"/>
      <c r="AA811" s="170"/>
      <c r="AB811" s="170"/>
      <c r="AC811" s="366"/>
    </row>
    <row r="812" spans="1:29" ht="39.950000000000003" customHeight="1" x14ac:dyDescent="0.2">
      <c r="A812" s="66">
        <v>814</v>
      </c>
      <c r="B812" s="68"/>
      <c r="C812" s="66"/>
      <c r="D812" s="367" t="s">
        <v>2928</v>
      </c>
      <c r="E812" s="67" t="s">
        <v>2880</v>
      </c>
      <c r="F812" s="66">
        <v>1</v>
      </c>
      <c r="G812" s="66" t="s">
        <v>1441</v>
      </c>
      <c r="H812" s="68">
        <v>45225</v>
      </c>
      <c r="I812" s="68" t="s">
        <v>749</v>
      </c>
      <c r="J812" s="68" t="s">
        <v>1225</v>
      </c>
      <c r="K812" s="66">
        <f>IFERROR(VLOOKUP(J812,Jueces!$A$1:$B$11,2,FALSE),"")</f>
        <v>6</v>
      </c>
      <c r="L812" s="66" t="s">
        <v>569</v>
      </c>
      <c r="M812" s="66" t="s">
        <v>1087</v>
      </c>
      <c r="N812" s="376" t="s">
        <v>2569</v>
      </c>
      <c r="O812" s="81" t="str">
        <f t="shared" ref="O812:O875" ca="1" si="46">IF(H812&lt;&gt;"",IF(H812&lt;=TODAY(),"SI","NO"),"LIMBO")</f>
        <v>SI</v>
      </c>
      <c r="P812" s="81" t="str">
        <f t="shared" si="44"/>
        <v>DIANOSOL</v>
      </c>
      <c r="Q812" s="66" t="s">
        <v>899</v>
      </c>
      <c r="R812" s="66" t="str">
        <f>VLOOKUP($Q812,Resultados!$A$1:$B$49,2,FALSE)</f>
        <v>Libertad</v>
      </c>
      <c r="S812" s="66" t="s">
        <v>2812</v>
      </c>
      <c r="T812" s="84" t="str">
        <f t="shared" si="45"/>
        <v>NO</v>
      </c>
      <c r="U812" s="84"/>
      <c r="V812" s="81"/>
      <c r="W812" s="66" t="s">
        <v>1123</v>
      </c>
      <c r="X812" s="66"/>
      <c r="Y812" s="66"/>
      <c r="Z812" s="121" t="s">
        <v>770</v>
      </c>
      <c r="AA812" s="121"/>
      <c r="AB812" s="121" t="s">
        <v>3365</v>
      </c>
      <c r="AC812" s="370" t="s">
        <v>1801</v>
      </c>
    </row>
    <row r="813" spans="1:29" ht="39.950000000000003" customHeight="1" x14ac:dyDescent="0.2">
      <c r="A813" s="81">
        <v>815</v>
      </c>
      <c r="B813" s="83">
        <v>45211</v>
      </c>
      <c r="C813" s="323">
        <v>0.53472222222222221</v>
      </c>
      <c r="D813" s="81" t="s">
        <v>3419</v>
      </c>
      <c r="E813" s="82" t="s">
        <v>3420</v>
      </c>
      <c r="F813" s="81">
        <v>2</v>
      </c>
      <c r="G813" s="81" t="s">
        <v>2838</v>
      </c>
      <c r="H813" s="83">
        <v>45230</v>
      </c>
      <c r="I813" s="83" t="s">
        <v>73</v>
      </c>
      <c r="J813" s="83" t="s">
        <v>31</v>
      </c>
      <c r="K813" s="81">
        <v>2</v>
      </c>
      <c r="L813" s="81" t="s">
        <v>798</v>
      </c>
      <c r="M813" s="81" t="s">
        <v>711</v>
      </c>
      <c r="N813" s="81"/>
      <c r="O813" s="81" t="str">
        <f t="shared" ca="1" si="46"/>
        <v>NO</v>
      </c>
      <c r="P813" s="81" t="str">
        <f t="shared" si="44"/>
        <v>DIANOSOL</v>
      </c>
      <c r="Q813" s="81" t="s">
        <v>951</v>
      </c>
      <c r="R813" s="81" t="str">
        <f>VLOOKUP($Q813,Resultados!$A$1:$B$49,2,FALSE)</f>
        <v xml:space="preserve"> _</v>
      </c>
      <c r="S813" s="81"/>
      <c r="T813" s="84" t="str">
        <f t="shared" si="45"/>
        <v>NO</v>
      </c>
      <c r="U813" s="84"/>
      <c r="V813" s="81"/>
      <c r="W813" s="81"/>
      <c r="X813" s="81"/>
      <c r="Y813" s="81"/>
      <c r="Z813" s="81"/>
      <c r="AA813" s="321" t="s">
        <v>3429</v>
      </c>
      <c r="AB813" s="81"/>
      <c r="AC813" s="366"/>
    </row>
    <row r="814" spans="1:29" ht="39.950000000000003" customHeight="1" x14ac:dyDescent="0.2">
      <c r="A814" s="81">
        <v>816</v>
      </c>
      <c r="B814" s="83">
        <v>45211</v>
      </c>
      <c r="C814" s="323">
        <v>0.5444444444444444</v>
      </c>
      <c r="D814" s="367" t="s">
        <v>3421</v>
      </c>
      <c r="E814" s="82" t="s">
        <v>3422</v>
      </c>
      <c r="F814" s="81">
        <v>1</v>
      </c>
      <c r="G814" s="81" t="s">
        <v>1441</v>
      </c>
      <c r="H814" s="83">
        <v>45230</v>
      </c>
      <c r="I814" s="83" t="s">
        <v>749</v>
      </c>
      <c r="J814" s="83" t="s">
        <v>1225</v>
      </c>
      <c r="K814" s="81">
        <f>IFERROR(VLOOKUP(J814,Jueces!$A$1:$B$11,2,FALSE),"")</f>
        <v>6</v>
      </c>
      <c r="L814" s="81" t="s">
        <v>582</v>
      </c>
      <c r="M814" s="81" t="s">
        <v>2055</v>
      </c>
      <c r="N814" s="81"/>
      <c r="O814" s="81" t="str">
        <f t="shared" ca="1" si="46"/>
        <v>NO</v>
      </c>
      <c r="P814" s="81" t="str">
        <f t="shared" si="44"/>
        <v>DIANOSOL</v>
      </c>
      <c r="Q814" s="81" t="s">
        <v>951</v>
      </c>
      <c r="R814" s="81" t="str">
        <f>VLOOKUP($Q814,Resultados!$A$1:$B$49,2,FALSE)</f>
        <v xml:space="preserve"> _</v>
      </c>
      <c r="S814" s="81"/>
      <c r="T814" s="84" t="str">
        <f t="shared" si="45"/>
        <v>NO</v>
      </c>
      <c r="U814" s="84"/>
      <c r="V814" s="81"/>
      <c r="W814" s="81"/>
      <c r="X814" s="81"/>
      <c r="Y814" s="81"/>
      <c r="Z814" s="81"/>
      <c r="AA814" s="321" t="s">
        <v>3428</v>
      </c>
      <c r="AB814" s="81"/>
      <c r="AC814" s="88" t="s">
        <v>1801</v>
      </c>
    </row>
    <row r="815" spans="1:29" ht="39.950000000000003" customHeight="1" x14ac:dyDescent="0.2">
      <c r="A815" s="66">
        <v>817</v>
      </c>
      <c r="B815" s="68">
        <v>45211</v>
      </c>
      <c r="C815" s="73">
        <v>0.55069444444444449</v>
      </c>
      <c r="D815" s="66" t="s">
        <v>3423</v>
      </c>
      <c r="E815" s="67" t="s">
        <v>3424</v>
      </c>
      <c r="F815" s="66">
        <v>1</v>
      </c>
      <c r="G815" s="66" t="s">
        <v>3367</v>
      </c>
      <c r="H815" s="68">
        <v>45226</v>
      </c>
      <c r="I815" s="68" t="s">
        <v>547</v>
      </c>
      <c r="J815" s="68" t="s">
        <v>1220</v>
      </c>
      <c r="K815" s="66" t="s">
        <v>1925</v>
      </c>
      <c r="L815" s="66" t="s">
        <v>812</v>
      </c>
      <c r="M815" s="66" t="s">
        <v>712</v>
      </c>
      <c r="N815" s="66" t="s">
        <v>3717</v>
      </c>
      <c r="O815" s="66" t="str">
        <f t="shared" ca="1" si="46"/>
        <v>SI</v>
      </c>
      <c r="P815" s="66" t="str">
        <f t="shared" si="44"/>
        <v>DIANOSOL</v>
      </c>
      <c r="Q815" s="66" t="s">
        <v>151</v>
      </c>
      <c r="R815" s="66" t="str">
        <f>VLOOKUP($Q815,Resultados!$A$1:$B$49,2,FALSE)</f>
        <v>Prisión Preventiva</v>
      </c>
      <c r="S815" s="66" t="s">
        <v>1805</v>
      </c>
      <c r="T815" s="75" t="str">
        <f t="shared" si="45"/>
        <v>NO</v>
      </c>
      <c r="U815" s="75"/>
      <c r="V815" s="66"/>
      <c r="W815" s="66" t="s">
        <v>3718</v>
      </c>
      <c r="X815" s="66" t="s">
        <v>2571</v>
      </c>
      <c r="Y815" s="66"/>
      <c r="Z815" s="121" t="s">
        <v>2867</v>
      </c>
      <c r="AA815" s="121" t="s">
        <v>3429</v>
      </c>
      <c r="AB815" s="121" t="s">
        <v>3365</v>
      </c>
      <c r="AC815" s="370"/>
    </row>
    <row r="816" spans="1:29" ht="39.950000000000003" customHeight="1" x14ac:dyDescent="0.2">
      <c r="A816" s="66">
        <v>818</v>
      </c>
      <c r="B816" s="68">
        <v>45211</v>
      </c>
      <c r="C816" s="73">
        <v>0.54166666666666663</v>
      </c>
      <c r="D816" s="66" t="s">
        <v>3425</v>
      </c>
      <c r="E816" s="67" t="s">
        <v>3426</v>
      </c>
      <c r="F816" s="66">
        <v>1</v>
      </c>
      <c r="G816" s="66" t="s">
        <v>283</v>
      </c>
      <c r="H816" s="68">
        <v>45224</v>
      </c>
      <c r="I816" s="68" t="s">
        <v>1086</v>
      </c>
      <c r="J816" s="68" t="s">
        <v>1220</v>
      </c>
      <c r="K816" s="66">
        <f>IFERROR(VLOOKUP(J816,Jueces!$A$1:$B$11,2,FALSE),"")</f>
        <v>1</v>
      </c>
      <c r="L816" s="66" t="s">
        <v>811</v>
      </c>
      <c r="M816" s="66" t="s">
        <v>712</v>
      </c>
      <c r="N816" s="66" t="s">
        <v>3623</v>
      </c>
      <c r="O816" s="81" t="str">
        <f t="shared" ca="1" si="46"/>
        <v>SI</v>
      </c>
      <c r="P816" s="81" t="str">
        <f t="shared" si="44"/>
        <v>DIANOSOL</v>
      </c>
      <c r="Q816" s="66" t="s">
        <v>151</v>
      </c>
      <c r="R816" s="66" t="str">
        <f>VLOOKUP($Q816,Resultados!$A$1:$B$49,2,FALSE)</f>
        <v>Prisión Preventiva</v>
      </c>
      <c r="S816" s="66" t="s">
        <v>1006</v>
      </c>
      <c r="T816" s="84" t="str">
        <f t="shared" si="45"/>
        <v>NO</v>
      </c>
      <c r="U816" s="84"/>
      <c r="V816" s="81"/>
      <c r="W816" s="66" t="s">
        <v>1243</v>
      </c>
      <c r="X816" s="66" t="s">
        <v>3624</v>
      </c>
      <c r="Y816" s="66"/>
      <c r="Z816" s="121" t="s">
        <v>2867</v>
      </c>
      <c r="AA816" s="121" t="s">
        <v>3606</v>
      </c>
      <c r="AB816" s="121" t="s">
        <v>1174</v>
      </c>
      <c r="AC816" s="370"/>
    </row>
    <row r="817" spans="1:29" ht="39.950000000000003" customHeight="1" x14ac:dyDescent="0.2">
      <c r="A817" s="240">
        <v>819</v>
      </c>
      <c r="B817" s="324">
        <v>45216</v>
      </c>
      <c r="C817" s="325">
        <v>0.45833333333333331</v>
      </c>
      <c r="D817" s="240" t="s">
        <v>1209</v>
      </c>
      <c r="E817" s="243" t="s">
        <v>3431</v>
      </c>
      <c r="F817" s="240">
        <v>4</v>
      </c>
      <c r="G817" s="240"/>
      <c r="H817" s="324"/>
      <c r="I817" s="324"/>
      <c r="J817" s="324"/>
      <c r="K817" s="240" t="str">
        <f>IFERROR(VLOOKUP(J817,Jueces!$A$1:$B$11,2,FALSE),"")</f>
        <v/>
      </c>
      <c r="L817" s="240" t="s">
        <v>1070</v>
      </c>
      <c r="M817" s="240" t="s">
        <v>3432</v>
      </c>
      <c r="N817" s="240"/>
      <c r="O817" s="240" t="str">
        <f t="shared" ca="1" si="46"/>
        <v>LIMBO</v>
      </c>
      <c r="P817" s="240" t="str">
        <f t="shared" si="44"/>
        <v>DIANOSOL</v>
      </c>
      <c r="Q817" s="240" t="s">
        <v>951</v>
      </c>
      <c r="R817" s="240" t="str">
        <f>VLOOKUP($Q817,Resultados!$A$1:$B$49,2,FALSE)</f>
        <v xml:space="preserve"> _</v>
      </c>
      <c r="S817" s="240"/>
      <c r="T817" s="241" t="str">
        <f t="shared" si="45"/>
        <v>NO</v>
      </c>
      <c r="U817" s="241"/>
      <c r="V817" s="240"/>
      <c r="W817" s="240"/>
      <c r="X817" s="240"/>
      <c r="Y817" s="240"/>
      <c r="Z817" s="240"/>
      <c r="AA817" s="240"/>
      <c r="AB817" s="240"/>
      <c r="AC817" s="366"/>
    </row>
    <row r="818" spans="1:29" ht="39.950000000000003" customHeight="1" x14ac:dyDescent="0.2">
      <c r="A818" s="66">
        <v>820</v>
      </c>
      <c r="B818" s="68">
        <v>45216</v>
      </c>
      <c r="C818" s="73">
        <v>0.50972222222222219</v>
      </c>
      <c r="D818" s="367" t="s">
        <v>3433</v>
      </c>
      <c r="E818" s="67" t="s">
        <v>3434</v>
      </c>
      <c r="F818" s="66">
        <v>5</v>
      </c>
      <c r="G818" s="66" t="s">
        <v>2774</v>
      </c>
      <c r="H818" s="68">
        <v>45225</v>
      </c>
      <c r="I818" s="68" t="s">
        <v>1086</v>
      </c>
      <c r="J818" s="68" t="s">
        <v>78</v>
      </c>
      <c r="K818" s="66">
        <f>IFERROR(VLOOKUP(J818,Jueces!$A$1:$B$11,2,FALSE),"")</f>
        <v>8</v>
      </c>
      <c r="L818" s="66" t="s">
        <v>582</v>
      </c>
      <c r="M818" s="66" t="s">
        <v>3435</v>
      </c>
      <c r="N818" s="66" t="s">
        <v>3683</v>
      </c>
      <c r="O818" s="81" t="str">
        <f t="shared" ca="1" si="46"/>
        <v>SI</v>
      </c>
      <c r="P818" s="81" t="str">
        <f t="shared" si="44"/>
        <v>DIANOSOL</v>
      </c>
      <c r="Q818" s="66" t="s">
        <v>905</v>
      </c>
      <c r="R818" s="66" t="str">
        <f>VLOOKUP($Q818,Resultados!$A$1:$B$49,2,FALSE)</f>
        <v>Juicio Abreviado</v>
      </c>
      <c r="S818" s="66" t="s">
        <v>1189</v>
      </c>
      <c r="T818" s="84" t="str">
        <f t="shared" si="45"/>
        <v>NO</v>
      </c>
      <c r="U818" s="84"/>
      <c r="V818" s="81"/>
      <c r="W818" s="66" t="s">
        <v>1564</v>
      </c>
      <c r="X818" s="66" t="s">
        <v>3196</v>
      </c>
      <c r="Y818" s="66"/>
      <c r="Z818" s="121" t="s">
        <v>748</v>
      </c>
      <c r="AA818" s="121"/>
      <c r="AB818" s="121" t="s">
        <v>1173</v>
      </c>
      <c r="AC818" s="370" t="s">
        <v>1801</v>
      </c>
    </row>
    <row r="819" spans="1:29" ht="39.950000000000003" customHeight="1" x14ac:dyDescent="0.2">
      <c r="A819" s="81">
        <v>821</v>
      </c>
      <c r="B819" s="83">
        <v>45216</v>
      </c>
      <c r="C819" s="323">
        <v>0.40763888888888888</v>
      </c>
      <c r="D819" s="81" t="s">
        <v>3446</v>
      </c>
      <c r="E819" s="82" t="s">
        <v>3447</v>
      </c>
      <c r="F819" s="81">
        <v>2</v>
      </c>
      <c r="G819" s="81" t="s">
        <v>2788</v>
      </c>
      <c r="H819" s="83">
        <v>45230</v>
      </c>
      <c r="I819" s="83" t="s">
        <v>73</v>
      </c>
      <c r="J819" s="83" t="s">
        <v>78</v>
      </c>
      <c r="K819" s="81">
        <f>IFERROR(VLOOKUP(J819,Jueces!$A$1:$B$11,2,FALSE),"")</f>
        <v>8</v>
      </c>
      <c r="L819" s="81" t="s">
        <v>791</v>
      </c>
      <c r="M819" s="81" t="s">
        <v>692</v>
      </c>
      <c r="N819" s="81"/>
      <c r="O819" s="81" t="str">
        <f t="shared" ca="1" si="46"/>
        <v>NO</v>
      </c>
      <c r="P819" s="81" t="str">
        <f t="shared" si="44"/>
        <v>DIANOSOL</v>
      </c>
      <c r="Q819" s="81" t="s">
        <v>951</v>
      </c>
      <c r="R819" s="81" t="str">
        <f>VLOOKUP($Q819,Resultados!$A$1:$B$49,2,FALSE)</f>
        <v xml:space="preserve"> _</v>
      </c>
      <c r="S819" s="81"/>
      <c r="T819" s="84" t="str">
        <f t="shared" si="45"/>
        <v>NO</v>
      </c>
      <c r="U819" s="84"/>
      <c r="V819" s="81"/>
      <c r="W819" s="81"/>
      <c r="X819" s="81"/>
      <c r="Y819" s="81"/>
      <c r="Z819" s="81"/>
      <c r="AA819" s="321" t="s">
        <v>1171</v>
      </c>
      <c r="AB819" s="81"/>
      <c r="AC819" s="88"/>
    </row>
    <row r="820" spans="1:29" ht="39.950000000000003" customHeight="1" x14ac:dyDescent="0.2">
      <c r="A820" s="81">
        <v>822</v>
      </c>
      <c r="B820" s="83">
        <v>45216</v>
      </c>
      <c r="C820" s="323">
        <v>0.4069444444444445</v>
      </c>
      <c r="D820" s="81" t="s">
        <v>3448</v>
      </c>
      <c r="E820" s="82" t="s">
        <v>3449</v>
      </c>
      <c r="F820" s="81">
        <v>2</v>
      </c>
      <c r="G820" s="81" t="s">
        <v>1442</v>
      </c>
      <c r="H820" s="83">
        <v>45231</v>
      </c>
      <c r="I820" s="83" t="s">
        <v>73</v>
      </c>
      <c r="J820" s="83" t="s">
        <v>78</v>
      </c>
      <c r="K820" s="81">
        <f>IFERROR(VLOOKUP(J820,Jueces!$A$1:$B$11,2,FALSE),"")</f>
        <v>8</v>
      </c>
      <c r="L820" s="81" t="s">
        <v>806</v>
      </c>
      <c r="M820" s="81" t="s">
        <v>1290</v>
      </c>
      <c r="N820" s="81"/>
      <c r="O820" s="81" t="str">
        <f t="shared" ca="1" si="46"/>
        <v>NO</v>
      </c>
      <c r="P820" s="81" t="str">
        <f t="shared" si="44"/>
        <v>DIANOSOL</v>
      </c>
      <c r="Q820" s="81" t="s">
        <v>951</v>
      </c>
      <c r="R820" s="81" t="str">
        <f>VLOOKUP($Q820,Resultados!$A$1:$B$49,2,FALSE)</f>
        <v xml:space="preserve"> _</v>
      </c>
      <c r="S820" s="81"/>
      <c r="T820" s="84" t="str">
        <f t="shared" si="45"/>
        <v>SI</v>
      </c>
      <c r="U820" s="84"/>
      <c r="V820" s="81"/>
      <c r="W820" s="81"/>
      <c r="X820" s="81"/>
      <c r="Y820" s="81"/>
      <c r="Z820" s="81"/>
      <c r="AA820" s="321" t="s">
        <v>3428</v>
      </c>
      <c r="AB820" s="81"/>
      <c r="AC820" s="88"/>
    </row>
    <row r="821" spans="1:29" ht="39.950000000000003" customHeight="1" x14ac:dyDescent="0.2">
      <c r="A821" s="81">
        <v>823</v>
      </c>
      <c r="B821" s="83">
        <v>45216</v>
      </c>
      <c r="C821" s="323">
        <v>0.40625</v>
      </c>
      <c r="D821" s="81" t="s">
        <v>3450</v>
      </c>
      <c r="E821" s="82" t="s">
        <v>3451</v>
      </c>
      <c r="F821" s="81">
        <v>2</v>
      </c>
      <c r="G821" s="81" t="s">
        <v>1442</v>
      </c>
      <c r="H821" s="83">
        <v>45232</v>
      </c>
      <c r="I821" s="83" t="s">
        <v>73</v>
      </c>
      <c r="J821" s="83" t="s">
        <v>2951</v>
      </c>
      <c r="K821" s="81" t="s">
        <v>1520</v>
      </c>
      <c r="L821" s="81" t="s">
        <v>810</v>
      </c>
      <c r="M821" s="81" t="s">
        <v>692</v>
      </c>
      <c r="N821" s="81"/>
      <c r="O821" s="81" t="str">
        <f t="shared" ca="1" si="46"/>
        <v>NO</v>
      </c>
      <c r="P821" s="81" t="str">
        <f t="shared" si="44"/>
        <v>DIANOSOL</v>
      </c>
      <c r="Q821" s="81" t="s">
        <v>951</v>
      </c>
      <c r="R821" s="81" t="str">
        <f>VLOOKUP($Q821,Resultados!$A$1:$B$49,2,FALSE)</f>
        <v xml:space="preserve"> _</v>
      </c>
      <c r="S821" s="81"/>
      <c r="T821" s="84" t="str">
        <f t="shared" si="45"/>
        <v>SI</v>
      </c>
      <c r="U821" s="84"/>
      <c r="V821" s="81"/>
      <c r="W821" s="81"/>
      <c r="X821" s="81"/>
      <c r="Y821" s="81"/>
      <c r="Z821" s="81"/>
      <c r="AA821" s="321" t="s">
        <v>2852</v>
      </c>
      <c r="AB821" s="81"/>
      <c r="AC821" s="88"/>
    </row>
    <row r="822" spans="1:29" ht="39.950000000000003" customHeight="1" x14ac:dyDescent="0.2">
      <c r="A822" s="81">
        <v>824</v>
      </c>
      <c r="B822" s="83">
        <v>45216</v>
      </c>
      <c r="C822" s="323">
        <v>0.40416666666666662</v>
      </c>
      <c r="D822" s="81" t="s">
        <v>3453</v>
      </c>
      <c r="E822" s="82" t="s">
        <v>3452</v>
      </c>
      <c r="F822" s="81">
        <v>2</v>
      </c>
      <c r="G822" s="81" t="s">
        <v>2838</v>
      </c>
      <c r="H822" s="83">
        <v>45231</v>
      </c>
      <c r="I822" s="83" t="s">
        <v>1086</v>
      </c>
      <c r="J822" s="83" t="s">
        <v>2954</v>
      </c>
      <c r="K822" s="81" t="s">
        <v>1520</v>
      </c>
      <c r="L822" s="81" t="s">
        <v>809</v>
      </c>
      <c r="M822" s="81" t="s">
        <v>692</v>
      </c>
      <c r="N822" s="81"/>
      <c r="O822" s="81" t="str">
        <f t="shared" ca="1" si="46"/>
        <v>NO</v>
      </c>
      <c r="P822" s="81" t="str">
        <f t="shared" si="44"/>
        <v>DIANOSOL</v>
      </c>
      <c r="Q822" s="81" t="s">
        <v>951</v>
      </c>
      <c r="R822" s="81" t="str">
        <f>VLOOKUP($Q822,Resultados!$A$1:$B$49,2,FALSE)</f>
        <v xml:space="preserve"> _</v>
      </c>
      <c r="S822" s="81"/>
      <c r="T822" s="84" t="str">
        <f t="shared" si="45"/>
        <v>NO</v>
      </c>
      <c r="U822" s="84"/>
      <c r="V822" s="81"/>
      <c r="W822" s="81"/>
      <c r="X822" s="81"/>
      <c r="Y822" s="81"/>
      <c r="Z822" s="81"/>
      <c r="AA822" s="321" t="s">
        <v>1171</v>
      </c>
      <c r="AB822" s="81"/>
      <c r="AC822" s="88"/>
    </row>
    <row r="823" spans="1:29" ht="39.950000000000003" customHeight="1" x14ac:dyDescent="0.2">
      <c r="A823" s="81">
        <v>825</v>
      </c>
      <c r="B823" s="83">
        <v>45216</v>
      </c>
      <c r="C823" s="323">
        <v>0.40208333333333335</v>
      </c>
      <c r="D823" s="81" t="s">
        <v>3454</v>
      </c>
      <c r="E823" s="82" t="s">
        <v>3455</v>
      </c>
      <c r="F823" s="81">
        <v>1</v>
      </c>
      <c r="G823" s="81" t="s">
        <v>568</v>
      </c>
      <c r="H823" s="83">
        <v>45231</v>
      </c>
      <c r="I823" s="83" t="s">
        <v>73</v>
      </c>
      <c r="J823" s="83" t="s">
        <v>2951</v>
      </c>
      <c r="K823" s="81" t="s">
        <v>1520</v>
      </c>
      <c r="L823" s="81" t="s">
        <v>802</v>
      </c>
      <c r="M823" s="81" t="s">
        <v>711</v>
      </c>
      <c r="N823" s="81"/>
      <c r="O823" s="81" t="str">
        <f t="shared" ca="1" si="46"/>
        <v>NO</v>
      </c>
      <c r="P823" s="81" t="str">
        <f t="shared" si="44"/>
        <v>DIANOSOL</v>
      </c>
      <c r="Q823" s="81" t="s">
        <v>951</v>
      </c>
      <c r="R823" s="81" t="str">
        <f>VLOOKUP($Q823,Resultados!$A$1:$B$49,2,FALSE)</f>
        <v xml:space="preserve"> _</v>
      </c>
      <c r="S823" s="81"/>
      <c r="T823" s="84" t="str">
        <f t="shared" si="45"/>
        <v>NO</v>
      </c>
      <c r="U823" s="84"/>
      <c r="V823" s="81"/>
      <c r="W823" s="81"/>
      <c r="X823" s="81"/>
      <c r="Y823" s="81"/>
      <c r="Z823" s="81"/>
      <c r="AA823" s="321" t="s">
        <v>3429</v>
      </c>
      <c r="AB823" s="81"/>
      <c r="AC823" s="88"/>
    </row>
    <row r="824" spans="1:29" ht="39.950000000000003" customHeight="1" x14ac:dyDescent="0.2">
      <c r="A824" s="170">
        <v>826</v>
      </c>
      <c r="B824" s="326">
        <v>45216</v>
      </c>
      <c r="C824" s="327">
        <v>0.375</v>
      </c>
      <c r="D824" s="170" t="s">
        <v>3371</v>
      </c>
      <c r="E824" s="171" t="s">
        <v>3456</v>
      </c>
      <c r="F824" s="170">
        <v>1</v>
      </c>
      <c r="G824" s="170"/>
      <c r="H824" s="326"/>
      <c r="I824" s="326"/>
      <c r="J824" s="326"/>
      <c r="K824" s="170" t="str">
        <f>IFERROR(VLOOKUP(J824,Jueces!$A$1:$B$11,2,FALSE),"")</f>
        <v/>
      </c>
      <c r="L824" s="170" t="s">
        <v>829</v>
      </c>
      <c r="M824" s="170"/>
      <c r="N824" s="170"/>
      <c r="O824" s="170" t="str">
        <f t="shared" ca="1" si="46"/>
        <v>LIMBO</v>
      </c>
      <c r="P824" s="170" t="str">
        <f t="shared" si="44"/>
        <v>DIANOSOL</v>
      </c>
      <c r="Q824" s="170" t="s">
        <v>951</v>
      </c>
      <c r="R824" s="170" t="str">
        <f>VLOOKUP($Q824,Resultados!$A$1:$B$49,2,FALSE)</f>
        <v xml:space="preserve"> _</v>
      </c>
      <c r="S824" s="170"/>
      <c r="T824" s="172" t="str">
        <f t="shared" si="45"/>
        <v>NO</v>
      </c>
      <c r="U824" s="172"/>
      <c r="V824" s="170"/>
      <c r="W824" s="170"/>
      <c r="X824" s="170"/>
      <c r="Y824" s="170"/>
      <c r="Z824" s="170"/>
      <c r="AA824" s="170"/>
      <c r="AB824" s="170"/>
      <c r="AC824" s="366"/>
    </row>
    <row r="825" spans="1:29" ht="39.950000000000003" customHeight="1" x14ac:dyDescent="0.2">
      <c r="A825" s="211">
        <v>827</v>
      </c>
      <c r="B825" s="317"/>
      <c r="C825" s="211"/>
      <c r="D825" s="211" t="s">
        <v>3166</v>
      </c>
      <c r="E825" s="212" t="s">
        <v>3206</v>
      </c>
      <c r="F825" s="211">
        <v>2</v>
      </c>
      <c r="G825" s="211" t="s">
        <v>1443</v>
      </c>
      <c r="H825" s="317">
        <v>45244</v>
      </c>
      <c r="I825" s="317" t="s">
        <v>73</v>
      </c>
      <c r="J825" s="317" t="s">
        <v>2951</v>
      </c>
      <c r="K825" s="211" t="s">
        <v>1925</v>
      </c>
      <c r="L825" s="211" t="s">
        <v>809</v>
      </c>
      <c r="M825" s="211" t="s">
        <v>692</v>
      </c>
      <c r="N825" s="211" t="s">
        <v>3457</v>
      </c>
      <c r="O825" s="211" t="str">
        <f t="shared" ca="1" si="46"/>
        <v>NO</v>
      </c>
      <c r="P825" s="211" t="str">
        <f t="shared" si="44"/>
        <v>DIANOSOL</v>
      </c>
      <c r="Q825" s="211" t="s">
        <v>951</v>
      </c>
      <c r="R825" s="211" t="str">
        <f>VLOOKUP($Q825,Resultados!$A$1:$B$49,2,FALSE)</f>
        <v xml:space="preserve"> _</v>
      </c>
      <c r="S825" s="211"/>
      <c r="T825" s="276" t="str">
        <f t="shared" si="45"/>
        <v>NO</v>
      </c>
      <c r="U825" s="276"/>
      <c r="V825" s="211"/>
      <c r="W825" s="211"/>
      <c r="X825" s="211"/>
      <c r="Y825" s="211"/>
      <c r="Z825" s="211"/>
      <c r="AA825" s="334"/>
      <c r="AB825" s="211"/>
      <c r="AC825" s="366"/>
    </row>
    <row r="826" spans="1:29" ht="39.950000000000003" customHeight="1" x14ac:dyDescent="0.2">
      <c r="A826" s="81">
        <v>828</v>
      </c>
      <c r="B826" s="83">
        <v>45217</v>
      </c>
      <c r="C826" s="323">
        <v>0.36944444444444446</v>
      </c>
      <c r="D826" s="81" t="s">
        <v>3462</v>
      </c>
      <c r="E826" s="82" t="s">
        <v>3463</v>
      </c>
      <c r="F826" s="81">
        <v>2</v>
      </c>
      <c r="G826" s="81" t="s">
        <v>2788</v>
      </c>
      <c r="H826" s="83">
        <v>45237</v>
      </c>
      <c r="I826" s="83" t="s">
        <v>73</v>
      </c>
      <c r="J826" s="83" t="s">
        <v>2954</v>
      </c>
      <c r="K826" s="81" t="s">
        <v>1925</v>
      </c>
      <c r="L826" s="81" t="s">
        <v>798</v>
      </c>
      <c r="M826" s="81" t="s">
        <v>692</v>
      </c>
      <c r="N826" s="81"/>
      <c r="O826" s="81" t="str">
        <f t="shared" ca="1" si="46"/>
        <v>NO</v>
      </c>
      <c r="P826" s="81" t="str">
        <f t="shared" si="44"/>
        <v>DIANOSOL</v>
      </c>
      <c r="Q826" s="81" t="s">
        <v>951</v>
      </c>
      <c r="R826" s="81" t="str">
        <f>VLOOKUP($Q826,Resultados!$A$1:$B$49,2,FALSE)</f>
        <v xml:space="preserve"> _</v>
      </c>
      <c r="S826" s="81"/>
      <c r="T826" s="84" t="str">
        <f t="shared" si="45"/>
        <v>NO</v>
      </c>
      <c r="U826" s="84"/>
      <c r="V826" s="81"/>
      <c r="W826" s="81"/>
      <c r="X826" s="81"/>
      <c r="Y826" s="81"/>
      <c r="Z826" s="81"/>
      <c r="AA826" s="321" t="s">
        <v>3429</v>
      </c>
      <c r="AB826" s="81"/>
      <c r="AC826" s="88"/>
    </row>
    <row r="827" spans="1:29" ht="39.950000000000003" customHeight="1" x14ac:dyDescent="0.2">
      <c r="A827" s="81">
        <v>829</v>
      </c>
      <c r="B827" s="83">
        <v>45217</v>
      </c>
      <c r="C827" s="323">
        <v>0.34583333333333338</v>
      </c>
      <c r="D827" s="81" t="s">
        <v>3464</v>
      </c>
      <c r="E827" s="82" t="s">
        <v>3465</v>
      </c>
      <c r="F827" s="81">
        <v>2</v>
      </c>
      <c r="G827" s="81" t="s">
        <v>2774</v>
      </c>
      <c r="H827" s="83">
        <v>45229</v>
      </c>
      <c r="I827" s="83" t="s">
        <v>1086</v>
      </c>
      <c r="J827" s="83" t="s">
        <v>33</v>
      </c>
      <c r="K827" s="81">
        <f>IFERROR(VLOOKUP(J827,Jueces!$A$1:$B$11,2,FALSE),"")</f>
        <v>4</v>
      </c>
      <c r="L827" s="81" t="s">
        <v>791</v>
      </c>
      <c r="M827" s="81" t="s">
        <v>692</v>
      </c>
      <c r="N827" s="81"/>
      <c r="O827" s="81" t="str">
        <f t="shared" ca="1" si="46"/>
        <v>NO</v>
      </c>
      <c r="P827" s="81" t="str">
        <f t="shared" si="44"/>
        <v>DIASOL</v>
      </c>
      <c r="Q827" s="81" t="s">
        <v>951</v>
      </c>
      <c r="R827" s="81" t="str">
        <f>VLOOKUP($Q827,Resultados!$A$1:$B$49,2,FALSE)</f>
        <v xml:space="preserve"> _</v>
      </c>
      <c r="S827" s="81"/>
      <c r="T827" s="84" t="str">
        <f t="shared" si="45"/>
        <v>NO</v>
      </c>
      <c r="U827" s="84"/>
      <c r="V827" s="81"/>
      <c r="W827" s="81"/>
      <c r="X827" s="81"/>
      <c r="Y827" s="81"/>
      <c r="Z827" s="81"/>
      <c r="AA827" s="321" t="s">
        <v>2852</v>
      </c>
      <c r="AB827" s="81"/>
      <c r="AC827" s="88"/>
    </row>
    <row r="828" spans="1:29" ht="39.950000000000003" customHeight="1" x14ac:dyDescent="0.2">
      <c r="A828" s="81">
        <v>830</v>
      </c>
      <c r="B828" s="83">
        <v>45217</v>
      </c>
      <c r="C828" s="323">
        <v>0.3520833333333333</v>
      </c>
      <c r="D828" s="81" t="s">
        <v>3467</v>
      </c>
      <c r="E828" s="82" t="s">
        <v>3466</v>
      </c>
      <c r="F828" s="81">
        <v>2</v>
      </c>
      <c r="G828" s="81" t="s">
        <v>3366</v>
      </c>
      <c r="H828" s="83">
        <v>45230</v>
      </c>
      <c r="I828" s="83" t="s">
        <v>1086</v>
      </c>
      <c r="J828" s="83" t="s">
        <v>1220</v>
      </c>
      <c r="K828" s="81">
        <f>IFERROR(VLOOKUP(J828,Jueces!$A$1:$B$11,2,FALSE),"")</f>
        <v>1</v>
      </c>
      <c r="L828" s="81" t="s">
        <v>798</v>
      </c>
      <c r="M828" s="81" t="s">
        <v>692</v>
      </c>
      <c r="N828" s="81"/>
      <c r="O828" s="81" t="str">
        <f t="shared" ca="1" si="46"/>
        <v>NO</v>
      </c>
      <c r="P828" s="81" t="str">
        <f t="shared" si="44"/>
        <v>DIANOSOL</v>
      </c>
      <c r="Q828" s="81" t="s">
        <v>951</v>
      </c>
      <c r="R828" s="81" t="str">
        <f>VLOOKUP($Q828,Resultados!$A$1:$B$49,2,FALSE)</f>
        <v xml:space="preserve"> _</v>
      </c>
      <c r="S828" s="81"/>
      <c r="T828" s="84" t="str">
        <f t="shared" si="45"/>
        <v>NO</v>
      </c>
      <c r="U828" s="84"/>
      <c r="V828" s="81"/>
      <c r="W828" s="81"/>
      <c r="X828" s="81"/>
      <c r="Y828" s="81"/>
      <c r="Z828" s="81"/>
      <c r="AA828" s="321" t="s">
        <v>2895</v>
      </c>
      <c r="AB828" s="81"/>
      <c r="AC828" s="88"/>
    </row>
    <row r="829" spans="1:29" ht="39.950000000000003" customHeight="1" x14ac:dyDescent="0.2">
      <c r="A829" s="81">
        <v>831</v>
      </c>
      <c r="B829" s="83">
        <v>45210</v>
      </c>
      <c r="C829" s="323">
        <v>0.3972222222222222</v>
      </c>
      <c r="D829" s="81" t="s">
        <v>3379</v>
      </c>
      <c r="E829" s="82" t="s">
        <v>3468</v>
      </c>
      <c r="F829" s="81">
        <v>4</v>
      </c>
      <c r="G829" s="81" t="s">
        <v>2788</v>
      </c>
      <c r="H829" s="83">
        <v>45233</v>
      </c>
      <c r="I829" s="83" t="s">
        <v>73</v>
      </c>
      <c r="J829" s="83" t="s">
        <v>1221</v>
      </c>
      <c r="K829" s="81">
        <f>IFERROR(VLOOKUP(J829,Jueces!$A$1:$B$11,2,FALSE),"")</f>
        <v>7</v>
      </c>
      <c r="L829" s="81" t="s">
        <v>814</v>
      </c>
      <c r="M829" s="81" t="s">
        <v>3469</v>
      </c>
      <c r="N829" s="81"/>
      <c r="O829" s="81" t="str">
        <f t="shared" ca="1" si="46"/>
        <v>NO</v>
      </c>
      <c r="P829" s="81" t="str">
        <f t="shared" si="44"/>
        <v>DIANOSOL</v>
      </c>
      <c r="Q829" s="81" t="s">
        <v>951</v>
      </c>
      <c r="R829" s="81" t="str">
        <f>VLOOKUP($Q829,Resultados!$A$1:$B$49,2,FALSE)</f>
        <v xml:space="preserve"> _</v>
      </c>
      <c r="S829" s="81"/>
      <c r="T829" s="84" t="str">
        <f t="shared" si="45"/>
        <v>NO</v>
      </c>
      <c r="U829" s="84"/>
      <c r="V829" s="81"/>
      <c r="W829" s="81"/>
      <c r="X829" s="81"/>
      <c r="Y829" s="81"/>
      <c r="Z829" s="81"/>
      <c r="AA829" s="321" t="s">
        <v>2895</v>
      </c>
      <c r="AB829" s="81"/>
      <c r="AC829" s="78"/>
    </row>
    <row r="830" spans="1:29" ht="39.950000000000003" customHeight="1" x14ac:dyDescent="0.2">
      <c r="A830" s="81">
        <v>832</v>
      </c>
      <c r="B830" s="83">
        <v>45200</v>
      </c>
      <c r="C830" s="323">
        <v>0.41805555555555557</v>
      </c>
      <c r="D830" s="81" t="s">
        <v>3550</v>
      </c>
      <c r="E830" s="82" t="s">
        <v>3482</v>
      </c>
      <c r="F830" s="81">
        <v>2</v>
      </c>
      <c r="G830" s="81" t="s">
        <v>3366</v>
      </c>
      <c r="H830" s="83">
        <v>45240</v>
      </c>
      <c r="I830" s="83" t="s">
        <v>73</v>
      </c>
      <c r="J830" s="83" t="s">
        <v>78</v>
      </c>
      <c r="K830" s="81">
        <f>IFERROR(VLOOKUP(J830,Jueces!$A$1:$B$11,2,FALSE),"")</f>
        <v>8</v>
      </c>
      <c r="L830" s="81" t="s">
        <v>2094</v>
      </c>
      <c r="M830" s="81" t="s">
        <v>692</v>
      </c>
      <c r="N830" s="81" t="s">
        <v>3681</v>
      </c>
      <c r="O830" s="81" t="str">
        <f t="shared" ca="1" si="46"/>
        <v>NO</v>
      </c>
      <c r="P830" s="81" t="str">
        <f t="shared" si="44"/>
        <v>DIANOSOL</v>
      </c>
      <c r="Q830" s="81" t="s">
        <v>951</v>
      </c>
      <c r="R830" s="81" t="str">
        <f>VLOOKUP($Q830,Resultados!$A$1:$B$49,2,FALSE)</f>
        <v xml:space="preserve"> _</v>
      </c>
      <c r="S830" s="81"/>
      <c r="T830" s="84" t="str">
        <f t="shared" si="45"/>
        <v>NO</v>
      </c>
      <c r="U830" s="84"/>
      <c r="V830" s="81"/>
      <c r="W830" s="81"/>
      <c r="X830" s="81"/>
      <c r="Y830" s="81"/>
      <c r="Z830" s="81"/>
      <c r="AA830" s="321" t="s">
        <v>1171</v>
      </c>
      <c r="AB830" s="81"/>
      <c r="AC830" s="78"/>
    </row>
    <row r="831" spans="1:29" ht="39.950000000000003" customHeight="1" x14ac:dyDescent="0.2">
      <c r="A831" s="81">
        <v>833</v>
      </c>
      <c r="B831" s="83">
        <v>45217</v>
      </c>
      <c r="C831" s="323">
        <v>0.4826388888888889</v>
      </c>
      <c r="D831" s="81" t="s">
        <v>3470</v>
      </c>
      <c r="E831" s="82" t="s">
        <v>3471</v>
      </c>
      <c r="F831" s="81">
        <v>1</v>
      </c>
      <c r="G831" s="81" t="s">
        <v>3367</v>
      </c>
      <c r="H831" s="83">
        <v>45236</v>
      </c>
      <c r="I831" s="83" t="s">
        <v>73</v>
      </c>
      <c r="J831" s="83" t="s">
        <v>2951</v>
      </c>
      <c r="K831" s="81" t="s">
        <v>1346</v>
      </c>
      <c r="L831" s="81" t="s">
        <v>802</v>
      </c>
      <c r="M831" s="81" t="s">
        <v>712</v>
      </c>
      <c r="N831" s="81"/>
      <c r="O831" s="81" t="str">
        <f t="shared" ca="1" si="46"/>
        <v>NO</v>
      </c>
      <c r="P831" s="81" t="str">
        <f t="shared" si="44"/>
        <v>DIANOSOL</v>
      </c>
      <c r="Q831" s="81" t="s">
        <v>951</v>
      </c>
      <c r="R831" s="81" t="str">
        <f>VLOOKUP($Q831,Resultados!$A$1:$B$49,2,FALSE)</f>
        <v xml:space="preserve"> _</v>
      </c>
      <c r="S831" s="81"/>
      <c r="T831" s="84" t="str">
        <f t="shared" ref="T831:T862" si="47">IF(G831=$J$1,"SI","NO")</f>
        <v>NO</v>
      </c>
      <c r="U831" s="84"/>
      <c r="V831" s="81"/>
      <c r="W831" s="81"/>
      <c r="X831" s="81"/>
      <c r="Y831" s="81"/>
      <c r="Z831" s="81"/>
      <c r="AA831" s="321" t="s">
        <v>2895</v>
      </c>
      <c r="AB831" s="81"/>
      <c r="AC831" s="78"/>
    </row>
    <row r="832" spans="1:29" ht="39.950000000000003" customHeight="1" x14ac:dyDescent="0.2">
      <c r="A832" s="81">
        <v>834</v>
      </c>
      <c r="B832" s="83">
        <v>45217</v>
      </c>
      <c r="C832" s="323">
        <v>0.48333333333333334</v>
      </c>
      <c r="D832" s="81" t="s">
        <v>3472</v>
      </c>
      <c r="E832" s="82" t="s">
        <v>3509</v>
      </c>
      <c r="F832" s="81">
        <v>3</v>
      </c>
      <c r="G832" s="81" t="s">
        <v>2788</v>
      </c>
      <c r="H832" s="83">
        <v>45232</v>
      </c>
      <c r="I832" s="83" t="s">
        <v>989</v>
      </c>
      <c r="J832" s="83" t="s">
        <v>1220</v>
      </c>
      <c r="K832" s="81">
        <v>8</v>
      </c>
      <c r="L832" s="81" t="s">
        <v>809</v>
      </c>
      <c r="M832" s="81" t="s">
        <v>694</v>
      </c>
      <c r="N832" s="81"/>
      <c r="O832" s="81" t="str">
        <f t="shared" ca="1" si="46"/>
        <v>NO</v>
      </c>
      <c r="P832" s="81" t="str">
        <f t="shared" si="44"/>
        <v>DIANOSOL</v>
      </c>
      <c r="Q832" s="81" t="s">
        <v>951</v>
      </c>
      <c r="R832" s="81" t="str">
        <f>VLOOKUP($Q832,Resultados!$A$1:$B$49,2,FALSE)</f>
        <v xml:space="preserve"> _</v>
      </c>
      <c r="S832" s="81"/>
      <c r="T832" s="84" t="str">
        <f t="shared" si="47"/>
        <v>NO</v>
      </c>
      <c r="U832" s="84"/>
      <c r="V832" s="81"/>
      <c r="W832" s="81"/>
      <c r="X832" s="81"/>
      <c r="Y832" s="81"/>
      <c r="Z832" s="81"/>
      <c r="AA832" s="321" t="s">
        <v>3428</v>
      </c>
      <c r="AB832" s="81"/>
      <c r="AC832" s="78"/>
    </row>
    <row r="833" spans="1:29" ht="39.950000000000003" customHeight="1" x14ac:dyDescent="0.2">
      <c r="A833" s="81">
        <v>835</v>
      </c>
      <c r="B833" s="83">
        <v>45217</v>
      </c>
      <c r="C833" s="323">
        <v>0.48402777777777778</v>
      </c>
      <c r="D833" s="81" t="s">
        <v>3473</v>
      </c>
      <c r="E833" s="82" t="s">
        <v>3474</v>
      </c>
      <c r="F833" s="81">
        <v>1</v>
      </c>
      <c r="G833" s="81" t="s">
        <v>3367</v>
      </c>
      <c r="H833" s="83">
        <v>45231</v>
      </c>
      <c r="I833" s="83" t="s">
        <v>77</v>
      </c>
      <c r="J833" s="83" t="s">
        <v>1221</v>
      </c>
      <c r="K833" s="81" t="s">
        <v>2304</v>
      </c>
      <c r="L833" s="81" t="s">
        <v>812</v>
      </c>
      <c r="M833" s="372" t="s">
        <v>783</v>
      </c>
      <c r="N833" s="81" t="s">
        <v>3534</v>
      </c>
      <c r="O833" s="81" t="str">
        <f t="shared" ca="1" si="46"/>
        <v>NO</v>
      </c>
      <c r="P833" s="81" t="str">
        <f t="shared" si="44"/>
        <v>DIANOSOL</v>
      </c>
      <c r="Q833" s="81" t="s">
        <v>951</v>
      </c>
      <c r="R833" s="81" t="str">
        <f>VLOOKUP($Q833,Resultados!$A$1:$B$49,2,FALSE)</f>
        <v xml:space="preserve"> _</v>
      </c>
      <c r="S833" s="81"/>
      <c r="T833" s="84" t="str">
        <f t="shared" si="47"/>
        <v>NO</v>
      </c>
      <c r="U833" s="84"/>
      <c r="V833" s="81"/>
      <c r="W833" s="81"/>
      <c r="X833" s="81"/>
      <c r="Y833" s="81"/>
      <c r="Z833" s="81"/>
      <c r="AA833" s="321" t="s">
        <v>2852</v>
      </c>
      <c r="AB833" s="81"/>
      <c r="AC833" s="78"/>
    </row>
    <row r="834" spans="1:29" ht="39.950000000000003" customHeight="1" x14ac:dyDescent="0.2">
      <c r="A834" s="81">
        <v>836</v>
      </c>
      <c r="B834" s="83">
        <v>45217</v>
      </c>
      <c r="C834" s="323">
        <v>0.4861111111111111</v>
      </c>
      <c r="D834" s="81" t="s">
        <v>3475</v>
      </c>
      <c r="E834" s="82" t="s">
        <v>3476</v>
      </c>
      <c r="F834" s="81">
        <v>8</v>
      </c>
      <c r="G834" s="81" t="s">
        <v>2774</v>
      </c>
      <c r="H834" s="83">
        <v>45231</v>
      </c>
      <c r="I834" s="83" t="s">
        <v>3212</v>
      </c>
      <c r="J834" s="83" t="s">
        <v>1220</v>
      </c>
      <c r="K834" s="81" t="s">
        <v>1925</v>
      </c>
      <c r="L834" s="81" t="s">
        <v>790</v>
      </c>
      <c r="M834" s="81" t="s">
        <v>3498</v>
      </c>
      <c r="N834" s="81"/>
      <c r="O834" s="81" t="str">
        <f t="shared" ca="1" si="46"/>
        <v>NO</v>
      </c>
      <c r="P834" s="81" t="str">
        <f t="shared" si="44"/>
        <v>DIANOSOL</v>
      </c>
      <c r="Q834" s="81" t="s">
        <v>951</v>
      </c>
      <c r="R834" s="81" t="str">
        <f>VLOOKUP($Q834,Resultados!$A$1:$B$49,2,FALSE)</f>
        <v xml:space="preserve"> _</v>
      </c>
      <c r="S834" s="81"/>
      <c r="T834" s="84" t="str">
        <f t="shared" si="47"/>
        <v>NO</v>
      </c>
      <c r="U834" s="84"/>
      <c r="V834" s="81"/>
      <c r="W834" s="81"/>
      <c r="X834" s="81"/>
      <c r="Y834" s="81"/>
      <c r="Z834" s="81"/>
      <c r="AA834" s="321" t="s">
        <v>2895</v>
      </c>
      <c r="AB834" s="81"/>
      <c r="AC834" s="78"/>
    </row>
    <row r="835" spans="1:29" ht="39.950000000000003" customHeight="1" x14ac:dyDescent="0.2">
      <c r="A835" s="81">
        <v>837</v>
      </c>
      <c r="B835" s="83">
        <v>45217</v>
      </c>
      <c r="C835" s="323">
        <v>0.35000000000000003</v>
      </c>
      <c r="D835" s="81" t="s">
        <v>3477</v>
      </c>
      <c r="E835" s="82" t="s">
        <v>3478</v>
      </c>
      <c r="F835" s="81">
        <v>1</v>
      </c>
      <c r="G835" s="81" t="s">
        <v>2838</v>
      </c>
      <c r="H835" s="83">
        <v>45230</v>
      </c>
      <c r="I835" s="83" t="s">
        <v>1210</v>
      </c>
      <c r="J835" s="83" t="s">
        <v>31</v>
      </c>
      <c r="K835" s="81" t="s">
        <v>1520</v>
      </c>
      <c r="L835" s="81" t="s">
        <v>809</v>
      </c>
      <c r="M835" s="81" t="s">
        <v>712</v>
      </c>
      <c r="N835" s="81" t="s">
        <v>3712</v>
      </c>
      <c r="O835" s="81" t="str">
        <f t="shared" ca="1" si="46"/>
        <v>NO</v>
      </c>
      <c r="P835" s="81" t="str">
        <f t="shared" ref="P835:P898" si="48">IF($P$1=H835,"DIASOL", "DIANOSOL")</f>
        <v>DIANOSOL</v>
      </c>
      <c r="Q835" s="81" t="s">
        <v>951</v>
      </c>
      <c r="R835" s="81" t="str">
        <f>VLOOKUP($Q835,Resultados!$A$1:$B$49,2,FALSE)</f>
        <v xml:space="preserve"> _</v>
      </c>
      <c r="S835" s="81"/>
      <c r="T835" s="84" t="str">
        <f t="shared" si="47"/>
        <v>NO</v>
      </c>
      <c r="U835" s="84"/>
      <c r="V835" s="81"/>
      <c r="W835" s="81"/>
      <c r="X835" s="81"/>
      <c r="Y835" s="81"/>
      <c r="Z835" s="321" t="s">
        <v>3416</v>
      </c>
      <c r="AA835" s="321" t="s">
        <v>2852</v>
      </c>
      <c r="AB835" s="321" t="s">
        <v>1177</v>
      </c>
      <c r="AC835" s="78"/>
    </row>
    <row r="836" spans="1:29" ht="39.950000000000003" customHeight="1" x14ac:dyDescent="0.2">
      <c r="A836" s="81">
        <v>838</v>
      </c>
      <c r="B836" s="83">
        <v>45217</v>
      </c>
      <c r="C836" s="323">
        <v>0.46180555555555558</v>
      </c>
      <c r="D836" s="367" t="s">
        <v>1348</v>
      </c>
      <c r="E836" s="82" t="s">
        <v>3481</v>
      </c>
      <c r="F836" s="81">
        <v>4</v>
      </c>
      <c r="G836" s="81" t="s">
        <v>1443</v>
      </c>
      <c r="H836" s="83">
        <v>45233</v>
      </c>
      <c r="I836" s="83" t="s">
        <v>1086</v>
      </c>
      <c r="J836" s="83" t="s">
        <v>31</v>
      </c>
      <c r="K836" s="81">
        <f>IFERROR(VLOOKUP(J836,Jueces!$A$1:$B$11,2,FALSE),"")</f>
        <v>2</v>
      </c>
      <c r="L836" s="81" t="s">
        <v>814</v>
      </c>
      <c r="M836" s="393" t="s">
        <v>1447</v>
      </c>
      <c r="N836" s="81" t="s">
        <v>3525</v>
      </c>
      <c r="O836" s="81" t="str">
        <f t="shared" ca="1" si="46"/>
        <v>NO</v>
      </c>
      <c r="P836" s="81" t="str">
        <f t="shared" si="48"/>
        <v>DIANOSOL</v>
      </c>
      <c r="Q836" s="81" t="s">
        <v>951</v>
      </c>
      <c r="R836" s="81" t="str">
        <f>VLOOKUP($Q836,Resultados!$A$1:$B$49,2,FALSE)</f>
        <v xml:space="preserve"> _</v>
      </c>
      <c r="S836" s="81"/>
      <c r="T836" s="84" t="str">
        <f t="shared" si="47"/>
        <v>NO</v>
      </c>
      <c r="U836" s="84"/>
      <c r="V836" s="81"/>
      <c r="W836" s="81"/>
      <c r="X836" s="81"/>
      <c r="Y836" s="81"/>
      <c r="Z836" s="81"/>
      <c r="AA836" s="321" t="s">
        <v>1171</v>
      </c>
      <c r="AB836" s="81"/>
      <c r="AC836" s="78" t="s">
        <v>1801</v>
      </c>
    </row>
    <row r="837" spans="1:29" ht="39.950000000000003" customHeight="1" x14ac:dyDescent="0.2">
      <c r="A837" s="81">
        <v>839</v>
      </c>
      <c r="B837" s="83">
        <v>45217</v>
      </c>
      <c r="C837" s="323">
        <v>0.4909722222222222</v>
      </c>
      <c r="D837" s="81" t="s">
        <v>3479</v>
      </c>
      <c r="E837" s="82" t="s">
        <v>3711</v>
      </c>
      <c r="F837" s="81">
        <v>2</v>
      </c>
      <c r="G837" s="81" t="s">
        <v>2838</v>
      </c>
      <c r="H837" s="83">
        <v>45233</v>
      </c>
      <c r="I837" s="83" t="s">
        <v>1210</v>
      </c>
      <c r="J837" s="83" t="s">
        <v>1221</v>
      </c>
      <c r="K837" s="81" t="s">
        <v>1925</v>
      </c>
      <c r="L837" s="81" t="s">
        <v>791</v>
      </c>
      <c r="M837" s="81" t="s">
        <v>692</v>
      </c>
      <c r="N837" s="81"/>
      <c r="O837" s="81" t="str">
        <f t="shared" ca="1" si="46"/>
        <v>NO</v>
      </c>
      <c r="P837" s="81" t="str">
        <f t="shared" si="48"/>
        <v>DIANOSOL</v>
      </c>
      <c r="Q837" s="81" t="s">
        <v>951</v>
      </c>
      <c r="R837" s="81" t="str">
        <f>VLOOKUP($Q837,Resultados!$A$1:$B$49,2,FALSE)</f>
        <v xml:space="preserve"> _</v>
      </c>
      <c r="S837" s="81"/>
      <c r="T837" s="84" t="str">
        <f t="shared" si="47"/>
        <v>NO</v>
      </c>
      <c r="U837" s="84"/>
      <c r="V837" s="81"/>
      <c r="W837" s="81"/>
      <c r="X837" s="81"/>
      <c r="Y837" s="81"/>
      <c r="Z837" s="81"/>
      <c r="AA837" s="321" t="s">
        <v>2852</v>
      </c>
      <c r="AB837" s="81"/>
      <c r="AC837" s="78"/>
    </row>
    <row r="838" spans="1:29" ht="39.950000000000003" customHeight="1" x14ac:dyDescent="0.2">
      <c r="A838" s="81">
        <v>840</v>
      </c>
      <c r="B838" s="83">
        <v>45218</v>
      </c>
      <c r="C838" s="323">
        <v>0.34375</v>
      </c>
      <c r="D838" s="81" t="s">
        <v>3528</v>
      </c>
      <c r="E838" s="82" t="s">
        <v>3497</v>
      </c>
      <c r="F838" s="81">
        <v>2</v>
      </c>
      <c r="G838" s="81" t="s">
        <v>283</v>
      </c>
      <c r="H838" s="83">
        <v>45231</v>
      </c>
      <c r="I838" s="83" t="s">
        <v>1210</v>
      </c>
      <c r="J838" s="83" t="s">
        <v>1221</v>
      </c>
      <c r="K838" s="81" t="s">
        <v>2304</v>
      </c>
      <c r="L838" s="81" t="s">
        <v>811</v>
      </c>
      <c r="M838" s="81" t="s">
        <v>693</v>
      </c>
      <c r="N838" s="81"/>
      <c r="O838" s="81" t="str">
        <f t="shared" ca="1" si="46"/>
        <v>NO</v>
      </c>
      <c r="P838" s="81" t="str">
        <f t="shared" si="48"/>
        <v>DIANOSOL</v>
      </c>
      <c r="Q838" s="81" t="s">
        <v>951</v>
      </c>
      <c r="R838" s="81" t="str">
        <f>VLOOKUP($Q838,Resultados!$A$1:$B$49,2,FALSE)</f>
        <v xml:space="preserve"> _</v>
      </c>
      <c r="S838" s="81"/>
      <c r="T838" s="84" t="str">
        <f t="shared" si="47"/>
        <v>NO</v>
      </c>
      <c r="U838" s="84"/>
      <c r="V838" s="81"/>
      <c r="W838" s="81"/>
      <c r="X838" s="81"/>
      <c r="Y838" s="81"/>
      <c r="Z838" s="81"/>
      <c r="AA838" s="321" t="s">
        <v>2852</v>
      </c>
      <c r="AB838" s="81"/>
      <c r="AC838" s="78"/>
    </row>
    <row r="839" spans="1:29" ht="39.950000000000003" customHeight="1" x14ac:dyDescent="0.2">
      <c r="A839" s="81">
        <v>841</v>
      </c>
      <c r="B839" s="83">
        <v>45218</v>
      </c>
      <c r="C839" s="323">
        <v>0.41597222222222219</v>
      </c>
      <c r="D839" s="81" t="s">
        <v>2306</v>
      </c>
      <c r="E839" s="82" t="s">
        <v>3499</v>
      </c>
      <c r="F839" s="81">
        <v>6</v>
      </c>
      <c r="G839" s="81" t="s">
        <v>283</v>
      </c>
      <c r="H839" s="83">
        <v>45232</v>
      </c>
      <c r="I839" s="83" t="s">
        <v>3212</v>
      </c>
      <c r="J839" s="83" t="s">
        <v>1221</v>
      </c>
      <c r="K839" s="81" t="s">
        <v>1925</v>
      </c>
      <c r="L839" s="81" t="s">
        <v>811</v>
      </c>
      <c r="M839" s="81" t="s">
        <v>2125</v>
      </c>
      <c r="N839" s="81"/>
      <c r="O839" s="81" t="str">
        <f t="shared" ca="1" si="46"/>
        <v>NO</v>
      </c>
      <c r="P839" s="81" t="str">
        <f t="shared" si="48"/>
        <v>DIANOSOL</v>
      </c>
      <c r="Q839" s="81" t="s">
        <v>951</v>
      </c>
      <c r="R839" s="81" t="str">
        <f>VLOOKUP($Q839,Resultados!$A$1:$B$49,2,FALSE)</f>
        <v xml:space="preserve"> _</v>
      </c>
      <c r="S839" s="81"/>
      <c r="T839" s="84" t="str">
        <f t="shared" si="47"/>
        <v>NO</v>
      </c>
      <c r="U839" s="84"/>
      <c r="V839" s="81"/>
      <c r="W839" s="81"/>
      <c r="X839" s="81"/>
      <c r="Y839" s="81"/>
      <c r="Z839" s="81"/>
      <c r="AA839" s="321" t="s">
        <v>2895</v>
      </c>
      <c r="AB839" s="81"/>
      <c r="AC839" s="78"/>
    </row>
    <row r="840" spans="1:29" ht="39.950000000000003" customHeight="1" x14ac:dyDescent="0.2">
      <c r="A840" s="81">
        <v>842</v>
      </c>
      <c r="B840" s="83">
        <v>45218</v>
      </c>
      <c r="C840" s="323">
        <v>0.41736111111111113</v>
      </c>
      <c r="D840" s="367" t="s">
        <v>3500</v>
      </c>
      <c r="E840" s="82" t="s">
        <v>3501</v>
      </c>
      <c r="F840" s="81">
        <v>2</v>
      </c>
      <c r="G840" s="81" t="s">
        <v>3366</v>
      </c>
      <c r="H840" s="83">
        <v>45236</v>
      </c>
      <c r="I840" s="83" t="s">
        <v>1086</v>
      </c>
      <c r="J840" s="83" t="s">
        <v>78</v>
      </c>
      <c r="K840" s="81">
        <f>IFERROR(VLOOKUP(J840,Jueces!$A$1:$B$11,2,FALSE),"")</f>
        <v>8</v>
      </c>
      <c r="L840" s="81" t="s">
        <v>807</v>
      </c>
      <c r="M840" s="79" t="s">
        <v>692</v>
      </c>
      <c r="N840" s="81"/>
      <c r="O840" s="81" t="str">
        <f t="shared" ca="1" si="46"/>
        <v>NO</v>
      </c>
      <c r="P840" s="81" t="str">
        <f t="shared" si="48"/>
        <v>DIANOSOL</v>
      </c>
      <c r="Q840" s="81" t="s">
        <v>951</v>
      </c>
      <c r="R840" s="81" t="str">
        <f>VLOOKUP($Q840,Resultados!$A$1:$B$49,2,FALSE)</f>
        <v xml:space="preserve"> _</v>
      </c>
      <c r="S840" s="81"/>
      <c r="T840" s="84" t="str">
        <f t="shared" si="47"/>
        <v>NO</v>
      </c>
      <c r="U840" s="84"/>
      <c r="V840" s="81"/>
      <c r="W840" s="81"/>
      <c r="X840" s="81"/>
      <c r="Y840" s="81"/>
      <c r="Z840" s="81"/>
      <c r="AA840" s="321" t="s">
        <v>3428</v>
      </c>
      <c r="AB840" s="81"/>
      <c r="AC840" s="78" t="s">
        <v>1801</v>
      </c>
    </row>
    <row r="841" spans="1:29" ht="39.950000000000003" customHeight="1" x14ac:dyDescent="0.2">
      <c r="A841" s="81">
        <v>843</v>
      </c>
      <c r="B841" s="83">
        <v>45218</v>
      </c>
      <c r="C841" s="323">
        <v>0.42222222222222222</v>
      </c>
      <c r="D841" s="81" t="s">
        <v>3502</v>
      </c>
      <c r="E841" s="82" t="s">
        <v>3508</v>
      </c>
      <c r="F841" s="81">
        <v>2</v>
      </c>
      <c r="G841" s="81" t="s">
        <v>3367</v>
      </c>
      <c r="H841" s="83">
        <v>45238</v>
      </c>
      <c r="I841" s="83" t="s">
        <v>1086</v>
      </c>
      <c r="J841" s="83" t="s">
        <v>31</v>
      </c>
      <c r="K841" s="81">
        <f>IFERROR(VLOOKUP(J841,Jueces!$A$1:$B$11,2,FALSE),"")</f>
        <v>2</v>
      </c>
      <c r="L841" s="81" t="s">
        <v>814</v>
      </c>
      <c r="M841" s="394" t="s">
        <v>2702</v>
      </c>
      <c r="N841" s="81" t="s">
        <v>3561</v>
      </c>
      <c r="O841" s="81" t="str">
        <f t="shared" ca="1" si="46"/>
        <v>NO</v>
      </c>
      <c r="P841" s="81" t="str">
        <f t="shared" si="48"/>
        <v>DIANOSOL</v>
      </c>
      <c r="Q841" s="81" t="s">
        <v>951</v>
      </c>
      <c r="R841" s="81" t="str">
        <f>VLOOKUP($Q841,Resultados!$A$1:$B$49,2,FALSE)</f>
        <v xml:space="preserve"> _</v>
      </c>
      <c r="S841" s="81"/>
      <c r="T841" s="84" t="str">
        <f t="shared" si="47"/>
        <v>NO</v>
      </c>
      <c r="U841" s="84"/>
      <c r="V841" s="81"/>
      <c r="W841" s="81"/>
      <c r="X841" s="81"/>
      <c r="Y841" s="81"/>
      <c r="Z841" s="81"/>
      <c r="AA841" s="321" t="s">
        <v>2852</v>
      </c>
      <c r="AB841" s="81"/>
      <c r="AC841" s="78"/>
    </row>
    <row r="842" spans="1:29" ht="39.950000000000003" customHeight="1" x14ac:dyDescent="0.2">
      <c r="A842" s="81">
        <v>844</v>
      </c>
      <c r="B842" s="83">
        <v>45218</v>
      </c>
      <c r="C842" s="323">
        <v>0.42291666666666666</v>
      </c>
      <c r="D842" s="81" t="s">
        <v>981</v>
      </c>
      <c r="E842" s="82" t="s">
        <v>3504</v>
      </c>
      <c r="F842" s="81">
        <v>8</v>
      </c>
      <c r="G842" s="81" t="s">
        <v>1442</v>
      </c>
      <c r="H842" s="83">
        <v>45233</v>
      </c>
      <c r="I842" s="83" t="s">
        <v>749</v>
      </c>
      <c r="J842" s="83" t="s">
        <v>1225</v>
      </c>
      <c r="K842" s="81">
        <f>IFERROR(VLOOKUP(J842,Jueces!$A$1:$B$11,2,FALSE),"")</f>
        <v>6</v>
      </c>
      <c r="L842" s="81" t="s">
        <v>813</v>
      </c>
      <c r="M842" s="81" t="s">
        <v>723</v>
      </c>
      <c r="N842" s="81"/>
      <c r="O842" s="81" t="str">
        <f t="shared" ca="1" si="46"/>
        <v>NO</v>
      </c>
      <c r="P842" s="81" t="str">
        <f t="shared" si="48"/>
        <v>DIANOSOL</v>
      </c>
      <c r="Q842" s="81" t="s">
        <v>951</v>
      </c>
      <c r="R842" s="81" t="str">
        <f>VLOOKUP($Q842,Resultados!$A$1:$B$49,2,FALSE)</f>
        <v xml:space="preserve"> _</v>
      </c>
      <c r="S842" s="81"/>
      <c r="T842" s="84" t="str">
        <f t="shared" si="47"/>
        <v>SI</v>
      </c>
      <c r="U842" s="84"/>
      <c r="V842" s="81"/>
      <c r="W842" s="81"/>
      <c r="X842" s="81"/>
      <c r="Y842" s="81"/>
      <c r="Z842" s="81"/>
      <c r="AA842" s="321" t="s">
        <v>3428</v>
      </c>
      <c r="AB842" s="81"/>
      <c r="AC842" s="78"/>
    </row>
    <row r="843" spans="1:29" ht="39.950000000000003" customHeight="1" x14ac:dyDescent="0.2">
      <c r="A843" s="81">
        <v>845</v>
      </c>
      <c r="B843" s="83">
        <v>45218</v>
      </c>
      <c r="C843" s="323">
        <v>0.47013888888888888</v>
      </c>
      <c r="D843" s="81" t="s">
        <v>3506</v>
      </c>
      <c r="E843" s="82" t="s">
        <v>3507</v>
      </c>
      <c r="F843" s="81">
        <v>3</v>
      </c>
      <c r="G843" s="81" t="s">
        <v>568</v>
      </c>
      <c r="H843" s="83">
        <v>45230</v>
      </c>
      <c r="I843" s="83" t="s">
        <v>1210</v>
      </c>
      <c r="J843" s="83" t="s">
        <v>1220</v>
      </c>
      <c r="K843" s="81">
        <f>IFERROR(VLOOKUP(J843,Jueces!$A$1:$B$11,2,FALSE),"")</f>
        <v>1</v>
      </c>
      <c r="L843" s="81" t="s">
        <v>812</v>
      </c>
      <c r="M843" s="81" t="s">
        <v>694</v>
      </c>
      <c r="N843" s="81"/>
      <c r="O843" s="81" t="str">
        <f t="shared" ca="1" si="46"/>
        <v>NO</v>
      </c>
      <c r="P843" s="81" t="str">
        <f t="shared" si="48"/>
        <v>DIANOSOL</v>
      </c>
      <c r="Q843" s="81" t="s">
        <v>951</v>
      </c>
      <c r="R843" s="81" t="str">
        <f>VLOOKUP($Q843,Resultados!$A$1:$B$49,2,FALSE)</f>
        <v xml:space="preserve"> _</v>
      </c>
      <c r="S843" s="81"/>
      <c r="T843" s="84" t="str">
        <f t="shared" si="47"/>
        <v>NO</v>
      </c>
      <c r="U843" s="84"/>
      <c r="V843" s="81"/>
      <c r="W843" s="81"/>
      <c r="X843" s="81"/>
      <c r="Y843" s="81"/>
      <c r="Z843" s="81"/>
      <c r="AA843" s="321" t="s">
        <v>3429</v>
      </c>
      <c r="AB843" s="81"/>
      <c r="AC843" s="78"/>
    </row>
    <row r="844" spans="1:29" ht="39.950000000000003" customHeight="1" x14ac:dyDescent="0.2">
      <c r="A844" s="66">
        <v>846</v>
      </c>
      <c r="B844" s="68"/>
      <c r="C844" s="66"/>
      <c r="D844" s="66" t="s">
        <v>3510</v>
      </c>
      <c r="E844" s="67" t="s">
        <v>3511</v>
      </c>
      <c r="F844" s="66">
        <v>2</v>
      </c>
      <c r="G844" s="66" t="s">
        <v>29</v>
      </c>
      <c r="H844" s="68">
        <v>45219</v>
      </c>
      <c r="I844" s="68" t="s">
        <v>228</v>
      </c>
      <c r="J844" s="68" t="s">
        <v>31</v>
      </c>
      <c r="K844" s="66">
        <v>2</v>
      </c>
      <c r="L844" s="66" t="s">
        <v>1306</v>
      </c>
      <c r="M844" s="66" t="s">
        <v>3512</v>
      </c>
      <c r="N844" s="66" t="s">
        <v>3545</v>
      </c>
      <c r="O844" s="81" t="str">
        <f t="shared" ca="1" si="46"/>
        <v>SI</v>
      </c>
      <c r="P844" s="81" t="str">
        <f t="shared" si="48"/>
        <v>DIANOSOL</v>
      </c>
      <c r="Q844" s="66" t="s">
        <v>905</v>
      </c>
      <c r="R844" s="66" t="str">
        <f>VLOOKUP($Q844,Resultados!$A$1:$B$49,2,FALSE)</f>
        <v>Juicio Abreviado</v>
      </c>
      <c r="S844" s="66" t="s">
        <v>3410</v>
      </c>
      <c r="T844" s="84" t="str">
        <f t="shared" si="47"/>
        <v>NO</v>
      </c>
      <c r="U844" s="84"/>
      <c r="V844" s="81"/>
      <c r="W844" s="66" t="s">
        <v>3282</v>
      </c>
      <c r="X844" s="66" t="s">
        <v>3081</v>
      </c>
      <c r="Y844" s="66"/>
      <c r="Z844" s="121" t="s">
        <v>748</v>
      </c>
      <c r="AA844" s="66"/>
      <c r="AB844" s="121" t="s">
        <v>3365</v>
      </c>
      <c r="AC844" s="407"/>
    </row>
    <row r="845" spans="1:29" ht="39.950000000000003" customHeight="1" x14ac:dyDescent="0.2">
      <c r="A845" s="211">
        <v>847</v>
      </c>
      <c r="B845" s="317"/>
      <c r="C845" s="211"/>
      <c r="D845" s="211" t="s">
        <v>3152</v>
      </c>
      <c r="E845" s="212" t="s">
        <v>3216</v>
      </c>
      <c r="F845" s="211">
        <v>1</v>
      </c>
      <c r="G845" s="211" t="s">
        <v>1441</v>
      </c>
      <c r="H845" s="317">
        <v>45245</v>
      </c>
      <c r="I845" s="317" t="s">
        <v>73</v>
      </c>
      <c r="J845" s="317" t="s">
        <v>1221</v>
      </c>
      <c r="K845" s="211" t="s">
        <v>1925</v>
      </c>
      <c r="L845" s="211" t="s">
        <v>789</v>
      </c>
      <c r="M845" s="211" t="s">
        <v>712</v>
      </c>
      <c r="N845" s="211" t="s">
        <v>3513</v>
      </c>
      <c r="O845" s="211" t="str">
        <f t="shared" ca="1" si="46"/>
        <v>NO</v>
      </c>
      <c r="P845" s="211" t="str">
        <f t="shared" si="48"/>
        <v>DIANOSOL</v>
      </c>
      <c r="Q845" s="211" t="s">
        <v>951</v>
      </c>
      <c r="R845" s="211" t="str">
        <f>VLOOKUP($Q845,Resultados!$A$1:$B$49,2,FALSE)</f>
        <v xml:space="preserve"> _</v>
      </c>
      <c r="S845" s="211"/>
      <c r="T845" s="276" t="str">
        <f t="shared" si="47"/>
        <v>NO</v>
      </c>
      <c r="U845" s="276"/>
      <c r="V845" s="211"/>
      <c r="W845" s="211"/>
      <c r="X845" s="211"/>
      <c r="Y845" s="211"/>
      <c r="Z845" s="211"/>
      <c r="AA845" s="211"/>
      <c r="AB845" s="211"/>
      <c r="AC845" s="371"/>
    </row>
    <row r="846" spans="1:29" ht="39.950000000000003" customHeight="1" x14ac:dyDescent="0.2">
      <c r="A846" s="81">
        <v>848</v>
      </c>
      <c r="B846" s="83">
        <v>45219</v>
      </c>
      <c r="C846" s="323">
        <v>0.35000000000000003</v>
      </c>
      <c r="D846" s="81" t="s">
        <v>3523</v>
      </c>
      <c r="E846" s="82" t="s">
        <v>3524</v>
      </c>
      <c r="F846" s="81">
        <v>2</v>
      </c>
      <c r="G846" s="81" t="s">
        <v>1443</v>
      </c>
      <c r="H846" s="83">
        <v>45239</v>
      </c>
      <c r="I846" s="83" t="s">
        <v>73</v>
      </c>
      <c r="J846" s="83" t="s">
        <v>78</v>
      </c>
      <c r="K846" s="81">
        <f>IFERROR(VLOOKUP(J846,Jueces!$A$1:$B$11,2,FALSE),"")</f>
        <v>8</v>
      </c>
      <c r="L846" s="81" t="s">
        <v>2094</v>
      </c>
      <c r="M846" s="396" t="s">
        <v>782</v>
      </c>
      <c r="N846" s="81" t="s">
        <v>3619</v>
      </c>
      <c r="O846" s="81" t="str">
        <f t="shared" ca="1" si="46"/>
        <v>NO</v>
      </c>
      <c r="P846" s="81" t="str">
        <f t="shared" si="48"/>
        <v>DIANOSOL</v>
      </c>
      <c r="Q846" s="81" t="s">
        <v>951</v>
      </c>
      <c r="R846" s="81" t="str">
        <f>VLOOKUP($Q846,Resultados!$A$1:$B$49,2,FALSE)</f>
        <v xml:space="preserve"> _</v>
      </c>
      <c r="S846" s="81"/>
      <c r="T846" s="84" t="str">
        <f t="shared" si="47"/>
        <v>NO</v>
      </c>
      <c r="U846" s="84"/>
      <c r="V846" s="81"/>
      <c r="W846" s="81"/>
      <c r="X846" s="81"/>
      <c r="Y846" s="81"/>
      <c r="Z846" s="81"/>
      <c r="AA846" s="321" t="s">
        <v>3429</v>
      </c>
      <c r="AB846" s="81"/>
      <c r="AC846" s="78"/>
    </row>
    <row r="847" spans="1:29" ht="39.950000000000003" customHeight="1" x14ac:dyDescent="0.2">
      <c r="A847" s="81">
        <v>849</v>
      </c>
      <c r="B847" s="83">
        <v>45219</v>
      </c>
      <c r="C847" s="323">
        <v>0.3923611111111111</v>
      </c>
      <c r="D847" s="81" t="s">
        <v>3529</v>
      </c>
      <c r="E847" s="82" t="s">
        <v>3692</v>
      </c>
      <c r="F847" s="81">
        <v>2</v>
      </c>
      <c r="G847" s="81" t="s">
        <v>568</v>
      </c>
      <c r="H847" s="83">
        <v>45237</v>
      </c>
      <c r="I847" s="83" t="s">
        <v>1086</v>
      </c>
      <c r="J847" s="83" t="s">
        <v>1221</v>
      </c>
      <c r="K847" s="81" t="s">
        <v>1925</v>
      </c>
      <c r="L847" s="81" t="s">
        <v>798</v>
      </c>
      <c r="M847" s="205" t="s">
        <v>692</v>
      </c>
      <c r="N847" s="81" t="s">
        <v>3691</v>
      </c>
      <c r="O847" s="81" t="str">
        <f t="shared" ca="1" si="46"/>
        <v>NO</v>
      </c>
      <c r="P847" s="81" t="str">
        <f t="shared" si="48"/>
        <v>DIANOSOL</v>
      </c>
      <c r="Q847" s="81" t="s">
        <v>951</v>
      </c>
      <c r="R847" s="81" t="str">
        <f>VLOOKUP($Q847,Resultados!$A$1:$B$49,2,FALSE)</f>
        <v xml:space="preserve"> _</v>
      </c>
      <c r="S847" s="81"/>
      <c r="T847" s="84" t="str">
        <f t="shared" si="47"/>
        <v>NO</v>
      </c>
      <c r="U847" s="84"/>
      <c r="V847" s="81"/>
      <c r="W847" s="81"/>
      <c r="X847" s="81"/>
      <c r="Y847" s="81"/>
      <c r="Z847" s="81"/>
      <c r="AA847" s="321" t="s">
        <v>3429</v>
      </c>
      <c r="AB847" s="81"/>
      <c r="AC847" s="78"/>
    </row>
    <row r="848" spans="1:29" ht="39.950000000000003" customHeight="1" x14ac:dyDescent="0.2">
      <c r="A848" s="81">
        <v>850</v>
      </c>
      <c r="B848" s="83">
        <v>45219</v>
      </c>
      <c r="C848" s="323">
        <v>0.38819444444444445</v>
      </c>
      <c r="D848" s="81" t="s">
        <v>3531</v>
      </c>
      <c r="E848" s="82" t="s">
        <v>3530</v>
      </c>
      <c r="F848" s="81">
        <v>3</v>
      </c>
      <c r="G848" s="81" t="s">
        <v>1443</v>
      </c>
      <c r="H848" s="83">
        <v>45237</v>
      </c>
      <c r="I848" s="83" t="s">
        <v>1086</v>
      </c>
      <c r="J848" s="83" t="s">
        <v>78</v>
      </c>
      <c r="K848" s="81">
        <f>IFERROR(VLOOKUP(J848,Jueces!$A$1:$B$11,2,FALSE),"")</f>
        <v>8</v>
      </c>
      <c r="L848" s="81" t="s">
        <v>809</v>
      </c>
      <c r="M848" s="81" t="s">
        <v>694</v>
      </c>
      <c r="N848" s="81"/>
      <c r="O848" s="81" t="str">
        <f t="shared" ca="1" si="46"/>
        <v>NO</v>
      </c>
      <c r="P848" s="81" t="str">
        <f t="shared" si="48"/>
        <v>DIANOSOL</v>
      </c>
      <c r="Q848" s="81" t="s">
        <v>951</v>
      </c>
      <c r="R848" s="81" t="str">
        <f>VLOOKUP($Q848,Resultados!$A$1:$B$49,2,FALSE)</f>
        <v xml:space="preserve"> _</v>
      </c>
      <c r="S848" s="81"/>
      <c r="T848" s="84" t="str">
        <f t="shared" si="47"/>
        <v>NO</v>
      </c>
      <c r="U848" s="84"/>
      <c r="V848" s="81"/>
      <c r="W848" s="81"/>
      <c r="X848" s="81"/>
      <c r="Y848" s="81"/>
      <c r="Z848" s="81"/>
      <c r="AA848" s="321" t="s">
        <v>1171</v>
      </c>
      <c r="AB848" s="81"/>
      <c r="AC848" s="78"/>
    </row>
    <row r="849" spans="1:29" ht="39.950000000000003" customHeight="1" x14ac:dyDescent="0.2">
      <c r="A849" s="81">
        <v>851</v>
      </c>
      <c r="B849" s="83">
        <v>45219</v>
      </c>
      <c r="C849" s="323">
        <v>0.53055555555555556</v>
      </c>
      <c r="D849" s="81" t="s">
        <v>3535</v>
      </c>
      <c r="E849" s="82" t="s">
        <v>3537</v>
      </c>
      <c r="F849" s="81">
        <v>2</v>
      </c>
      <c r="G849" s="81" t="s">
        <v>1442</v>
      </c>
      <c r="H849" s="83">
        <v>45229</v>
      </c>
      <c r="I849" s="83" t="s">
        <v>73</v>
      </c>
      <c r="J849" s="83" t="s">
        <v>31</v>
      </c>
      <c r="K849" s="81">
        <f>IFERROR(VLOOKUP(J849,Jueces!$A$1:$B$11,2,FALSE),"")</f>
        <v>2</v>
      </c>
      <c r="L849" s="81" t="s">
        <v>790</v>
      </c>
      <c r="M849" s="81" t="s">
        <v>692</v>
      </c>
      <c r="N849" s="81"/>
      <c r="O849" s="81" t="str">
        <f t="shared" ca="1" si="46"/>
        <v>NO</v>
      </c>
      <c r="P849" s="81" t="str">
        <f t="shared" si="48"/>
        <v>DIASOL</v>
      </c>
      <c r="Q849" s="81" t="s">
        <v>951</v>
      </c>
      <c r="R849" s="81" t="str">
        <f>VLOOKUP($Q849,Resultados!$A$1:$B$49,2,FALSE)</f>
        <v xml:space="preserve"> _</v>
      </c>
      <c r="S849" s="81"/>
      <c r="T849" s="84" t="str">
        <f t="shared" si="47"/>
        <v>SI</v>
      </c>
      <c r="U849" s="84"/>
      <c r="V849" s="81"/>
      <c r="W849" s="81"/>
      <c r="X849" s="81"/>
      <c r="Y849" s="81"/>
      <c r="Z849" s="81"/>
      <c r="AA849" s="321" t="s">
        <v>3428</v>
      </c>
      <c r="AB849" s="81"/>
      <c r="AC849" s="78"/>
    </row>
    <row r="850" spans="1:29" ht="39.950000000000003" customHeight="1" x14ac:dyDescent="0.2">
      <c r="A850" s="81">
        <v>852</v>
      </c>
      <c r="B850" s="83">
        <v>45219</v>
      </c>
      <c r="C850" s="81" t="s">
        <v>1015</v>
      </c>
      <c r="D850" s="81" t="s">
        <v>3532</v>
      </c>
      <c r="E850" s="82" t="s">
        <v>3533</v>
      </c>
      <c r="F850" s="81">
        <v>2</v>
      </c>
      <c r="G850" s="81" t="s">
        <v>1441</v>
      </c>
      <c r="H850" s="83">
        <v>45232</v>
      </c>
      <c r="I850" s="83" t="s">
        <v>1086</v>
      </c>
      <c r="J850" s="83" t="s">
        <v>31</v>
      </c>
      <c r="K850" s="81">
        <f>IFERROR(VLOOKUP(J850,Jueces!$A$1:$B$11,2,FALSE),"")</f>
        <v>2</v>
      </c>
      <c r="L850" s="81" t="s">
        <v>1702</v>
      </c>
      <c r="M850" s="81" t="s">
        <v>692</v>
      </c>
      <c r="N850" s="81" t="s">
        <v>3560</v>
      </c>
      <c r="O850" s="81" t="str">
        <f t="shared" ca="1" si="46"/>
        <v>NO</v>
      </c>
      <c r="P850" s="81" t="str">
        <f t="shared" si="48"/>
        <v>DIANOSOL</v>
      </c>
      <c r="Q850" s="81" t="s">
        <v>951</v>
      </c>
      <c r="R850" s="81" t="str">
        <f>VLOOKUP($Q850,Resultados!$A$1:$B$49,2,FALSE)</f>
        <v xml:space="preserve"> _</v>
      </c>
      <c r="S850" s="81"/>
      <c r="T850" s="84" t="str">
        <f t="shared" si="47"/>
        <v>NO</v>
      </c>
      <c r="U850" s="84"/>
      <c r="V850" s="81"/>
      <c r="W850" s="81"/>
      <c r="X850" s="81"/>
      <c r="Y850" s="81"/>
      <c r="Z850" s="81"/>
      <c r="AA850" s="321" t="s">
        <v>3429</v>
      </c>
      <c r="AB850" s="81"/>
      <c r="AC850" s="78"/>
    </row>
    <row r="851" spans="1:29" ht="39.950000000000003" customHeight="1" x14ac:dyDescent="0.2">
      <c r="A851" s="81">
        <v>853</v>
      </c>
      <c r="B851" s="83">
        <v>45219</v>
      </c>
      <c r="C851" s="323">
        <v>0.52916666666666667</v>
      </c>
      <c r="D851" s="81" t="s">
        <v>3536</v>
      </c>
      <c r="E851" s="82" t="s">
        <v>3538</v>
      </c>
      <c r="F851" s="81">
        <v>2</v>
      </c>
      <c r="G851" s="81" t="s">
        <v>3366</v>
      </c>
      <c r="H851" s="83">
        <v>45233</v>
      </c>
      <c r="I851" s="83" t="s">
        <v>73</v>
      </c>
      <c r="J851" s="83" t="s">
        <v>1732</v>
      </c>
      <c r="K851" s="81" t="s">
        <v>1346</v>
      </c>
      <c r="L851" s="81" t="s">
        <v>810</v>
      </c>
      <c r="M851" s="81" t="s">
        <v>693</v>
      </c>
      <c r="N851" s="81"/>
      <c r="O851" s="81" t="str">
        <f t="shared" ca="1" si="46"/>
        <v>NO</v>
      </c>
      <c r="P851" s="81" t="str">
        <f t="shared" si="48"/>
        <v>DIANOSOL</v>
      </c>
      <c r="Q851" s="81" t="s">
        <v>951</v>
      </c>
      <c r="R851" s="81" t="str">
        <f>VLOOKUP($Q851,Resultados!$A$1:$B$49,2,FALSE)</f>
        <v xml:space="preserve"> _</v>
      </c>
      <c r="S851" s="81"/>
      <c r="T851" s="84" t="str">
        <f t="shared" si="47"/>
        <v>NO</v>
      </c>
      <c r="U851" s="84"/>
      <c r="V851" s="81"/>
      <c r="W851" s="81"/>
      <c r="X851" s="81"/>
      <c r="Y851" s="81"/>
      <c r="Z851" s="81"/>
      <c r="AA851" s="321" t="s">
        <v>2852</v>
      </c>
      <c r="AB851" s="81"/>
      <c r="AC851" s="78"/>
    </row>
    <row r="852" spans="1:29" ht="39.950000000000003" customHeight="1" x14ac:dyDescent="0.2">
      <c r="A852" s="81">
        <v>854</v>
      </c>
      <c r="B852" s="83">
        <v>45217</v>
      </c>
      <c r="C852" s="323">
        <v>0.34930555555555554</v>
      </c>
      <c r="D852" s="81" t="s">
        <v>3551</v>
      </c>
      <c r="E852" s="82" t="s">
        <v>3552</v>
      </c>
      <c r="F852" s="81">
        <v>1</v>
      </c>
      <c r="G852" s="81" t="s">
        <v>1442</v>
      </c>
      <c r="H852" s="83">
        <v>45238</v>
      </c>
      <c r="I852" s="83" t="s">
        <v>73</v>
      </c>
      <c r="J852" s="83" t="s">
        <v>31</v>
      </c>
      <c r="K852" s="81">
        <f>IFERROR(VLOOKUP(J852,Jueces!$A$1:$B$11,2,FALSE),"")</f>
        <v>2</v>
      </c>
      <c r="L852" s="81" t="s">
        <v>802</v>
      </c>
      <c r="M852" s="81" t="s">
        <v>692</v>
      </c>
      <c r="N852" s="81"/>
      <c r="O852" s="81" t="str">
        <f t="shared" ca="1" si="46"/>
        <v>NO</v>
      </c>
      <c r="P852" s="81" t="str">
        <f t="shared" si="48"/>
        <v>DIANOSOL</v>
      </c>
      <c r="Q852" s="81" t="s">
        <v>951</v>
      </c>
      <c r="R852" s="81" t="str">
        <f>VLOOKUP($Q852,Resultados!$A$1:$B$49,2,FALSE)</f>
        <v xml:space="preserve"> _</v>
      </c>
      <c r="S852" s="81"/>
      <c r="T852" s="84" t="str">
        <f t="shared" si="47"/>
        <v>SI</v>
      </c>
      <c r="U852" s="84"/>
      <c r="V852" s="81"/>
      <c r="W852" s="81"/>
      <c r="X852" s="81"/>
      <c r="Y852" s="81"/>
      <c r="Z852" s="81"/>
      <c r="AA852" s="321" t="s">
        <v>3429</v>
      </c>
      <c r="AB852" s="81"/>
      <c r="AC852" s="78"/>
    </row>
    <row r="853" spans="1:29" ht="39.950000000000003" customHeight="1" x14ac:dyDescent="0.2">
      <c r="A853" s="81">
        <v>855</v>
      </c>
      <c r="B853" s="83">
        <v>45222</v>
      </c>
      <c r="C853" s="323">
        <v>0.4236111111111111</v>
      </c>
      <c r="D853" s="81" t="s">
        <v>3554</v>
      </c>
      <c r="E853" s="82" t="s">
        <v>3555</v>
      </c>
      <c r="F853" s="81">
        <v>3</v>
      </c>
      <c r="G853" s="81" t="s">
        <v>568</v>
      </c>
      <c r="H853" s="83">
        <v>45232</v>
      </c>
      <c r="I853" s="83" t="s">
        <v>73</v>
      </c>
      <c r="J853" s="83" t="s">
        <v>35</v>
      </c>
      <c r="K853" s="81">
        <f>IFERROR(VLOOKUP(J853,Jueces!$A$1:$B$11,2,FALSE),"")</f>
        <v>3</v>
      </c>
      <c r="L853" s="81" t="s">
        <v>811</v>
      </c>
      <c r="M853" s="81" t="s">
        <v>694</v>
      </c>
      <c r="N853" s="81"/>
      <c r="O853" s="81" t="str">
        <f t="shared" ca="1" si="46"/>
        <v>NO</v>
      </c>
      <c r="P853" s="81" t="str">
        <f t="shared" si="48"/>
        <v>DIANOSOL</v>
      </c>
      <c r="Q853" s="81" t="s">
        <v>951</v>
      </c>
      <c r="R853" s="81" t="str">
        <f>VLOOKUP($Q853,Resultados!$A$1:$B$49,2,FALSE)</f>
        <v xml:space="preserve"> _</v>
      </c>
      <c r="S853" s="81"/>
      <c r="T853" s="84" t="str">
        <f t="shared" si="47"/>
        <v>NO</v>
      </c>
      <c r="U853" s="84"/>
      <c r="V853" s="81"/>
      <c r="W853" s="81"/>
      <c r="X853" s="81"/>
      <c r="Y853" s="81"/>
      <c r="Z853" s="81"/>
      <c r="AA853" s="321" t="s">
        <v>1171</v>
      </c>
      <c r="AB853" s="81"/>
      <c r="AC853" s="78"/>
    </row>
    <row r="854" spans="1:29" ht="39.950000000000003" customHeight="1" x14ac:dyDescent="0.2">
      <c r="A854" s="81">
        <v>856</v>
      </c>
      <c r="B854" s="83">
        <v>45219</v>
      </c>
      <c r="C854" s="323">
        <v>0.46180555555555558</v>
      </c>
      <c r="D854" s="81" t="s">
        <v>3556</v>
      </c>
      <c r="E854" s="82" t="s">
        <v>3557</v>
      </c>
      <c r="F854" s="81">
        <v>3</v>
      </c>
      <c r="G854" s="81" t="s">
        <v>3367</v>
      </c>
      <c r="H854" s="83">
        <v>45233</v>
      </c>
      <c r="I854" s="83" t="s">
        <v>73</v>
      </c>
      <c r="J854" s="83" t="s">
        <v>78</v>
      </c>
      <c r="K854" s="81">
        <f>IFERROR(VLOOKUP(J854,Jueces!$A$1:$B$11,2,FALSE),"")</f>
        <v>8</v>
      </c>
      <c r="L854" s="81" t="s">
        <v>811</v>
      </c>
      <c r="M854" s="81" t="s">
        <v>694</v>
      </c>
      <c r="N854" s="81"/>
      <c r="O854" s="81" t="str">
        <f t="shared" ca="1" si="46"/>
        <v>NO</v>
      </c>
      <c r="P854" s="81" t="str">
        <f t="shared" si="48"/>
        <v>DIANOSOL</v>
      </c>
      <c r="Q854" s="81" t="s">
        <v>951</v>
      </c>
      <c r="R854" s="81" t="str">
        <f>VLOOKUP($Q854,Resultados!$A$1:$B$49,2,FALSE)</f>
        <v xml:space="preserve"> _</v>
      </c>
      <c r="S854" s="81"/>
      <c r="T854" s="84" t="str">
        <f t="shared" si="47"/>
        <v>NO</v>
      </c>
      <c r="U854" s="84"/>
      <c r="V854" s="81"/>
      <c r="W854" s="81"/>
      <c r="X854" s="81"/>
      <c r="Y854" s="81"/>
      <c r="Z854" s="81"/>
      <c r="AA854" s="321" t="s">
        <v>2895</v>
      </c>
      <c r="AB854" s="81"/>
      <c r="AC854" s="78"/>
    </row>
    <row r="855" spans="1:29" ht="39.950000000000003" customHeight="1" x14ac:dyDescent="0.2">
      <c r="A855" s="81">
        <v>857</v>
      </c>
      <c r="B855" s="83">
        <v>45222</v>
      </c>
      <c r="C855" s="323">
        <v>0.39166666666666666</v>
      </c>
      <c r="D855" s="81" t="s">
        <v>3558</v>
      </c>
      <c r="E855" s="82" t="s">
        <v>3559</v>
      </c>
      <c r="F855" s="81">
        <v>2</v>
      </c>
      <c r="G855" s="81" t="s">
        <v>283</v>
      </c>
      <c r="H855" s="83">
        <v>45239</v>
      </c>
      <c r="I855" s="83" t="s">
        <v>73</v>
      </c>
      <c r="J855" s="83" t="s">
        <v>31</v>
      </c>
      <c r="K855" s="81">
        <f>IFERROR(VLOOKUP(J855,Jueces!$A$1:$B$11,2,FALSE),"")</f>
        <v>2</v>
      </c>
      <c r="L855" s="81" t="s">
        <v>688</v>
      </c>
      <c r="M855" s="81" t="s">
        <v>693</v>
      </c>
      <c r="N855" s="81"/>
      <c r="O855" s="81" t="str">
        <f t="shared" ca="1" si="46"/>
        <v>NO</v>
      </c>
      <c r="P855" s="81" t="str">
        <f t="shared" si="48"/>
        <v>DIANOSOL</v>
      </c>
      <c r="Q855" s="81" t="s">
        <v>951</v>
      </c>
      <c r="R855" s="81" t="str">
        <f>VLOOKUP($Q855,Resultados!$A$1:$B$49,2,FALSE)</f>
        <v xml:space="preserve"> _</v>
      </c>
      <c r="S855" s="81"/>
      <c r="T855" s="84" t="str">
        <f t="shared" si="47"/>
        <v>NO</v>
      </c>
      <c r="U855" s="84"/>
      <c r="V855" s="81"/>
      <c r="W855" s="81"/>
      <c r="X855" s="81"/>
      <c r="Y855" s="81"/>
      <c r="Z855" s="81"/>
      <c r="AA855" s="321" t="s">
        <v>2852</v>
      </c>
      <c r="AB855" s="81"/>
      <c r="AC855" s="78"/>
    </row>
    <row r="856" spans="1:29" ht="39.950000000000003" customHeight="1" x14ac:dyDescent="0.2">
      <c r="A856" s="81">
        <v>858</v>
      </c>
      <c r="B856" s="83">
        <v>45222</v>
      </c>
      <c r="C856" s="323">
        <v>0.4201388888888889</v>
      </c>
      <c r="D856" s="81" t="s">
        <v>3562</v>
      </c>
      <c r="E856" s="82" t="s">
        <v>3563</v>
      </c>
      <c r="F856" s="81">
        <v>2</v>
      </c>
      <c r="G856" s="81" t="s">
        <v>1441</v>
      </c>
      <c r="H856" s="83">
        <v>45236</v>
      </c>
      <c r="I856" s="83" t="s">
        <v>73</v>
      </c>
      <c r="J856" s="83" t="s">
        <v>31</v>
      </c>
      <c r="K856" s="81">
        <f>IFERROR(VLOOKUP(J856,Jueces!$A$1:$B$11,2,FALSE),"")</f>
        <v>2</v>
      </c>
      <c r="L856" s="81" t="s">
        <v>1702</v>
      </c>
      <c r="M856" s="374" t="s">
        <v>2142</v>
      </c>
      <c r="N856" s="81" t="s">
        <v>3615</v>
      </c>
      <c r="O856" s="81" t="str">
        <f t="shared" ca="1" si="46"/>
        <v>NO</v>
      </c>
      <c r="P856" s="81" t="str">
        <f t="shared" si="48"/>
        <v>DIANOSOL</v>
      </c>
      <c r="Q856" s="81" t="s">
        <v>951</v>
      </c>
      <c r="R856" s="81" t="str">
        <f>VLOOKUP($Q856,Resultados!$A$1:$B$49,2,FALSE)</f>
        <v xml:space="preserve"> _</v>
      </c>
      <c r="S856" s="81"/>
      <c r="T856" s="84" t="str">
        <f t="shared" si="47"/>
        <v>NO</v>
      </c>
      <c r="U856" s="84"/>
      <c r="V856" s="81"/>
      <c r="W856" s="81"/>
      <c r="X856" s="81"/>
      <c r="Y856" s="81"/>
      <c r="Z856" s="81"/>
      <c r="AA856" s="321" t="s">
        <v>2852</v>
      </c>
      <c r="AB856" s="81"/>
      <c r="AC856" s="78"/>
    </row>
    <row r="857" spans="1:29" ht="39.950000000000003" customHeight="1" x14ac:dyDescent="0.2">
      <c r="A857" s="81">
        <v>859</v>
      </c>
      <c r="B857" s="83">
        <v>45222</v>
      </c>
      <c r="C857" s="323">
        <v>0.42083333333333334</v>
      </c>
      <c r="D857" s="81" t="s">
        <v>3564</v>
      </c>
      <c r="E857" s="82" t="s">
        <v>3565</v>
      </c>
      <c r="F857" s="81">
        <v>2</v>
      </c>
      <c r="G857" s="81" t="s">
        <v>1443</v>
      </c>
      <c r="H857" s="83">
        <v>45232</v>
      </c>
      <c r="I857" s="83" t="s">
        <v>1086</v>
      </c>
      <c r="J857" s="83" t="s">
        <v>1225</v>
      </c>
      <c r="K857" s="81">
        <f>IFERROR(VLOOKUP(J857,Jueces!$A$1:$B$11,2,FALSE),"")</f>
        <v>6</v>
      </c>
      <c r="L857" s="81" t="s">
        <v>811</v>
      </c>
      <c r="M857" s="81" t="s">
        <v>693</v>
      </c>
      <c r="N857" s="81"/>
      <c r="O857" s="81" t="str">
        <f t="shared" ca="1" si="46"/>
        <v>NO</v>
      </c>
      <c r="P857" s="81" t="str">
        <f t="shared" si="48"/>
        <v>DIANOSOL</v>
      </c>
      <c r="Q857" s="81" t="s">
        <v>951</v>
      </c>
      <c r="R857" s="81" t="str">
        <f>VLOOKUP($Q857,Resultados!$A$1:$B$49,2,FALSE)</f>
        <v xml:space="preserve"> _</v>
      </c>
      <c r="S857" s="81"/>
      <c r="T857" s="84" t="str">
        <f t="shared" si="47"/>
        <v>NO</v>
      </c>
      <c r="U857" s="84"/>
      <c r="V857" s="81"/>
      <c r="W857" s="81"/>
      <c r="X857" s="81"/>
      <c r="Y857" s="81"/>
      <c r="Z857" s="81"/>
      <c r="AA857" s="321" t="s">
        <v>3428</v>
      </c>
      <c r="AB857" s="81"/>
      <c r="AC857" s="78"/>
    </row>
    <row r="858" spans="1:29" ht="39.950000000000003" customHeight="1" x14ac:dyDescent="0.2">
      <c r="A858" s="81">
        <v>860</v>
      </c>
      <c r="B858" s="83">
        <v>45222</v>
      </c>
      <c r="C858" s="323">
        <v>0.42083333333333334</v>
      </c>
      <c r="D858" s="81" t="s">
        <v>3566</v>
      </c>
      <c r="E858" s="82" t="s">
        <v>3567</v>
      </c>
      <c r="F858" s="81">
        <v>2</v>
      </c>
      <c r="G858" s="81" t="s">
        <v>2788</v>
      </c>
      <c r="H858" s="83">
        <v>45231</v>
      </c>
      <c r="I858" s="83" t="s">
        <v>73</v>
      </c>
      <c r="J858" s="83" t="s">
        <v>35</v>
      </c>
      <c r="K858" s="81">
        <f>IFERROR(VLOOKUP(J858,Jueces!$A$1:$B$11,2,FALSE),"")</f>
        <v>3</v>
      </c>
      <c r="L858" s="81" t="s">
        <v>809</v>
      </c>
      <c r="M858" s="81" t="s">
        <v>693</v>
      </c>
      <c r="N858" s="81"/>
      <c r="O858" s="81" t="str">
        <f t="shared" ca="1" si="46"/>
        <v>NO</v>
      </c>
      <c r="P858" s="81" t="str">
        <f t="shared" si="48"/>
        <v>DIANOSOL</v>
      </c>
      <c r="Q858" s="81" t="s">
        <v>951</v>
      </c>
      <c r="R858" s="81" t="str">
        <f>VLOOKUP($Q858,Resultados!$A$1:$B$49,2,FALSE)</f>
        <v xml:space="preserve"> _</v>
      </c>
      <c r="S858" s="81"/>
      <c r="T858" s="84" t="str">
        <f t="shared" si="47"/>
        <v>NO</v>
      </c>
      <c r="U858" s="84"/>
      <c r="V858" s="81"/>
      <c r="W858" s="81"/>
      <c r="X858" s="81"/>
      <c r="Y858" s="81"/>
      <c r="Z858" s="81"/>
      <c r="AA858" s="321" t="s">
        <v>1171</v>
      </c>
      <c r="AB858" s="81"/>
      <c r="AC858" s="78"/>
    </row>
    <row r="859" spans="1:29" ht="39.950000000000003" customHeight="1" x14ac:dyDescent="0.2">
      <c r="A859" s="81">
        <v>861</v>
      </c>
      <c r="B859" s="83">
        <v>45222</v>
      </c>
      <c r="C859" s="323">
        <v>0.42152777777777778</v>
      </c>
      <c r="D859" s="81" t="s">
        <v>3568</v>
      </c>
      <c r="E859" s="82" t="s">
        <v>3569</v>
      </c>
      <c r="F859" s="81">
        <v>2</v>
      </c>
      <c r="G859" s="81" t="s">
        <v>2838</v>
      </c>
      <c r="H859" s="83">
        <v>45232</v>
      </c>
      <c r="I859" s="83" t="s">
        <v>1086</v>
      </c>
      <c r="J859" s="83" t="s">
        <v>78</v>
      </c>
      <c r="K859" s="81">
        <f>IFERROR(VLOOKUP(J859,Jueces!$A$1:$B$11,2,FALSE),"")</f>
        <v>8</v>
      </c>
      <c r="L859" s="81" t="s">
        <v>791</v>
      </c>
      <c r="M859" s="81" t="s">
        <v>2694</v>
      </c>
      <c r="N859" s="81"/>
      <c r="O859" s="81" t="str">
        <f t="shared" ca="1" si="46"/>
        <v>NO</v>
      </c>
      <c r="P859" s="81" t="str">
        <f t="shared" si="48"/>
        <v>DIANOSOL</v>
      </c>
      <c r="Q859" s="81" t="s">
        <v>951</v>
      </c>
      <c r="R859" s="81" t="str">
        <f>VLOOKUP($Q859,Resultados!$A$1:$B$49,2,FALSE)</f>
        <v xml:space="preserve"> _</v>
      </c>
      <c r="S859" s="81"/>
      <c r="T859" s="84" t="str">
        <f t="shared" si="47"/>
        <v>NO</v>
      </c>
      <c r="U859" s="84"/>
      <c r="V859" s="81"/>
      <c r="W859" s="81"/>
      <c r="X859" s="81"/>
      <c r="Y859" s="81"/>
      <c r="Z859" s="81"/>
      <c r="AA859" s="321" t="s">
        <v>1171</v>
      </c>
      <c r="AB859" s="81"/>
      <c r="AC859" s="78"/>
    </row>
    <row r="860" spans="1:29" ht="39.950000000000003" customHeight="1" x14ac:dyDescent="0.2">
      <c r="A860" s="81">
        <v>862</v>
      </c>
      <c r="B860" s="83">
        <v>45222</v>
      </c>
      <c r="C860" s="323">
        <v>0.42152777777777778</v>
      </c>
      <c r="D860" s="81" t="s">
        <v>3570</v>
      </c>
      <c r="E860" s="82" t="s">
        <v>3571</v>
      </c>
      <c r="F860" s="81">
        <v>2</v>
      </c>
      <c r="G860" s="81" t="s">
        <v>1443</v>
      </c>
      <c r="H860" s="83">
        <v>45231</v>
      </c>
      <c r="I860" s="83" t="s">
        <v>1086</v>
      </c>
      <c r="J860" s="83" t="s">
        <v>78</v>
      </c>
      <c r="K860" s="81">
        <f>IFERROR(VLOOKUP(J860,Jueces!$A$1:$B$11,2,FALSE),"")</f>
        <v>8</v>
      </c>
      <c r="L860" s="81" t="s">
        <v>799</v>
      </c>
      <c r="M860" s="81" t="s">
        <v>693</v>
      </c>
      <c r="N860" s="81"/>
      <c r="O860" s="81" t="str">
        <f t="shared" ca="1" si="46"/>
        <v>NO</v>
      </c>
      <c r="P860" s="81" t="str">
        <f t="shared" si="48"/>
        <v>DIANOSOL</v>
      </c>
      <c r="Q860" s="81" t="s">
        <v>951</v>
      </c>
      <c r="R860" s="81" t="str">
        <f>VLOOKUP($Q860,Resultados!$A$1:$B$49,2,FALSE)</f>
        <v xml:space="preserve"> _</v>
      </c>
      <c r="S860" s="81"/>
      <c r="T860" s="84" t="str">
        <f t="shared" si="47"/>
        <v>NO</v>
      </c>
      <c r="U860" s="84"/>
      <c r="V860" s="81"/>
      <c r="W860" s="81"/>
      <c r="X860" s="81"/>
      <c r="Y860" s="81"/>
      <c r="Z860" s="81"/>
      <c r="AA860" s="321" t="s">
        <v>3429</v>
      </c>
      <c r="AB860" s="81"/>
      <c r="AC860" s="78"/>
    </row>
    <row r="861" spans="1:29" ht="39.950000000000003" customHeight="1" x14ac:dyDescent="0.2">
      <c r="A861" s="81">
        <v>863</v>
      </c>
      <c r="B861" s="83">
        <v>45222</v>
      </c>
      <c r="C861" s="323">
        <v>0.42222222222222222</v>
      </c>
      <c r="D861" s="81" t="s">
        <v>3572</v>
      </c>
      <c r="E861" s="82" t="s">
        <v>3573</v>
      </c>
      <c r="F861" s="81">
        <v>2</v>
      </c>
      <c r="G861" s="81" t="s">
        <v>1442</v>
      </c>
      <c r="H861" s="83">
        <v>45237</v>
      </c>
      <c r="I861" s="83" t="s">
        <v>73</v>
      </c>
      <c r="J861" s="83" t="s">
        <v>31</v>
      </c>
      <c r="K861" s="81">
        <f>IFERROR(VLOOKUP(J861,Jueces!$A$1:$B$11,2,FALSE),"")</f>
        <v>2</v>
      </c>
      <c r="L861" s="81" t="s">
        <v>800</v>
      </c>
      <c r="M861" s="81" t="s">
        <v>693</v>
      </c>
      <c r="N861" s="81"/>
      <c r="O861" s="81" t="str">
        <f t="shared" ca="1" si="46"/>
        <v>NO</v>
      </c>
      <c r="P861" s="81" t="str">
        <f t="shared" si="48"/>
        <v>DIANOSOL</v>
      </c>
      <c r="Q861" s="81" t="s">
        <v>951</v>
      </c>
      <c r="R861" s="81" t="str">
        <f>VLOOKUP($Q861,Resultados!$A$1:$B$49,2,FALSE)</f>
        <v xml:space="preserve"> _</v>
      </c>
      <c r="S861" s="81"/>
      <c r="T861" s="84" t="str">
        <f t="shared" si="47"/>
        <v>SI</v>
      </c>
      <c r="U861" s="84"/>
      <c r="V861" s="81"/>
      <c r="W861" s="81"/>
      <c r="X861" s="81"/>
      <c r="Y861" s="81"/>
      <c r="Z861" s="81"/>
      <c r="AA861" s="321" t="s">
        <v>2895</v>
      </c>
      <c r="AB861" s="81"/>
      <c r="AC861" s="78"/>
    </row>
    <row r="862" spans="1:29" ht="39.950000000000003" customHeight="1" x14ac:dyDescent="0.2">
      <c r="A862" s="170">
        <v>864</v>
      </c>
      <c r="B862" s="326" t="s">
        <v>3599</v>
      </c>
      <c r="C862" s="327">
        <v>0.5229166666666667</v>
      </c>
      <c r="D862" s="170" t="s">
        <v>2771</v>
      </c>
      <c r="E862" s="171" t="s">
        <v>3600</v>
      </c>
      <c r="F862" s="170">
        <v>1</v>
      </c>
      <c r="G862" s="170"/>
      <c r="H862" s="326"/>
      <c r="I862" s="326"/>
      <c r="J862" s="326"/>
      <c r="K862" s="170" t="str">
        <f>IFERROR(VLOOKUP(J862,Jueces!$A$1:$B$11,2,FALSE),"")</f>
        <v/>
      </c>
      <c r="L862" s="170" t="s">
        <v>813</v>
      </c>
      <c r="M862" s="170"/>
      <c r="N862" s="170"/>
      <c r="O862" s="170" t="str">
        <f t="shared" ca="1" si="46"/>
        <v>LIMBO</v>
      </c>
      <c r="P862" s="170" t="str">
        <f t="shared" si="48"/>
        <v>DIANOSOL</v>
      </c>
      <c r="Q862" s="170" t="s">
        <v>951</v>
      </c>
      <c r="R862" s="170" t="str">
        <f>VLOOKUP($Q862,Resultados!$A$1:$B$49,2,FALSE)</f>
        <v xml:space="preserve"> _</v>
      </c>
      <c r="S862" s="170"/>
      <c r="T862" s="172" t="str">
        <f t="shared" si="47"/>
        <v>NO</v>
      </c>
      <c r="U862" s="172"/>
      <c r="V862" s="170"/>
      <c r="W862" s="170"/>
      <c r="X862" s="170"/>
      <c r="Y862" s="170"/>
      <c r="Z862" s="170"/>
      <c r="AA862" s="170"/>
      <c r="AB862" s="170"/>
      <c r="AC862" s="368"/>
    </row>
    <row r="863" spans="1:29" ht="39.950000000000003" customHeight="1" x14ac:dyDescent="0.2">
      <c r="A863" s="81">
        <v>865</v>
      </c>
      <c r="B863" s="83">
        <v>45222</v>
      </c>
      <c r="C863" s="323">
        <v>0.4680555555555555</v>
      </c>
      <c r="D863" s="81" t="s">
        <v>3587</v>
      </c>
      <c r="E863" s="82" t="s">
        <v>3588</v>
      </c>
      <c r="F863" s="81">
        <v>2</v>
      </c>
      <c r="G863" s="81" t="s">
        <v>3366</v>
      </c>
      <c r="H863" s="83">
        <v>45232</v>
      </c>
      <c r="I863" s="83" t="s">
        <v>73</v>
      </c>
      <c r="J863" s="83" t="s">
        <v>1221</v>
      </c>
      <c r="K863" s="81" t="s">
        <v>1925</v>
      </c>
      <c r="L863" s="81" t="s">
        <v>802</v>
      </c>
      <c r="M863" s="79" t="s">
        <v>693</v>
      </c>
      <c r="N863" s="81"/>
      <c r="O863" s="81" t="str">
        <f t="shared" ca="1" si="46"/>
        <v>NO</v>
      </c>
      <c r="P863" s="81" t="str">
        <f t="shared" si="48"/>
        <v>DIANOSOL</v>
      </c>
      <c r="Q863" s="81" t="s">
        <v>951</v>
      </c>
      <c r="R863" s="81" t="str">
        <f>VLOOKUP($Q863,Resultados!$A$1:$B$49,2,FALSE)</f>
        <v xml:space="preserve"> _</v>
      </c>
      <c r="S863" s="81"/>
      <c r="T863" s="84" t="str">
        <f t="shared" ref="T863:T894" si="49">IF(G863=$J$1,"SI","NO")</f>
        <v>NO</v>
      </c>
      <c r="U863" s="84"/>
      <c r="V863" s="81"/>
      <c r="W863" s="81"/>
      <c r="X863" s="81"/>
      <c r="Y863" s="81"/>
      <c r="Z863" s="81"/>
      <c r="AA863" s="321" t="s">
        <v>2895</v>
      </c>
      <c r="AB863" s="81"/>
      <c r="AC863" s="78"/>
    </row>
    <row r="864" spans="1:29" ht="39.950000000000003" customHeight="1" x14ac:dyDescent="0.2">
      <c r="A864" s="240">
        <v>866</v>
      </c>
      <c r="B864" s="324">
        <v>45222</v>
      </c>
      <c r="C864" s="325">
        <v>0.53680555555555554</v>
      </c>
      <c r="D864" s="240" t="s">
        <v>3601</v>
      </c>
      <c r="E864" s="243" t="s">
        <v>3674</v>
      </c>
      <c r="F864" s="240">
        <v>2</v>
      </c>
      <c r="G864" s="240"/>
      <c r="H864" s="324"/>
      <c r="I864" s="324"/>
      <c r="J864" s="324"/>
      <c r="K864" s="240" t="str">
        <f>IFERROR(VLOOKUP(J864,Jueces!$A$1:$B$11,2,FALSE),"")</f>
        <v/>
      </c>
      <c r="L864" s="240" t="s">
        <v>798</v>
      </c>
      <c r="M864" s="240" t="s">
        <v>693</v>
      </c>
      <c r="N864" s="240"/>
      <c r="O864" s="240" t="str">
        <f t="shared" ca="1" si="46"/>
        <v>LIMBO</v>
      </c>
      <c r="P864" s="240" t="str">
        <f t="shared" si="48"/>
        <v>DIANOSOL</v>
      </c>
      <c r="Q864" s="240" t="s">
        <v>951</v>
      </c>
      <c r="R864" s="240" t="str">
        <f>VLOOKUP($Q864,Resultados!$A$1:$B$49,2,FALSE)</f>
        <v xml:space="preserve"> _</v>
      </c>
      <c r="S864" s="240"/>
      <c r="T864" s="241" t="str">
        <f t="shared" si="49"/>
        <v>NO</v>
      </c>
      <c r="U864" s="241"/>
      <c r="V864" s="240"/>
      <c r="W864" s="240"/>
      <c r="X864" s="240"/>
      <c r="Y864" s="240"/>
      <c r="Z864" s="240"/>
      <c r="AA864" s="240"/>
      <c r="AB864" s="240"/>
      <c r="AC864" s="375"/>
    </row>
    <row r="865" spans="1:29" ht="39.950000000000003" customHeight="1" x14ac:dyDescent="0.2">
      <c r="A865" s="81">
        <v>867</v>
      </c>
      <c r="B865" s="83">
        <v>45222</v>
      </c>
      <c r="C865" s="323">
        <v>0.40763888888888888</v>
      </c>
      <c r="D865" s="81" t="s">
        <v>3602</v>
      </c>
      <c r="E865" s="82" t="s">
        <v>3603</v>
      </c>
      <c r="F865" s="81">
        <v>2</v>
      </c>
      <c r="G865" s="81" t="s">
        <v>2788</v>
      </c>
      <c r="H865" s="83">
        <v>45236</v>
      </c>
      <c r="I865" s="83" t="s">
        <v>73</v>
      </c>
      <c r="J865" s="83" t="s">
        <v>35</v>
      </c>
      <c r="K865" s="81">
        <f>IFERROR(VLOOKUP(J865,Jueces!$A$1:$B$11,2,FALSE),"")</f>
        <v>3</v>
      </c>
      <c r="L865" s="81" t="s">
        <v>791</v>
      </c>
      <c r="M865" s="81" t="s">
        <v>693</v>
      </c>
      <c r="N865" s="81"/>
      <c r="O865" s="81" t="str">
        <f t="shared" ca="1" si="46"/>
        <v>NO</v>
      </c>
      <c r="P865" s="81" t="str">
        <f t="shared" si="48"/>
        <v>DIANOSOL</v>
      </c>
      <c r="Q865" s="81" t="s">
        <v>951</v>
      </c>
      <c r="R865" s="81" t="str">
        <f>VLOOKUP($Q865,Resultados!$A$1:$B$49,2,FALSE)</f>
        <v xml:space="preserve"> _</v>
      </c>
      <c r="S865" s="81"/>
      <c r="T865" s="84" t="str">
        <f t="shared" si="49"/>
        <v>NO</v>
      </c>
      <c r="U865" s="84"/>
      <c r="V865" s="81"/>
      <c r="W865" s="81"/>
      <c r="X865" s="81"/>
      <c r="Y865" s="81"/>
      <c r="Z865" s="81"/>
      <c r="AA865" s="321" t="s">
        <v>1171</v>
      </c>
      <c r="AB865" s="81"/>
      <c r="AC865" s="78"/>
    </row>
    <row r="866" spans="1:29" ht="39.950000000000003" customHeight="1" x14ac:dyDescent="0.2">
      <c r="A866" s="81">
        <v>868</v>
      </c>
      <c r="B866" s="83">
        <v>45222</v>
      </c>
      <c r="C866" s="323">
        <v>0.47916666666666669</v>
      </c>
      <c r="D866" s="81" t="s">
        <v>3589</v>
      </c>
      <c r="E866" s="82" t="s">
        <v>3590</v>
      </c>
      <c r="F866" s="81">
        <v>2</v>
      </c>
      <c r="G866" s="81" t="s">
        <v>2788</v>
      </c>
      <c r="H866" s="83">
        <v>45238</v>
      </c>
      <c r="I866" s="83" t="s">
        <v>73</v>
      </c>
      <c r="J866" s="83" t="s">
        <v>78</v>
      </c>
      <c r="K866" s="81">
        <f>IFERROR(VLOOKUP(J866,Jueces!$A$1:$B$11,2,FALSE),"")</f>
        <v>8</v>
      </c>
      <c r="L866" s="81" t="s">
        <v>806</v>
      </c>
      <c r="M866" s="81" t="s">
        <v>693</v>
      </c>
      <c r="N866" s="81" t="s">
        <v>3604</v>
      </c>
      <c r="O866" s="81" t="str">
        <f t="shared" ca="1" si="46"/>
        <v>NO</v>
      </c>
      <c r="P866" s="81" t="str">
        <f t="shared" si="48"/>
        <v>DIANOSOL</v>
      </c>
      <c r="Q866" s="81" t="s">
        <v>951</v>
      </c>
      <c r="R866" s="81" t="str">
        <f>VLOOKUP($Q866,Resultados!$A$1:$B$49,2,FALSE)</f>
        <v xml:space="preserve"> _</v>
      </c>
      <c r="S866" s="81"/>
      <c r="T866" s="84" t="str">
        <f t="shared" si="49"/>
        <v>NO</v>
      </c>
      <c r="U866" s="84"/>
      <c r="V866" s="81"/>
      <c r="W866" s="81"/>
      <c r="X866" s="81"/>
      <c r="Y866" s="81"/>
      <c r="Z866" s="81"/>
      <c r="AA866" s="321" t="s">
        <v>2895</v>
      </c>
      <c r="AB866" s="81"/>
      <c r="AC866" s="78"/>
    </row>
    <row r="867" spans="1:29" ht="39.950000000000003" customHeight="1" x14ac:dyDescent="0.2">
      <c r="A867" s="66">
        <v>869</v>
      </c>
      <c r="B867" s="68">
        <v>45222</v>
      </c>
      <c r="C867" s="73">
        <v>0.50555555555555554</v>
      </c>
      <c r="D867" s="66" t="s">
        <v>3594</v>
      </c>
      <c r="E867" s="67" t="s">
        <v>3596</v>
      </c>
      <c r="F867" s="66">
        <v>2</v>
      </c>
      <c r="G867" s="66" t="s">
        <v>2774</v>
      </c>
      <c r="H867" s="68">
        <v>45226</v>
      </c>
      <c r="I867" s="68" t="s">
        <v>75</v>
      </c>
      <c r="J867" s="68" t="s">
        <v>31</v>
      </c>
      <c r="K867" s="66">
        <f>IFERROR(VLOOKUP(J867,Jueces!$A$1:$B$11,2,FALSE),"")</f>
        <v>2</v>
      </c>
      <c r="L867" s="66" t="s">
        <v>813</v>
      </c>
      <c r="M867" s="66" t="s">
        <v>692</v>
      </c>
      <c r="N867" s="66" t="s">
        <v>3722</v>
      </c>
      <c r="O867" s="66" t="str">
        <f t="shared" ca="1" si="46"/>
        <v>SI</v>
      </c>
      <c r="P867" s="66" t="str">
        <f t="shared" si="48"/>
        <v>DIANOSOL</v>
      </c>
      <c r="Q867" s="66" t="s">
        <v>909</v>
      </c>
      <c r="R867" s="66" t="s">
        <v>909</v>
      </c>
      <c r="S867" s="66" t="s">
        <v>3721</v>
      </c>
      <c r="T867" s="75" t="str">
        <f t="shared" si="49"/>
        <v>NO</v>
      </c>
      <c r="U867" s="75"/>
      <c r="V867" s="66"/>
      <c r="W867" s="66" t="s">
        <v>2346</v>
      </c>
      <c r="X867" s="66" t="s">
        <v>2571</v>
      </c>
      <c r="Y867" s="66"/>
      <c r="Z867" s="121" t="s">
        <v>770</v>
      </c>
      <c r="AA867" s="121" t="s">
        <v>1171</v>
      </c>
      <c r="AB867" s="121" t="s">
        <v>1175</v>
      </c>
      <c r="AC867" s="407"/>
    </row>
    <row r="868" spans="1:29" ht="39.950000000000003" customHeight="1" x14ac:dyDescent="0.2">
      <c r="A868" s="240">
        <v>869</v>
      </c>
      <c r="B868" s="324">
        <v>45224</v>
      </c>
      <c r="C868" s="325">
        <v>0.34027777777777773</v>
      </c>
      <c r="D868" s="240" t="s">
        <v>3617</v>
      </c>
      <c r="E868" s="243" t="s">
        <v>3657</v>
      </c>
      <c r="F868" s="240">
        <v>3</v>
      </c>
      <c r="G868" s="240"/>
      <c r="H868" s="324"/>
      <c r="I868" s="324"/>
      <c r="J868" s="324"/>
      <c r="K868" s="240" t="str">
        <f>IFERROR(VLOOKUP(J868,Jueces!$A$1:$B$11,2,FALSE),"")</f>
        <v/>
      </c>
      <c r="L868" s="240" t="s">
        <v>812</v>
      </c>
      <c r="M868" s="240" t="s">
        <v>694</v>
      </c>
      <c r="N868" s="240"/>
      <c r="O868" s="240" t="str">
        <f t="shared" ca="1" si="46"/>
        <v>LIMBO</v>
      </c>
      <c r="P868" s="240" t="str">
        <f t="shared" si="48"/>
        <v>DIANOSOL</v>
      </c>
      <c r="Q868" s="240" t="s">
        <v>951</v>
      </c>
      <c r="R868" s="240" t="str">
        <f>VLOOKUP($Q868,Resultados!$A$1:$B$49,2,FALSE)</f>
        <v xml:space="preserve"> _</v>
      </c>
      <c r="S868" s="240"/>
      <c r="T868" s="241" t="str">
        <f t="shared" si="49"/>
        <v>NO</v>
      </c>
      <c r="U868" s="241"/>
      <c r="V868" s="240"/>
      <c r="W868" s="240"/>
      <c r="X868" s="240"/>
      <c r="Y868" s="240"/>
      <c r="Z868" s="240"/>
      <c r="AA868" s="240"/>
      <c r="AB868" s="240"/>
      <c r="AC868" s="375"/>
    </row>
    <row r="869" spans="1:29" ht="39.950000000000003" customHeight="1" x14ac:dyDescent="0.2">
      <c r="A869" s="81">
        <v>870</v>
      </c>
      <c r="B869" s="83">
        <v>45223</v>
      </c>
      <c r="C869" s="323">
        <v>0.33333333333333331</v>
      </c>
      <c r="D869" s="81" t="s">
        <v>3605</v>
      </c>
      <c r="E869" s="82" t="s">
        <v>3654</v>
      </c>
      <c r="F869" s="81">
        <v>2</v>
      </c>
      <c r="G869" s="81" t="s">
        <v>1441</v>
      </c>
      <c r="H869" s="83">
        <v>45238</v>
      </c>
      <c r="I869" s="83" t="s">
        <v>73</v>
      </c>
      <c r="J869" s="83" t="s">
        <v>1732</v>
      </c>
      <c r="K869" s="81" t="s">
        <v>1925</v>
      </c>
      <c r="L869" s="81" t="s">
        <v>791</v>
      </c>
      <c r="M869" s="81" t="s">
        <v>694</v>
      </c>
      <c r="N869" s="81"/>
      <c r="O869" s="81" t="str">
        <f t="shared" ca="1" si="46"/>
        <v>NO</v>
      </c>
      <c r="P869" s="81" t="str">
        <f t="shared" si="48"/>
        <v>DIANOSOL</v>
      </c>
      <c r="Q869" s="81" t="s">
        <v>951</v>
      </c>
      <c r="R869" s="81" t="str">
        <f>VLOOKUP($Q869,Resultados!$A$1:$B$49,2,FALSE)</f>
        <v xml:space="preserve"> _</v>
      </c>
      <c r="S869" s="81"/>
      <c r="T869" s="84" t="str">
        <f t="shared" si="49"/>
        <v>NO</v>
      </c>
      <c r="U869" s="84"/>
      <c r="V869" s="81"/>
      <c r="W869" s="81"/>
      <c r="X869" s="81"/>
      <c r="Y869" s="81"/>
      <c r="Z869" s="81"/>
      <c r="AA869" s="81"/>
      <c r="AB869" s="81"/>
      <c r="AC869" s="78"/>
    </row>
    <row r="870" spans="1:29" ht="39.950000000000003" customHeight="1" x14ac:dyDescent="0.2">
      <c r="A870" s="240">
        <v>870</v>
      </c>
      <c r="B870" s="324">
        <v>45224</v>
      </c>
      <c r="C870" s="325">
        <v>0.33333333333333331</v>
      </c>
      <c r="D870" s="240" t="s">
        <v>3618</v>
      </c>
      <c r="E870" s="243" t="s">
        <v>3658</v>
      </c>
      <c r="F870" s="240">
        <v>3</v>
      </c>
      <c r="G870" s="240"/>
      <c r="H870" s="324"/>
      <c r="I870" s="324"/>
      <c r="J870" s="324"/>
      <c r="K870" s="240" t="str">
        <f>IFERROR(VLOOKUP(J870,Jueces!$A$1:$B$11,2,FALSE),"")</f>
        <v/>
      </c>
      <c r="L870" s="240" t="s">
        <v>813</v>
      </c>
      <c r="M870" s="240" t="s">
        <v>694</v>
      </c>
      <c r="N870" s="240"/>
      <c r="O870" s="240" t="str">
        <f t="shared" ca="1" si="46"/>
        <v>LIMBO</v>
      </c>
      <c r="P870" s="240" t="str">
        <f t="shared" si="48"/>
        <v>DIANOSOL</v>
      </c>
      <c r="Q870" s="240" t="s">
        <v>951</v>
      </c>
      <c r="R870" s="240" t="str">
        <f>VLOOKUP($Q870,Resultados!$A$1:$B$49,2,FALSE)</f>
        <v xml:space="preserve"> _</v>
      </c>
      <c r="S870" s="240"/>
      <c r="T870" s="241" t="str">
        <f t="shared" si="49"/>
        <v>NO</v>
      </c>
      <c r="U870" s="241"/>
      <c r="V870" s="240"/>
      <c r="W870" s="240"/>
      <c r="X870" s="240"/>
      <c r="Y870" s="240"/>
      <c r="Z870" s="240"/>
      <c r="AA870" s="240"/>
      <c r="AB870" s="240"/>
      <c r="AC870" s="375"/>
    </row>
    <row r="871" spans="1:29" ht="39.950000000000003" customHeight="1" x14ac:dyDescent="0.2">
      <c r="A871" s="81">
        <v>871</v>
      </c>
      <c r="B871" s="83">
        <v>45223</v>
      </c>
      <c r="C871" s="323">
        <v>0.33333333333333331</v>
      </c>
      <c r="D871" s="81" t="s">
        <v>3164</v>
      </c>
      <c r="E871" s="82" t="s">
        <v>3165</v>
      </c>
      <c r="F871" s="81">
        <v>8</v>
      </c>
      <c r="G871" s="81" t="s">
        <v>1441</v>
      </c>
      <c r="H871" s="83">
        <v>45230</v>
      </c>
      <c r="I871" s="83" t="s">
        <v>1086</v>
      </c>
      <c r="J871" s="83" t="s">
        <v>31</v>
      </c>
      <c r="K871" s="81">
        <v>2</v>
      </c>
      <c r="L871" s="81" t="s">
        <v>2090</v>
      </c>
      <c r="M871" s="81" t="s">
        <v>711</v>
      </c>
      <c r="N871" s="81"/>
      <c r="O871" s="81" t="str">
        <f t="shared" ca="1" si="46"/>
        <v>NO</v>
      </c>
      <c r="P871" s="81" t="str">
        <f t="shared" si="48"/>
        <v>DIANOSOL</v>
      </c>
      <c r="Q871" s="81" t="s">
        <v>951</v>
      </c>
      <c r="R871" s="81" t="str">
        <f>VLOOKUP($Q871,Resultados!$A$1:$B$49,2,FALSE)</f>
        <v xml:space="preserve"> _</v>
      </c>
      <c r="S871" s="81"/>
      <c r="T871" s="84" t="str">
        <f t="shared" si="49"/>
        <v>NO</v>
      </c>
      <c r="U871" s="84"/>
      <c r="V871" s="81"/>
      <c r="W871" s="81"/>
      <c r="X871" s="81"/>
      <c r="Y871" s="81"/>
      <c r="Z871" s="81"/>
      <c r="AA871" s="321" t="s">
        <v>2852</v>
      </c>
      <c r="AB871" s="81"/>
      <c r="AC871" s="78"/>
    </row>
    <row r="872" spans="1:29" ht="39.950000000000003" customHeight="1" x14ac:dyDescent="0.2">
      <c r="A872" s="81">
        <v>871</v>
      </c>
      <c r="B872" s="83">
        <v>45224</v>
      </c>
      <c r="C872" s="323">
        <v>0.34861111111111115</v>
      </c>
      <c r="D872" s="81" t="s">
        <v>3620</v>
      </c>
      <c r="E872" s="82" t="s">
        <v>3621</v>
      </c>
      <c r="F872" s="81">
        <v>2</v>
      </c>
      <c r="G872" s="81" t="s">
        <v>283</v>
      </c>
      <c r="H872" s="83">
        <v>45237</v>
      </c>
      <c r="I872" s="83" t="s">
        <v>1086</v>
      </c>
      <c r="J872" s="83" t="s">
        <v>35</v>
      </c>
      <c r="K872" s="81">
        <f>IFERROR(VLOOKUP(J872,Jueces!$A$1:$B$11,2,FALSE),"")</f>
        <v>3</v>
      </c>
      <c r="L872" s="81" t="s">
        <v>1702</v>
      </c>
      <c r="M872" s="395" t="s">
        <v>697</v>
      </c>
      <c r="N872" s="81" t="s">
        <v>3669</v>
      </c>
      <c r="O872" s="81" t="str">
        <f t="shared" ca="1" si="46"/>
        <v>NO</v>
      </c>
      <c r="P872" s="81" t="str">
        <f t="shared" si="48"/>
        <v>DIANOSOL</v>
      </c>
      <c r="Q872" s="81" t="s">
        <v>951</v>
      </c>
      <c r="R872" s="81" t="str">
        <f>VLOOKUP($Q872,Resultados!$A$1:$B$49,2,FALSE)</f>
        <v xml:space="preserve"> _</v>
      </c>
      <c r="S872" s="81"/>
      <c r="T872" s="84" t="str">
        <f t="shared" si="49"/>
        <v>NO</v>
      </c>
      <c r="U872" s="84"/>
      <c r="V872" s="81"/>
      <c r="W872" s="81"/>
      <c r="X872" s="81"/>
      <c r="Y872" s="81"/>
      <c r="Z872" s="81"/>
      <c r="AA872" s="81"/>
      <c r="AB872" s="81"/>
      <c r="AC872" s="78"/>
    </row>
    <row r="873" spans="1:29" ht="39.950000000000003" customHeight="1" x14ac:dyDescent="0.2">
      <c r="A873" s="240">
        <v>872</v>
      </c>
      <c r="B873" s="324">
        <v>45223</v>
      </c>
      <c r="C873" s="325">
        <v>0.49513888888888885</v>
      </c>
      <c r="D873" s="240" t="s">
        <v>3612</v>
      </c>
      <c r="E873" s="243" t="s">
        <v>3663</v>
      </c>
      <c r="F873" s="240">
        <v>3</v>
      </c>
      <c r="G873" s="240"/>
      <c r="H873" s="324"/>
      <c r="I873" s="324"/>
      <c r="J873" s="324"/>
      <c r="K873" s="240" t="str">
        <f>IFERROR(VLOOKUP(J873,Jueces!$A$1:$B$11,2,FALSE),"")</f>
        <v/>
      </c>
      <c r="L873" s="240" t="s">
        <v>799</v>
      </c>
      <c r="M873" s="240" t="s">
        <v>694</v>
      </c>
      <c r="N873" s="240"/>
      <c r="O873" s="240" t="str">
        <f t="shared" ca="1" si="46"/>
        <v>LIMBO</v>
      </c>
      <c r="P873" s="240" t="str">
        <f t="shared" si="48"/>
        <v>DIANOSOL</v>
      </c>
      <c r="Q873" s="240" t="s">
        <v>951</v>
      </c>
      <c r="R873" s="240" t="str">
        <f>VLOOKUP($Q873,Resultados!$A$1:$B$49,2,FALSE)</f>
        <v xml:space="preserve"> _</v>
      </c>
      <c r="S873" s="240"/>
      <c r="T873" s="241" t="str">
        <f t="shared" si="49"/>
        <v>NO</v>
      </c>
      <c r="U873" s="241"/>
      <c r="V873" s="240"/>
      <c r="W873" s="240"/>
      <c r="X873" s="240"/>
      <c r="Y873" s="240"/>
      <c r="Z873" s="240"/>
      <c r="AA873" s="240"/>
      <c r="AB873" s="240"/>
      <c r="AC873" s="375"/>
    </row>
    <row r="874" spans="1:29" ht="39.950000000000003" customHeight="1" x14ac:dyDescent="0.2">
      <c r="A874" s="240">
        <v>872</v>
      </c>
      <c r="B874" s="324">
        <v>45224</v>
      </c>
      <c r="C874" s="325">
        <v>0.43958333333333338</v>
      </c>
      <c r="D874" s="240" t="s">
        <v>3625</v>
      </c>
      <c r="E874" s="243" t="s">
        <v>3626</v>
      </c>
      <c r="F874" s="240">
        <v>3</v>
      </c>
      <c r="G874" s="240"/>
      <c r="H874" s="324"/>
      <c r="I874" s="324"/>
      <c r="J874" s="324"/>
      <c r="K874" s="240" t="str">
        <f>IFERROR(VLOOKUP(J874,Jueces!$A$1:$B$11,2,FALSE),"")</f>
        <v/>
      </c>
      <c r="L874" s="240" t="s">
        <v>809</v>
      </c>
      <c r="M874" s="240" t="s">
        <v>694</v>
      </c>
      <c r="N874" s="240"/>
      <c r="O874" s="240" t="str">
        <f t="shared" ca="1" si="46"/>
        <v>LIMBO</v>
      </c>
      <c r="P874" s="240" t="str">
        <f t="shared" si="48"/>
        <v>DIANOSOL</v>
      </c>
      <c r="Q874" s="240" t="s">
        <v>951</v>
      </c>
      <c r="R874" s="240" t="str">
        <f>VLOOKUP($Q874,Resultados!$A$1:$B$49,2,FALSE)</f>
        <v xml:space="preserve"> _</v>
      </c>
      <c r="S874" s="240"/>
      <c r="T874" s="241" t="str">
        <f t="shared" si="49"/>
        <v>NO</v>
      </c>
      <c r="U874" s="241"/>
      <c r="V874" s="240"/>
      <c r="W874" s="240"/>
      <c r="X874" s="240"/>
      <c r="Y874" s="240"/>
      <c r="Z874" s="240"/>
      <c r="AA874" s="240"/>
      <c r="AB874" s="240"/>
      <c r="AC874" s="375"/>
    </row>
    <row r="875" spans="1:29" ht="39.950000000000003" customHeight="1" x14ac:dyDescent="0.2">
      <c r="A875" s="81">
        <v>873</v>
      </c>
      <c r="B875" s="83">
        <v>45224</v>
      </c>
      <c r="C875" s="323">
        <v>0.43194444444444446</v>
      </c>
      <c r="D875" s="81" t="s">
        <v>3627</v>
      </c>
      <c r="E875" s="82" t="s">
        <v>3667</v>
      </c>
      <c r="F875" s="81">
        <v>2</v>
      </c>
      <c r="G875" s="81" t="s">
        <v>1441</v>
      </c>
      <c r="H875" s="83">
        <v>45237</v>
      </c>
      <c r="I875" s="83" t="s">
        <v>73</v>
      </c>
      <c r="J875" s="83" t="s">
        <v>1732</v>
      </c>
      <c r="K875" s="81" t="s">
        <v>2343</v>
      </c>
      <c r="L875" s="81" t="s">
        <v>802</v>
      </c>
      <c r="M875" s="81" t="s">
        <v>694</v>
      </c>
      <c r="N875" s="81"/>
      <c r="O875" s="81" t="str">
        <f t="shared" ca="1" si="46"/>
        <v>NO</v>
      </c>
      <c r="P875" s="81" t="str">
        <f t="shared" si="48"/>
        <v>DIANOSOL</v>
      </c>
      <c r="Q875" s="81" t="s">
        <v>951</v>
      </c>
      <c r="R875" s="81" t="str">
        <f>VLOOKUP($Q875,Resultados!$A$1:$B$49,2,FALSE)</f>
        <v xml:space="preserve"> _</v>
      </c>
      <c r="S875" s="81"/>
      <c r="T875" s="84" t="str">
        <f t="shared" si="49"/>
        <v>NO</v>
      </c>
      <c r="U875" s="84"/>
      <c r="V875" s="81"/>
      <c r="W875" s="81"/>
      <c r="X875" s="81"/>
      <c r="Y875" s="81"/>
      <c r="Z875" s="81"/>
      <c r="AA875" s="81"/>
      <c r="AB875" s="81"/>
      <c r="AC875" s="78"/>
    </row>
    <row r="876" spans="1:29" ht="39.950000000000003" customHeight="1" x14ac:dyDescent="0.2">
      <c r="A876" s="81">
        <v>874</v>
      </c>
      <c r="B876" s="83">
        <v>45224</v>
      </c>
      <c r="C876" s="323">
        <v>0.43124999999999997</v>
      </c>
      <c r="D876" s="81" t="s">
        <v>3628</v>
      </c>
      <c r="E876" s="82" t="s">
        <v>3666</v>
      </c>
      <c r="F876" s="81">
        <v>2</v>
      </c>
      <c r="G876" s="81" t="s">
        <v>283</v>
      </c>
      <c r="H876" s="83">
        <v>45240</v>
      </c>
      <c r="I876" s="83" t="s">
        <v>1086</v>
      </c>
      <c r="J876" s="83" t="s">
        <v>1220</v>
      </c>
      <c r="K876" s="81">
        <f>IFERROR(VLOOKUP(J876,Jueces!$A$1:$B$11,2,FALSE),"")</f>
        <v>1</v>
      </c>
      <c r="L876" s="81" t="s">
        <v>2090</v>
      </c>
      <c r="M876" s="81" t="s">
        <v>693</v>
      </c>
      <c r="N876" s="81"/>
      <c r="O876" s="81" t="str">
        <f t="shared" ref="O876:O904" ca="1" si="50">IF(H876&lt;&gt;"",IF(H876&lt;=TODAY(),"SI","NO"),"LIMBO")</f>
        <v>NO</v>
      </c>
      <c r="P876" s="81" t="str">
        <f t="shared" si="48"/>
        <v>DIANOSOL</v>
      </c>
      <c r="Q876" s="81" t="s">
        <v>951</v>
      </c>
      <c r="R876" s="81" t="str">
        <f>VLOOKUP($Q876,Resultados!$A$1:$B$49,2,FALSE)</f>
        <v xml:space="preserve"> _</v>
      </c>
      <c r="S876" s="81"/>
      <c r="T876" s="84" t="str">
        <f t="shared" si="49"/>
        <v>NO</v>
      </c>
      <c r="U876" s="84"/>
      <c r="V876" s="81"/>
      <c r="W876" s="81"/>
      <c r="X876" s="81"/>
      <c r="Y876" s="81"/>
      <c r="Z876" s="81"/>
      <c r="AA876" s="81"/>
      <c r="AB876" s="81"/>
      <c r="AC876" s="78"/>
    </row>
    <row r="877" spans="1:29" ht="39.950000000000003" customHeight="1" x14ac:dyDescent="0.2">
      <c r="A877" s="81">
        <v>875</v>
      </c>
      <c r="B877" s="83">
        <v>45224</v>
      </c>
      <c r="C877" s="323">
        <v>0.49444444444444446</v>
      </c>
      <c r="D877" s="81" t="s">
        <v>3630</v>
      </c>
      <c r="E877" s="82" t="s">
        <v>3631</v>
      </c>
      <c r="F877" s="81">
        <v>2</v>
      </c>
      <c r="G877" s="81" t="s">
        <v>283</v>
      </c>
      <c r="H877" s="83">
        <v>45236</v>
      </c>
      <c r="I877" s="83" t="s">
        <v>1086</v>
      </c>
      <c r="J877" s="83" t="s">
        <v>1221</v>
      </c>
      <c r="K877" s="81" t="s">
        <v>1925</v>
      </c>
      <c r="L877" s="81" t="s">
        <v>800</v>
      </c>
      <c r="M877" s="81" t="s">
        <v>2003</v>
      </c>
      <c r="N877" s="81"/>
      <c r="O877" s="81" t="str">
        <f t="shared" ca="1" si="50"/>
        <v>NO</v>
      </c>
      <c r="P877" s="81" t="str">
        <f t="shared" si="48"/>
        <v>DIANOSOL</v>
      </c>
      <c r="Q877" s="81" t="s">
        <v>951</v>
      </c>
      <c r="R877" s="81" t="str">
        <f>VLOOKUP($Q877,Resultados!$A$1:$B$49,2,FALSE)</f>
        <v xml:space="preserve"> _</v>
      </c>
      <c r="S877" s="81"/>
      <c r="T877" s="84" t="str">
        <f t="shared" si="49"/>
        <v>NO</v>
      </c>
      <c r="U877" s="84"/>
      <c r="V877" s="81"/>
      <c r="W877" s="81"/>
      <c r="X877" s="81"/>
      <c r="Y877" s="81"/>
      <c r="Z877" s="81"/>
      <c r="AA877" s="81"/>
      <c r="AB877" s="81"/>
      <c r="AC877" s="78"/>
    </row>
    <row r="878" spans="1:29" ht="39.950000000000003" customHeight="1" x14ac:dyDescent="0.2">
      <c r="A878" s="170">
        <v>876</v>
      </c>
      <c r="B878" s="326">
        <v>45225</v>
      </c>
      <c r="C878" s="327">
        <v>0.3576388888888889</v>
      </c>
      <c r="D878" s="170" t="s">
        <v>1314</v>
      </c>
      <c r="E878" s="171" t="s">
        <v>3639</v>
      </c>
      <c r="F878" s="170">
        <v>2</v>
      </c>
      <c r="G878" s="170"/>
      <c r="H878" s="326"/>
      <c r="I878" s="326"/>
      <c r="J878" s="326"/>
      <c r="K878" s="170" t="str">
        <f>IFERROR(VLOOKUP(J878,Jueces!$A$1:$B$11,2,FALSE),"")</f>
        <v/>
      </c>
      <c r="L878" s="170" t="s">
        <v>582</v>
      </c>
      <c r="M878" s="170"/>
      <c r="N878" s="170"/>
      <c r="O878" s="170" t="str">
        <f t="shared" ca="1" si="50"/>
        <v>LIMBO</v>
      </c>
      <c r="P878" s="170" t="str">
        <f t="shared" si="48"/>
        <v>DIANOSOL</v>
      </c>
      <c r="Q878" s="170" t="s">
        <v>951</v>
      </c>
      <c r="R878" s="170" t="str">
        <f>VLOOKUP($Q878,Resultados!$A$1:$B$49,2,FALSE)</f>
        <v xml:space="preserve"> _</v>
      </c>
      <c r="S878" s="170"/>
      <c r="T878" s="172" t="str">
        <f t="shared" si="49"/>
        <v>NO</v>
      </c>
      <c r="U878" s="172"/>
      <c r="V878" s="170"/>
      <c r="W878" s="170"/>
      <c r="X878" s="170"/>
      <c r="Y878" s="170"/>
      <c r="Z878" s="170"/>
      <c r="AA878" s="170"/>
      <c r="AB878" s="170"/>
      <c r="AC878" s="368"/>
    </row>
    <row r="879" spans="1:29" ht="39.950000000000003" customHeight="1" x14ac:dyDescent="0.2">
      <c r="A879" s="81">
        <v>877</v>
      </c>
      <c r="B879" s="83">
        <v>45224</v>
      </c>
      <c r="C879" s="323">
        <v>0.55138888888888882</v>
      </c>
      <c r="D879" s="81" t="s">
        <v>3640</v>
      </c>
      <c r="E879" s="82" t="s">
        <v>3642</v>
      </c>
      <c r="F879" s="81">
        <v>6</v>
      </c>
      <c r="G879" s="81" t="s">
        <v>1442</v>
      </c>
      <c r="H879" s="83">
        <v>45236</v>
      </c>
      <c r="I879" s="83" t="s">
        <v>749</v>
      </c>
      <c r="J879" s="83" t="s">
        <v>1225</v>
      </c>
      <c r="K879" s="81">
        <f>IFERROR(VLOOKUP(J879,Jueces!$A$1:$B$11,2,FALSE),"")</f>
        <v>6</v>
      </c>
      <c r="L879" s="81" t="s">
        <v>688</v>
      </c>
      <c r="M879" s="81" t="s">
        <v>3641</v>
      </c>
      <c r="N879" s="81"/>
      <c r="O879" s="81" t="str">
        <f t="shared" ca="1" si="50"/>
        <v>NO</v>
      </c>
      <c r="P879" s="81" t="str">
        <f t="shared" si="48"/>
        <v>DIANOSOL</v>
      </c>
      <c r="Q879" s="81" t="s">
        <v>951</v>
      </c>
      <c r="R879" s="81" t="str">
        <f>VLOOKUP($Q879,Resultados!$A$1:$B$49,2,FALSE)</f>
        <v xml:space="preserve"> _</v>
      </c>
      <c r="S879" s="81"/>
      <c r="T879" s="84" t="str">
        <f t="shared" si="49"/>
        <v>SI</v>
      </c>
      <c r="U879" s="84"/>
      <c r="V879" s="81"/>
      <c r="W879" s="81"/>
      <c r="X879" s="81"/>
      <c r="Y879" s="81"/>
      <c r="Z879" s="81"/>
      <c r="AA879" s="81"/>
      <c r="AB879" s="81"/>
      <c r="AC879" s="78"/>
    </row>
    <row r="880" spans="1:29" ht="39.950000000000003" customHeight="1" x14ac:dyDescent="0.2">
      <c r="A880" s="170">
        <v>878</v>
      </c>
      <c r="B880" s="326">
        <v>45225</v>
      </c>
      <c r="C880" s="327">
        <v>0.37291666666666662</v>
      </c>
      <c r="D880" s="170" t="s">
        <v>3644</v>
      </c>
      <c r="E880" s="171" t="s">
        <v>3643</v>
      </c>
      <c r="F880" s="170">
        <v>2</v>
      </c>
      <c r="G880" s="170"/>
      <c r="H880" s="326"/>
      <c r="I880" s="326"/>
      <c r="J880" s="326"/>
      <c r="K880" s="170" t="str">
        <f>IFERROR(VLOOKUP(J880,Jueces!$A$1:$B$11,2,FALSE),"")</f>
        <v/>
      </c>
      <c r="L880" s="170" t="s">
        <v>809</v>
      </c>
      <c r="M880" s="170"/>
      <c r="N880" s="170"/>
      <c r="O880" s="170" t="str">
        <f t="shared" ca="1" si="50"/>
        <v>LIMBO</v>
      </c>
      <c r="P880" s="170" t="str">
        <f t="shared" si="48"/>
        <v>DIANOSOL</v>
      </c>
      <c r="Q880" s="170" t="s">
        <v>951</v>
      </c>
      <c r="R880" s="170" t="str">
        <f>VLOOKUP($Q880,Resultados!$A$1:$B$49,2,FALSE)</f>
        <v xml:space="preserve"> _</v>
      </c>
      <c r="S880" s="170"/>
      <c r="T880" s="172" t="str">
        <f t="shared" si="49"/>
        <v>NO</v>
      </c>
      <c r="U880" s="172"/>
      <c r="V880" s="170"/>
      <c r="W880" s="170"/>
      <c r="X880" s="170"/>
      <c r="Y880" s="170"/>
      <c r="Z880" s="170"/>
      <c r="AA880" s="170"/>
      <c r="AB880" s="170"/>
      <c r="AC880" s="368"/>
    </row>
    <row r="881" spans="1:29" ht="39.950000000000003" customHeight="1" x14ac:dyDescent="0.2">
      <c r="A881" s="240">
        <v>879</v>
      </c>
      <c r="B881" s="324">
        <v>45222</v>
      </c>
      <c r="C881" s="325">
        <v>0.5229166666666667</v>
      </c>
      <c r="D881" s="240" t="s">
        <v>3645</v>
      </c>
      <c r="E881" s="243" t="s">
        <v>3646</v>
      </c>
      <c r="F881" s="240">
        <v>1</v>
      </c>
      <c r="G881" s="240"/>
      <c r="H881" s="324"/>
      <c r="I881" s="324"/>
      <c r="J881" s="324"/>
      <c r="K881" s="240" t="str">
        <f>IFERROR(VLOOKUP(J881,Jueces!$A$1:$B$11,2,FALSE),"")</f>
        <v/>
      </c>
      <c r="L881" s="240" t="s">
        <v>813</v>
      </c>
      <c r="M881" s="240" t="s">
        <v>712</v>
      </c>
      <c r="N881" s="240" t="s">
        <v>3647</v>
      </c>
      <c r="O881" s="240" t="str">
        <f t="shared" ca="1" si="50"/>
        <v>LIMBO</v>
      </c>
      <c r="P881" s="240" t="str">
        <f t="shared" si="48"/>
        <v>DIANOSOL</v>
      </c>
      <c r="Q881" s="240" t="s">
        <v>951</v>
      </c>
      <c r="R881" s="240" t="str">
        <f>VLOOKUP($Q881,Resultados!$A$1:$B$49,2,FALSE)</f>
        <v xml:space="preserve"> _</v>
      </c>
      <c r="S881" s="240"/>
      <c r="T881" s="241" t="str">
        <f t="shared" si="49"/>
        <v>NO</v>
      </c>
      <c r="U881" s="241"/>
      <c r="V881" s="240"/>
      <c r="W881" s="240"/>
      <c r="X881" s="240"/>
      <c r="Y881" s="240"/>
      <c r="Z881" s="240"/>
      <c r="AA881" s="240"/>
      <c r="AB881" s="240"/>
      <c r="AC881" s="375"/>
    </row>
    <row r="882" spans="1:29" ht="39.950000000000003" customHeight="1" x14ac:dyDescent="0.2">
      <c r="A882" s="240">
        <v>880</v>
      </c>
      <c r="B882" s="324">
        <v>45225</v>
      </c>
      <c r="C882" s="325">
        <v>0.37708333333333338</v>
      </c>
      <c r="D882" s="240" t="s">
        <v>3648</v>
      </c>
      <c r="E882" s="243" t="s">
        <v>3649</v>
      </c>
      <c r="F882" s="240">
        <v>3</v>
      </c>
      <c r="G882" s="240"/>
      <c r="H882" s="324"/>
      <c r="I882" s="324"/>
      <c r="J882" s="324"/>
      <c r="K882" s="240" t="str">
        <f>IFERROR(VLOOKUP(J882,Jueces!$A$1:$B$11,2,FALSE),"")</f>
        <v/>
      </c>
      <c r="L882" s="240" t="s">
        <v>799</v>
      </c>
      <c r="M882" s="240" t="s">
        <v>695</v>
      </c>
      <c r="N882" s="240"/>
      <c r="O882" s="240" t="str">
        <f t="shared" ca="1" si="50"/>
        <v>LIMBO</v>
      </c>
      <c r="P882" s="240" t="str">
        <f t="shared" si="48"/>
        <v>DIANOSOL</v>
      </c>
      <c r="Q882" s="240" t="s">
        <v>951</v>
      </c>
      <c r="R882" s="240" t="str">
        <f>VLOOKUP($Q882,Resultados!$A$1:$B$49,2,FALSE)</f>
        <v xml:space="preserve"> _</v>
      </c>
      <c r="S882" s="240"/>
      <c r="T882" s="241" t="str">
        <f t="shared" si="49"/>
        <v>NO</v>
      </c>
      <c r="U882" s="241"/>
      <c r="V882" s="240"/>
      <c r="W882" s="240"/>
      <c r="X882" s="240"/>
      <c r="Y882" s="240"/>
      <c r="Z882" s="240"/>
      <c r="AA882" s="240"/>
      <c r="AB882" s="240"/>
      <c r="AC882" s="375"/>
    </row>
    <row r="883" spans="1:29" ht="39.950000000000003" customHeight="1" x14ac:dyDescent="0.2">
      <c r="A883" s="170">
        <v>881</v>
      </c>
      <c r="B883" s="326">
        <v>45225</v>
      </c>
      <c r="C883" s="327">
        <v>0.38541666666666669</v>
      </c>
      <c r="D883" s="170" t="s">
        <v>3650</v>
      </c>
      <c r="E883" s="171" t="s">
        <v>3651</v>
      </c>
      <c r="F883" s="170">
        <v>3</v>
      </c>
      <c r="G883" s="170"/>
      <c r="H883" s="326"/>
      <c r="I883" s="326"/>
      <c r="J883" s="326"/>
      <c r="K883" s="170" t="str">
        <f>IFERROR(VLOOKUP(J883,Jueces!$A$1:$B$11,2,FALSE),"")</f>
        <v/>
      </c>
      <c r="L883" s="170" t="s">
        <v>791</v>
      </c>
      <c r="M883" s="170"/>
      <c r="N883" s="170"/>
      <c r="O883" s="170" t="str">
        <f t="shared" ca="1" si="50"/>
        <v>LIMBO</v>
      </c>
      <c r="P883" s="170" t="str">
        <f t="shared" si="48"/>
        <v>DIANOSOL</v>
      </c>
      <c r="Q883" s="170" t="s">
        <v>951</v>
      </c>
      <c r="R883" s="170" t="str">
        <f>VLOOKUP($Q883,Resultados!$A$1:$B$49,2,FALSE)</f>
        <v xml:space="preserve"> _</v>
      </c>
      <c r="S883" s="170"/>
      <c r="T883" s="172" t="str">
        <f t="shared" si="49"/>
        <v>NO</v>
      </c>
      <c r="U883" s="172"/>
      <c r="V883" s="170"/>
      <c r="W883" s="170"/>
      <c r="X883" s="170"/>
      <c r="Y883" s="170"/>
      <c r="Z883" s="170"/>
      <c r="AA883" s="170"/>
      <c r="AB883" s="170"/>
      <c r="AC883" s="368"/>
    </row>
    <row r="884" spans="1:29" ht="39.950000000000003" customHeight="1" x14ac:dyDescent="0.2">
      <c r="A884" s="211">
        <v>882</v>
      </c>
      <c r="B884" s="317"/>
      <c r="C884" s="211"/>
      <c r="D884" s="211" t="s">
        <v>3234</v>
      </c>
      <c r="E884" s="212" t="s">
        <v>3652</v>
      </c>
      <c r="F884" s="211">
        <v>2</v>
      </c>
      <c r="G884" s="211" t="s">
        <v>1442</v>
      </c>
      <c r="H884" s="317">
        <v>45273</v>
      </c>
      <c r="I884" s="317" t="s">
        <v>73</v>
      </c>
      <c r="J884" s="317" t="s">
        <v>35</v>
      </c>
      <c r="K884" s="211">
        <f>IFERROR(VLOOKUP(J884,Jueces!$A$1:$B$11,2,FALSE),"")</f>
        <v>3</v>
      </c>
      <c r="L884" s="211" t="s">
        <v>812</v>
      </c>
      <c r="M884" s="211" t="s">
        <v>692</v>
      </c>
      <c r="N884" s="211" t="s">
        <v>3653</v>
      </c>
      <c r="O884" s="211" t="str">
        <f t="shared" ca="1" si="50"/>
        <v>NO</v>
      </c>
      <c r="P884" s="211" t="str">
        <f t="shared" si="48"/>
        <v>DIANOSOL</v>
      </c>
      <c r="Q884" s="211" t="s">
        <v>951</v>
      </c>
      <c r="R884" s="211" t="str">
        <f>VLOOKUP($Q884,Resultados!$A$1:$B$49,2,FALSE)</f>
        <v xml:space="preserve"> _</v>
      </c>
      <c r="S884" s="211"/>
      <c r="T884" s="276" t="str">
        <f t="shared" si="49"/>
        <v>SI</v>
      </c>
      <c r="U884" s="276"/>
      <c r="V884" s="211"/>
      <c r="W884" s="211"/>
      <c r="X884" s="211"/>
      <c r="Y884" s="211"/>
      <c r="Z884" s="211"/>
      <c r="AA884" s="211"/>
      <c r="AB884" s="211"/>
      <c r="AC884" s="371"/>
    </row>
    <row r="885" spans="1:29" ht="39.950000000000003" customHeight="1" x14ac:dyDescent="0.2">
      <c r="A885" s="240">
        <v>883</v>
      </c>
      <c r="B885" s="324">
        <v>45224</v>
      </c>
      <c r="C885" s="325">
        <v>0.34375</v>
      </c>
      <c r="D885" s="240" t="s">
        <v>3655</v>
      </c>
      <c r="E885" s="243" t="s">
        <v>3656</v>
      </c>
      <c r="F885" s="240">
        <v>3</v>
      </c>
      <c r="G885" s="240"/>
      <c r="H885" s="324"/>
      <c r="I885" s="324"/>
      <c r="J885" s="324"/>
      <c r="K885" s="240" t="str">
        <f>IFERROR(VLOOKUP(J885,Jueces!$A$1:$B$11,2,FALSE),"")</f>
        <v/>
      </c>
      <c r="L885" s="240" t="s">
        <v>812</v>
      </c>
      <c r="M885" s="240" t="s">
        <v>694</v>
      </c>
      <c r="N885" s="240"/>
      <c r="O885" s="240" t="str">
        <f t="shared" ca="1" si="50"/>
        <v>LIMBO</v>
      </c>
      <c r="P885" s="240" t="str">
        <f t="shared" si="48"/>
        <v>DIANOSOL</v>
      </c>
      <c r="Q885" s="240" t="s">
        <v>951</v>
      </c>
      <c r="R885" s="240" t="str">
        <f>VLOOKUP($Q885,Resultados!$A$1:$B$49,2,FALSE)</f>
        <v xml:space="preserve"> _</v>
      </c>
      <c r="S885" s="240"/>
      <c r="T885" s="241" t="str">
        <f t="shared" si="49"/>
        <v>NO</v>
      </c>
      <c r="U885" s="241"/>
      <c r="V885" s="240"/>
      <c r="W885" s="240"/>
      <c r="X885" s="240"/>
      <c r="Y885" s="240"/>
      <c r="Z885" s="240"/>
      <c r="AA885" s="240"/>
      <c r="AB885" s="240"/>
      <c r="AC885" s="375"/>
    </row>
    <row r="886" spans="1:29" ht="39.950000000000003" customHeight="1" x14ac:dyDescent="0.2">
      <c r="A886" s="240">
        <v>884</v>
      </c>
      <c r="B886" s="324">
        <v>45225</v>
      </c>
      <c r="C886" s="325">
        <v>0.40486111111111112</v>
      </c>
      <c r="D886" s="240" t="s">
        <v>3659</v>
      </c>
      <c r="E886" s="243" t="s">
        <v>3660</v>
      </c>
      <c r="F886" s="240">
        <v>3</v>
      </c>
      <c r="G886" s="240"/>
      <c r="H886" s="324"/>
      <c r="I886" s="324"/>
      <c r="J886" s="324"/>
      <c r="K886" s="240" t="str">
        <f>IFERROR(VLOOKUP(J886,Jueces!$A$1:$B$11,2,FALSE),"")</f>
        <v/>
      </c>
      <c r="L886" s="240" t="s">
        <v>789</v>
      </c>
      <c r="M886" s="240" t="s">
        <v>695</v>
      </c>
      <c r="N886" s="240"/>
      <c r="O886" s="240" t="str">
        <f t="shared" ca="1" si="50"/>
        <v>LIMBO</v>
      </c>
      <c r="P886" s="240" t="str">
        <f t="shared" si="48"/>
        <v>DIANOSOL</v>
      </c>
      <c r="Q886" s="240" t="s">
        <v>951</v>
      </c>
      <c r="R886" s="240" t="str">
        <f>VLOOKUP($Q886,Resultados!$A$1:$B$49,2,FALSE)</f>
        <v xml:space="preserve"> _</v>
      </c>
      <c r="S886" s="240"/>
      <c r="T886" s="241" t="str">
        <f t="shared" si="49"/>
        <v>NO</v>
      </c>
      <c r="U886" s="241"/>
      <c r="V886" s="240"/>
      <c r="W886" s="240"/>
      <c r="X886" s="240"/>
      <c r="Y886" s="240"/>
      <c r="Z886" s="240"/>
      <c r="AA886" s="240"/>
      <c r="AB886" s="240"/>
      <c r="AC886" s="375"/>
    </row>
    <row r="887" spans="1:29" ht="39.950000000000003" customHeight="1" x14ac:dyDescent="0.2">
      <c r="A887" s="240">
        <v>885</v>
      </c>
      <c r="B887" s="324">
        <v>45225</v>
      </c>
      <c r="C887" s="325">
        <v>0.40902777777777777</v>
      </c>
      <c r="D887" s="240" t="s">
        <v>3661</v>
      </c>
      <c r="E887" s="243" t="s">
        <v>3662</v>
      </c>
      <c r="F887" s="240">
        <v>3</v>
      </c>
      <c r="G887" s="240"/>
      <c r="H887" s="324"/>
      <c r="I887" s="324"/>
      <c r="J887" s="324"/>
      <c r="K887" s="240" t="str">
        <f>IFERROR(VLOOKUP(J887,Jueces!$A$1:$B$11,2,FALSE),"")</f>
        <v/>
      </c>
      <c r="L887" s="240" t="s">
        <v>812</v>
      </c>
      <c r="M887" s="240" t="s">
        <v>694</v>
      </c>
      <c r="N887" s="240"/>
      <c r="O887" s="240" t="str">
        <f t="shared" ca="1" si="50"/>
        <v>LIMBO</v>
      </c>
      <c r="P887" s="240" t="str">
        <f t="shared" si="48"/>
        <v>DIANOSOL</v>
      </c>
      <c r="Q887" s="240" t="s">
        <v>951</v>
      </c>
      <c r="R887" s="240" t="str">
        <f>VLOOKUP($Q887,Resultados!$A$1:$B$49,2,FALSE)</f>
        <v xml:space="preserve"> _</v>
      </c>
      <c r="S887" s="240"/>
      <c r="T887" s="241" t="str">
        <f t="shared" si="49"/>
        <v>NO</v>
      </c>
      <c r="U887" s="241"/>
      <c r="V887" s="240"/>
      <c r="W887" s="240"/>
      <c r="X887" s="240"/>
      <c r="Y887" s="240"/>
      <c r="Z887" s="240"/>
      <c r="AA887" s="240"/>
      <c r="AB887" s="240"/>
      <c r="AC887" s="375"/>
    </row>
    <row r="888" spans="1:29" ht="39.950000000000003" customHeight="1" x14ac:dyDescent="0.2">
      <c r="A888" s="240">
        <v>886</v>
      </c>
      <c r="B888" s="324">
        <v>45223</v>
      </c>
      <c r="C888" s="325">
        <v>0.52847222222222223</v>
      </c>
      <c r="D888" s="240" t="s">
        <v>3664</v>
      </c>
      <c r="E888" s="243" t="s">
        <v>3665</v>
      </c>
      <c r="F888" s="240">
        <v>3</v>
      </c>
      <c r="G888" s="240"/>
      <c r="H888" s="324"/>
      <c r="I888" s="324"/>
      <c r="J888" s="324"/>
      <c r="K888" s="240" t="str">
        <f>IFERROR(VLOOKUP(J888,Jueces!$A$1:$B$11,2,FALSE),"")</f>
        <v/>
      </c>
      <c r="L888" s="240" t="s">
        <v>789</v>
      </c>
      <c r="M888" s="240" t="s">
        <v>694</v>
      </c>
      <c r="N888" s="240"/>
      <c r="O888" s="240" t="str">
        <f t="shared" ca="1" si="50"/>
        <v>LIMBO</v>
      </c>
      <c r="P888" s="240" t="str">
        <f t="shared" si="48"/>
        <v>DIANOSOL</v>
      </c>
      <c r="Q888" s="240" t="s">
        <v>951</v>
      </c>
      <c r="R888" s="240" t="str">
        <f>VLOOKUP($Q888,Resultados!$A$1:$B$49,2,FALSE)</f>
        <v xml:space="preserve"> _</v>
      </c>
      <c r="S888" s="240"/>
      <c r="T888" s="241" t="str">
        <f t="shared" si="49"/>
        <v>NO</v>
      </c>
      <c r="U888" s="241"/>
      <c r="V888" s="240"/>
      <c r="W888" s="240"/>
      <c r="X888" s="240"/>
      <c r="Y888" s="240"/>
      <c r="Z888" s="240"/>
      <c r="AA888" s="240"/>
      <c r="AB888" s="240"/>
      <c r="AC888" s="375"/>
    </row>
    <row r="889" spans="1:29" ht="39.950000000000003" customHeight="1" x14ac:dyDescent="0.2">
      <c r="A889" s="240">
        <v>887</v>
      </c>
      <c r="B889" s="324">
        <v>45223</v>
      </c>
      <c r="C889" s="325">
        <v>0.47222222222222227</v>
      </c>
      <c r="D889" s="240" t="s">
        <v>3670</v>
      </c>
      <c r="E889" s="243" t="s">
        <v>3671</v>
      </c>
      <c r="F889" s="240">
        <v>2</v>
      </c>
      <c r="G889" s="240"/>
      <c r="H889" s="324"/>
      <c r="I889" s="324"/>
      <c r="J889" s="324"/>
      <c r="K889" s="240" t="str">
        <f>IFERROR(VLOOKUP(J889,Jueces!$A$1:$B$11,2,FALSE),"")</f>
        <v/>
      </c>
      <c r="L889" s="240" t="s">
        <v>806</v>
      </c>
      <c r="M889" s="240" t="s">
        <v>694</v>
      </c>
      <c r="N889" s="240"/>
      <c r="O889" s="240" t="str">
        <f t="shared" ca="1" si="50"/>
        <v>LIMBO</v>
      </c>
      <c r="P889" s="240" t="str">
        <f t="shared" si="48"/>
        <v>DIANOSOL</v>
      </c>
      <c r="Q889" s="240" t="s">
        <v>951</v>
      </c>
      <c r="R889" s="240" t="str">
        <f>VLOOKUP($Q889,Resultados!$A$1:$B$49,2,FALSE)</f>
        <v xml:space="preserve"> _</v>
      </c>
      <c r="S889" s="240"/>
      <c r="T889" s="241" t="str">
        <f t="shared" si="49"/>
        <v>NO</v>
      </c>
      <c r="U889" s="241"/>
      <c r="V889" s="240"/>
      <c r="W889" s="240"/>
      <c r="X889" s="240"/>
      <c r="Y889" s="240"/>
      <c r="Z889" s="240"/>
      <c r="AA889" s="240"/>
      <c r="AB889" s="240"/>
      <c r="AC889" s="375"/>
    </row>
    <row r="890" spans="1:29" ht="39.950000000000003" customHeight="1" x14ac:dyDescent="0.2">
      <c r="A890" s="240">
        <v>888</v>
      </c>
      <c r="B890" s="324">
        <v>45223</v>
      </c>
      <c r="C890" s="325">
        <v>0.54305555555555551</v>
      </c>
      <c r="D890" s="240" t="s">
        <v>3672</v>
      </c>
      <c r="E890" s="243" t="s">
        <v>3673</v>
      </c>
      <c r="F890" s="240">
        <v>3</v>
      </c>
      <c r="G890" s="240"/>
      <c r="H890" s="324"/>
      <c r="I890" s="324"/>
      <c r="J890" s="324"/>
      <c r="K890" s="240" t="str">
        <f>IFERROR(VLOOKUP(J890,Jueces!$A$1:$B$11,2,FALSE),"")</f>
        <v/>
      </c>
      <c r="L890" s="240" t="s">
        <v>810</v>
      </c>
      <c r="M890" s="240" t="s">
        <v>694</v>
      </c>
      <c r="N890" s="240"/>
      <c r="O890" s="240" t="str">
        <f t="shared" ca="1" si="50"/>
        <v>LIMBO</v>
      </c>
      <c r="P890" s="240" t="str">
        <f t="shared" si="48"/>
        <v>DIANOSOL</v>
      </c>
      <c r="Q890" s="240" t="s">
        <v>951</v>
      </c>
      <c r="R890" s="240" t="str">
        <f>VLOOKUP($Q890,Resultados!$A$1:$B$49,2,FALSE)</f>
        <v xml:space="preserve"> _</v>
      </c>
      <c r="S890" s="240"/>
      <c r="T890" s="241" t="str">
        <f t="shared" si="49"/>
        <v>NO</v>
      </c>
      <c r="U890" s="241"/>
      <c r="V890" s="240"/>
      <c r="W890" s="240"/>
      <c r="X890" s="240"/>
      <c r="Y890" s="240"/>
      <c r="Z890" s="240"/>
      <c r="AA890" s="240"/>
      <c r="AB890" s="240"/>
      <c r="AC890" s="375"/>
    </row>
    <row r="891" spans="1:29" ht="39.950000000000003" customHeight="1" x14ac:dyDescent="0.2">
      <c r="A891" s="170">
        <v>889</v>
      </c>
      <c r="B891" s="326">
        <v>45225</v>
      </c>
      <c r="C891" s="327">
        <v>0.51250000000000007</v>
      </c>
      <c r="D891" s="170" t="s">
        <v>3676</v>
      </c>
      <c r="E891" s="171" t="s">
        <v>3677</v>
      </c>
      <c r="F891" s="170">
        <v>8</v>
      </c>
      <c r="G891" s="170"/>
      <c r="H891" s="326"/>
      <c r="I891" s="326"/>
      <c r="J891" s="326"/>
      <c r="K891" s="170" t="str">
        <f>IFERROR(VLOOKUP(J891,Jueces!$A$1:$B$11,2,FALSE),"")</f>
        <v/>
      </c>
      <c r="L891" s="170" t="s">
        <v>798</v>
      </c>
      <c r="M891" s="170"/>
      <c r="N891" s="170"/>
      <c r="O891" s="170" t="str">
        <f t="shared" ca="1" si="50"/>
        <v>LIMBO</v>
      </c>
      <c r="P891" s="170" t="str">
        <f t="shared" si="48"/>
        <v>DIANOSOL</v>
      </c>
      <c r="Q891" s="170" t="s">
        <v>951</v>
      </c>
      <c r="R891" s="170" t="str">
        <f>VLOOKUP($Q891,Resultados!$A$1:$B$49,2,FALSE)</f>
        <v xml:space="preserve"> _</v>
      </c>
      <c r="S891" s="170"/>
      <c r="T891" s="172" t="str">
        <f t="shared" si="49"/>
        <v>NO</v>
      </c>
      <c r="U891" s="172"/>
      <c r="V891" s="170"/>
      <c r="W891" s="170"/>
      <c r="X891" s="170"/>
      <c r="Y891" s="170"/>
      <c r="Z891" s="170"/>
      <c r="AA891" s="170"/>
      <c r="AB891" s="170"/>
      <c r="AC891" s="368"/>
    </row>
    <row r="892" spans="1:29" ht="39.950000000000003" customHeight="1" x14ac:dyDescent="0.2">
      <c r="A892" s="240">
        <v>890</v>
      </c>
      <c r="B892" s="324">
        <v>45225</v>
      </c>
      <c r="C892" s="325">
        <v>0.47569444444444442</v>
      </c>
      <c r="D892" s="240" t="s">
        <v>3678</v>
      </c>
      <c r="E892" s="243" t="s">
        <v>3679</v>
      </c>
      <c r="F892" s="240">
        <v>3</v>
      </c>
      <c r="G892" s="240"/>
      <c r="H892" s="324"/>
      <c r="I892" s="324"/>
      <c r="J892" s="324"/>
      <c r="K892" s="240" t="str">
        <f>IFERROR(VLOOKUP(J892,Jueces!$A$1:$B$11,2,FALSE),"")</f>
        <v/>
      </c>
      <c r="L892" s="240" t="s">
        <v>812</v>
      </c>
      <c r="M892" s="240" t="s">
        <v>694</v>
      </c>
      <c r="N892" s="240"/>
      <c r="O892" s="240" t="str">
        <f t="shared" ca="1" si="50"/>
        <v>LIMBO</v>
      </c>
      <c r="P892" s="240" t="str">
        <f t="shared" si="48"/>
        <v>DIANOSOL</v>
      </c>
      <c r="Q892" s="240" t="s">
        <v>951</v>
      </c>
      <c r="R892" s="240" t="str">
        <f>VLOOKUP($Q892,Resultados!$A$1:$B$49,2,FALSE)</f>
        <v xml:space="preserve"> _</v>
      </c>
      <c r="S892" s="240"/>
      <c r="T892" s="241" t="str">
        <f t="shared" si="49"/>
        <v>NO</v>
      </c>
      <c r="U892" s="241"/>
      <c r="V892" s="240"/>
      <c r="W892" s="240"/>
      <c r="X892" s="240"/>
      <c r="Y892" s="240"/>
      <c r="Z892" s="240"/>
      <c r="AA892" s="240"/>
      <c r="AB892" s="240"/>
      <c r="AC892" s="375"/>
    </row>
    <row r="893" spans="1:29" ht="39.950000000000003" customHeight="1" x14ac:dyDescent="0.2">
      <c r="A893" s="240">
        <v>891</v>
      </c>
      <c r="B893" s="324">
        <v>45225</v>
      </c>
      <c r="C893" s="325">
        <v>0.46458333333333335</v>
      </c>
      <c r="D893" s="240" t="s">
        <v>3680</v>
      </c>
      <c r="E893" s="243" t="s">
        <v>3690</v>
      </c>
      <c r="F893" s="240">
        <v>3</v>
      </c>
      <c r="G893" s="240"/>
      <c r="H893" s="324"/>
      <c r="I893" s="324"/>
      <c r="J893" s="324"/>
      <c r="K893" s="240" t="str">
        <f>IFERROR(VLOOKUP(J893,Jueces!$A$1:$B$11,2,FALSE),"")</f>
        <v/>
      </c>
      <c r="L893" s="240" t="s">
        <v>812</v>
      </c>
      <c r="M893" s="240" t="s">
        <v>694</v>
      </c>
      <c r="N893" s="240"/>
      <c r="O893" s="240" t="str">
        <f t="shared" ca="1" si="50"/>
        <v>LIMBO</v>
      </c>
      <c r="P893" s="240" t="str">
        <f t="shared" si="48"/>
        <v>DIANOSOL</v>
      </c>
      <c r="Q893" s="240" t="s">
        <v>951</v>
      </c>
      <c r="R893" s="240" t="str">
        <f>VLOOKUP($Q893,Resultados!$A$1:$B$49,2,FALSE)</f>
        <v xml:space="preserve"> _</v>
      </c>
      <c r="S893" s="240"/>
      <c r="T893" s="241" t="str">
        <f t="shared" si="49"/>
        <v>NO</v>
      </c>
      <c r="U893" s="241"/>
      <c r="V893" s="240"/>
      <c r="W893" s="240"/>
      <c r="X893" s="240"/>
      <c r="Y893" s="240"/>
      <c r="Z893" s="240"/>
      <c r="AA893" s="240"/>
      <c r="AB893" s="240"/>
      <c r="AC893" s="375"/>
    </row>
    <row r="894" spans="1:29" ht="39.950000000000003" customHeight="1" x14ac:dyDescent="0.2">
      <c r="A894" s="240">
        <v>892</v>
      </c>
      <c r="B894" s="324">
        <v>45225</v>
      </c>
      <c r="C894" s="325">
        <v>0.3444444444444445</v>
      </c>
      <c r="D894" s="240" t="s">
        <v>3688</v>
      </c>
      <c r="E894" s="243" t="s">
        <v>3687</v>
      </c>
      <c r="F894" s="240">
        <v>3</v>
      </c>
      <c r="G894" s="240"/>
      <c r="H894" s="324"/>
      <c r="I894" s="324"/>
      <c r="J894" s="324"/>
      <c r="K894" s="240" t="str">
        <f>IFERROR(VLOOKUP(J894,Jueces!$A$1:$B$11,2,FALSE),"")</f>
        <v/>
      </c>
      <c r="L894" s="240" t="s">
        <v>789</v>
      </c>
      <c r="M894" s="240" t="s">
        <v>694</v>
      </c>
      <c r="N894" s="240" t="s">
        <v>3689</v>
      </c>
      <c r="O894" s="240" t="str">
        <f t="shared" ca="1" si="50"/>
        <v>LIMBO</v>
      </c>
      <c r="P894" s="240" t="str">
        <f t="shared" si="48"/>
        <v>DIANOSOL</v>
      </c>
      <c r="Q894" s="240" t="s">
        <v>951</v>
      </c>
      <c r="R894" s="240" t="str">
        <f>VLOOKUP($Q894,Resultados!$A$1:$B$49,2,FALSE)</f>
        <v xml:space="preserve"> _</v>
      </c>
      <c r="S894" s="240"/>
      <c r="T894" s="241" t="str">
        <f t="shared" si="49"/>
        <v>NO</v>
      </c>
      <c r="U894" s="241"/>
      <c r="V894" s="240"/>
      <c r="W894" s="240"/>
      <c r="X894" s="240"/>
      <c r="Y894" s="240"/>
      <c r="Z894" s="240"/>
      <c r="AA894" s="240"/>
      <c r="AB894" s="240"/>
      <c r="AC894" s="375"/>
    </row>
    <row r="895" spans="1:29" ht="39.950000000000003" customHeight="1" x14ac:dyDescent="0.2">
      <c r="A895" s="240">
        <v>893</v>
      </c>
      <c r="B895" s="324">
        <v>45226</v>
      </c>
      <c r="C895" s="325">
        <v>0.3972222222222222</v>
      </c>
      <c r="D895" s="367" t="s">
        <v>3693</v>
      </c>
      <c r="E895" s="243" t="s">
        <v>3694</v>
      </c>
      <c r="F895" s="240">
        <v>3</v>
      </c>
      <c r="G895" s="240"/>
      <c r="H895" s="324"/>
      <c r="I895" s="324"/>
      <c r="J895" s="324"/>
      <c r="K895" s="240" t="str">
        <f>IFERROR(VLOOKUP(J895,Jueces!$A$1:$B$11,2,FALSE),"")</f>
        <v/>
      </c>
      <c r="L895" s="240" t="s">
        <v>811</v>
      </c>
      <c r="M895" s="240" t="s">
        <v>694</v>
      </c>
      <c r="N895" s="240"/>
      <c r="O895" s="240" t="str">
        <f t="shared" ca="1" si="50"/>
        <v>LIMBO</v>
      </c>
      <c r="P895" s="240" t="str">
        <f t="shared" si="48"/>
        <v>DIANOSOL</v>
      </c>
      <c r="Q895" s="240" t="s">
        <v>951</v>
      </c>
      <c r="R895" s="240" t="str">
        <f>VLOOKUP($Q895,Resultados!$A$1:$B$49,2,FALSE)</f>
        <v xml:space="preserve"> _</v>
      </c>
      <c r="S895" s="240"/>
      <c r="T895" s="241" t="str">
        <f t="shared" ref="T895:T904" si="51">IF(G895=$J$1,"SI","NO")</f>
        <v>NO</v>
      </c>
      <c r="U895" s="241"/>
      <c r="V895" s="240"/>
      <c r="W895" s="240"/>
      <c r="X895" s="240"/>
      <c r="Y895" s="240"/>
      <c r="Z895" s="240"/>
      <c r="AA895" s="240"/>
      <c r="AB895" s="240"/>
      <c r="AC895" s="375" t="s">
        <v>1801</v>
      </c>
    </row>
    <row r="896" spans="1:29" ht="39.950000000000003" customHeight="1" x14ac:dyDescent="0.2">
      <c r="A896" s="170">
        <v>894</v>
      </c>
      <c r="B896" s="326">
        <v>45226</v>
      </c>
      <c r="C896" s="327">
        <v>0.33333333333333331</v>
      </c>
      <c r="D896" s="170" t="s">
        <v>2299</v>
      </c>
      <c r="E896" s="378" t="s">
        <v>3695</v>
      </c>
      <c r="F896" s="170">
        <v>7</v>
      </c>
      <c r="G896" s="170"/>
      <c r="H896" s="326"/>
      <c r="I896" s="326"/>
      <c r="J896" s="326"/>
      <c r="K896" s="170" t="str">
        <f>IFERROR(VLOOKUP(J896,Jueces!$A$1:$B$11,2,FALSE),"")</f>
        <v/>
      </c>
      <c r="L896" s="170" t="s">
        <v>796</v>
      </c>
      <c r="M896" s="170"/>
      <c r="N896" s="170" t="s">
        <v>3696</v>
      </c>
      <c r="O896" s="170" t="str">
        <f t="shared" ca="1" si="50"/>
        <v>LIMBO</v>
      </c>
      <c r="P896" s="170" t="str">
        <f t="shared" si="48"/>
        <v>DIANOSOL</v>
      </c>
      <c r="Q896" s="170" t="s">
        <v>951</v>
      </c>
      <c r="R896" s="170" t="str">
        <f>VLOOKUP($Q896,Resultados!$A$1:$B$49,2,FALSE)</f>
        <v xml:space="preserve"> _</v>
      </c>
      <c r="S896" s="170"/>
      <c r="T896" s="172" t="str">
        <f t="shared" si="51"/>
        <v>NO</v>
      </c>
      <c r="U896" s="172"/>
      <c r="V896" s="170"/>
      <c r="W896" s="170"/>
      <c r="X896" s="170"/>
      <c r="Y896" s="170"/>
      <c r="Z896" s="170"/>
      <c r="AA896" s="170"/>
      <c r="AB896" s="170"/>
      <c r="AC896" s="368"/>
    </row>
    <row r="897" spans="1:29" ht="39.950000000000003" customHeight="1" x14ac:dyDescent="0.2">
      <c r="A897" s="170">
        <v>895</v>
      </c>
      <c r="B897" s="326">
        <v>45226</v>
      </c>
      <c r="C897" s="327">
        <v>0.33333333333333331</v>
      </c>
      <c r="D897" s="170" t="s">
        <v>3697</v>
      </c>
      <c r="E897" s="171" t="s">
        <v>3698</v>
      </c>
      <c r="F897" s="170">
        <v>2</v>
      </c>
      <c r="G897" s="170"/>
      <c r="H897" s="326"/>
      <c r="I897" s="326"/>
      <c r="J897" s="326"/>
      <c r="K897" s="170" t="str">
        <f>IFERROR(VLOOKUP(J897,Jueces!$A$1:$B$11,2,FALSE),"")</f>
        <v/>
      </c>
      <c r="L897" s="170" t="s">
        <v>806</v>
      </c>
      <c r="M897" s="170"/>
      <c r="N897" s="170"/>
      <c r="O897" s="170" t="str">
        <f t="shared" ca="1" si="50"/>
        <v>LIMBO</v>
      </c>
      <c r="P897" s="170" t="str">
        <f t="shared" si="48"/>
        <v>DIANOSOL</v>
      </c>
      <c r="Q897" s="170" t="s">
        <v>951</v>
      </c>
      <c r="R897" s="170" t="str">
        <f>VLOOKUP($Q897,Resultados!$A$1:$B$49,2,FALSE)</f>
        <v xml:space="preserve"> _</v>
      </c>
      <c r="S897" s="170"/>
      <c r="T897" s="172" t="str">
        <f t="shared" si="51"/>
        <v>NO</v>
      </c>
      <c r="U897" s="172"/>
      <c r="V897" s="170"/>
      <c r="W897" s="170"/>
      <c r="X897" s="170"/>
      <c r="Y897" s="170"/>
      <c r="Z897" s="170"/>
      <c r="AA897" s="170"/>
      <c r="AB897" s="170"/>
      <c r="AC897" s="368"/>
    </row>
    <row r="898" spans="1:29" ht="39.950000000000003" customHeight="1" x14ac:dyDescent="0.2">
      <c r="A898" s="170">
        <v>896</v>
      </c>
      <c r="B898" s="326">
        <v>45226</v>
      </c>
      <c r="C898" s="327">
        <v>0.39444444444444443</v>
      </c>
      <c r="D898" s="170" t="s">
        <v>3699</v>
      </c>
      <c r="E898" s="171" t="s">
        <v>3700</v>
      </c>
      <c r="F898" s="170">
        <v>1</v>
      </c>
      <c r="G898" s="170"/>
      <c r="H898" s="326"/>
      <c r="I898" s="326"/>
      <c r="J898" s="326"/>
      <c r="K898" s="170" t="str">
        <f>IFERROR(VLOOKUP(J898,Jueces!$A$1:$B$11,2,FALSE),"")</f>
        <v/>
      </c>
      <c r="L898" s="170" t="s">
        <v>814</v>
      </c>
      <c r="M898" s="170"/>
      <c r="N898" s="170"/>
      <c r="O898" s="170" t="str">
        <f t="shared" ca="1" si="50"/>
        <v>LIMBO</v>
      </c>
      <c r="P898" s="170" t="str">
        <f t="shared" si="48"/>
        <v>DIANOSOL</v>
      </c>
      <c r="Q898" s="170" t="s">
        <v>951</v>
      </c>
      <c r="R898" s="170" t="str">
        <f>VLOOKUP($Q898,Resultados!$A$1:$B$49,2,FALSE)</f>
        <v xml:space="preserve"> _</v>
      </c>
      <c r="S898" s="170"/>
      <c r="T898" s="172" t="str">
        <f t="shared" si="51"/>
        <v>NO</v>
      </c>
      <c r="U898" s="172"/>
      <c r="V898" s="170"/>
      <c r="W898" s="170"/>
      <c r="X898" s="170"/>
      <c r="Y898" s="170"/>
      <c r="Z898" s="170"/>
      <c r="AA898" s="170"/>
      <c r="AB898" s="170"/>
      <c r="AC898" s="368"/>
    </row>
    <row r="899" spans="1:29" ht="39.950000000000003" customHeight="1" x14ac:dyDescent="0.2">
      <c r="A899" s="81">
        <v>897</v>
      </c>
      <c r="B899" s="83">
        <v>45210</v>
      </c>
      <c r="C899" s="323">
        <v>0.3840277777777778</v>
      </c>
      <c r="D899" s="81" t="s">
        <v>3389</v>
      </c>
      <c r="E899" s="82" t="s">
        <v>3390</v>
      </c>
      <c r="F899" s="81">
        <v>1</v>
      </c>
      <c r="G899" s="81" t="s">
        <v>1443</v>
      </c>
      <c r="H899" s="83">
        <v>45236</v>
      </c>
      <c r="I899" s="83" t="s">
        <v>1086</v>
      </c>
      <c r="J899" s="83" t="s">
        <v>1220</v>
      </c>
      <c r="K899" s="81">
        <f>IFERROR(VLOOKUP(J899,Jueces!$A$1:$B$11,2,FALSE),"")</f>
        <v>1</v>
      </c>
      <c r="L899" s="81" t="s">
        <v>829</v>
      </c>
      <c r="M899" s="81" t="s">
        <v>712</v>
      </c>
      <c r="N899" s="81" t="s">
        <v>3701</v>
      </c>
      <c r="O899" s="81" t="str">
        <f t="shared" ca="1" si="50"/>
        <v>NO</v>
      </c>
      <c r="P899" s="81" t="str">
        <f t="shared" ref="P899:P904" si="52">IF($P$1=H899,"DIASOL", "DIANOSOL")</f>
        <v>DIANOSOL</v>
      </c>
      <c r="Q899" s="81" t="s">
        <v>951</v>
      </c>
      <c r="R899" s="81" t="str">
        <f>VLOOKUP($Q899,Resultados!$A$1:$B$49,2,FALSE)</f>
        <v xml:space="preserve"> _</v>
      </c>
      <c r="S899" s="81"/>
      <c r="T899" s="84" t="str">
        <f t="shared" si="51"/>
        <v>NO</v>
      </c>
      <c r="U899" s="84"/>
      <c r="V899" s="81"/>
      <c r="W899" s="81"/>
      <c r="X899" s="81"/>
      <c r="Y899" s="81"/>
      <c r="Z899" s="81"/>
      <c r="AA899" s="321" t="s">
        <v>3429</v>
      </c>
      <c r="AB899" s="81"/>
      <c r="AC899" s="78"/>
    </row>
    <row r="900" spans="1:29" ht="39.950000000000003" customHeight="1" x14ac:dyDescent="0.2">
      <c r="A900" s="170">
        <v>898</v>
      </c>
      <c r="B900" s="326">
        <v>45225</v>
      </c>
      <c r="C900" s="327">
        <v>0.53472222222222221</v>
      </c>
      <c r="D900" s="170" t="s">
        <v>3702</v>
      </c>
      <c r="E900" s="171" t="s">
        <v>3703</v>
      </c>
      <c r="F900" s="170">
        <v>2</v>
      </c>
      <c r="G900" s="170"/>
      <c r="H900" s="326"/>
      <c r="I900" s="326"/>
      <c r="J900" s="326"/>
      <c r="K900" s="170" t="str">
        <f>IFERROR(VLOOKUP(J900,Jueces!$A$1:$B$11,2,FALSE),"")</f>
        <v/>
      </c>
      <c r="L900" s="170" t="s">
        <v>508</v>
      </c>
      <c r="M900" s="170"/>
      <c r="N900" s="170"/>
      <c r="O900" s="170" t="str">
        <f t="shared" ca="1" si="50"/>
        <v>LIMBO</v>
      </c>
      <c r="P900" s="170" t="str">
        <f t="shared" si="52"/>
        <v>DIANOSOL</v>
      </c>
      <c r="Q900" s="170" t="s">
        <v>951</v>
      </c>
      <c r="R900" s="170" t="str">
        <f>VLOOKUP($Q900,Resultados!$A$1:$B$49,2,FALSE)</f>
        <v xml:space="preserve"> _</v>
      </c>
      <c r="S900" s="170"/>
      <c r="T900" s="172" t="str">
        <f t="shared" si="51"/>
        <v>NO</v>
      </c>
      <c r="U900" s="172"/>
      <c r="V900" s="170"/>
      <c r="W900" s="170"/>
      <c r="X900" s="170"/>
      <c r="Y900" s="170"/>
      <c r="Z900" s="170"/>
      <c r="AA900" s="170"/>
      <c r="AB900" s="170"/>
      <c r="AC900" s="368"/>
    </row>
    <row r="901" spans="1:29" ht="39.950000000000003" customHeight="1" x14ac:dyDescent="0.2">
      <c r="A901" s="211">
        <v>899</v>
      </c>
      <c r="B901" s="317"/>
      <c r="C901" s="211"/>
      <c r="D901" s="211" t="s">
        <v>1449</v>
      </c>
      <c r="E901" s="212" t="s">
        <v>1452</v>
      </c>
      <c r="F901" s="211">
        <v>2</v>
      </c>
      <c r="G901" s="211" t="s">
        <v>43</v>
      </c>
      <c r="H901" s="317">
        <v>45231</v>
      </c>
      <c r="I901" s="317" t="s">
        <v>77</v>
      </c>
      <c r="J901" s="317" t="s">
        <v>1220</v>
      </c>
      <c r="K901" s="211">
        <f>IFERROR(VLOOKUP(J901,Jueces!$A$1:$B$11,2,FALSE),"")</f>
        <v>1</v>
      </c>
      <c r="L901" s="211" t="s">
        <v>801</v>
      </c>
      <c r="M901" s="211" t="s">
        <v>692</v>
      </c>
      <c r="N901" s="211" t="s">
        <v>3704</v>
      </c>
      <c r="O901" s="211" t="str">
        <f t="shared" ca="1" si="50"/>
        <v>NO</v>
      </c>
      <c r="P901" s="211" t="str">
        <f t="shared" si="52"/>
        <v>DIANOSOL</v>
      </c>
      <c r="Q901" s="211" t="s">
        <v>951</v>
      </c>
      <c r="R901" s="211" t="str">
        <f>VLOOKUP($Q901,Resultados!$A$1:$B$49,2,FALSE)</f>
        <v xml:space="preserve"> _</v>
      </c>
      <c r="S901" s="211"/>
      <c r="T901" s="276" t="str">
        <f t="shared" si="51"/>
        <v>NO</v>
      </c>
      <c r="U901" s="276"/>
      <c r="V901" s="211"/>
      <c r="W901" s="211"/>
      <c r="X901" s="211"/>
      <c r="Y901" s="211"/>
      <c r="Z901" s="211"/>
      <c r="AA901" s="334" t="s">
        <v>2895</v>
      </c>
      <c r="AB901" s="211"/>
      <c r="AC901" s="371"/>
    </row>
    <row r="902" spans="1:29" ht="39.950000000000003" customHeight="1" x14ac:dyDescent="0.2">
      <c r="A902" s="170">
        <v>900</v>
      </c>
      <c r="B902" s="326">
        <v>45226</v>
      </c>
      <c r="C902" s="327">
        <v>0.50138888888888888</v>
      </c>
      <c r="D902" s="170" t="s">
        <v>3705</v>
      </c>
      <c r="E902" s="171" t="s">
        <v>3706</v>
      </c>
      <c r="F902" s="170">
        <v>4</v>
      </c>
      <c r="G902" s="170"/>
      <c r="H902" s="326"/>
      <c r="I902" s="326"/>
      <c r="J902" s="326"/>
      <c r="K902" s="170" t="str">
        <f>IFERROR(VLOOKUP(J902,Jueces!$A$1:$B$11,2,FALSE),"")</f>
        <v/>
      </c>
      <c r="L902" s="170" t="s">
        <v>809</v>
      </c>
      <c r="M902" s="170"/>
      <c r="N902" s="170"/>
      <c r="O902" s="170" t="str">
        <f t="shared" ca="1" si="50"/>
        <v>LIMBO</v>
      </c>
      <c r="P902" s="170" t="str">
        <f t="shared" si="52"/>
        <v>DIANOSOL</v>
      </c>
      <c r="Q902" s="170" t="s">
        <v>951</v>
      </c>
      <c r="R902" s="170" t="str">
        <f>VLOOKUP($Q902,Resultados!$A$1:$B$49,2,FALSE)</f>
        <v xml:space="preserve"> _</v>
      </c>
      <c r="S902" s="170"/>
      <c r="T902" s="172" t="str">
        <f t="shared" si="51"/>
        <v>NO</v>
      </c>
      <c r="U902" s="172"/>
      <c r="V902" s="170"/>
      <c r="W902" s="170"/>
      <c r="X902" s="170"/>
      <c r="Y902" s="170"/>
      <c r="Z902" s="170"/>
      <c r="AA902" s="170"/>
      <c r="AB902" s="170"/>
      <c r="AC902" s="368"/>
    </row>
    <row r="903" spans="1:29" ht="39.950000000000003" customHeight="1" x14ac:dyDescent="0.2">
      <c r="A903" s="170">
        <v>901</v>
      </c>
      <c r="B903" s="326">
        <v>45226</v>
      </c>
      <c r="C903" s="327">
        <v>0.46319444444444446</v>
      </c>
      <c r="D903" s="170" t="s">
        <v>3707</v>
      </c>
      <c r="E903" s="171" t="s">
        <v>3708</v>
      </c>
      <c r="F903" s="170">
        <v>2</v>
      </c>
      <c r="G903" s="170"/>
      <c r="H903" s="326"/>
      <c r="I903" s="326"/>
      <c r="J903" s="326"/>
      <c r="K903" s="170" t="str">
        <f>IFERROR(VLOOKUP(J903,Jueces!$A$1:$B$11,2,FALSE),"")</f>
        <v/>
      </c>
      <c r="L903" s="170" t="s">
        <v>812</v>
      </c>
      <c r="M903" s="170"/>
      <c r="N903" s="170"/>
      <c r="O903" s="170" t="str">
        <f t="shared" ca="1" si="50"/>
        <v>LIMBO</v>
      </c>
      <c r="P903" s="170" t="str">
        <f t="shared" si="52"/>
        <v>DIANOSOL</v>
      </c>
      <c r="Q903" s="170" t="s">
        <v>951</v>
      </c>
      <c r="R903" s="170" t="str">
        <f>VLOOKUP($Q903,Resultados!$A$1:$B$49,2,FALSE)</f>
        <v xml:space="preserve"> _</v>
      </c>
      <c r="S903" s="170"/>
      <c r="T903" s="172" t="str">
        <f t="shared" si="51"/>
        <v>NO</v>
      </c>
      <c r="U903" s="172"/>
      <c r="V903" s="170"/>
      <c r="W903" s="170"/>
      <c r="X903" s="170"/>
      <c r="Y903" s="170"/>
      <c r="Z903" s="170"/>
      <c r="AA903" s="170"/>
      <c r="AB903" s="170"/>
      <c r="AC903" s="368"/>
    </row>
    <row r="904" spans="1:29" ht="39.950000000000003" customHeight="1" x14ac:dyDescent="0.2">
      <c r="A904" s="379">
        <v>902</v>
      </c>
      <c r="B904" s="380">
        <v>45226</v>
      </c>
      <c r="C904" s="381">
        <v>0.50486111111111109</v>
      </c>
      <c r="D904" s="379" t="s">
        <v>3709</v>
      </c>
      <c r="E904" s="382" t="s">
        <v>3710</v>
      </c>
      <c r="F904" s="379">
        <v>3</v>
      </c>
      <c r="G904" s="379"/>
      <c r="H904" s="380"/>
      <c r="I904" s="380"/>
      <c r="J904" s="380"/>
      <c r="K904" s="379" t="str">
        <f>IFERROR(VLOOKUP(J904,Jueces!$A$1:$B$11,2,FALSE),"")</f>
        <v/>
      </c>
      <c r="L904" s="379" t="s">
        <v>803</v>
      </c>
      <c r="M904" s="379"/>
      <c r="N904" s="379"/>
      <c r="O904" s="379" t="str">
        <f t="shared" ca="1" si="50"/>
        <v>LIMBO</v>
      </c>
      <c r="P904" s="379" t="str">
        <f t="shared" si="52"/>
        <v>DIANOSOL</v>
      </c>
      <c r="Q904" s="379" t="s">
        <v>951</v>
      </c>
      <c r="R904" s="379" t="str">
        <f>VLOOKUP($Q904,Resultados!$A$1:$B$49,2,FALSE)</f>
        <v xml:space="preserve"> _</v>
      </c>
      <c r="S904" s="379"/>
      <c r="T904" s="383" t="str">
        <f t="shared" si="51"/>
        <v>NO</v>
      </c>
      <c r="U904" s="383"/>
      <c r="V904" s="379"/>
      <c r="W904" s="379"/>
      <c r="X904" s="379"/>
      <c r="Y904" s="379"/>
      <c r="Z904" s="379"/>
      <c r="AA904" s="379"/>
      <c r="AB904" s="379"/>
      <c r="AC904" s="384"/>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sortState ref="A3:AC904">
    <sortCondition ref="A2:A904"/>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26" r:id="rId10" name="ComboBox1">
          <controlPr defaultSize="0" print="0" autoLine="0" linkedCell="$K$1" listFillRange="Resultados!$A$1:$A$49" r:id="rId11">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52"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G14"/>
  <sheetViews>
    <sheetView workbookViewId="0">
      <selection activeCell="G1" sqref="G1"/>
    </sheetView>
  </sheetViews>
  <sheetFormatPr baseColWidth="10" defaultRowHeight="12.75" x14ac:dyDescent="0.2"/>
  <cols>
    <col min="1" max="1" width="12.28515625" bestFit="1" customWidth="1"/>
  </cols>
  <sheetData>
    <row r="1" spans="1:7" x14ac:dyDescent="0.2">
      <c r="B1" s="9" t="s">
        <v>3723</v>
      </c>
      <c r="G1">
        <v>9</v>
      </c>
    </row>
    <row r="3" spans="1:7" x14ac:dyDescent="0.2">
      <c r="A3" s="9" t="s">
        <v>3724</v>
      </c>
    </row>
    <row r="4" spans="1:7" x14ac:dyDescent="0.2">
      <c r="A4" s="9" t="s">
        <v>3725</v>
      </c>
    </row>
    <row r="5" spans="1:7" x14ac:dyDescent="0.2">
      <c r="A5" s="9" t="s">
        <v>3181</v>
      </c>
    </row>
    <row r="6" spans="1:7" x14ac:dyDescent="0.2">
      <c r="A6" s="9" t="s">
        <v>3182</v>
      </c>
    </row>
    <row r="7" spans="1:7" x14ac:dyDescent="0.2">
      <c r="A7" s="9" t="s">
        <v>3183</v>
      </c>
    </row>
    <row r="8" spans="1:7" x14ac:dyDescent="0.2">
      <c r="A8" s="9" t="s">
        <v>3184</v>
      </c>
      <c r="B8" s="389"/>
    </row>
    <row r="9" spans="1:7" x14ac:dyDescent="0.2">
      <c r="A9" s="9" t="s">
        <v>3185</v>
      </c>
    </row>
    <row r="10" spans="1:7" x14ac:dyDescent="0.2">
      <c r="A10" s="9" t="s">
        <v>3186</v>
      </c>
    </row>
    <row r="11" spans="1:7" x14ac:dyDescent="0.2">
      <c r="A11" s="9" t="s">
        <v>3726</v>
      </c>
    </row>
    <row r="12" spans="1:7" x14ac:dyDescent="0.2">
      <c r="A12" s="9" t="s">
        <v>3188</v>
      </c>
    </row>
    <row r="13" spans="1:7" x14ac:dyDescent="0.2">
      <c r="A13" s="9" t="s">
        <v>3189</v>
      </c>
    </row>
    <row r="14" spans="1:7" x14ac:dyDescent="0.2">
      <c r="A14" s="9" t="s">
        <v>3190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57150</xdr:rowOff>
                  </from>
                  <to>
                    <xdr:col>8</xdr:col>
                    <xdr:colOff>438150</xdr:colOff>
                    <xdr:row>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60" t="s">
        <v>5</v>
      </c>
      <c r="B5" s="361">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3527</v>
      </c>
      <c r="E6" t="s">
        <v>3527</v>
      </c>
      <c r="H6" t="s">
        <v>3527</v>
      </c>
      <c r="K6" t="s">
        <v>3527</v>
      </c>
      <c r="N6" t="s">
        <v>3527</v>
      </c>
      <c r="Q6" t="s">
        <v>3527</v>
      </c>
    </row>
    <row r="7" spans="1:17" ht="14.25" x14ac:dyDescent="0.2">
      <c r="A7" s="365"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63" t="s">
        <v>1442</v>
      </c>
      <c r="D9" s="106" t="s">
        <v>1441</v>
      </c>
      <c r="G9" s="106" t="s">
        <v>1442</v>
      </c>
      <c r="J9" s="106" t="s">
        <v>1442</v>
      </c>
      <c r="M9" s="106" t="s">
        <v>283</v>
      </c>
      <c r="P9" s="106" t="s">
        <v>3366</v>
      </c>
    </row>
    <row r="10" spans="1:17" x14ac:dyDescent="0.2">
      <c r="A10" s="364" t="s">
        <v>73</v>
      </c>
      <c r="D10" s="107" t="s">
        <v>73</v>
      </c>
      <c r="G10" s="107" t="s">
        <v>73</v>
      </c>
      <c r="J10" s="107" t="s">
        <v>73</v>
      </c>
      <c r="M10" s="107" t="s">
        <v>73</v>
      </c>
      <c r="P10" s="107" t="s">
        <v>73</v>
      </c>
    </row>
    <row r="11" spans="1:17" ht="14.25" x14ac:dyDescent="0.2">
      <c r="A11" s="363" t="s">
        <v>2788</v>
      </c>
      <c r="D11" s="119" t="s">
        <v>35</v>
      </c>
      <c r="G11" s="17" t="s">
        <v>1221</v>
      </c>
      <c r="J11" s="106" t="s">
        <v>3367</v>
      </c>
      <c r="M11" s="17" t="s">
        <v>78</v>
      </c>
      <c r="P11" s="17" t="s">
        <v>1220</v>
      </c>
    </row>
    <row r="12" spans="1:17" x14ac:dyDescent="0.2">
      <c r="A12" s="364" t="s">
        <v>1086</v>
      </c>
      <c r="D12" s="106" t="s">
        <v>2788</v>
      </c>
      <c r="G12" s="106" t="s">
        <v>568</v>
      </c>
      <c r="J12" s="107" t="s">
        <v>1086</v>
      </c>
      <c r="M12" s="106" t="s">
        <v>1443</v>
      </c>
      <c r="P12" s="106" t="s">
        <v>283</v>
      </c>
    </row>
    <row r="13" spans="1:17" x14ac:dyDescent="0.2">
      <c r="A13" s="362" t="s">
        <v>33</v>
      </c>
      <c r="B13" s="320"/>
      <c r="D13" s="107" t="s">
        <v>73</v>
      </c>
      <c r="E13" s="320"/>
      <c r="G13" s="107" t="s">
        <v>1086</v>
      </c>
      <c r="H13" s="320"/>
      <c r="J13" s="17" t="s">
        <v>78</v>
      </c>
      <c r="K13" s="320"/>
      <c r="L13" s="320"/>
      <c r="M13" s="107" t="s">
        <v>73</v>
      </c>
      <c r="N13" s="320"/>
      <c r="P13" s="107" t="s">
        <v>1086</v>
      </c>
      <c r="Q13" s="320"/>
    </row>
    <row r="14" spans="1:17" x14ac:dyDescent="0.2">
      <c r="A14" s="363" t="s">
        <v>2774</v>
      </c>
      <c r="B14" s="320"/>
      <c r="D14" s="17" t="s">
        <v>1221</v>
      </c>
      <c r="E14" s="320"/>
      <c r="G14" s="17" t="s">
        <v>78</v>
      </c>
      <c r="H14" s="320"/>
      <c r="J14" s="106" t="s">
        <v>2788</v>
      </c>
      <c r="K14" s="320"/>
      <c r="L14" s="320"/>
      <c r="M14" s="17" t="s">
        <v>1485</v>
      </c>
      <c r="N14" s="320"/>
      <c r="P14" s="17" t="s">
        <v>1485</v>
      </c>
      <c r="Q14" s="320"/>
    </row>
    <row r="15" spans="1:17" x14ac:dyDescent="0.2">
      <c r="A15" s="364" t="s">
        <v>1086</v>
      </c>
      <c r="B15" s="320"/>
      <c r="D15" s="106" t="s">
        <v>283</v>
      </c>
      <c r="E15" s="320"/>
      <c r="G15" s="106" t="s">
        <v>1443</v>
      </c>
      <c r="H15" s="320"/>
      <c r="J15" s="107" t="s">
        <v>73</v>
      </c>
      <c r="K15" s="320"/>
      <c r="L15" s="320"/>
      <c r="N15" s="320"/>
      <c r="Q15" s="320"/>
    </row>
    <row r="16" spans="1:17" x14ac:dyDescent="0.2">
      <c r="A16" s="363"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64"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62"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63"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64" t="s">
        <v>76</v>
      </c>
      <c r="B20" s="320" t="s">
        <v>3051</v>
      </c>
      <c r="D20" s="106" t="s">
        <v>3366</v>
      </c>
      <c r="E20" s="320" t="s">
        <v>3051</v>
      </c>
      <c r="G20" s="17" t="s">
        <v>2954</v>
      </c>
      <c r="H20" s="320" t="s">
        <v>3051</v>
      </c>
      <c r="K20" s="320" t="s">
        <v>3051</v>
      </c>
      <c r="L20" s="320"/>
      <c r="N20" s="320" t="s">
        <v>3051</v>
      </c>
      <c r="Q20" s="320" t="s">
        <v>3051</v>
      </c>
    </row>
    <row r="21" spans="1:19" x14ac:dyDescent="0.2">
      <c r="A21" s="362" t="s">
        <v>78</v>
      </c>
      <c r="B21" s="320" t="s">
        <v>3053</v>
      </c>
      <c r="D21" s="107" t="s">
        <v>1086</v>
      </c>
      <c r="E21" s="320" t="s">
        <v>3053</v>
      </c>
      <c r="G21" s="106" t="s">
        <v>2788</v>
      </c>
      <c r="H21" s="320" t="s">
        <v>3053</v>
      </c>
      <c r="K21" s="320" t="s">
        <v>3053</v>
      </c>
      <c r="L21" s="320"/>
      <c r="N21" s="320" t="s">
        <v>3053</v>
      </c>
      <c r="Q21" s="320" t="s">
        <v>3053</v>
      </c>
    </row>
    <row r="22" spans="1:19" x14ac:dyDescent="0.2">
      <c r="A22" s="363" t="s">
        <v>3366</v>
      </c>
      <c r="B22" s="320" t="s">
        <v>3055</v>
      </c>
      <c r="D22" s="17" t="s">
        <v>1220</v>
      </c>
      <c r="E22" s="320" t="s">
        <v>3055</v>
      </c>
      <c r="G22" s="107" t="s">
        <v>73</v>
      </c>
      <c r="H22" s="320" t="s">
        <v>3055</v>
      </c>
      <c r="K22" s="320" t="s">
        <v>3055</v>
      </c>
      <c r="L22" s="320"/>
      <c r="N22" s="320" t="s">
        <v>3055</v>
      </c>
      <c r="Q22" s="320" t="s">
        <v>3055</v>
      </c>
    </row>
    <row r="23" spans="1:19" x14ac:dyDescent="0.2">
      <c r="A23" s="364" t="s">
        <v>73</v>
      </c>
      <c r="B23" s="320" t="s">
        <v>3056</v>
      </c>
      <c r="D23" s="106" t="s">
        <v>1443</v>
      </c>
      <c r="E23" s="320" t="s">
        <v>3056</v>
      </c>
      <c r="G23" s="17" t="s">
        <v>1485</v>
      </c>
      <c r="H23" s="320" t="s">
        <v>3056</v>
      </c>
      <c r="K23" s="320" t="s">
        <v>3056</v>
      </c>
      <c r="L23" s="320"/>
      <c r="N23" s="320" t="s">
        <v>3056</v>
      </c>
      <c r="Q23" s="320" t="s">
        <v>3056</v>
      </c>
    </row>
    <row r="24" spans="1:19" x14ac:dyDescent="0.2">
      <c r="A24" s="362" t="s">
        <v>1732</v>
      </c>
      <c r="B24" s="320" t="s">
        <v>3430</v>
      </c>
      <c r="D24" s="107" t="s">
        <v>1086</v>
      </c>
      <c r="E24" s="320" t="s">
        <v>3430</v>
      </c>
      <c r="H24" s="320" t="s">
        <v>3430</v>
      </c>
      <c r="K24" s="320" t="s">
        <v>3430</v>
      </c>
      <c r="N24" s="320" t="s">
        <v>3430</v>
      </c>
      <c r="Q24" s="320" t="s">
        <v>3430</v>
      </c>
    </row>
    <row r="25" spans="1:19" x14ac:dyDescent="0.2">
      <c r="A25" s="363" t="s">
        <v>568</v>
      </c>
      <c r="B25" s="320" t="s">
        <v>3418</v>
      </c>
      <c r="D25" s="17" t="s">
        <v>1225</v>
      </c>
      <c r="E25" s="320" t="s">
        <v>3418</v>
      </c>
      <c r="H25" s="320" t="s">
        <v>3418</v>
      </c>
      <c r="K25" s="320" t="s">
        <v>3418</v>
      </c>
      <c r="N25" s="320" t="s">
        <v>3418</v>
      </c>
      <c r="Q25" s="320" t="s">
        <v>3418</v>
      </c>
    </row>
    <row r="26" spans="1:19" x14ac:dyDescent="0.2">
      <c r="A26" s="364" t="s">
        <v>1086</v>
      </c>
      <c r="D26" s="106" t="s">
        <v>1442</v>
      </c>
      <c r="E26" s="320"/>
      <c r="H26" s="320"/>
      <c r="K26" s="320"/>
      <c r="N26" s="320"/>
      <c r="Q26" s="320"/>
    </row>
    <row r="27" spans="1:19" x14ac:dyDescent="0.2">
      <c r="A27" s="362" t="s">
        <v>1225</v>
      </c>
      <c r="D27" s="107" t="s">
        <v>749</v>
      </c>
      <c r="E27" s="320"/>
      <c r="H27" s="320"/>
      <c r="K27" s="320"/>
      <c r="N27" s="320"/>
      <c r="Q27" s="320"/>
      <c r="S27" s="320" t="s">
        <v>3049</v>
      </c>
    </row>
    <row r="28" spans="1:19" x14ac:dyDescent="0.2">
      <c r="A28" s="363" t="s">
        <v>1441</v>
      </c>
      <c r="D28" s="17" t="s">
        <v>2951</v>
      </c>
      <c r="E28" s="320"/>
      <c r="H28" s="320"/>
      <c r="K28" s="320"/>
      <c r="N28" s="320"/>
      <c r="Q28" s="320"/>
      <c r="S28" s="320" t="s">
        <v>3048</v>
      </c>
    </row>
    <row r="29" spans="1:19" x14ac:dyDescent="0.2">
      <c r="A29" s="364" t="s">
        <v>749</v>
      </c>
      <c r="D29" s="106" t="s">
        <v>3367</v>
      </c>
      <c r="E29" s="320"/>
      <c r="H29" s="320"/>
      <c r="K29" s="320"/>
      <c r="N29" s="320"/>
      <c r="Q29" s="320"/>
      <c r="S29" s="320" t="s">
        <v>3047</v>
      </c>
    </row>
    <row r="30" spans="1:19" x14ac:dyDescent="0.2">
      <c r="A30" s="362" t="s">
        <v>2951</v>
      </c>
      <c r="D30" s="107" t="s">
        <v>73</v>
      </c>
      <c r="S30" s="320" t="s">
        <v>3046</v>
      </c>
    </row>
    <row r="31" spans="1:19" x14ac:dyDescent="0.2">
      <c r="A31" s="363" t="s">
        <v>1443</v>
      </c>
      <c r="D31" s="17" t="s">
        <v>1485</v>
      </c>
      <c r="S31" s="320" t="s">
        <v>3045</v>
      </c>
    </row>
    <row r="32" spans="1:19" x14ac:dyDescent="0.2">
      <c r="A32" s="364" t="s">
        <v>73</v>
      </c>
      <c r="S32" s="320" t="s">
        <v>3050</v>
      </c>
    </row>
    <row r="33" spans="1:19" x14ac:dyDescent="0.2">
      <c r="A33" s="362" t="s">
        <v>2954</v>
      </c>
      <c r="S33" s="320" t="s">
        <v>3051</v>
      </c>
    </row>
    <row r="34" spans="1:19" x14ac:dyDescent="0.2">
      <c r="A34" s="363" t="s">
        <v>283</v>
      </c>
      <c r="S34" s="320" t="s">
        <v>3052</v>
      </c>
    </row>
    <row r="35" spans="1:19" x14ac:dyDescent="0.2">
      <c r="A35" s="364" t="s">
        <v>73</v>
      </c>
      <c r="S35" s="320" t="s">
        <v>3053</v>
      </c>
    </row>
    <row r="36" spans="1:19" x14ac:dyDescent="0.2">
      <c r="A36" s="362" t="s">
        <v>1485</v>
      </c>
      <c r="S36" s="320" t="s">
        <v>3054</v>
      </c>
    </row>
    <row r="37" spans="1:19" x14ac:dyDescent="0.2">
      <c r="S37" s="320" t="s">
        <v>3055</v>
      </c>
    </row>
    <row r="38" spans="1:19" x14ac:dyDescent="0.2">
      <c r="S38" s="320" t="s">
        <v>3056</v>
      </c>
    </row>
    <row r="39" spans="1:19" x14ac:dyDescent="0.2">
      <c r="S39" s="320" t="s">
        <v>3430</v>
      </c>
    </row>
    <row r="40" spans="1:19" x14ac:dyDescent="0.2">
      <c r="S40" s="320" t="s">
        <v>3418</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1" t="str">
        <f ca="1">"AUDIENCIAS ASIGNADAS  AL DIA: " &amp; TEXT(TODAY(),"DD/MM/YYYY")</f>
        <v>AUDIENCIAS ASIGNADAS  AL DIA: 28/10/YYYY</v>
      </c>
      <c r="C1" s="411"/>
      <c r="D1" s="411"/>
      <c r="E1" s="411"/>
      <c r="F1" s="411"/>
      <c r="G1" s="411"/>
      <c r="H1" s="411"/>
      <c r="I1" s="411"/>
    </row>
    <row r="3" spans="2:9" ht="28.5" customHeight="1" x14ac:dyDescent="0.2">
      <c r="B3" s="409" t="s">
        <v>2042</v>
      </c>
      <c r="C3" s="410"/>
      <c r="E3" s="409" t="s">
        <v>2354</v>
      </c>
      <c r="F3" s="410"/>
      <c r="H3" s="409" t="s">
        <v>2381</v>
      </c>
      <c r="I3" s="410"/>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11" t="str">
        <f ca="1">"AUDIENCIAS QUE RESTAN RESOLVER -  AL DIA: " &amp; TEXT(TODAY(),"DD/MM/YYYY")</f>
        <v>AUDIENCIAS QUE RESTAN RESOLVER -  AL DIA: 28/10/YYYY</v>
      </c>
      <c r="C26" s="411"/>
      <c r="D26" s="411"/>
      <c r="E26" s="411"/>
      <c r="F26" s="411"/>
      <c r="G26" s="411"/>
      <c r="H26" s="411"/>
      <c r="I26" s="411"/>
    </row>
    <row r="27" spans="2:9" ht="24.95" customHeight="1" x14ac:dyDescent="0.2"/>
    <row r="28" spans="2:9" ht="24.95" customHeight="1" x14ac:dyDescent="0.2">
      <c r="B28" s="409" t="s">
        <v>2043</v>
      </c>
      <c r="C28" s="410"/>
      <c r="E28" s="409" t="s">
        <v>2355</v>
      </c>
      <c r="F28" s="410"/>
      <c r="H28" s="409" t="s">
        <v>2044</v>
      </c>
      <c r="I28" s="410"/>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6</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13</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3</v>
      </c>
      <c r="E32" s="10" t="s">
        <v>1224</v>
      </c>
      <c r="F32" s="10">
        <f ca="1">COUNTIFS(EXPEDIENTES!J:J,$E32,EXPEDIENTES!O:O,"NO")</f>
        <v>0</v>
      </c>
    </row>
    <row r="33" spans="2:6" ht="20.100000000000001" customHeight="1" x14ac:dyDescent="0.2">
      <c r="B33" s="10" t="s">
        <v>78</v>
      </c>
      <c r="C33" s="10">
        <f ca="1">COUNTIFS(EXPEDIENTES!J:J,$B33,EXPEDIENTES!O:O,"NO")</f>
        <v>13</v>
      </c>
      <c r="E33" s="10" t="s">
        <v>1625</v>
      </c>
      <c r="F33" s="10">
        <f ca="1">COUNTIFS(EXPEDIENTES!J:J,$E33,EXPEDIENTES!O:O,"NO")</f>
        <v>0</v>
      </c>
    </row>
    <row r="34" spans="2:6" ht="20.100000000000001" customHeight="1" x14ac:dyDescent="0.2">
      <c r="B34" s="10" t="s">
        <v>1220</v>
      </c>
      <c r="C34" s="10">
        <f ca="1">COUNTIFS(EXPEDIENTES!J:J,$B34,EXPEDIENTES!O:O,"NO")</f>
        <v>7</v>
      </c>
      <c r="E34" s="10" t="s">
        <v>1492</v>
      </c>
      <c r="F34" s="10">
        <f ca="1">COUNTIFS(EXPEDIENTES!J:J,$E34,EXPEDIENTES!O:O,"NO")</f>
        <v>0</v>
      </c>
    </row>
    <row r="35" spans="2:6" ht="20.100000000000001" customHeight="1" x14ac:dyDescent="0.2">
      <c r="B35" s="10" t="s">
        <v>1225</v>
      </c>
      <c r="C35" s="10">
        <f ca="1">COUNTIFS(EXPEDIENTES!J:J,$B35,EXPEDIENTES!O:O,"NO")</f>
        <v>6</v>
      </c>
      <c r="E35" s="10" t="s">
        <v>1732</v>
      </c>
      <c r="F35" s="10">
        <f ca="1">COUNTIFS(EXPEDIENTES!J:J,$E35,EXPEDIENTES!O:O,"NO")</f>
        <v>5</v>
      </c>
    </row>
    <row r="36" spans="2:6" ht="20.100000000000001" customHeight="1" x14ac:dyDescent="0.2">
      <c r="B36" s="10" t="s">
        <v>1221</v>
      </c>
      <c r="C36" s="10">
        <f ca="1">COUNTIFS(EXPEDIENTES!J:J,$B36,EXPEDIENTES!O:O,"NO")</f>
        <v>10</v>
      </c>
      <c r="E36" s="343" t="s">
        <v>2951</v>
      </c>
      <c r="F36" s="10">
        <f ca="1">COUNTIFS(EXPEDIENTES!J:J,$E36,EXPEDIENTES!O:O,"NO")</f>
        <v>6</v>
      </c>
    </row>
    <row r="37" spans="2:6" ht="20.100000000000001" customHeight="1" x14ac:dyDescent="0.2">
      <c r="B37" s="195" t="s">
        <v>963</v>
      </c>
      <c r="C37" s="59">
        <f ca="1">SUM(C30:C36)</f>
        <v>58</v>
      </c>
      <c r="E37" s="344" t="s">
        <v>2954</v>
      </c>
      <c r="F37" s="10">
        <f ca="1">COUNTIFS(EXPEDIENTES!J:J,$E37,EXPEDIENTES!O:O,"NO")</f>
        <v>3</v>
      </c>
    </row>
    <row r="38" spans="2:6" s="339" customFormat="1" ht="20.100000000000001" customHeight="1" x14ac:dyDescent="0.2">
      <c r="E38" s="195" t="s">
        <v>370</v>
      </c>
      <c r="F38" s="59">
        <f ca="1">SUM(F30:F37)</f>
        <v>14</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11" t="str">
        <f ca="1">"AUDIENCIAS RESUELTAS AL DIA: " &amp; TEXT(TODAY(),"DD/MM/YYYY")</f>
        <v>AUDIENCIAS RESUELTAS AL DIA: 28/10/YYYY</v>
      </c>
      <c r="C53" s="411"/>
      <c r="D53" s="411"/>
      <c r="E53" s="411"/>
      <c r="F53" s="411"/>
      <c r="G53" s="411"/>
      <c r="H53" s="411"/>
      <c r="I53" s="411"/>
    </row>
    <row r="54" spans="2:9" ht="20.100000000000001" customHeight="1" x14ac:dyDescent="0.2"/>
    <row r="55" spans="2:9" ht="28.35" customHeight="1" x14ac:dyDescent="0.2">
      <c r="B55" s="409" t="s">
        <v>2045</v>
      </c>
      <c r="C55" s="410"/>
      <c r="E55" s="409" t="s">
        <v>2046</v>
      </c>
      <c r="F55" s="410"/>
      <c r="H55" s="409" t="s">
        <v>2047</v>
      </c>
      <c r="I55" s="410"/>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123</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131</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134</v>
      </c>
      <c r="E59" s="10" t="s">
        <v>1224</v>
      </c>
      <c r="F59" s="10">
        <f ca="1">COUNTIFS(EXPEDIENTES!J:J,$E59,EXPEDIENTES!O:O,"SI")</f>
        <v>19</v>
      </c>
    </row>
    <row r="60" spans="2:9" ht="24.95" customHeight="1" x14ac:dyDescent="0.2">
      <c r="B60" s="10" t="s">
        <v>78</v>
      </c>
      <c r="C60" s="10">
        <f ca="1">COUNTIFS(EXPEDIENTES!J:J,$B60,EXPEDIENTES!O:O,"SI")</f>
        <v>120</v>
      </c>
      <c r="E60" s="10" t="s">
        <v>1625</v>
      </c>
      <c r="F60" s="10">
        <f ca="1">COUNTIFS(EXPEDIENTES!J:J,$E60,EXPEDIENTES!O:O,"SI")</f>
        <v>19</v>
      </c>
    </row>
    <row r="61" spans="2:9" ht="24.95" customHeight="1" x14ac:dyDescent="0.2">
      <c r="B61" s="10" t="s">
        <v>1220</v>
      </c>
      <c r="C61" s="10">
        <f ca="1">COUNTIFS(EXPEDIENTES!J:J,$B61,EXPEDIENTES!O:O,"SI")</f>
        <v>47</v>
      </c>
      <c r="E61" s="10" t="s">
        <v>1492</v>
      </c>
      <c r="F61" s="10">
        <f ca="1">COUNTIFS(EXPEDIENTES!J:J,$E61,EXPEDIENTES!O:O,"SI")</f>
        <v>11</v>
      </c>
    </row>
    <row r="62" spans="2:9" ht="24.95" customHeight="1" x14ac:dyDescent="0.2">
      <c r="B62" s="10" t="s">
        <v>1225</v>
      </c>
      <c r="C62" s="10">
        <f ca="1">COUNTIFS(EXPEDIENTES!J:J,$B62,EXPEDIENTES!O:O,"SI")</f>
        <v>21</v>
      </c>
      <c r="E62" s="10" t="s">
        <v>1732</v>
      </c>
      <c r="F62" s="10">
        <f ca="1">COUNTIFS(EXPEDIENTES!J:J,$E62,EXPEDIENTES!O:O,"SI")</f>
        <v>18</v>
      </c>
      <c r="G62" s="112"/>
      <c r="H62" s="112"/>
    </row>
    <row r="63" spans="2:9" ht="24.95" customHeight="1" x14ac:dyDescent="0.2">
      <c r="B63" s="10" t="s">
        <v>1221</v>
      </c>
      <c r="C63" s="10">
        <f ca="1">COUNTIFS(EXPEDIENTES!J:J,$B63,EXPEDIENTES!O:O,"SI")</f>
        <v>63</v>
      </c>
      <c r="E63" s="343" t="s">
        <v>2951</v>
      </c>
      <c r="F63" s="10">
        <f ca="1">COUNTIFS(EXPEDIENTES!J:J,$E63,EXPEDIENTES!O:O,"SI")</f>
        <v>15</v>
      </c>
      <c r="G63" s="112"/>
      <c r="H63" s="112"/>
    </row>
    <row r="64" spans="2:9" ht="24.95" customHeight="1" x14ac:dyDescent="0.2">
      <c r="B64" s="195" t="s">
        <v>2033</v>
      </c>
      <c r="C64" s="28">
        <f ca="1">SUM(C57:C63)</f>
        <v>639</v>
      </c>
      <c r="E64" s="344" t="s">
        <v>2954</v>
      </c>
      <c r="F64" s="10">
        <f ca="1">COUNTIFS(EXPEDIENTES!J:J,$E64,EXPEDIENTES!O:O,"SI")</f>
        <v>12</v>
      </c>
      <c r="G64" s="112"/>
      <c r="H64" s="112"/>
    </row>
    <row r="65" spans="2:6" ht="24.95" customHeight="1" x14ac:dyDescent="0.2">
      <c r="E65" s="195" t="s">
        <v>370</v>
      </c>
      <c r="F65" s="59">
        <f ca="1">SUM(F57:F64)</f>
        <v>150</v>
      </c>
    </row>
    <row r="66" spans="2:6" ht="24.95" customHeight="1" x14ac:dyDescent="0.2"/>
    <row r="67" spans="2:6" ht="24.95" customHeight="1" x14ac:dyDescent="0.2"/>
    <row r="68" spans="2:6" ht="24.95" customHeight="1" x14ac:dyDescent="0.2">
      <c r="B68" s="408" t="s">
        <v>457</v>
      </c>
      <c r="C68" s="408"/>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7" sqref="A7"/>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5">
        <f>A6/A11</f>
        <v>0.33333333333333331</v>
      </c>
      <c r="C6" s="249" t="s">
        <v>577</v>
      </c>
      <c r="D6" s="60"/>
    </row>
    <row r="7" spans="1:6" ht="30.75" customHeight="1" x14ac:dyDescent="0.2">
      <c r="A7" s="186">
        <f>COUNTIFS(EXPEDIENTES!R:R,"Juicio Abreviado",EXPEDIENTES!H:H,"&gt;=23/10/2023",EXPEDIENTES!H:H,"&lt;=27/10/2023")</f>
        <v>19</v>
      </c>
      <c r="B7" s="385">
        <f>A7/A11</f>
        <v>0.5757575757575758</v>
      </c>
      <c r="C7" s="249" t="s">
        <v>988</v>
      </c>
      <c r="D7" s="60"/>
    </row>
    <row r="8" spans="1:6" ht="30.75" customHeight="1" x14ac:dyDescent="0.2">
      <c r="A8" s="186">
        <f>COUNTIFS(EXPEDIENTES!R:R,"Suspendida",EXPEDIENTES!H:H,"&gt;=23/10/2023",EXPEDIENTES!H:H,"&lt;=27/10/2023")</f>
        <v>1</v>
      </c>
      <c r="B8" s="385">
        <f>A8/A11</f>
        <v>3.0303030303030304E-2</v>
      </c>
      <c r="C8" s="249" t="s">
        <v>911</v>
      </c>
      <c r="D8" s="60"/>
    </row>
    <row r="9" spans="1:6" ht="30.75" customHeight="1" x14ac:dyDescent="0.2">
      <c r="A9" s="186">
        <f>COUNTIFS(EXPEDIENTES!R:R,"Libertad",EXPEDIENTES!H:H,"&gt;=23/10/2023",EXPEDIENTES!H:H,"&lt;=27/10/2023")</f>
        <v>1</v>
      </c>
      <c r="B9" s="385">
        <f>A9/A11</f>
        <v>3.0303030303030304E-2</v>
      </c>
      <c r="C9" s="249" t="s">
        <v>902</v>
      </c>
      <c r="D9" s="60"/>
    </row>
    <row r="10" spans="1:6" ht="32.25" customHeight="1" x14ac:dyDescent="0.2">
      <c r="A10" s="186">
        <f>COUNTIFS(EXPEDIENTES!R:R,"Suspensión de juicio a prueba",EXPEDIENTES!H:H,"&gt;=23/10/2023",EXPEDIENTES!H:H,"&lt;=27/10/2023")</f>
        <v>1</v>
      </c>
      <c r="B10" s="385">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AL47" zoomScale="70" zoomScaleNormal="70" zoomScaleSheetLayoutView="80" zoomScalePageLayoutView="40" workbookViewId="0">
      <selection activeCell="BD8" sqref="BD8"/>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12"/>
      <c r="B1" s="412"/>
      <c r="C1" s="412"/>
      <c r="D1" s="412"/>
      <c r="E1" s="412"/>
      <c r="F1" s="412"/>
      <c r="G1" s="412"/>
      <c r="H1" s="412"/>
      <c r="I1" s="412"/>
      <c r="J1" s="412"/>
      <c r="K1" s="188"/>
      <c r="AQ1" s="412" t="s">
        <v>1998</v>
      </c>
      <c r="AR1" s="412"/>
      <c r="AS1" s="412"/>
      <c r="AT1" s="412"/>
      <c r="AU1" s="412"/>
      <c r="AV1" s="412"/>
      <c r="AW1" s="412"/>
      <c r="AX1" s="412"/>
      <c r="AY1" s="412"/>
      <c r="AZ1" s="412"/>
      <c r="BA1" s="412"/>
    </row>
    <row r="2" spans="1:53" ht="12.75" customHeight="1" x14ac:dyDescent="0.2"/>
    <row r="3" spans="1:53" ht="30.75" customHeight="1" x14ac:dyDescent="0.2">
      <c r="M3" s="188" t="s">
        <v>1321</v>
      </c>
      <c r="N3" s="188" t="s">
        <v>1322</v>
      </c>
      <c r="AK3" s="188" t="s">
        <v>382</v>
      </c>
      <c r="AL3" s="188" t="s">
        <v>31</v>
      </c>
      <c r="AQ3" s="413" t="s">
        <v>1994</v>
      </c>
      <c r="AR3" s="413"/>
      <c r="AS3" s="413"/>
      <c r="AT3" s="413"/>
      <c r="AU3" s="413"/>
      <c r="AV3" s="413"/>
      <c r="AW3" s="413"/>
      <c r="AX3" s="413"/>
      <c r="AY3" s="413"/>
      <c r="AZ3" s="413"/>
      <c r="BA3" s="413"/>
    </row>
    <row r="4" spans="1:53" ht="27" customHeight="1" thickBot="1" x14ac:dyDescent="0.3">
      <c r="A4" s="295"/>
      <c r="B4" s="295"/>
      <c r="C4" s="295"/>
      <c r="M4" s="294" t="s">
        <v>929</v>
      </c>
      <c r="N4" s="293" t="s">
        <v>1298</v>
      </c>
      <c r="O4" s="293" t="s">
        <v>930</v>
      </c>
      <c r="Z4" s="188"/>
      <c r="AK4" s="294" t="s">
        <v>929</v>
      </c>
      <c r="AL4" s="293" t="s">
        <v>1298</v>
      </c>
      <c r="AM4" s="293" t="s">
        <v>930</v>
      </c>
    </row>
    <row r="5" spans="1:53" ht="45" customHeight="1" x14ac:dyDescent="0.2">
      <c r="B5" s="347" t="s">
        <v>929</v>
      </c>
      <c r="C5" s="348" t="s">
        <v>3179</v>
      </c>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B6" s="349">
        <f ca="1">COUNTIFS(EXPEDIENTES!H:H,"&gt;=01/02/2023",EXPEDIENTES!H:H,"&lt;=28/02/2023",EXPEDIENTES!O:O,"=SI")</f>
        <v>4</v>
      </c>
      <c r="C6" s="350" t="s">
        <v>3180</v>
      </c>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B7" s="349">
        <f ca="1">COUNTIFS(EXPEDIENTES!H:H,"&gt;=01/03/2023",EXPEDIENTES!H:H,"&lt;=31/03/2023",EXPEDIENTES!O:O,"=SI")</f>
        <v>84</v>
      </c>
      <c r="C7" s="350" t="s">
        <v>3181</v>
      </c>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B8" s="349">
        <f ca="1">COUNTIFS(EXPEDIENTES!H:H,"&gt;=01/04/2023",EXPEDIENTES!H:H,"&lt;=30/04/2023",EXPEDIENTES!O:O,"=SI")</f>
        <v>63</v>
      </c>
      <c r="C8" s="350" t="s">
        <v>3182</v>
      </c>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B9" s="349">
        <f ca="1">COUNTIFS(EXPEDIENTES!H:H,"&gt;=01/05/2023",EXPEDIENTES!H:H,"&lt;=31/05/2023",EXPEDIENTES!O:O,"=SI")</f>
        <v>44</v>
      </c>
      <c r="C9" s="350" t="s">
        <v>3183</v>
      </c>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B10" s="349">
        <f ca="1">COUNTIFS(EXPEDIENTES!H:H,"&gt;=01/06/2023",EXPEDIENTES!H:H,"&lt;=30/06/2023",EXPEDIENTES!O:O,"=SI")</f>
        <v>87</v>
      </c>
      <c r="C10" s="350" t="s">
        <v>3184</v>
      </c>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B11" s="349">
        <f ca="1">COUNTIFS(EXPEDIENTES!H:H,"&gt;=01/07/2023",EXPEDIENTES!H:H,"&lt;=31/07/2023",EXPEDIENTES!O:O,"=SI")</f>
        <v>128</v>
      </c>
      <c r="C11" s="350" t="s">
        <v>3185</v>
      </c>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B12" s="349">
        <f ca="1">COUNTIFS(EXPEDIENTES!H:H,"&gt;=01/08/2023",EXPEDIENTES!H:H,"&lt;=31/08/2023",EXPEDIENTES!O:O,"=SI")</f>
        <v>128</v>
      </c>
      <c r="C12" s="350" t="s">
        <v>3186</v>
      </c>
      <c r="T12" s="188"/>
      <c r="AQ12" s="200">
        <f ca="1">COUNTIFS(EXPEDIENTES!R:R,$AR12,EXPEDIENTES!O:O,"SI")</f>
        <v>2</v>
      </c>
      <c r="AR12" s="202" t="s">
        <v>910</v>
      </c>
      <c r="AU12" s="191"/>
      <c r="AW12" s="190"/>
      <c r="AX12" s="190"/>
    </row>
    <row r="13" spans="1:53" ht="28.35" customHeight="1" x14ac:dyDescent="0.25">
      <c r="B13" s="349">
        <f ca="1">COUNTIFS(EXPEDIENTES!H:H,"&gt;=01/09/2023",EXPEDIENTES!H:H,"&lt;=30/09/2023",EXPEDIENTES!O:O,"=SI")</f>
        <v>117</v>
      </c>
      <c r="C13" s="350" t="s">
        <v>3187</v>
      </c>
      <c r="T13" s="188"/>
      <c r="AQ13" s="200">
        <f ca="1">COUNTIFS(EXPEDIENTES!R:R,$AR13,EXPEDIENTES!O:O,"SI")</f>
        <v>2</v>
      </c>
      <c r="AR13" s="202" t="s">
        <v>907</v>
      </c>
      <c r="AS13" s="187"/>
      <c r="AT13" s="187"/>
      <c r="AU13" s="187"/>
      <c r="AV13" s="187"/>
      <c r="AW13" s="187"/>
      <c r="AX13" s="187"/>
      <c r="AY13" s="187"/>
      <c r="AZ13" s="188"/>
    </row>
    <row r="14" spans="1:53" ht="28.35" customHeight="1" x14ac:dyDescent="0.25">
      <c r="B14" s="349">
        <f ca="1">COUNTIFS(EXPEDIENTES!H:H,"&gt;=01/10/2023",EXPEDIENTES!H:H,"&lt;=31/10/2023",EXPEDIENTES!O:O,"=SI")</f>
        <v>138</v>
      </c>
      <c r="C14" s="350" t="s">
        <v>3188</v>
      </c>
      <c r="AQ14" s="200">
        <f ca="1">COUNTIFS(EXPEDIENTES!R:R,$AR14,EXPEDIENTES!O:O,"SI")</f>
        <v>3</v>
      </c>
      <c r="AR14" s="201" t="s">
        <v>1901</v>
      </c>
      <c r="AS14" s="198"/>
      <c r="AT14" s="198"/>
      <c r="AU14" s="198"/>
      <c r="AV14" s="198"/>
      <c r="AW14" s="198"/>
      <c r="AX14" s="198"/>
      <c r="AY14" s="198"/>
      <c r="AZ14" s="188"/>
    </row>
    <row r="15" spans="1:53" ht="28.35" customHeight="1" x14ac:dyDescent="0.25">
      <c r="B15" s="349">
        <f ca="1">COUNTIFS(EXPEDIENTES!H:H,"&gt;=01/11/2023",EXPEDIENTES!H:H,"&lt;=30/11/2023",EXPEDIENTES!O:O,"=SI")</f>
        <v>0</v>
      </c>
      <c r="C15" s="350" t="s">
        <v>3189</v>
      </c>
      <c r="AQ15" s="199">
        <f ca="1">SUM(AQ6:AQ14)</f>
        <v>793</v>
      </c>
      <c r="AR15" s="199" t="s">
        <v>370</v>
      </c>
      <c r="AS15" s="198"/>
      <c r="AT15" s="198"/>
      <c r="AU15" s="198"/>
      <c r="AV15" s="198"/>
      <c r="AW15" s="198"/>
      <c r="AX15" s="198"/>
      <c r="AY15" s="198"/>
      <c r="AZ15" s="188"/>
    </row>
    <row r="16" spans="1:53" ht="28.35" customHeight="1" thickBot="1" x14ac:dyDescent="0.25">
      <c r="B16" s="349">
        <f ca="1">COUNTIFS(EXPEDIENTES!H:H,"&gt;=01/12/2023",EXPEDIENTES!H:H,"&lt;=31/12/2023",EXPEDIENTES!O:O,"=SI")</f>
        <v>0</v>
      </c>
      <c r="C16" s="351" t="s">
        <v>3190</v>
      </c>
      <c r="AW16" s="190"/>
      <c r="AX16" s="190"/>
      <c r="AZ16" s="193"/>
    </row>
    <row r="17" spans="2:54" ht="28.35" customHeight="1" x14ac:dyDescent="0.2">
      <c r="B17" s="285">
        <f ca="1">SUM(B6:B16)</f>
        <v>793</v>
      </c>
      <c r="C17" s="283" t="s">
        <v>370</v>
      </c>
      <c r="AQ17" s="194"/>
      <c r="AR17" s="194"/>
      <c r="AS17" s="194"/>
      <c r="AX17" s="190"/>
      <c r="AY17" s="190"/>
    </row>
    <row r="18" spans="2:54" ht="28.35" customHeight="1" x14ac:dyDescent="0.2">
      <c r="AQ18" s="192"/>
      <c r="AR18" s="192"/>
      <c r="AS18" s="192"/>
      <c r="AX18" s="190"/>
      <c r="AY18" s="190"/>
    </row>
    <row r="19" spans="2:54" ht="28.35" customHeight="1" x14ac:dyDescent="0.2"/>
    <row r="20" spans="2:54" ht="28.35" customHeight="1" x14ac:dyDescent="0.2">
      <c r="AQ20" s="189" t="str">
        <f ca="1">"Fuente: OFIJU GAR - Información al "&amp;TEXT(TODAY(),"DD/MM/YYYY")</f>
        <v>Fuente: OFIJU GAR - Información al 28/10/YYYY</v>
      </c>
    </row>
    <row r="21" spans="2:54" ht="28.35" customHeight="1" x14ac:dyDescent="0.2"/>
    <row r="22" spans="2:54" ht="28.35" customHeight="1" x14ac:dyDescent="0.25">
      <c r="AQ22" s="414" t="s">
        <v>1998</v>
      </c>
      <c r="AR22" s="414"/>
      <c r="AS22" s="414"/>
      <c r="AT22" s="414"/>
      <c r="AU22" s="414"/>
      <c r="AV22" s="414"/>
      <c r="AW22" s="414"/>
      <c r="AX22" s="414"/>
      <c r="AY22" s="414"/>
      <c r="AZ22" s="414"/>
      <c r="BA22" s="228"/>
      <c r="BB22" s="228"/>
    </row>
    <row r="24" spans="2:54" ht="26.25" x14ac:dyDescent="0.2">
      <c r="AQ24" s="415" t="s">
        <v>2442</v>
      </c>
      <c r="AR24" s="415"/>
      <c r="AS24" s="415"/>
      <c r="AT24" s="415"/>
      <c r="AU24" s="415"/>
      <c r="AV24" s="415"/>
      <c r="AW24" s="415"/>
      <c r="AX24" s="415"/>
      <c r="AY24" s="415"/>
      <c r="AZ24" s="415"/>
      <c r="BA24" s="229"/>
      <c r="BB24" s="229"/>
    </row>
    <row r="25" spans="2:54" ht="26.25" x14ac:dyDescent="0.2">
      <c r="AQ25" s="415" t="s">
        <v>2933</v>
      </c>
      <c r="AR25" s="415"/>
      <c r="AS25" s="415"/>
      <c r="AT25" s="415"/>
      <c r="AU25" s="415"/>
      <c r="AV25" s="415"/>
      <c r="AW25" s="415"/>
      <c r="AX25" s="415"/>
      <c r="AY25" s="415"/>
      <c r="AZ25" s="415"/>
    </row>
    <row r="26" spans="2:54" ht="24.95" customHeight="1" x14ac:dyDescent="0.2"/>
    <row r="27" spans="2:54" ht="24.95" customHeight="1" x14ac:dyDescent="0.2">
      <c r="M27" s="188" t="s">
        <v>1321</v>
      </c>
      <c r="N27" s="188" t="s">
        <v>1329</v>
      </c>
      <c r="AK27" s="188"/>
      <c r="AL27" s="188"/>
    </row>
    <row r="28" spans="2:54" ht="57" customHeight="1" x14ac:dyDescent="0.2">
      <c r="M28" s="294" t="s">
        <v>929</v>
      </c>
      <c r="N28" s="293" t="s">
        <v>1298</v>
      </c>
      <c r="O28" s="293" t="s">
        <v>930</v>
      </c>
      <c r="AK28" s="294" t="s">
        <v>929</v>
      </c>
      <c r="AL28" s="293" t="s">
        <v>1298</v>
      </c>
      <c r="AM28" s="293" t="s">
        <v>930</v>
      </c>
      <c r="AQ28" s="199" t="s">
        <v>929</v>
      </c>
      <c r="AR28" s="199" t="s">
        <v>930</v>
      </c>
    </row>
    <row r="29" spans="2: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2: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2: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2: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16" t="s">
        <v>2932</v>
      </c>
      <c r="AR34" s="416"/>
    </row>
    <row r="35" spans="1:52" ht="30" customHeight="1" x14ac:dyDescent="0.2">
      <c r="M35" s="285" t="e">
        <f>SUM(M29:M34)</f>
        <v>#VALUE!</v>
      </c>
      <c r="N35" s="284" t="e">
        <f>SUM(N29:N34)</f>
        <v>#VALUE!</v>
      </c>
      <c r="O35" s="283" t="s">
        <v>370</v>
      </c>
      <c r="AK35" s="285" t="e">
        <f>SUM(AK29:AK34)</f>
        <v>#VALUE!</v>
      </c>
      <c r="AL35" s="284" t="e">
        <f>SUM(AL29:AL34)</f>
        <v>#VALUE!</v>
      </c>
      <c r="AM35" s="283" t="s">
        <v>370</v>
      </c>
      <c r="AQ35" s="416"/>
      <c r="AR35" s="416"/>
    </row>
    <row r="36" spans="1:52" ht="30" customHeight="1" x14ac:dyDescent="0.2">
      <c r="AQ36" s="417">
        <f ca="1">(AQ32*100)/[2]EXPEDIENTES!C1</f>
        <v>59.157212317666129</v>
      </c>
      <c r="AR36" s="417"/>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28/10/YYYY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14" t="s">
        <v>1998</v>
      </c>
      <c r="AR42" s="414"/>
      <c r="AS42" s="414"/>
      <c r="AT42" s="414"/>
      <c r="AU42" s="414"/>
      <c r="AV42" s="414"/>
      <c r="AW42" s="414"/>
      <c r="AX42" s="414"/>
      <c r="AY42" s="414"/>
      <c r="AZ42" s="414"/>
    </row>
    <row r="43" spans="1:52" ht="30" customHeight="1" x14ac:dyDescent="0.25">
      <c r="A43" s="296"/>
      <c r="B43" s="296"/>
      <c r="C43" s="296"/>
      <c r="AK43" s="288" t="e">
        <f>COUNTIFS([2]EXPEDIENTES!Q:Q,"Libertad",[2]EXPEDIENTES!J:J,"=Dr. Rodriguez Pipino")</f>
        <v>#VALUE!</v>
      </c>
      <c r="AL43" s="287" t="e">
        <f>AK43/AK51</f>
        <v>#VALUE!</v>
      </c>
      <c r="AM43" s="289" t="s">
        <v>902</v>
      </c>
      <c r="AQ43" s="415" t="s">
        <v>2442</v>
      </c>
      <c r="AR43" s="415"/>
      <c r="AS43" s="415"/>
      <c r="AT43" s="415"/>
      <c r="AU43" s="415"/>
      <c r="AV43" s="415"/>
      <c r="AW43" s="415"/>
      <c r="AX43" s="415"/>
      <c r="AY43" s="415"/>
      <c r="AZ43" s="415"/>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28/10/YYYY</v>
      </c>
    </row>
    <row r="62" spans="1:52" ht="24.95" customHeight="1" x14ac:dyDescent="0.2"/>
    <row r="63" spans="1:52" ht="24.95" customHeight="1" x14ac:dyDescent="0.25">
      <c r="AQ63" s="414" t="s">
        <v>1998</v>
      </c>
      <c r="AR63" s="414"/>
      <c r="AS63" s="414"/>
      <c r="AT63" s="414"/>
      <c r="AU63" s="414"/>
      <c r="AV63" s="414"/>
      <c r="AW63" s="414"/>
      <c r="AX63" s="414"/>
      <c r="AY63" s="414"/>
      <c r="AZ63" s="414"/>
    </row>
    <row r="64" spans="1:52" ht="24.95" customHeight="1" x14ac:dyDescent="0.2">
      <c r="AQ64" s="415" t="s">
        <v>2931</v>
      </c>
      <c r="AR64" s="415"/>
      <c r="AS64" s="415"/>
      <c r="AT64" s="415"/>
      <c r="AU64" s="415"/>
      <c r="AV64" s="415"/>
      <c r="AW64" s="415"/>
      <c r="AX64" s="415"/>
      <c r="AY64" s="415"/>
      <c r="AZ64" s="415"/>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45227</v>
      </c>
    </row>
    <row r="2" spans="1:16384" ht="21.95" customHeight="1" x14ac:dyDescent="0.2">
      <c r="B2" s="418" t="s">
        <v>393</v>
      </c>
      <c r="C2" s="418"/>
    </row>
    <row r="3" spans="1:16384" ht="21.95" customHeight="1" x14ac:dyDescent="0.2">
      <c r="B3" s="12" t="s">
        <v>3</v>
      </c>
      <c r="C3" s="12" t="s">
        <v>362</v>
      </c>
    </row>
    <row r="4" spans="1:16384" ht="21.95" customHeight="1" x14ac:dyDescent="0.2">
      <c r="B4" s="10" t="s">
        <v>43</v>
      </c>
      <c r="C4" s="10">
        <f ca="1">COUNTIFS(EXPEDIENTES!G:G,B4,EXPEDIENTES!O:O,"NO")</f>
        <v>2</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8</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9</v>
      </c>
    </row>
    <row r="9" spans="1:16384" ht="21.95" customHeight="1" x14ac:dyDescent="0.2">
      <c r="B9" s="10" t="s">
        <v>568</v>
      </c>
      <c r="C9" s="10">
        <f ca="1">COUNTIFS(EXPEDIENTES!G:G,B9,EXPEDIENTES!O:O,"NO")</f>
        <v>7</v>
      </c>
    </row>
    <row r="10" spans="1:16384" ht="21.95" customHeight="1" x14ac:dyDescent="0.2">
      <c r="B10" s="10" t="s">
        <v>1442</v>
      </c>
      <c r="C10" s="10">
        <f ca="1">COUNTIFS(EXPEDIENTES!G:G,B10,EXPEDIENTES!O:O,"NO")</f>
        <v>9</v>
      </c>
    </row>
    <row r="11" spans="1:16384" s="112" customFormat="1" ht="21.95" customHeight="1" x14ac:dyDescent="0.2">
      <c r="A11" s="113"/>
      <c r="B11" s="10" t="s">
        <v>1443</v>
      </c>
      <c r="C11" s="10">
        <f ca="1">COUNTIFS(EXPEDIENTES!G:G,B11,EXPEDIENTES!O:O,"NO")</f>
        <v>8</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3</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9</v>
      </c>
    </row>
    <row r="16" spans="1:16384" ht="21.95" customHeight="1" x14ac:dyDescent="0.2">
      <c r="B16" s="10" t="s">
        <v>2289</v>
      </c>
      <c r="C16" s="10">
        <f ca="1">H36+'Exp por Encargado - Alvaro'!C5</f>
        <v>0</v>
      </c>
    </row>
    <row r="17" spans="2:12" ht="21.95" customHeight="1" x14ac:dyDescent="0.2">
      <c r="B17" s="24" t="s">
        <v>372</v>
      </c>
      <c r="C17" s="221">
        <f ca="1">SUM(C4:C16)</f>
        <v>55</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18" t="s">
        <v>448</v>
      </c>
      <c r="C22" s="418"/>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102</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101</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112</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65</v>
      </c>
      <c r="F43" s="223"/>
      <c r="G43" s="223"/>
      <c r="H43" s="220">
        <f ca="1">SUM(H39:H42)</f>
        <v>14</v>
      </c>
      <c r="I43" s="223"/>
      <c r="J43" s="223"/>
      <c r="K43" s="223"/>
      <c r="L43" s="223"/>
    </row>
    <row r="44" spans="2:12" ht="18.75" customHeight="1" x14ac:dyDescent="0.2">
      <c r="B44" s="10" t="s">
        <v>1442</v>
      </c>
      <c r="C44" s="10">
        <f ca="1">COUNTIFS(EXPEDIENTES!G:G,B44,EXPEDIENTES!O:O,"SI")</f>
        <v>58</v>
      </c>
      <c r="F44" s="223"/>
      <c r="G44" s="223"/>
      <c r="H44" s="223"/>
      <c r="I44" s="223"/>
      <c r="J44" s="223"/>
      <c r="K44" s="223"/>
      <c r="L44" s="223"/>
    </row>
    <row r="45" spans="2:12" ht="28.5" customHeight="1" x14ac:dyDescent="0.2">
      <c r="B45" s="10" t="s">
        <v>1443</v>
      </c>
      <c r="C45" s="10">
        <f ca="1">COUNTIFS(EXPEDIENTES!G:G,B45,EXPEDIENTES!O:O,"SI")</f>
        <v>62</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715</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3366</v>
      </c>
    </row>
    <row r="17" spans="1:1" x14ac:dyDescent="0.2">
      <c r="A17" s="1" t="s">
        <v>3367</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3335</v>
      </c>
    </row>
    <row r="153" spans="1:1" x14ac:dyDescent="0.2">
      <c r="A153" s="64" t="s">
        <v>3343</v>
      </c>
    </row>
    <row r="154" spans="1:1" x14ac:dyDescent="0.2">
      <c r="A154" s="41" t="s">
        <v>3370</v>
      </c>
    </row>
    <row r="155" spans="1:1" x14ac:dyDescent="0.2">
      <c r="A155" s="64" t="s">
        <v>3395</v>
      </c>
    </row>
    <row r="156" spans="1:1" x14ac:dyDescent="0.2">
      <c r="A156" s="64" t="s">
        <v>3432</v>
      </c>
    </row>
    <row r="157" spans="1:1" x14ac:dyDescent="0.2">
      <c r="A157" s="64" t="s">
        <v>3435</v>
      </c>
    </row>
    <row r="158" spans="1:1" x14ac:dyDescent="0.2">
      <c r="A158" s="64" t="s">
        <v>3445</v>
      </c>
    </row>
    <row r="159" spans="1:1" x14ac:dyDescent="0.2">
      <c r="A159" s="64" t="s">
        <v>3469</v>
      </c>
    </row>
    <row r="160" spans="1:1" x14ac:dyDescent="0.2">
      <c r="A160" s="64" t="s">
        <v>3498</v>
      </c>
    </row>
    <row r="161" spans="1:1" x14ac:dyDescent="0.2">
      <c r="A161" s="64" t="s">
        <v>3512</v>
      </c>
    </row>
    <row r="162" spans="1:1" x14ac:dyDescent="0.2">
      <c r="A162" s="64" t="s">
        <v>3641</v>
      </c>
    </row>
    <row r="163" spans="1:1" x14ac:dyDescent="0.2">
      <c r="A163" s="64" t="s">
        <v>3668</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53" t="s">
        <v>3004</v>
      </c>
      <c r="B22" s="354" t="s">
        <v>3005</v>
      </c>
      <c r="C22" s="353">
        <v>1</v>
      </c>
      <c r="D22" s="353" t="s">
        <v>29</v>
      </c>
      <c r="E22" s="355">
        <v>45211</v>
      </c>
      <c r="F22" s="355" t="s">
        <v>73</v>
      </c>
      <c r="G22" s="355" t="s">
        <v>33</v>
      </c>
      <c r="H22" s="353">
        <f>IFERROR(VLOOKUP(G22,Jueces!$A$1:$B$11,2,FALSE),"")</f>
        <v>4</v>
      </c>
      <c r="I22" s="353" t="s">
        <v>793</v>
      </c>
      <c r="J22" s="353" t="s">
        <v>711</v>
      </c>
      <c r="K22" s="353" t="s">
        <v>3195</v>
      </c>
      <c r="Z22" s="112"/>
      <c r="AA22" s="112"/>
      <c r="AB22" s="112"/>
      <c r="AC22" s="112"/>
      <c r="AD22" s="112"/>
      <c r="AE22" s="112"/>
      <c r="AF22" s="112"/>
      <c r="AG22" s="112"/>
    </row>
    <row r="23" spans="1:50" ht="89.25" x14ac:dyDescent="0.2">
      <c r="A23" s="353" t="s">
        <v>3039</v>
      </c>
      <c r="B23" s="354" t="s">
        <v>3040</v>
      </c>
      <c r="C23" s="353">
        <v>8</v>
      </c>
      <c r="D23" s="353" t="s">
        <v>2775</v>
      </c>
      <c r="E23" s="355">
        <v>45205</v>
      </c>
      <c r="F23" s="355" t="s">
        <v>73</v>
      </c>
      <c r="G23" s="355" t="s">
        <v>1220</v>
      </c>
      <c r="H23" s="353">
        <f>IFERROR(VLOOKUP(G23,Jueces!$A$1:$B$11,2,FALSE),"")</f>
        <v>1</v>
      </c>
      <c r="I23" s="353" t="s">
        <v>796</v>
      </c>
      <c r="J23" s="353" t="s">
        <v>1087</v>
      </c>
      <c r="K23" s="353"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3303</v>
      </c>
      <c r="B24" s="82" t="s">
        <v>3304</v>
      </c>
      <c r="C24" s="81">
        <v>1</v>
      </c>
      <c r="D24" s="81" t="s">
        <v>2774</v>
      </c>
      <c r="E24" s="83">
        <v>45222</v>
      </c>
      <c r="F24" s="83" t="s">
        <v>1086</v>
      </c>
      <c r="G24" s="83" t="s">
        <v>33</v>
      </c>
      <c r="H24" s="81">
        <f>IFERROR(VLOOKUP(G24,Jueces!$A$1:$B$11,2,FALSE),"")</f>
        <v>4</v>
      </c>
      <c r="I24" s="81" t="s">
        <v>791</v>
      </c>
      <c r="J24" s="81" t="s">
        <v>3335</v>
      </c>
      <c r="K24" s="81" t="s">
        <v>3480</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3598</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19" t="s">
        <v>732</v>
      </c>
      <c r="I1" s="419"/>
      <c r="J1" s="419"/>
      <c r="K1" s="419"/>
      <c r="L1" s="419"/>
      <c r="M1" s="419"/>
      <c r="N1" s="419"/>
      <c r="O1" s="419"/>
      <c r="P1" s="419"/>
      <c r="Q1" s="419"/>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45227</v>
      </c>
    </row>
    <row r="2" spans="2:3" ht="24.95" customHeight="1" x14ac:dyDescent="0.2">
      <c r="B2" s="418" t="s">
        <v>393</v>
      </c>
      <c r="C2" s="418"/>
    </row>
    <row r="3" spans="2:3" ht="24.95" customHeight="1" x14ac:dyDescent="0.2">
      <c r="B3" s="12" t="s">
        <v>3</v>
      </c>
      <c r="C3" s="12" t="s">
        <v>362</v>
      </c>
    </row>
    <row r="4" spans="2:3" ht="24.95" customHeight="1" x14ac:dyDescent="0.2">
      <c r="B4" s="10" t="s">
        <v>43</v>
      </c>
      <c r="C4" s="10">
        <f ca="1">COUNTIFS(EXPEDIENTES!G:G,B4,EXPEDIENTES!O:O,"NO")</f>
        <v>2</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8</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7</v>
      </c>
    </row>
    <row r="11" spans="2:3" ht="24.95" customHeight="1" x14ac:dyDescent="0.2">
      <c r="B11" s="10" t="s">
        <v>628</v>
      </c>
      <c r="C11" s="10"/>
    </row>
    <row r="12" spans="2:3" ht="24.95" customHeight="1" x14ac:dyDescent="0.2">
      <c r="B12" s="24" t="s">
        <v>372</v>
      </c>
      <c r="C12" s="27">
        <f ca="1">SUM(C4:C11)</f>
        <v>17</v>
      </c>
    </row>
    <row r="13" spans="2:3" ht="24.95" customHeight="1" x14ac:dyDescent="0.2">
      <c r="B13" s="13"/>
      <c r="C13" s="13"/>
    </row>
    <row r="14" spans="2:3" ht="24.95" customHeight="1" x14ac:dyDescent="0.2">
      <c r="B14" s="418" t="s">
        <v>448</v>
      </c>
      <c r="C14" s="418"/>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18" t="s">
        <v>449</v>
      </c>
      <c r="C26" s="418"/>
    </row>
    <row r="27" spans="2:3" ht="24.95" customHeight="1" x14ac:dyDescent="0.2">
      <c r="B27" s="12" t="s">
        <v>3</v>
      </c>
      <c r="C27" s="12" t="s">
        <v>362</v>
      </c>
    </row>
    <row r="28" spans="2:3" ht="24.95" customHeight="1" x14ac:dyDescent="0.2">
      <c r="B28" s="10" t="s">
        <v>43</v>
      </c>
      <c r="C28" s="10">
        <f ca="1">COUNTIFS(EXPEDIENTES!G:G,B28,EXPEDIENTES!O:O,"SI")</f>
        <v>102</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101</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65</v>
      </c>
    </row>
    <row r="35" spans="2:3" ht="24.95" customHeight="1" x14ac:dyDescent="0.2">
      <c r="B35" s="24" t="s">
        <v>371</v>
      </c>
      <c r="C35" s="27">
        <f ca="1">SUM(C28:C34)</f>
        <v>469</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Disponibilidad</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2023-10-28T21:57:36Z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