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 r:id="rId26"/>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6" r:id="rId27"/>
    <pivotCache cacheId="7" r:id="rId28"/>
    <pivotCache cacheId="8" r:id="rId29"/>
    <pivotCache cacheId="9" r:id="rId30"/>
    <pivotCache cacheId="10" r:id="rId31"/>
    <pivotCache cacheId="11"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23" i="1" l="1"/>
  <c r="T1023" i="1"/>
  <c r="P1023" i="1"/>
  <c r="O1023" i="1"/>
  <c r="K1023" i="1"/>
  <c r="R976" i="1" l="1"/>
  <c r="T976" i="1"/>
  <c r="P976" i="1"/>
  <c r="O976" i="1"/>
  <c r="K945" i="1"/>
  <c r="R1067" i="1"/>
  <c r="T1067" i="1"/>
  <c r="P1067" i="1"/>
  <c r="O1067" i="1"/>
  <c r="K1067" i="1"/>
  <c r="O1004" i="1"/>
  <c r="K1004" i="1"/>
  <c r="R1066" i="1" l="1"/>
  <c r="T1066" i="1"/>
  <c r="P1066" i="1"/>
  <c r="O1066" i="1"/>
  <c r="K1066" i="1"/>
  <c r="R1065" i="1"/>
  <c r="T1065" i="1"/>
  <c r="P1065" i="1"/>
  <c r="O1065" i="1"/>
  <c r="K1065" i="1"/>
  <c r="R1064" i="1"/>
  <c r="T1064" i="1"/>
  <c r="P1064" i="1"/>
  <c r="O1064" i="1"/>
  <c r="K1064" i="1"/>
  <c r="R994" i="1"/>
  <c r="T994" i="1"/>
  <c r="P994" i="1"/>
  <c r="O994" i="1"/>
  <c r="K994" i="1"/>
  <c r="R990" i="1"/>
  <c r="T990" i="1"/>
  <c r="P990" i="1"/>
  <c r="O990" i="1"/>
  <c r="K990" i="1"/>
  <c r="R1063" i="1"/>
  <c r="T1063" i="1"/>
  <c r="P1063"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3" i="1"/>
  <c r="T1003" i="1"/>
  <c r="P1003" i="1"/>
  <c r="O1003" i="1"/>
  <c r="K1003" i="1"/>
  <c r="R997" i="1" l="1"/>
  <c r="T997" i="1"/>
  <c r="P997" i="1"/>
  <c r="O997" i="1"/>
  <c r="K997" i="1"/>
  <c r="H31" i="17" l="1"/>
  <c r="R993" i="1"/>
  <c r="T993" i="1"/>
  <c r="P993" i="1"/>
  <c r="O993" i="1"/>
  <c r="R1026" i="1"/>
  <c r="T1026" i="1"/>
  <c r="P1026" i="1"/>
  <c r="O1026" i="1"/>
  <c r="R1054" i="1"/>
  <c r="T1054" i="1"/>
  <c r="P1054" i="1"/>
  <c r="O1054" i="1"/>
  <c r="K1054" i="1"/>
  <c r="R1018" i="1"/>
  <c r="T1018" i="1"/>
  <c r="P1018" i="1"/>
  <c r="O1018" i="1"/>
  <c r="R1053" i="1"/>
  <c r="T1053" i="1"/>
  <c r="P1053" i="1"/>
  <c r="O1053" i="1"/>
  <c r="K1053" i="1"/>
  <c r="R1002" i="1"/>
  <c r="T1002" i="1"/>
  <c r="P1002" i="1"/>
  <c r="O1002" i="1"/>
  <c r="K1002" i="1"/>
  <c r="R1052" i="1"/>
  <c r="T1052" i="1"/>
  <c r="P1052" i="1"/>
  <c r="O1052" i="1"/>
  <c r="K1052" i="1"/>
  <c r="R1051" i="1"/>
  <c r="T1051" i="1"/>
  <c r="P1051" i="1"/>
  <c r="O1051" i="1"/>
  <c r="K105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969" i="1"/>
  <c r="T969" i="1"/>
  <c r="P969" i="1"/>
  <c r="O969" i="1"/>
  <c r="K969" i="1"/>
  <c r="R1041" i="1"/>
  <c r="T1041" i="1"/>
  <c r="P1041" i="1"/>
  <c r="O1041" i="1"/>
  <c r="K1041" i="1"/>
  <c r="R1040" i="1"/>
  <c r="T1040" i="1"/>
  <c r="P1040" i="1"/>
  <c r="O1040" i="1"/>
  <c r="K1040" i="1"/>
  <c r="R1039" i="1" l="1"/>
  <c r="T1039" i="1"/>
  <c r="P1039" i="1"/>
  <c r="O1039" i="1"/>
  <c r="K1039" i="1"/>
  <c r="R1038" i="1"/>
  <c r="T1038" i="1"/>
  <c r="P1038" i="1"/>
  <c r="O1038" i="1"/>
  <c r="K1038" i="1"/>
  <c r="R947" i="1"/>
  <c r="T947" i="1"/>
  <c r="P947" i="1"/>
  <c r="O947" i="1"/>
  <c r="R1037" i="1"/>
  <c r="T1037" i="1"/>
  <c r="P1037" i="1"/>
  <c r="O1037" i="1"/>
  <c r="K1037" i="1"/>
  <c r="R1036" i="1"/>
  <c r="T1036" i="1"/>
  <c r="P1036" i="1"/>
  <c r="O1036" i="1"/>
  <c r="K1036" i="1"/>
  <c r="R1022" i="1"/>
  <c r="T1022" i="1"/>
  <c r="P1022" i="1"/>
  <c r="O1022" i="1"/>
  <c r="K1022" i="1"/>
  <c r="R1035" i="1"/>
  <c r="T1035" i="1"/>
  <c r="P1035" i="1"/>
  <c r="O1035" i="1"/>
  <c r="K1035" i="1"/>
  <c r="R1034" i="1"/>
  <c r="T1034" i="1"/>
  <c r="P1034" i="1"/>
  <c r="O1034" i="1"/>
  <c r="K1034" i="1"/>
  <c r="R1025" i="1"/>
  <c r="T1025" i="1"/>
  <c r="P1025" i="1"/>
  <c r="O1025" i="1"/>
  <c r="K1025" i="1"/>
  <c r="R1033" i="1"/>
  <c r="T1033" i="1"/>
  <c r="P1033" i="1"/>
  <c r="O1033" i="1"/>
  <c r="K1033" i="1"/>
  <c r="R1024" i="1"/>
  <c r="T1024" i="1"/>
  <c r="P1024" i="1"/>
  <c r="O1024" i="1"/>
  <c r="K1024" i="1"/>
  <c r="R1016" i="1"/>
  <c r="T1016" i="1"/>
  <c r="P1016" i="1"/>
  <c r="O1016" i="1"/>
  <c r="R1021" i="1" l="1"/>
  <c r="T1021" i="1"/>
  <c r="P1021" i="1"/>
  <c r="O1021" i="1"/>
  <c r="R1017" i="1"/>
  <c r="T1017" i="1"/>
  <c r="P1017" i="1"/>
  <c r="O1017" i="1"/>
  <c r="K1017" i="1"/>
  <c r="R1032" i="1"/>
  <c r="T1032" i="1"/>
  <c r="P1032" i="1"/>
  <c r="O1032" i="1"/>
  <c r="K1032" i="1"/>
  <c r="R1012" i="1"/>
  <c r="T1012" i="1"/>
  <c r="P1012" i="1"/>
  <c r="O1012" i="1"/>
  <c r="K1012" i="1"/>
  <c r="R928" i="1"/>
  <c r="T928" i="1"/>
  <c r="P928" i="1"/>
  <c r="O928" i="1"/>
  <c r="R989" i="1" l="1"/>
  <c r="T989" i="1"/>
  <c r="P989" i="1"/>
  <c r="O989" i="1"/>
  <c r="K989" i="1"/>
  <c r="R999" i="1" l="1"/>
  <c r="T999" i="1"/>
  <c r="P999" i="1"/>
  <c r="O999" i="1"/>
  <c r="K999" i="1"/>
  <c r="R1015" i="1"/>
  <c r="T1015" i="1"/>
  <c r="P1015" i="1"/>
  <c r="O1015" i="1"/>
  <c r="K1015" i="1"/>
  <c r="R1011" i="1"/>
  <c r="T1011" i="1"/>
  <c r="P1011" i="1"/>
  <c r="O1011" i="1"/>
  <c r="K1011" i="1"/>
  <c r="R968" i="1"/>
  <c r="T968" i="1"/>
  <c r="P968" i="1"/>
  <c r="O968" i="1"/>
  <c r="K968" i="1"/>
  <c r="R1020" i="1"/>
  <c r="T1020" i="1"/>
  <c r="P1020" i="1"/>
  <c r="O1020" i="1"/>
  <c r="K1020" i="1"/>
  <c r="R1014" i="1"/>
  <c r="T1014" i="1"/>
  <c r="P1014" i="1"/>
  <c r="O1014" i="1"/>
  <c r="K1014" i="1"/>
  <c r="R998" i="1"/>
  <c r="T998" i="1"/>
  <c r="P998" i="1"/>
  <c r="O998" i="1"/>
  <c r="K998" i="1"/>
  <c r="R1013" i="1"/>
  <c r="T1013" i="1"/>
  <c r="P1013" i="1"/>
  <c r="O1013" i="1"/>
  <c r="K1013" i="1"/>
  <c r="R1031" i="1"/>
  <c r="T1031" i="1"/>
  <c r="P1031" i="1"/>
  <c r="O1031" i="1"/>
  <c r="K1031" i="1"/>
  <c r="R1009" i="1"/>
  <c r="T1009" i="1"/>
  <c r="P1009" i="1"/>
  <c r="O1009" i="1"/>
  <c r="K1009" i="1"/>
  <c r="R981" i="1" l="1"/>
  <c r="T981" i="1"/>
  <c r="P981" i="1"/>
  <c r="O981" i="1"/>
  <c r="K981" i="1"/>
  <c r="R973" i="1"/>
  <c r="T973" i="1"/>
  <c r="P973" i="1"/>
  <c r="O973" i="1"/>
  <c r="K973" i="1"/>
  <c r="R1008" i="1"/>
  <c r="T1008" i="1"/>
  <c r="P1008" i="1"/>
  <c r="O1008" i="1"/>
  <c r="K1008" i="1"/>
  <c r="R984" i="1"/>
  <c r="T984" i="1"/>
  <c r="P984" i="1"/>
  <c r="O984" i="1"/>
  <c r="K984" i="1"/>
  <c r="R1005" i="1"/>
  <c r="T1005" i="1"/>
  <c r="P1005" i="1"/>
  <c r="O1005" i="1"/>
  <c r="K1005" i="1"/>
  <c r="R1001" i="1"/>
  <c r="T1001" i="1"/>
  <c r="P1001" i="1"/>
  <c r="O1001" i="1"/>
  <c r="K1001" i="1"/>
  <c r="R962" i="1"/>
  <c r="T962" i="1"/>
  <c r="P962" i="1"/>
  <c r="O962" i="1"/>
  <c r="R988" i="1"/>
  <c r="T988" i="1"/>
  <c r="P988" i="1"/>
  <c r="O988" i="1"/>
  <c r="K988" i="1"/>
  <c r="R992" i="1" l="1"/>
  <c r="T992" i="1"/>
  <c r="P992" i="1"/>
  <c r="O992" i="1"/>
  <c r="K992" i="1"/>
  <c r="R996" i="1"/>
  <c r="T996" i="1"/>
  <c r="P996" i="1"/>
  <c r="O996" i="1"/>
  <c r="K996" i="1"/>
  <c r="R1010" i="1"/>
  <c r="T1010" i="1"/>
  <c r="P1010" i="1"/>
  <c r="O1010" i="1"/>
  <c r="K1010" i="1"/>
  <c r="R995" i="1"/>
  <c r="T995" i="1"/>
  <c r="P995" i="1"/>
  <c r="O995" i="1"/>
  <c r="R895" i="1"/>
  <c r="T895" i="1"/>
  <c r="P895" i="1"/>
  <c r="O895" i="1"/>
  <c r="R1030" i="1"/>
  <c r="T1030" i="1"/>
  <c r="P1030" i="1"/>
  <c r="O1030" i="1"/>
  <c r="K1030" i="1"/>
  <c r="R983" i="1"/>
  <c r="T983" i="1"/>
  <c r="P983" i="1"/>
  <c r="O983" i="1"/>
  <c r="K983" i="1"/>
  <c r="R1019" i="1"/>
  <c r="T1019" i="1"/>
  <c r="P1019" i="1"/>
  <c r="O1019" i="1"/>
  <c r="K1019" i="1"/>
  <c r="R1007" i="1" l="1"/>
  <c r="T1007" i="1"/>
  <c r="P1007" i="1"/>
  <c r="O1007" i="1"/>
  <c r="K1007" i="1"/>
  <c r="R967" i="1"/>
  <c r="T967" i="1"/>
  <c r="P967" i="1"/>
  <c r="O967" i="1"/>
  <c r="R987" i="1"/>
  <c r="T987" i="1"/>
  <c r="P987" i="1"/>
  <c r="O987" i="1"/>
  <c r="K987" i="1"/>
  <c r="R991" i="1"/>
  <c r="T991" i="1"/>
  <c r="P991" i="1"/>
  <c r="O991" i="1"/>
  <c r="K991" i="1"/>
  <c r="R980" i="1"/>
  <c r="T980" i="1"/>
  <c r="P980" i="1"/>
  <c r="O980" i="1"/>
  <c r="K980" i="1"/>
  <c r="R979" i="1"/>
  <c r="T979" i="1"/>
  <c r="P979" i="1"/>
  <c r="O979" i="1"/>
  <c r="K979" i="1"/>
  <c r="R978" i="1"/>
  <c r="T978" i="1"/>
  <c r="P978" i="1"/>
  <c r="O978" i="1"/>
  <c r="K978" i="1"/>
  <c r="R1029" i="1"/>
  <c r="T1029" i="1"/>
  <c r="P1029" i="1"/>
  <c r="O1029" i="1"/>
  <c r="K1029" i="1"/>
  <c r="R1006" i="1"/>
  <c r="T1006" i="1"/>
  <c r="P1006" i="1"/>
  <c r="O1006" i="1"/>
  <c r="K1006" i="1"/>
  <c r="R971" i="1"/>
  <c r="T971" i="1"/>
  <c r="P971" i="1"/>
  <c r="O971" i="1"/>
  <c r="K971" i="1"/>
  <c r="R920" i="1"/>
  <c r="T920" i="1"/>
  <c r="P920" i="1"/>
  <c r="O920" i="1"/>
  <c r="K920" i="1"/>
  <c r="R925" i="1" l="1"/>
  <c r="T925" i="1"/>
  <c r="P925" i="1"/>
  <c r="O925" i="1"/>
  <c r="R982" i="1"/>
  <c r="T982" i="1"/>
  <c r="P982" i="1"/>
  <c r="O982" i="1"/>
  <c r="K982" i="1"/>
  <c r="R986" i="1"/>
  <c r="T986" i="1"/>
  <c r="P986" i="1"/>
  <c r="O986" i="1"/>
  <c r="R977" i="1"/>
  <c r="T977" i="1"/>
  <c r="P977" i="1"/>
  <c r="O977" i="1"/>
  <c r="K977" i="1"/>
  <c r="R1000" i="1"/>
  <c r="T1000" i="1"/>
  <c r="P1000" i="1"/>
  <c r="O1000" i="1"/>
  <c r="K1000" i="1"/>
  <c r="R985" i="1"/>
  <c r="T985" i="1"/>
  <c r="P985" i="1"/>
  <c r="O985"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5" i="1"/>
  <c r="T975" i="1"/>
  <c r="P975" i="1"/>
  <c r="O975" i="1"/>
  <c r="R960" i="1"/>
  <c r="T960" i="1"/>
  <c r="P960" i="1"/>
  <c r="O960" i="1"/>
  <c r="R916" i="1"/>
  <c r="T916" i="1"/>
  <c r="P916" i="1"/>
  <c r="O916" i="1"/>
  <c r="R974" i="1"/>
  <c r="T974" i="1"/>
  <c r="P974" i="1"/>
  <c r="O974" i="1"/>
  <c r="K974"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27" i="1"/>
  <c r="R1027" i="1"/>
  <c r="T1027" i="1"/>
  <c r="P1027" i="1"/>
  <c r="O1027"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28" i="1"/>
  <c r="T1028" i="1"/>
  <c r="P1028" i="1"/>
  <c r="O1028"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<sst xmlns="http://schemas.openxmlformats.org/spreadsheetml/2006/main" count="20245" uniqueCount="4331">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</sst>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2"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55">
      <pivotArea dataOnly="0" labelOnly="1" outline="0" fieldPosition="0">
        <references count="1">
          <reference field="4" count="1">
            <x v="86"/>
          </reference>
        </references>
      </pivotArea>
    </format>
    <format dxfId="54">
      <pivotArea dataOnly="0" labelOnly="1" outline="0" fieldPosition="0">
        <references count="1">
          <reference field="4" count="1">
            <x v="86"/>
          </reference>
        </references>
      </pivotArea>
    </format>
    <format dxfId="53">
      <pivotArea dataOnly="0" labelOnly="1" fieldPosition="0">
        <references count="1">
          <reference field="6" count="3">
            <x v="0"/>
            <x v="2"/>
            <x v="8"/>
          </reference>
        </references>
      </pivotArea>
    </format>
    <format dxfId="52">
      <pivotArea dataOnly="0" labelOnly="1" outline="0" fieldPosition="0">
        <references count="1">
          <reference field="4" count="1">
            <x v="91"/>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95"/>
          </reference>
        </references>
      </pivotArea>
    </format>
    <format dxfId="49">
      <pivotArea dataOnly="0" labelOnly="1" outline="0" fieldPosition="0">
        <references count="1">
          <reference field="4" count="1">
            <x v="100"/>
          </reference>
        </references>
      </pivotArea>
    </format>
    <format dxfId="4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96">
      <pivotArea dataOnly="0" labelOnly="1" outline="0" fieldPosition="0">
        <references count="1">
          <reference field="4" count="1">
            <x v="85"/>
          </reference>
        </references>
      </pivotArea>
    </format>
    <format dxfId="95">
      <pivotArea type="all" dataOnly="0" outline="0" fieldPosition="0"/>
    </format>
    <format dxfId="94">
      <pivotArea dataOnly="0" labelOnly="1" outline="0" fieldPosition="0">
        <references count="1">
          <reference field="4" count="1">
            <x v="85"/>
          </reference>
        </references>
      </pivotArea>
    </format>
    <format dxfId="93">
      <pivotArea field="6" type="button" dataOnly="0" labelOnly="1" outline="0" axis="axisRow" fieldPosition="0"/>
    </format>
    <format dxfId="92">
      <pivotArea dataOnly="0" labelOnly="1" fieldPosition="0">
        <references count="1">
          <reference field="6" count="3">
            <x v="0"/>
            <x v="2"/>
            <x v="8"/>
          </reference>
        </references>
      </pivotArea>
    </format>
    <format dxfId="91">
      <pivotArea dataOnly="0" labelOnly="1" outline="0" fieldPosition="0">
        <references count="1">
          <reference field="4" count="1">
            <x v="90"/>
          </reference>
        </references>
      </pivotArea>
    </format>
    <format dxfId="90">
      <pivotArea dataOnly="0" labelOnly="1" outline="0" fieldPosition="0">
        <references count="1">
          <reference field="4" count="1">
            <x v="99"/>
          </reference>
        </references>
      </pivotArea>
    </format>
    <format dxfId="89">
      <pivotArea dataOnly="0" labelOnly="1" outline="0" fieldPosition="0">
        <references count="1">
          <reference field="4" count="1">
            <x v="99"/>
          </reference>
        </references>
      </pivotArea>
    </format>
    <format dxfId="8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45258</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3921</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3923</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3928</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3926</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3951</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3954</v>
      </c>
      <c r="Y860" s="67"/>
      <c r="Z860" s="339" t="s">
        <v>3930</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3948</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3946</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3952</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3942</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3977</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3980</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3930</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4041</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4042</v>
      </c>
      <c r="Y874" s="67"/>
      <c r="Z874" s="123" t="s">
        <v>3930</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4044</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4046</v>
      </c>
      <c r="T878" s="86" t="str">
        <f t="shared" si="52"/>
        <v>NO</v>
      </c>
      <c r="U878" s="86"/>
      <c r="V878" s="83"/>
      <c r="W878" s="67" t="s">
        <v>4047</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4048</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4049</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4053</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4056</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4051</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4103</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4099</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4104</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4106</v>
      </c>
      <c r="X895" s="67" t="s">
        <v>4107</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t="shared" ca="1" si="51"/>
        <v>SI</v>
      </c>
      <c r="P896" s="81" t="str">
        <f t="shared" si="50"/>
        <v>DIANOSOL</v>
      </c>
      <c r="Q896" s="7" t="s">
        <v>904</v>
      </c>
      <c r="R896" s="7" t="str">
        <f>VLOOKUP($Q896,Resultados!$A$1:$B$49,2,FALSE)</f>
        <v>Juicio Abreviado</v>
      </c>
      <c r="S896" s="7" t="s">
        <v>1186</v>
      </c>
      <c r="T896" s="386" t="str">
        <f t="shared" si="52"/>
        <v>NO</v>
      </c>
      <c r="U896" s="386"/>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4118</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4112</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4116</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4113</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4124</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4119</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4127</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4121</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4129</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4227</v>
      </c>
      <c r="Y912" s="67"/>
      <c r="Z912" s="362" t="s">
        <v>748</v>
      </c>
      <c r="AA912" s="362" t="s">
        <v>1170</v>
      </c>
      <c r="AB912" s="362" t="s">
        <v>1172</v>
      </c>
      <c r="AC912" s="375"/>
    </row>
    <row r="913" spans="1:29" ht="127.5" x14ac:dyDescent="0.2">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4193</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4221</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4223</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4225</v>
      </c>
      <c r="Y919" s="67"/>
      <c r="Z919" s="362" t="s">
        <v>3407</v>
      </c>
      <c r="AA919" s="362" t="s">
        <v>1170</v>
      </c>
      <c r="AB919" s="362" t="s">
        <v>3296</v>
      </c>
      <c r="AC919" s="375"/>
    </row>
    <row r="920" spans="1:29" ht="140.25" x14ac:dyDescent="0.2">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8"/>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4235</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4238</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4231</v>
      </c>
      <c r="Y923" s="67"/>
      <c r="Z923" s="123" t="s">
        <v>748</v>
      </c>
      <c r="AA923" s="123" t="s">
        <v>1168</v>
      </c>
      <c r="AB923" s="123" t="s">
        <v>1172</v>
      </c>
      <c r="AC923" s="375"/>
    </row>
    <row r="924" spans="1:29" ht="39.950000000000003" customHeight="1" x14ac:dyDescent="0.2">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4233</v>
      </c>
      <c r="Y924" s="375"/>
      <c r="Z924" s="123" t="s">
        <v>3407</v>
      </c>
      <c r="AA924" s="123" t="s">
        <v>2892</v>
      </c>
      <c r="AB924" s="123" t="s">
        <v>1176</v>
      </c>
      <c r="AC924" s="375" t="s">
        <v>1799</v>
      </c>
    </row>
    <row r="925" spans="1:29" ht="39.950000000000003" customHeight="1" x14ac:dyDescent="0.2">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4230</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4240</v>
      </c>
      <c r="Y926" s="67"/>
      <c r="Z926" s="123" t="s">
        <v>4194</v>
      </c>
      <c r="AA926" s="123" t="s">
        <v>1170</v>
      </c>
      <c r="AB926" s="123" t="s">
        <v>3916</v>
      </c>
      <c r="AC926" s="375"/>
    </row>
    <row r="927" spans="1:29" ht="39.950000000000003" customHeight="1" x14ac:dyDescent="0.2">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7">
        <v>0.3840277777777778</v>
      </c>
      <c r="X927" s="375"/>
      <c r="Y927" s="375"/>
      <c r="Z927" s="123" t="s">
        <v>770</v>
      </c>
      <c r="AA927" s="123" t="s">
        <v>2892</v>
      </c>
      <c r="AB927" s="123" t="s">
        <v>3360</v>
      </c>
      <c r="AC927" s="375" t="s">
        <v>1799</v>
      </c>
    </row>
    <row r="928" spans="1:29" ht="39.950000000000003" customHeight="1" x14ac:dyDescent="0.2">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4242</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4245</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4246</v>
      </c>
      <c r="X931" s="273" t="s">
        <v>4248</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t="shared" ca="1" si="54"/>
        <v>SI</v>
      </c>
      <c r="P932" s="83" t="str">
        <f t="shared" si="53"/>
        <v>DIANOSOL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t="shared" ca="1" si="54"/>
        <v>SI</v>
      </c>
      <c r="P933" s="83" t="str">
        <f t="shared" si="53"/>
        <v>DIANOSOL</v>
      </c>
      <c r="Q933" s="67" t="s">
        <v>899</v>
      </c>
      <c r="R933" s="67" t="str">
        <f>VLOOKUP($Q933,Resultados!$A$1:$B$49,2,FALSE)</f>
        <v>Libertad</v>
      </c>
      <c r="S933" s="67" t="s">
        <v>1428</v>
      </c>
      <c r="T933" s="86" t="str">
        <f t="shared" si="55"/>
        <v>NO</v>
      </c>
      <c r="U933" s="86"/>
      <c r="V933" s="83"/>
      <c r="W933" s="67" t="s">
        <v>2074</v>
      </c>
      <c r="X933" s="67" t="s">
        <v>4320</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DIANOSOL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DIANOSOL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DIANOSOL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t="shared" ca="1" si="54"/>
        <v>SI</v>
      </c>
      <c r="P937" s="83" t="str">
        <f t="shared" si="53"/>
        <v>DIANOSOL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t="shared" ca="1" si="54"/>
        <v>SI</v>
      </c>
      <c r="P938" s="83" t="str">
        <f t="shared" si="53"/>
        <v>DIANOSOL</v>
      </c>
      <c r="Q938" s="67" t="s">
        <v>904</v>
      </c>
      <c r="R938" s="67" t="str">
        <f>VLOOKUP($Q938,Resultados!$A$1:$B$49,2,FALSE)</f>
        <v>Juicio Abreviado</v>
      </c>
      <c r="S938" s="67" t="s">
        <v>3666</v>
      </c>
      <c r="T938" s="86" t="str">
        <f t="shared" si="55"/>
        <v>NO</v>
      </c>
      <c r="U938" s="86"/>
      <c r="V938" s="83"/>
      <c r="W938" s="67" t="s">
        <v>1779</v>
      </c>
      <c r="X938" s="67" t="s">
        <v>4322</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4316</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4312</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4314</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4308</v>
      </c>
      <c r="X943" s="229" t="s">
        <v>4310</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4307</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4306</v>
      </c>
      <c r="Y946" s="375"/>
      <c r="Z946" s="67" t="s">
        <v>743</v>
      </c>
      <c r="AA946" s="123" t="s">
        <v>2849</v>
      </c>
      <c r="AB946" s="67" t="s">
        <v>1176</v>
      </c>
      <c r="AC946" s="375"/>
    </row>
    <row r="947" spans="1:29" ht="39.950000000000003" customHeight="1" x14ac:dyDescent="0.2">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38" t="s">
        <v>4305</v>
      </c>
      <c r="Y947" s="375"/>
      <c r="Z947" s="67" t="s">
        <v>770</v>
      </c>
      <c r="AA947" s="375"/>
      <c r="AB947" s="375"/>
      <c r="AC947" s="375"/>
    </row>
    <row r="948" spans="1:29" ht="39.950000000000003" customHeight="1" x14ac:dyDescent="0.2">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t="shared" ca="1" si="54"/>
        <v>SI</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t="shared" ca="1" si="54"/>
        <v>SI</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SI</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t="shared" ca="1" si="54"/>
        <v>SI</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t="shared" ca="1" si="54"/>
        <v>SI</v>
      </c>
      <c r="P952" s="83" t="str">
        <f t="shared" si="53"/>
        <v>DIANOSOL</v>
      </c>
      <c r="Q952" s="83" t="s">
        <v>911</v>
      </c>
      <c r="R952" s="83" t="str">
        <f>VLOOKUP($Q952,Resultados!$A$1:$B$49,2,FALSE)</f>
        <v>Suspendida</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SI</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t="shared" ca="1" si="54"/>
        <v>SI</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t="shared" ca="1" si="54"/>
        <v>SI</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DIASOL</v>
      </c>
      <c r="Q956" s="83" t="s">
        <v>951</v>
      </c>
      <c r="R956" s="83" t="str">
        <f>VLOOKUP($Q956,Resultados!$A$1:$B$49,2,FALSE)</f>
        <v xml:space="preserve"> _</v>
      </c>
      <c r="S956" s="83"/>
      <c r="T956" s="86" t="str">
        <f t="shared" si="55"/>
        <v>NO</v>
      </c>
      <c r="U956" s="86"/>
      <c r="V956" s="83"/>
      <c r="W956" s="83"/>
      <c r="X956" s="83"/>
      <c r="Y956" s="83"/>
      <c r="Z956" s="83" t="s">
        <v>743</v>
      </c>
      <c r="AA956" s="325"/>
      <c r="AB956" s="325" t="s">
        <v>1174</v>
      </c>
      <c r="AC956" s="80" t="s">
        <v>1799</v>
      </c>
    </row>
    <row r="957" spans="1:29" ht="39.950000000000003" customHeight="1" x14ac:dyDescent="0.2">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DIASOL</v>
      </c>
      <c r="Q957" s="83" t="s">
        <v>951</v>
      </c>
      <c r="R957" s="83" t="str">
        <f>VLOOKUP($Q957,Resultados!$A$1:$B$49,2,FALSE)</f>
        <v xml:space="preserve"> _</v>
      </c>
      <c r="S957" s="83"/>
      <c r="T957" s="86" t="str">
        <f t="shared" si="55"/>
        <v>NO</v>
      </c>
      <c r="U957" s="86"/>
      <c r="V957" s="83"/>
      <c r="W957" s="83"/>
      <c r="X957" s="83"/>
      <c r="Y957" s="83"/>
      <c r="Z957" s="83" t="s">
        <v>3407</v>
      </c>
      <c r="AA957" s="325" t="s">
        <v>1168</v>
      </c>
      <c r="AB957" s="83" t="s">
        <v>3360</v>
      </c>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DIASOL</v>
      </c>
      <c r="Q958" s="83" t="s">
        <v>951</v>
      </c>
      <c r="R958" s="83" t="str">
        <f>VLOOKUP($Q958,Resultados!$A$1:$B$49,2,FALSE)</f>
        <v xml:space="preserve"> _</v>
      </c>
      <c r="S958" s="83"/>
      <c r="T958" s="86" t="str">
        <f t="shared" si="55"/>
        <v>NO</v>
      </c>
      <c r="U958" s="86"/>
      <c r="V958" s="83"/>
      <c r="W958" s="83"/>
      <c r="X958" s="83"/>
      <c r="Y958" s="83"/>
      <c r="Z958" s="83" t="s">
        <v>1041</v>
      </c>
      <c r="AA958" s="325" t="s">
        <v>2849</v>
      </c>
      <c r="AB958" s="83" t="s">
        <v>1176</v>
      </c>
      <c r="AC958" s="80"/>
    </row>
    <row r="959" spans="1:29" ht="39.950000000000003" customHeight="1" x14ac:dyDescent="0.2">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t="shared" ca="1" si="54"/>
        <v>NO</v>
      </c>
      <c r="P959" s="83" t="str">
        <f t="shared" si="53"/>
        <v>DIASOL</v>
      </c>
      <c r="Q959" s="83" t="s">
        <v>951</v>
      </c>
      <c r="R959" s="83" t="str">
        <f>VLOOKUP($Q959,Resultados!$A$1:$B$49,2,FALSE)</f>
        <v xml:space="preserve"> _</v>
      </c>
      <c r="S959" s="83"/>
      <c r="T959" s="86" t="str">
        <f t="shared" si="55"/>
        <v>NO</v>
      </c>
      <c r="U959" s="86"/>
      <c r="V959" s="80"/>
      <c r="W959" s="80"/>
      <c r="X959" s="80"/>
      <c r="Y959" s="80"/>
      <c r="Z959" s="83" t="s">
        <v>4330</v>
      </c>
      <c r="AA959" s="325" t="s">
        <v>3417</v>
      </c>
      <c r="AB959" s="83" t="s">
        <v>1173</v>
      </c>
      <c r="AC959" s="80"/>
    </row>
    <row r="960" spans="1:29" ht="39.950000000000003" customHeight="1" x14ac:dyDescent="0.2">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t="shared" ca="1" si="54"/>
        <v>NO</v>
      </c>
      <c r="P960" s="83" t="str">
        <f t="shared" si="53"/>
        <v>DIASOL</v>
      </c>
      <c r="Q960" s="83" t="s">
        <v>951</v>
      </c>
      <c r="R960" s="83" t="str">
        <f>VLOOKUP($Q960,Resultados!$A$1:$B$49,2,FALSE)</f>
        <v xml:space="preserve"> _</v>
      </c>
      <c r="S960" s="83"/>
      <c r="T960" s="86" t="str">
        <f t="shared" si="55"/>
        <v>NO</v>
      </c>
      <c r="U960" s="86"/>
      <c r="V960" s="83"/>
      <c r="W960" s="83"/>
      <c r="X960" s="83"/>
      <c r="Y960" s="83"/>
      <c r="Z960" s="83" t="s">
        <v>770</v>
      </c>
      <c r="AA960" s="325" t="s">
        <v>1170</v>
      </c>
      <c r="AB960" s="83" t="s">
        <v>1172</v>
      </c>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t="shared" ca="1" si="54"/>
        <v>NO</v>
      </c>
      <c r="P961" s="83" t="str">
        <f t="shared" si="53"/>
        <v>DIASOL</v>
      </c>
      <c r="Q961" s="83" t="s">
        <v>951</v>
      </c>
      <c r="R961" s="83" t="str">
        <f>VLOOKUP($Q961,Resultados!$A$1:$B$49,2,FALSE)</f>
        <v xml:space="preserve"> _</v>
      </c>
      <c r="S961" s="83"/>
      <c r="T961" s="86" t="str">
        <f t="shared" si="55"/>
        <v>NO</v>
      </c>
      <c r="U961" s="86"/>
      <c r="V961" s="80"/>
      <c r="W961" s="80"/>
      <c r="X961" s="80"/>
      <c r="Y961" s="80"/>
      <c r="Z961" s="83" t="s">
        <v>743</v>
      </c>
      <c r="AA961" s="325" t="s">
        <v>2892</v>
      </c>
      <c r="AB961" s="83" t="s">
        <v>3296</v>
      </c>
      <c r="AC961" s="80"/>
    </row>
    <row r="962" spans="1:29" ht="39.950000000000003" customHeight="1" x14ac:dyDescent="0.2">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t="shared" ca="1" si="54"/>
        <v>NO</v>
      </c>
      <c r="P962" s="83" t="str">
        <f t="shared" si="53"/>
        <v>DIASOL</v>
      </c>
      <c r="Q962" s="83" t="s">
        <v>951</v>
      </c>
      <c r="R962" s="83" t="str">
        <f>VLOOKUP($Q962,Resultados!$A$1:$B$49,2,FALSE)</f>
        <v xml:space="preserve"> _</v>
      </c>
      <c r="S962" s="83"/>
      <c r="T962" s="86" t="str">
        <f t="shared" si="55"/>
        <v>NO</v>
      </c>
      <c r="U962" s="86"/>
      <c r="V962" s="80"/>
      <c r="W962" s="80"/>
      <c r="X962" s="80"/>
      <c r="Y962" s="80"/>
      <c r="Z962" s="83" t="s">
        <v>3407</v>
      </c>
      <c r="AA962" s="325" t="s">
        <v>3418</v>
      </c>
      <c r="AB962" s="83" t="s">
        <v>1174</v>
      </c>
      <c r="AC962" s="80"/>
    </row>
    <row r="963" spans="1:29" ht="39.950000000000003" customHeight="1" x14ac:dyDescent="0.2">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t="shared" ca="1" si="54"/>
        <v>NO</v>
      </c>
      <c r="P963" s="83" t="str">
        <f t="shared" ref="P963:P992" si="56">IF($P$1=H963,"DIASOL", "DIANOSOL")</f>
        <v>DIASOL</v>
      </c>
      <c r="Q963" s="83" t="s">
        <v>951</v>
      </c>
      <c r="R963" s="83" t="str">
        <f>VLOOKUP($Q963,Resultados!$A$1:$B$49,2,FALSE)</f>
        <v xml:space="preserve"> _</v>
      </c>
      <c r="S963" s="83"/>
      <c r="T963" s="86" t="str">
        <f t="shared" si="55"/>
        <v>NO</v>
      </c>
      <c r="U963" s="86"/>
      <c r="V963" s="80"/>
      <c r="W963" s="80"/>
      <c r="X963" s="80"/>
      <c r="Y963" s="80"/>
      <c r="Z963" s="83" t="s">
        <v>770</v>
      </c>
      <c r="AA963" s="83" t="s">
        <v>2849</v>
      </c>
      <c r="AB963" s="83" t="s">
        <v>3360</v>
      </c>
      <c r="AC963" s="80"/>
    </row>
    <row r="964" spans="1:29" ht="39.950000000000003" customHeight="1" x14ac:dyDescent="0.2">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t="shared" ca="1" si="54"/>
        <v>NO</v>
      </c>
      <c r="P964" s="83" t="str">
        <f t="shared" si="56"/>
        <v>DIASOL</v>
      </c>
      <c r="Q964" s="83" t="s">
        <v>951</v>
      </c>
      <c r="R964" s="83" t="str">
        <f>VLOOKUP($Q964,Resultados!$A$1:$B$49,2,FALSE)</f>
        <v xml:space="preserve"> _</v>
      </c>
      <c r="S964" s="83"/>
      <c r="T964" s="86" t="str">
        <f t="shared" si="55"/>
        <v>SI</v>
      </c>
      <c r="U964" s="86"/>
      <c r="V964" s="80"/>
      <c r="W964" s="80"/>
      <c r="X964" s="80"/>
      <c r="Y964" s="80"/>
      <c r="Z964" s="83" t="s">
        <v>748</v>
      </c>
      <c r="AA964" s="325" t="s">
        <v>1170</v>
      </c>
      <c r="AB964" s="83" t="s">
        <v>1176</v>
      </c>
      <c r="AC964" s="80"/>
    </row>
    <row r="965" spans="1:29" ht="39.950000000000003" customHeight="1" x14ac:dyDescent="0.2">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t="s">
        <v>1173</v>
      </c>
      <c r="AC965" s="80"/>
    </row>
    <row r="966" spans="1:29" ht="39.950000000000003" customHeight="1" x14ac:dyDescent="0.2">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3" t="s">
        <v>3296</v>
      </c>
      <c r="AC966" s="80"/>
    </row>
    <row r="967" spans="1:29" ht="39.950000000000003" customHeight="1" x14ac:dyDescent="0.2">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3" t="s">
        <v>1174</v>
      </c>
      <c r="AC967" s="80" t="s">
        <v>1799</v>
      </c>
    </row>
    <row r="968" spans="1:29" ht="39.950000000000003" customHeight="1" x14ac:dyDescent="0.2">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3" t="s">
        <v>3360</v>
      </c>
      <c r="AC968" s="80"/>
    </row>
    <row r="969" spans="1:29" ht="39.950000000000003" customHeight="1" x14ac:dyDescent="0.2">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3" t="s">
        <v>1176</v>
      </c>
      <c r="AC969" s="80"/>
    </row>
    <row r="970" spans="1:29" ht="39.950000000000003" customHeight="1" x14ac:dyDescent="0.2">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3" t="s">
        <v>1173</v>
      </c>
      <c r="AC970" s="80"/>
    </row>
    <row r="971" spans="1:29" ht="39.950000000000003" customHeight="1" x14ac:dyDescent="0.2">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t="shared" ca="1" si="54"/>
        <v>NO</v>
      </c>
      <c r="P971" s="84" t="str">
        <f t="shared" si="56"/>
        <v>DIANOSOL</v>
      </c>
      <c r="Q971" s="84" t="s">
        <v>951</v>
      </c>
      <c r="R971" s="84" t="str">
        <f>VLOOKUP($Q971,Resultados!$A$1:$B$49,2,FALSE)</f>
        <v xml:space="preserve"> _</v>
      </c>
      <c r="S971" s="84"/>
      <c r="T971" s="395" t="str">
        <f t="shared" si="55"/>
        <v>NO</v>
      </c>
      <c r="U971" s="395"/>
      <c r="V971" s="393"/>
      <c r="W971" s="393"/>
      <c r="X971" s="393"/>
      <c r="Y971" s="393"/>
      <c r="Z971" s="393"/>
      <c r="AA971" s="325" t="s">
        <v>2849</v>
      </c>
      <c r="AB971" s="84" t="s">
        <v>3296</v>
      </c>
      <c r="AC971" s="393"/>
    </row>
    <row r="972" spans="1:29" ht="39.950000000000003" customHeight="1" x14ac:dyDescent="0.2">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3" t="s">
        <v>1174</v>
      </c>
      <c r="AC972" s="80"/>
    </row>
    <row r="973" spans="1:29" ht="39.950000000000003" customHeight="1" x14ac:dyDescent="0.2">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3" t="s">
        <v>3360</v>
      </c>
      <c r="AC973" s="80"/>
    </row>
    <row r="974" spans="1:29" ht="39.950000000000003" customHeight="1" x14ac:dyDescent="0.2">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t="shared" ref="O974:O992"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t="s">
        <v>1176</v>
      </c>
      <c r="AC974" s="80"/>
    </row>
    <row r="975" spans="1:29" ht="39.950000000000003" customHeight="1" x14ac:dyDescent="0.2">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t="s">
        <v>1173</v>
      </c>
      <c r="AC975" s="80"/>
    </row>
    <row r="976" spans="1:29" ht="39.950000000000003" customHeight="1" x14ac:dyDescent="0.2">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80"/>
      <c r="AB976" s="83" t="s">
        <v>3296</v>
      </c>
      <c r="AC976" s="80"/>
    </row>
    <row r="977" spans="1:29" ht="39.950000000000003" customHeight="1" x14ac:dyDescent="0.2">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3417</v>
      </c>
      <c r="AB977" s="83" t="s">
        <v>1174</v>
      </c>
      <c r="AC977" s="80"/>
    </row>
    <row r="978" spans="1:29" ht="39.950000000000003" customHeight="1" x14ac:dyDescent="0.2">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1170</v>
      </c>
      <c r="AB978" s="83" t="s">
        <v>3360</v>
      </c>
      <c r="AC978" s="80"/>
    </row>
    <row r="979" spans="1:29" ht="39.950000000000003" customHeight="1" x14ac:dyDescent="0.2">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1168</v>
      </c>
      <c r="AB979" s="83" t="s">
        <v>1176</v>
      </c>
      <c r="AC979" s="80"/>
    </row>
    <row r="980" spans="1:29" ht="39.950000000000003" customHeight="1" x14ac:dyDescent="0.2">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t="shared" ca="1" si="57"/>
        <v>NO</v>
      </c>
      <c r="P980" s="214" t="str">
        <f t="shared" si="56"/>
        <v>DIANOSOL</v>
      </c>
      <c r="Q980" s="214" t="s">
        <v>951</v>
      </c>
      <c r="R980" s="214" t="str">
        <f>VLOOKUP($Q980,Resultados!$A$1:$B$49,2,FALSE)</f>
        <v xml:space="preserve"> _</v>
      </c>
      <c r="S980" s="214"/>
      <c r="T980" s="281" t="str">
        <f t="shared" si="55"/>
        <v>NO</v>
      </c>
      <c r="U980" s="281"/>
      <c r="V980" s="364"/>
      <c r="W980" s="364"/>
      <c r="X980" s="364"/>
      <c r="Y980" s="364"/>
      <c r="Z980" s="364"/>
      <c r="AA980" s="405" t="s">
        <v>2892</v>
      </c>
      <c r="AB980" s="214" t="s">
        <v>1173</v>
      </c>
      <c r="AC980" s="364"/>
    </row>
    <row r="981" spans="1:29" ht="39.950000000000003" customHeight="1" x14ac:dyDescent="0.2">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t="shared" ca="1" si="57"/>
        <v>NO</v>
      </c>
      <c r="P981" s="83" t="str">
        <f t="shared" si="56"/>
        <v>DIANOSOL</v>
      </c>
      <c r="Q981" s="83" t="s">
        <v>951</v>
      </c>
      <c r="R981" s="83" t="str">
        <f>VLOOKUP($Q981,Resultados!$A$1:$B$49,2,FALSE)</f>
        <v xml:space="preserve"> _</v>
      </c>
      <c r="S981" s="83"/>
      <c r="T981" s="86" t="str">
        <f t="shared" ref="T981:T992" si="58">IF(G981=$J$1,"SI","NO")</f>
        <v>SI</v>
      </c>
      <c r="U981" s="86"/>
      <c r="V981" s="80"/>
      <c r="W981" s="80"/>
      <c r="X981" s="80"/>
      <c r="Y981" s="80"/>
      <c r="Z981" s="80"/>
      <c r="AA981" s="325"/>
      <c r="AB981" s="83" t="s">
        <v>3296</v>
      </c>
      <c r="AC981" s="80" t="s">
        <v>1799</v>
      </c>
    </row>
    <row r="982" spans="1:29" ht="39.950000000000003" customHeight="1" x14ac:dyDescent="0.2">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2849</v>
      </c>
      <c r="AB982" s="83" t="s">
        <v>1174</v>
      </c>
      <c r="AC982" s="80"/>
    </row>
    <row r="983" spans="1:29" ht="39.950000000000003" customHeight="1" x14ac:dyDescent="0.2">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2892</v>
      </c>
      <c r="AB983" s="83" t="s">
        <v>3360</v>
      </c>
      <c r="AC983" s="80"/>
    </row>
    <row r="984" spans="1:29" ht="39.950000000000003" customHeight="1" x14ac:dyDescent="0.2">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3" t="s">
        <v>1176</v>
      </c>
      <c r="AC984" s="80" t="s">
        <v>1799</v>
      </c>
    </row>
    <row r="985" spans="1:29" ht="39.950000000000003" customHeight="1" x14ac:dyDescent="0.2">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t="shared" ca="1" si="57"/>
        <v>NO</v>
      </c>
      <c r="P985" s="81" t="str">
        <f t="shared" si="56"/>
        <v>DIANOSOL</v>
      </c>
      <c r="Q985" s="81" t="s">
        <v>951</v>
      </c>
      <c r="R985" s="81" t="str">
        <f>VLOOKUP($Q985,Resultados!$A$1:$B$49,2,FALSE)</f>
        <v xml:space="preserve"> _</v>
      </c>
      <c r="S985" s="81"/>
      <c r="T985" s="386" t="str">
        <f t="shared" si="58"/>
        <v>NO</v>
      </c>
      <c r="U985" s="386"/>
      <c r="V985" s="90"/>
      <c r="W985" s="90"/>
      <c r="X985" s="90"/>
      <c r="Y985" s="90"/>
      <c r="Z985" s="90"/>
      <c r="AA985" s="429" t="s">
        <v>1170</v>
      </c>
      <c r="AB985" s="81" t="s">
        <v>1173</v>
      </c>
      <c r="AC985" s="90"/>
    </row>
    <row r="986" spans="1:29" ht="39.950000000000003" customHeight="1" x14ac:dyDescent="0.2">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325" t="s">
        <v>2849</v>
      </c>
      <c r="AB986" s="83" t="s">
        <v>3296</v>
      </c>
      <c r="AC986" s="80"/>
    </row>
    <row r="987" spans="1:29" ht="39.950000000000003" customHeight="1" x14ac:dyDescent="0.2">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1168</v>
      </c>
      <c r="AB987" s="83" t="s">
        <v>1174</v>
      </c>
      <c r="AC987" s="80"/>
    </row>
    <row r="988" spans="1:29" ht="39.950000000000003" customHeight="1" x14ac:dyDescent="0.2">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c r="AB988" s="83" t="s">
        <v>3360</v>
      </c>
      <c r="AC988" s="80"/>
    </row>
    <row r="989" spans="1:29" ht="39.950000000000003" customHeight="1" x14ac:dyDescent="0.2">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3418</v>
      </c>
      <c r="AB989" s="83" t="s">
        <v>1176</v>
      </c>
      <c r="AC989" s="80"/>
    </row>
    <row r="990" spans="1:29" ht="39.950000000000003" customHeight="1" x14ac:dyDescent="0.2">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1168</v>
      </c>
      <c r="AB990" s="83" t="s">
        <v>1173</v>
      </c>
      <c r="AC990" s="80"/>
    </row>
    <row r="991" spans="1:29" ht="39.950000000000003" customHeight="1" x14ac:dyDescent="0.2">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2892</v>
      </c>
      <c r="AB991" s="83" t="s">
        <v>3296</v>
      </c>
      <c r="AC991" s="80"/>
    </row>
    <row r="992" spans="1:29" ht="39.950000000000003" customHeight="1" x14ac:dyDescent="0.2">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2849</v>
      </c>
      <c r="AB992" s="83" t="s">
        <v>1174</v>
      </c>
      <c r="AC992" s="80"/>
    </row>
    <row r="993" spans="1:29" ht="39.950000000000003" customHeight="1" x14ac:dyDescent="0.2">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x14ac:dyDescent="0.2">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t="shared" ref="O994:O1003" ca="1" si="59">IF(H994&lt;&gt;"",IF(H994&lt;=TODAY(),"SI","NO"),"LIMBO")</f>
        <v>NO</v>
      </c>
      <c r="P994" s="83" t="str">
        <f t="shared" ref="P994:P1003" si="60">IF($P$1=H994,"DIASOL", "DIANOSOL")</f>
        <v>DIANOSOL</v>
      </c>
      <c r="Q994" s="83" t="s">
        <v>951</v>
      </c>
      <c r="R994" s="83" t="str">
        <f>VLOOKUP($Q994,Resultados!$A$1:$B$49,2,FALSE)</f>
        <v xml:space="preserve"> _</v>
      </c>
      <c r="S994" s="83"/>
      <c r="T994" s="86" t="str">
        <f t="shared" ref="T994:T1003" si="61">IF(G994=$J$1,"SI","NO")</f>
        <v>NO</v>
      </c>
      <c r="U994" s="86"/>
      <c r="V994" s="80"/>
      <c r="W994" s="80"/>
      <c r="X994" s="80"/>
      <c r="Y994" s="80"/>
      <c r="Z994" s="80"/>
      <c r="AA994" s="83" t="s">
        <v>2892</v>
      </c>
      <c r="AB994" s="83" t="s">
        <v>1176</v>
      </c>
      <c r="AC994" s="80"/>
    </row>
    <row r="995" spans="1:29" ht="39.950000000000003" customHeight="1" x14ac:dyDescent="0.2">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1170</v>
      </c>
      <c r="AB995" s="83" t="s">
        <v>1173</v>
      </c>
      <c r="AC995" s="80"/>
    </row>
    <row r="996" spans="1:29" ht="39.950000000000003" customHeight="1" x14ac:dyDescent="0.2">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3418</v>
      </c>
      <c r="AB996" s="83" t="s">
        <v>1172</v>
      </c>
      <c r="AC996" s="80"/>
    </row>
    <row r="997" spans="1:29" ht="39.950000000000003" customHeight="1" x14ac:dyDescent="0.2">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2892</v>
      </c>
      <c r="AB997" s="83" t="s">
        <v>3296</v>
      </c>
      <c r="AC997" s="80"/>
    </row>
    <row r="998" spans="1:29" ht="39.950000000000003" customHeight="1" x14ac:dyDescent="0.2">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3417</v>
      </c>
      <c r="AB999" s="80"/>
      <c r="AC999" s="80"/>
    </row>
    <row r="1000" spans="1:29" ht="39.950000000000003" customHeight="1" x14ac:dyDescent="0.2">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3" t="s">
        <v>1174</v>
      </c>
      <c r="AC1000" s="80"/>
    </row>
    <row r="1001" spans="1:29" ht="39.950000000000003" customHeight="1" x14ac:dyDescent="0.2">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t="shared" ca="1" si="59"/>
        <v>NO</v>
      </c>
      <c r="P1001" s="83" t="str">
        <f t="shared" si="60"/>
        <v>DIANOSOL</v>
      </c>
      <c r="Q1001" s="83" t="s">
        <v>951</v>
      </c>
      <c r="R1001" s="83" t="str">
        <f>VLOOKUP($Q1001,Resultados!$A$1:$B$49,2,FALSE)</f>
        <v xml:space="preserve"> _</v>
      </c>
      <c r="S1001" s="83"/>
      <c r="T1001" s="86" t="str">
        <f t="shared" si="61"/>
        <v>NO</v>
      </c>
      <c r="U1001" s="86"/>
      <c r="V1001" s="80"/>
      <c r="W1001" s="80"/>
      <c r="X1001" s="80"/>
      <c r="Y1001" s="80"/>
      <c r="Z1001" s="80"/>
      <c r="AA1001" s="325" t="s">
        <v>3418</v>
      </c>
      <c r="AB1001" s="83" t="s">
        <v>3360</v>
      </c>
      <c r="AC1001" s="80"/>
    </row>
    <row r="1002" spans="1:29" ht="39.950000000000003" customHeight="1" x14ac:dyDescent="0.2">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t="shared" ca="1" si="59"/>
        <v>NO</v>
      </c>
      <c r="P1002" s="214" t="str">
        <f t="shared" si="60"/>
        <v>DIANOSOL</v>
      </c>
      <c r="Q1002" s="214" t="s">
        <v>951</v>
      </c>
      <c r="R1002" s="214" t="str">
        <f>VLOOKUP($Q1002,Resultados!$A$1:$B$49,2,FALSE)</f>
        <v xml:space="preserve"> _</v>
      </c>
      <c r="S1002" s="214"/>
      <c r="T1002" s="281" t="str">
        <f t="shared" si="61"/>
        <v>NO</v>
      </c>
      <c r="U1002" s="281"/>
      <c r="V1002" s="364"/>
      <c r="W1002" s="364"/>
      <c r="X1002" s="364"/>
      <c r="Y1002" s="364"/>
      <c r="Z1002" s="364"/>
      <c r="AA1002" s="405" t="s">
        <v>2892</v>
      </c>
      <c r="AB1002" s="214" t="s">
        <v>1176</v>
      </c>
      <c r="AC1002" s="364"/>
    </row>
    <row r="1003" spans="1:29" ht="39.950000000000003" customHeight="1" x14ac:dyDescent="0.2">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3" t="s">
        <v>1173</v>
      </c>
      <c r="AC1003" s="80"/>
    </row>
    <row r="1004" spans="1:29" ht="39.950000000000003" customHeight="1" x14ac:dyDescent="0.2">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x14ac:dyDescent="0.2">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t="shared" ref="O1005:O1036" ca="1" si="62">IF(H1005&lt;&gt;"",IF(H1005&lt;=TODAY(),"SI","NO"),"LIMBO")</f>
        <v>NO</v>
      </c>
      <c r="P1005" s="83" t="str">
        <f t="shared" ref="P1005:P1036" si="63">IF($P$1=H1005,"DIASOL", "DIANOSOL")</f>
        <v>DIANOSOL</v>
      </c>
      <c r="Q1005" s="83" t="s">
        <v>951</v>
      </c>
      <c r="R1005" s="83" t="str">
        <f>VLOOKUP($Q1005,Resultados!$A$1:$B$49,2,FALSE)</f>
        <v xml:space="preserve"> _</v>
      </c>
      <c r="S1005" s="83"/>
      <c r="T1005" s="86" t="str">
        <f t="shared" ref="T1005:T1036" si="64">IF(G1005=$J$1,"SI","NO")</f>
        <v>NO</v>
      </c>
      <c r="U1005" s="86"/>
      <c r="V1005" s="80"/>
      <c r="W1005" s="80"/>
      <c r="X1005" s="80"/>
      <c r="Y1005" s="80"/>
      <c r="Z1005" s="80"/>
      <c r="AA1005" s="325" t="s">
        <v>3418</v>
      </c>
      <c r="AB1005" s="80"/>
      <c r="AC1005" s="80"/>
    </row>
    <row r="1006" spans="1:29" ht="39.950000000000003" customHeight="1" x14ac:dyDescent="0.2">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325" t="s">
        <v>1170</v>
      </c>
      <c r="AB1006" s="80"/>
      <c r="AC1006" s="80"/>
    </row>
    <row r="1007" spans="1:29" ht="39.950000000000003" customHeight="1" x14ac:dyDescent="0.2">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325" t="s">
        <v>2892</v>
      </c>
      <c r="AB1007" s="80"/>
      <c r="AC1007" s="80"/>
    </row>
    <row r="1008" spans="1:29" ht="39.950000000000003" customHeight="1" x14ac:dyDescent="0.2">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325" t="s">
        <v>3417</v>
      </c>
      <c r="AB1008" s="80"/>
      <c r="AC1008" s="80"/>
    </row>
    <row r="1009" spans="1:29" ht="39.950000000000003" customHeight="1" x14ac:dyDescent="0.2">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325" t="s">
        <v>3418</v>
      </c>
      <c r="AB1009" s="80"/>
      <c r="AC1009" s="80"/>
    </row>
    <row r="1010" spans="1:29" ht="39.950000000000003" customHeight="1" x14ac:dyDescent="0.2">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325" t="s">
        <v>3417</v>
      </c>
      <c r="AB1010" s="80"/>
      <c r="AC1010" s="80"/>
    </row>
    <row r="1011" spans="1:29" ht="39.950000000000003" customHeight="1" x14ac:dyDescent="0.2">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3" t="s">
        <v>1170</v>
      </c>
      <c r="AB1011" s="80"/>
      <c r="AC1011" s="80"/>
    </row>
    <row r="1012" spans="1:29" ht="39.950000000000003" customHeight="1" x14ac:dyDescent="0.2">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2892</v>
      </c>
      <c r="AB1012" s="80"/>
      <c r="AC1012" s="80"/>
    </row>
    <row r="1013" spans="1:29" ht="39.950000000000003" customHeight="1" x14ac:dyDescent="0.2">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t="shared" ca="1" si="62"/>
        <v>NO</v>
      </c>
      <c r="P1013" s="214" t="str">
        <f t="shared" si="63"/>
        <v>DIANOSOL</v>
      </c>
      <c r="Q1013" s="214" t="s">
        <v>951</v>
      </c>
      <c r="R1013" s="214" t="str">
        <f>VLOOKUP($Q1013,Resultados!$A$1:$B$49,2,FALSE)</f>
        <v xml:space="preserve"> _</v>
      </c>
      <c r="S1013" s="214"/>
      <c r="T1013" s="281" t="str">
        <f t="shared" si="64"/>
        <v>NO</v>
      </c>
      <c r="U1013" s="281"/>
      <c r="V1013" s="364"/>
      <c r="W1013" s="364"/>
      <c r="X1013" s="364"/>
      <c r="Y1013" s="364"/>
      <c r="Z1013" s="364"/>
      <c r="AA1013" s="405" t="s">
        <v>3418</v>
      </c>
      <c r="AB1013" s="364"/>
      <c r="AC1013" s="364"/>
    </row>
    <row r="1014" spans="1:29" ht="39.950000000000003" customHeight="1" x14ac:dyDescent="0.2">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3" t="s">
        <v>2892</v>
      </c>
      <c r="AB1014" s="80"/>
      <c r="AC1014" s="80"/>
    </row>
    <row r="1015" spans="1:29" ht="39.950000000000003" customHeight="1" x14ac:dyDescent="0.2">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3" t="s">
        <v>1170</v>
      </c>
      <c r="AB1015" s="80"/>
      <c r="AC1015" s="80"/>
    </row>
    <row r="1016" spans="1:29" ht="39.950000000000003" customHeight="1" x14ac:dyDescent="0.2">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3417</v>
      </c>
      <c r="AB1016" s="80"/>
      <c r="AC1016" s="80"/>
    </row>
    <row r="1017" spans="1:29" ht="39.950000000000003" customHeight="1" x14ac:dyDescent="0.2">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3" t="s">
        <v>2849</v>
      </c>
      <c r="AB1017" s="80"/>
      <c r="AC1017" s="80"/>
    </row>
    <row r="1018" spans="1:29" ht="39.950000000000003" customHeight="1" x14ac:dyDescent="0.2">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t="shared" ca="1" si="62"/>
        <v>NO</v>
      </c>
      <c r="P1018" s="83" t="str">
        <f t="shared" si="63"/>
        <v>DIANOSOL</v>
      </c>
      <c r="Q1018" s="83" t="s">
        <v>951</v>
      </c>
      <c r="R1018" s="83" t="str">
        <f>VLOOKUP($Q1018,Resultados!$A$1:$B$49,2,FALSE)</f>
        <v xml:space="preserve"> _</v>
      </c>
      <c r="S1018" s="83"/>
      <c r="T1018" s="86" t="str">
        <f t="shared" si="64"/>
        <v>NO</v>
      </c>
      <c r="U1018" s="86"/>
      <c r="V1018" s="80"/>
      <c r="W1018" s="80"/>
      <c r="X1018" s="80"/>
      <c r="Y1018" s="80"/>
      <c r="Z1018" s="80"/>
      <c r="AA1018" s="83" t="s">
        <v>3418</v>
      </c>
      <c r="AB1018" s="80"/>
      <c r="AC1018" s="80"/>
    </row>
    <row r="1019" spans="1:29" ht="39.950000000000003" customHeight="1" x14ac:dyDescent="0.2">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t="shared" ca="1" si="62"/>
        <v>NO</v>
      </c>
      <c r="P1019" s="83" t="str">
        <f t="shared" si="63"/>
        <v>DIANOSOL</v>
      </c>
      <c r="Q1019" s="83" t="s">
        <v>951</v>
      </c>
      <c r="R1019" s="83" t="str">
        <f>VLOOKUP($Q1019,Resultados!$A$1:$B$49,2,FALSE)</f>
        <v xml:space="preserve"> _</v>
      </c>
      <c r="S1019" s="83"/>
      <c r="T1019" s="86" t="str">
        <f t="shared" si="64"/>
        <v>NO</v>
      </c>
      <c r="U1019" s="86"/>
      <c r="V1019" s="80"/>
      <c r="W1019" s="80"/>
      <c r="X1019" s="80"/>
      <c r="Y1019" s="80"/>
      <c r="Z1019" s="80"/>
      <c r="AA1019" s="325" t="s">
        <v>2849</v>
      </c>
      <c r="AB1019" s="80"/>
      <c r="AC1019" s="80"/>
    </row>
    <row r="1020" spans="1:29" ht="39.950000000000003" customHeight="1" x14ac:dyDescent="0.2">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t="shared" ca="1" si="62"/>
        <v>NO</v>
      </c>
      <c r="P1020" s="83" t="str">
        <f t="shared" si="63"/>
        <v>DIANOSOL</v>
      </c>
      <c r="Q1020" s="83" t="s">
        <v>951</v>
      </c>
      <c r="R1020" s="83" t="str">
        <f>VLOOKUP($Q1020,Resultados!$A$1:$B$49,2,FALSE)</f>
        <v xml:space="preserve"> _</v>
      </c>
      <c r="S1020" s="83"/>
      <c r="T1020" s="86" t="str">
        <f t="shared" si="64"/>
        <v>NO</v>
      </c>
      <c r="U1020" s="86"/>
      <c r="V1020" s="80"/>
      <c r="W1020" s="80"/>
      <c r="X1020" s="80"/>
      <c r="Y1020" s="80"/>
      <c r="Z1020" s="80"/>
      <c r="AA1020" s="83" t="s">
        <v>1170</v>
      </c>
      <c r="AB1020" s="80"/>
      <c r="AC1020" s="80"/>
    </row>
    <row r="1021" spans="1:29" ht="39.950000000000003" customHeight="1" x14ac:dyDescent="0.2">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t="shared" ca="1" si="62"/>
        <v>NO</v>
      </c>
      <c r="P1021" s="83" t="str">
        <f t="shared" si="63"/>
        <v>DIANOSOL</v>
      </c>
      <c r="Q1021" s="83" t="s">
        <v>951</v>
      </c>
      <c r="R1021" s="83" t="str">
        <f>VLOOKUP($Q1021,Resultados!$A$1:$B$49,2,FALSE)</f>
        <v xml:space="preserve"> _</v>
      </c>
      <c r="S1021" s="83"/>
      <c r="T1021" s="86" t="str">
        <f t="shared" si="64"/>
        <v>NO</v>
      </c>
      <c r="U1021" s="86"/>
      <c r="V1021" s="80"/>
      <c r="W1021" s="80"/>
      <c r="X1021" s="80"/>
      <c r="Y1021" s="80"/>
      <c r="Z1021" s="80"/>
      <c r="AA1021" s="325" t="s">
        <v>2849</v>
      </c>
      <c r="AB1021" s="80"/>
      <c r="AC1021" s="80"/>
    </row>
    <row r="1022" spans="1:29" ht="39.950000000000003" customHeight="1" x14ac:dyDescent="0.2">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t="shared" ca="1" si="62"/>
        <v>NO</v>
      </c>
      <c r="P1022" s="83" t="str">
        <f t="shared" si="63"/>
        <v>DIANOSOL</v>
      </c>
      <c r="Q1022" s="83" t="s">
        <v>951</v>
      </c>
      <c r="R1022" s="83" t="str">
        <f>VLOOKUP($Q1022,Resultados!$A$1:$B$49,2,FALSE)</f>
        <v xml:space="preserve"> _</v>
      </c>
      <c r="S1022" s="83"/>
      <c r="T1022" s="86" t="str">
        <f t="shared" si="64"/>
        <v>NO</v>
      </c>
      <c r="U1022" s="86"/>
      <c r="V1022" s="80"/>
      <c r="W1022" s="80"/>
      <c r="X1022" s="80"/>
      <c r="Y1022" s="80"/>
      <c r="Z1022" s="80"/>
      <c r="AA1022" s="325" t="s">
        <v>2849</v>
      </c>
      <c r="AB1022" s="80"/>
      <c r="AC1022" s="80"/>
    </row>
    <row r="1023" spans="1:29" ht="39.950000000000003" customHeight="1" x14ac:dyDescent="0.2">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t="shared" ca="1" si="62"/>
        <v>NO</v>
      </c>
      <c r="P1023" s="214" t="str">
        <f t="shared" si="63"/>
        <v>DIANOSOL</v>
      </c>
      <c r="Q1023" s="214" t="s">
        <v>951</v>
      </c>
      <c r="R1023" s="214" t="str">
        <f>VLOOKUP($Q1023,Resultados!$A$1:$B$49,2,FALSE)</f>
        <v xml:space="preserve"> _</v>
      </c>
      <c r="S1023" s="214"/>
      <c r="T1023" s="281" t="str">
        <f t="shared" si="64"/>
        <v>NO</v>
      </c>
      <c r="U1023" s="281"/>
      <c r="V1023" s="364"/>
      <c r="W1023" s="364"/>
      <c r="X1023" s="364"/>
      <c r="Y1023" s="364"/>
      <c r="Z1023" s="364"/>
      <c r="AA1023" s="214" t="s">
        <v>1170</v>
      </c>
      <c r="AB1023" s="364"/>
      <c r="AC1023" s="364"/>
    </row>
    <row r="1024" spans="1:29" ht="39.950000000000003" customHeight="1" x14ac:dyDescent="0.2">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t="shared" ca="1" si="62"/>
        <v>NO</v>
      </c>
      <c r="P1024" s="83" t="str">
        <f t="shared" si="63"/>
        <v>DIANOSOL</v>
      </c>
      <c r="Q1024" s="83" t="s">
        <v>951</v>
      </c>
      <c r="R1024" s="83" t="str">
        <f>VLOOKUP($Q1024,Resultados!$A$1:$B$49,2,FALSE)</f>
        <v xml:space="preserve"> _</v>
      </c>
      <c r="S1024" s="83"/>
      <c r="T1024" s="86" t="str">
        <f t="shared" si="64"/>
        <v>NO</v>
      </c>
      <c r="U1024" s="86"/>
      <c r="V1024" s="80"/>
      <c r="W1024" s="80"/>
      <c r="X1024" s="80"/>
      <c r="Y1024" s="80"/>
      <c r="Z1024" s="80"/>
      <c r="AA1024" s="83" t="s">
        <v>3417</v>
      </c>
      <c r="AB1024" s="80"/>
      <c r="AC1024" s="80"/>
    </row>
    <row r="1025" spans="1:29" ht="39.950000000000003" customHeight="1" x14ac:dyDescent="0.2">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t="shared" ca="1" si="62"/>
        <v>NO</v>
      </c>
      <c r="P1025" s="83" t="str">
        <f t="shared" si="63"/>
        <v>DIANOSOL</v>
      </c>
      <c r="Q1025" s="83" t="s">
        <v>951</v>
      </c>
      <c r="R1025" s="83" t="str">
        <f>VLOOKUP($Q1025,Resultados!$A$1:$B$49,2,FALSE)</f>
        <v xml:space="preserve"> _</v>
      </c>
      <c r="S1025" s="83"/>
      <c r="T1025" s="86" t="str">
        <f t="shared" si="64"/>
        <v>NO</v>
      </c>
      <c r="U1025" s="86"/>
      <c r="V1025" s="80"/>
      <c r="W1025" s="80"/>
      <c r="X1025" s="80"/>
      <c r="Y1025" s="80"/>
      <c r="Z1025" s="80"/>
      <c r="AA1025" s="83" t="s">
        <v>2849</v>
      </c>
      <c r="AB1025" s="80"/>
      <c r="AC1025" s="80"/>
    </row>
    <row r="1026" spans="1:29" ht="39.950000000000003" customHeight="1" x14ac:dyDescent="0.2">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t="shared" ca="1" si="62"/>
        <v>NO</v>
      </c>
      <c r="P1026" s="83" t="str">
        <f t="shared" si="63"/>
        <v>DIANOSOL</v>
      </c>
      <c r="Q1026" s="83" t="s">
        <v>951</v>
      </c>
      <c r="R1026" s="83" t="str">
        <f>VLOOKUP($Q1026,Resultados!$A$1:$B$49,2,FALSE)</f>
        <v xml:space="preserve"> _</v>
      </c>
      <c r="S1026" s="83"/>
      <c r="T1026" s="86" t="str">
        <f t="shared" si="64"/>
        <v>NO</v>
      </c>
      <c r="U1026" s="86"/>
      <c r="V1026" s="80"/>
      <c r="W1026" s="80"/>
      <c r="X1026" s="80"/>
      <c r="Y1026" s="80"/>
      <c r="Z1026" s="80"/>
      <c r="AA1026" s="83" t="s">
        <v>2892</v>
      </c>
      <c r="AB1026" s="80"/>
      <c r="AC1026" s="80"/>
    </row>
    <row r="1027" spans="1:29" ht="39.950000000000003" customHeight="1" x14ac:dyDescent="0.2">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t="shared" ca="1" si="62"/>
        <v>NO</v>
      </c>
      <c r="P1027" s="214" t="str">
        <f t="shared" si="63"/>
        <v>DIANOSOL</v>
      </c>
      <c r="Q1027" s="214" t="s">
        <v>951</v>
      </c>
      <c r="R1027" s="214" t="str">
        <f>VLOOKUP($Q1027,Resultados!$A$1:$B$49,2,FALSE)</f>
        <v xml:space="preserve"> _</v>
      </c>
      <c r="S1027" s="214"/>
      <c r="T1027" s="281" t="str">
        <f t="shared" si="64"/>
        <v>NO</v>
      </c>
      <c r="U1027" s="281"/>
      <c r="V1027" s="214"/>
      <c r="W1027" s="214"/>
      <c r="X1027" s="214"/>
      <c r="Y1027" s="214"/>
      <c r="Z1027" s="214"/>
      <c r="AA1027" s="214" t="s">
        <v>3418</v>
      </c>
      <c r="AB1027" s="214"/>
      <c r="AC1027" s="364"/>
    </row>
    <row r="1028" spans="1:29" ht="39.950000000000003" customHeight="1" x14ac:dyDescent="0.2">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t="shared" ca="1" si="62"/>
        <v>LIMBO</v>
      </c>
      <c r="P1028" s="214" t="str">
        <f t="shared" si="63"/>
        <v>DIANOSOL</v>
      </c>
      <c r="Q1028" s="214" t="s">
        <v>951</v>
      </c>
      <c r="R1028" s="214" t="str">
        <f>VLOOKUP($Q1028,Resultados!$A$1:$B$49,2,FALSE)</f>
        <v xml:space="preserve"> _</v>
      </c>
      <c r="S1028" s="214"/>
      <c r="T1028" s="281" t="str">
        <f t="shared" si="64"/>
        <v>NO</v>
      </c>
      <c r="U1028" s="281"/>
      <c r="V1028" s="214"/>
      <c r="W1028" s="214"/>
      <c r="X1028" s="214"/>
      <c r="Y1028" s="214"/>
      <c r="Z1028" s="214"/>
      <c r="AA1028" s="405" t="s">
        <v>1170</v>
      </c>
      <c r="AB1028" s="214" t="s">
        <v>1173</v>
      </c>
      <c r="AC1028" s="364"/>
    </row>
    <row r="1029" spans="1:29" ht="39.950000000000003" customHeight="1" x14ac:dyDescent="0.2">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x14ac:dyDescent="0.2">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t="shared" ca="1" si="62"/>
        <v>LIMBO</v>
      </c>
      <c r="P1033" s="172" t="str">
        <f t="shared" si="63"/>
        <v>DIANOSOL</v>
      </c>
      <c r="Q1033" s="172" t="s">
        <v>951</v>
      </c>
      <c r="R1033" s="172" t="str">
        <f>VLOOKUP($Q1033,Resultados!$A$1:$B$49,2,FALSE)</f>
        <v xml:space="preserve"> _</v>
      </c>
      <c r="S1033" s="172"/>
      <c r="T1033" s="174" t="str">
        <f t="shared" si="64"/>
        <v>NO</v>
      </c>
      <c r="U1033" s="174"/>
      <c r="V1033" s="361"/>
      <c r="W1033" s="361"/>
      <c r="X1033" s="361"/>
      <c r="Y1033" s="361"/>
      <c r="Z1033" s="361"/>
      <c r="AA1033" s="361"/>
      <c r="AB1033" s="361"/>
      <c r="AC1033" s="361"/>
    </row>
    <row r="1034" spans="1:29" ht="39.950000000000003" customHeight="1" x14ac:dyDescent="0.2">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x14ac:dyDescent="0.2">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x14ac:dyDescent="0.2">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t="shared" ref="O1037:O1067" ca="1" si="65">IF(H1037&lt;&gt;"",IF(H1037&lt;=TODAY(),"SI","NO"),"LIMBO")</f>
        <v>LIMBO</v>
      </c>
      <c r="P1037" s="244" t="str">
        <f t="shared" ref="P1037:P1067" si="66">IF($P$1=H1037,"DIASOL", "DIANOSOL")</f>
        <v>DIANOSOL</v>
      </c>
      <c r="Q1037" s="244" t="s">
        <v>951</v>
      </c>
      <c r="R1037" s="244" t="str">
        <f>VLOOKUP($Q1037,Resultados!$A$1:$B$49,2,FALSE)</f>
        <v xml:space="preserve"> _</v>
      </c>
      <c r="S1037" s="244"/>
      <c r="T1037" s="245" t="str">
        <f t="shared" ref="T1037:T1067" si="67">IF(G1037=$J$1,"SI","NO")</f>
        <v>NO</v>
      </c>
      <c r="U1037" s="245"/>
      <c r="V1037" s="383"/>
      <c r="W1037" s="383"/>
      <c r="X1037" s="383"/>
      <c r="Y1037" s="383"/>
      <c r="Z1037" s="383"/>
      <c r="AA1037" s="383"/>
      <c r="AB1037" s="383"/>
      <c r="AC1037" s="383"/>
    </row>
    <row r="1038" spans="1:29" ht="39.950000000000003" customHeight="1" x14ac:dyDescent="0.2">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t="shared" ca="1" si="65"/>
        <v>LIMBO</v>
      </c>
      <c r="P1040" s="244" t="str">
        <f t="shared" si="66"/>
        <v>DIANOSOL</v>
      </c>
      <c r="Q1040" s="244" t="s">
        <v>951</v>
      </c>
      <c r="R1040" s="244" t="str">
        <f>VLOOKUP($Q1040,Resultados!$A$1:$B$49,2,FALSE)</f>
        <v xml:space="preserve"> _</v>
      </c>
      <c r="S1040" s="244"/>
      <c r="T1040" s="245" t="str">
        <f t="shared" si="67"/>
        <v>NO</v>
      </c>
      <c r="U1040" s="245"/>
      <c r="V1040" s="383"/>
      <c r="W1040" s="383"/>
      <c r="X1040" s="383"/>
      <c r="Y1040" s="383"/>
      <c r="Z1040" s="383"/>
      <c r="AA1040" s="383"/>
      <c r="AB1040" s="383"/>
      <c r="AC1040" s="383"/>
    </row>
    <row r="1041" spans="1:29" ht="39.950000000000003" customHeight="1" x14ac:dyDescent="0.2">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t="shared" ca="1" si="65"/>
        <v>LIMBO</v>
      </c>
      <c r="P1041" s="244" t="str">
        <f t="shared" si="66"/>
        <v>DIANOSOL</v>
      </c>
      <c r="Q1041" s="244" t="s">
        <v>951</v>
      </c>
      <c r="R1041" s="244" t="str">
        <f>VLOOKUP($Q1041,Resultados!$A$1:$B$49,2,FALSE)</f>
        <v xml:space="preserve"> _</v>
      </c>
      <c r="S1041" s="244"/>
      <c r="T1041" s="245" t="str">
        <f t="shared" si="67"/>
        <v>NO</v>
      </c>
      <c r="U1041" s="245"/>
      <c r="V1041" s="383"/>
      <c r="W1041" s="383"/>
      <c r="X1041" s="383"/>
      <c r="Y1041" s="383"/>
      <c r="Z1041" s="383"/>
      <c r="AA1041" s="383"/>
      <c r="AB1041" s="383"/>
      <c r="AC1041" s="383"/>
    </row>
    <row r="1042" spans="1:29" ht="39.950000000000003" customHeight="1" x14ac:dyDescent="0.2">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t="shared" ca="1" si="65"/>
        <v>LIMBO</v>
      </c>
      <c r="P1042" s="172" t="str">
        <f t="shared" si="66"/>
        <v>DIANOSOL</v>
      </c>
      <c r="Q1042" s="172" t="s">
        <v>951</v>
      </c>
      <c r="R1042" s="172" t="str">
        <f>VLOOKUP($Q1042,Resultados!$A$1:$B$49,2,FALSE)</f>
        <v xml:space="preserve"> _</v>
      </c>
      <c r="S1042" s="172"/>
      <c r="T1042" s="174" t="str">
        <f t="shared" si="67"/>
        <v>NO</v>
      </c>
      <c r="U1042" s="174"/>
      <c r="V1042" s="361"/>
      <c r="W1042" s="361"/>
      <c r="X1042" s="361"/>
      <c r="Y1042" s="361"/>
      <c r="Z1042" s="361"/>
      <c r="AA1042" s="361"/>
      <c r="AB1042" s="361"/>
      <c r="AC1042" s="361"/>
    </row>
    <row r="1043" spans="1:29" ht="39.950000000000003" customHeight="1" x14ac:dyDescent="0.2">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t="shared" ca="1" si="65"/>
        <v>LIMBO</v>
      </c>
      <c r="P1043" s="172" t="str">
        <f t="shared" si="66"/>
        <v>DIANOSOL</v>
      </c>
      <c r="Q1043" s="172" t="s">
        <v>951</v>
      </c>
      <c r="R1043" s="172" t="str">
        <f>VLOOKUP($Q1043,Resultados!$A$1:$B$49,2,FALSE)</f>
        <v xml:space="preserve"> _</v>
      </c>
      <c r="S1043" s="172"/>
      <c r="T1043" s="174" t="str">
        <f t="shared" si="67"/>
        <v>NO</v>
      </c>
      <c r="U1043" s="174"/>
      <c r="V1043" s="361"/>
      <c r="W1043" s="361"/>
      <c r="X1043" s="361"/>
      <c r="Y1043" s="361"/>
      <c r="Z1043" s="361"/>
      <c r="AA1043" s="361"/>
      <c r="AB1043" s="361"/>
      <c r="AC1043" s="361"/>
    </row>
    <row r="1044" spans="1:29" ht="39.950000000000003" customHeight="1" x14ac:dyDescent="0.2">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t="shared" ca="1" si="65"/>
        <v>LIMBO</v>
      </c>
      <c r="P1045" s="214" t="str">
        <f t="shared" si="66"/>
        <v>DIANOSOL</v>
      </c>
      <c r="Q1045" s="214" t="s">
        <v>951</v>
      </c>
      <c r="R1045" s="214" t="str">
        <f>VLOOKUP($Q1045,Resultados!$A$1:$B$49,2,FALSE)</f>
        <v xml:space="preserve"> _</v>
      </c>
      <c r="S1045" s="214"/>
      <c r="T1045" s="281" t="str">
        <f t="shared" si="67"/>
        <v>NO</v>
      </c>
      <c r="U1045" s="281"/>
      <c r="V1045" s="364"/>
      <c r="W1045" s="364"/>
      <c r="X1045" s="364"/>
      <c r="Y1045" s="364"/>
      <c r="Z1045" s="364"/>
      <c r="AA1045" s="364"/>
      <c r="AB1045" s="364"/>
      <c r="AC1045" s="364"/>
    </row>
    <row r="1046" spans="1:29" ht="39.950000000000003" customHeight="1" x14ac:dyDescent="0.2">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29" ht="39.950000000000003" customHeight="1" x14ac:dyDescent="0.2">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29" ht="39.950000000000003" customHeight="1" x14ac:dyDescent="0.2">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29" ht="39.950000000000003" customHeight="1" x14ac:dyDescent="0.2">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29" ht="39.950000000000003" customHeight="1" x14ac:dyDescent="0.2">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29" ht="39.950000000000003" customHeight="1" x14ac:dyDescent="0.2">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29" ht="39.950000000000003" customHeight="1" x14ac:dyDescent="0.2">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29" ht="39.950000000000003" customHeight="1" x14ac:dyDescent="0.2">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t="shared" ca="1" si="65"/>
        <v>LIMBO</v>
      </c>
      <c r="P1063" s="423" t="str">
        <f t="shared" si="66"/>
        <v>DIANOSOL</v>
      </c>
      <c r="Q1063" s="423" t="s">
        <v>951</v>
      </c>
      <c r="R1063" s="423" t="str">
        <f>VLOOKUP($Q1063,Resultados!$A$1:$B$49,2,FALSE)</f>
        <v xml:space="preserve"> _</v>
      </c>
      <c r="S1063" s="423"/>
      <c r="T1063" s="437" t="str">
        <f t="shared" si="67"/>
        <v>NO</v>
      </c>
      <c r="U1063" s="437"/>
      <c r="V1063" s="433"/>
      <c r="W1063" s="433"/>
      <c r="X1063" s="433"/>
      <c r="Y1063" s="433"/>
      <c r="Z1063" s="433"/>
      <c r="AA1063" s="433"/>
      <c r="AB1063" s="433"/>
      <c r="AC1063" s="433" t="s">
        <v>1799</v>
      </c>
    </row>
    <row r="1064" spans="1:29" ht="39.950000000000003" customHeight="1" x14ac:dyDescent="0.2">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t="shared" ca="1" si="65"/>
        <v>LIMBO</v>
      </c>
      <c r="P1064" s="244" t="str">
        <f t="shared" si="66"/>
        <v>DIANOSOL</v>
      </c>
      <c r="Q1064" s="244" t="s">
        <v>951</v>
      </c>
      <c r="R1064" s="244" t="str">
        <f>VLOOKUP($Q1064,Resultados!$A$1:$B$49,2,FALSE)</f>
        <v xml:space="preserve"> _</v>
      </c>
      <c r="S1064" s="244"/>
      <c r="T1064" s="245" t="str">
        <f t="shared" si="67"/>
        <v>NO</v>
      </c>
      <c r="U1064" s="245"/>
      <c r="V1064" s="383"/>
      <c r="W1064" s="383"/>
      <c r="X1064" s="383"/>
      <c r="Y1064" s="383"/>
      <c r="Z1064" s="383"/>
      <c r="AA1064" s="383"/>
      <c r="AB1064" s="383"/>
      <c r="AC1064" s="383"/>
    </row>
    <row r="1065" spans="1:29" ht="39.950000000000003" customHeight="1" x14ac:dyDescent="0.2">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row>
    <row r="1066" spans="1:29" ht="39.950000000000003" customHeight="1" x14ac:dyDescent="0.2">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29" ht="39.950000000000003" customHeight="1" x14ac:dyDescent="0.2">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t="shared" ca="1" si="65"/>
        <v>LIMBO</v>
      </c>
      <c r="P1067" s="441" t="str">
        <f t="shared" si="66"/>
        <v>DIANOSOL</v>
      </c>
      <c r="Q1067" s="441" t="s">
        <v>951</v>
      </c>
      <c r="R1067" s="441" t="str">
        <f>VLOOKUP($Q1067,Resultados!$A$1:$B$49,2,FALSE)</f>
        <v xml:space="preserve"> _</v>
      </c>
      <c r="S1067" s="441"/>
      <c r="T1067" s="454" t="str">
        <f t="shared" si="67"/>
        <v>NO</v>
      </c>
      <c r="U1067" s="454"/>
      <c r="V1067" s="444"/>
      <c r="W1067" s="444"/>
      <c r="X1067" s="444"/>
      <c r="Y1067" s="444"/>
      <c r="Z1067" s="444"/>
      <c r="AA1067" s="444"/>
      <c r="AB1067" s="444"/>
      <c r="AC1067" s="444"/>
    </row>
  </sheetData>
  <sortState ref="A3:AC1067">
    <sortCondition ref="H3:H1067"/>
    <sortCondition ref="I3:I106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M897:M1063 M3:M895 M1065:M1067</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2" t="s">
        <v>1483</v>
      </c>
      <c r="D7" s="108" t="s">
        <v>1483</v>
      </c>
      <c r="G7" s="108" t="s">
        <v>1483</v>
      </c>
      <c r="J7" s="108" t="s">
        <v>1483</v>
      </c>
      <c r="M7" s="108" t="s">
        <v>1483</v>
      </c>
      <c r="P7" s="108" t="s">
        <v>1483</v>
      </c>
      <c r="S7" s="10" t="s">
        <v>3686</v>
      </c>
    </row>
    <row r="8" spans="1:19" ht="14.25" x14ac:dyDescent="0.2">
      <c r="A8" s="406" t="s">
        <v>31</v>
      </c>
      <c r="D8" s="406" t="s">
        <v>31</v>
      </c>
      <c r="G8" s="406" t="s">
        <v>31</v>
      </c>
      <c r="J8" s="406" t="s">
        <v>31</v>
      </c>
      <c r="M8" s="406" t="s">
        <v>31</v>
      </c>
      <c r="P8" s="406" t="s">
        <v>31</v>
      </c>
    </row>
    <row r="9" spans="1:19" x14ac:dyDescent="0.2">
      <c r="A9" s="410" t="s">
        <v>1441</v>
      </c>
      <c r="D9" s="109" t="s">
        <v>1441</v>
      </c>
      <c r="G9" s="109" t="s">
        <v>1440</v>
      </c>
      <c r="J9" s="109" t="s">
        <v>2785</v>
      </c>
      <c r="M9" s="109" t="s">
        <v>1440</v>
      </c>
      <c r="P9" s="109" t="s">
        <v>2771</v>
      </c>
      <c r="S9" s="10" t="s">
        <v>3687</v>
      </c>
    </row>
    <row r="10" spans="1:19" x14ac:dyDescent="0.2">
      <c r="A10" s="411" t="s">
        <v>1086</v>
      </c>
      <c r="D10" s="110" t="s">
        <v>73</v>
      </c>
      <c r="G10" s="110" t="s">
        <v>73</v>
      </c>
      <c r="J10" s="110" t="s">
        <v>1086</v>
      </c>
      <c r="M10" s="110" t="s">
        <v>73</v>
      </c>
      <c r="P10" s="110" t="s">
        <v>73</v>
      </c>
      <c r="S10" s="10" t="s">
        <v>3688</v>
      </c>
    </row>
    <row r="11" spans="1:19" ht="14.25" x14ac:dyDescent="0.2">
      <c r="A11" s="406" t="s">
        <v>35</v>
      </c>
      <c r="D11" s="406" t="s">
        <v>35</v>
      </c>
      <c r="G11" s="110" t="s">
        <v>1086</v>
      </c>
      <c r="J11" s="406" t="s">
        <v>35</v>
      </c>
      <c r="M11" s="406" t="s">
        <v>35</v>
      </c>
      <c r="P11" s="406" t="s">
        <v>35</v>
      </c>
    </row>
    <row r="12" spans="1:19" ht="14.25" x14ac:dyDescent="0.2">
      <c r="A12" s="410" t="s">
        <v>1440</v>
      </c>
      <c r="D12" s="109" t="s">
        <v>568</v>
      </c>
      <c r="G12" s="406" t="s">
        <v>35</v>
      </c>
      <c r="J12" s="109" t="s">
        <v>2771</v>
      </c>
      <c r="M12" s="109" t="s">
        <v>3362</v>
      </c>
      <c r="P12" s="109" t="s">
        <v>3361</v>
      </c>
      <c r="S12" s="10" t="s">
        <v>3689</v>
      </c>
    </row>
    <row r="13" spans="1:19" x14ac:dyDescent="0.2">
      <c r="A13" s="411" t="s">
        <v>73</v>
      </c>
      <c r="B13" s="324"/>
      <c r="D13" s="110" t="s">
        <v>1086</v>
      </c>
      <c r="E13" s="324"/>
      <c r="G13" s="109" t="s">
        <v>1441</v>
      </c>
      <c r="H13" s="324"/>
      <c r="J13" s="110" t="s">
        <v>73</v>
      </c>
      <c r="K13" s="324"/>
      <c r="L13" s="324"/>
      <c r="M13" s="110" t="s">
        <v>73</v>
      </c>
      <c r="N13" s="324"/>
      <c r="P13" s="110" t="s">
        <v>1086</v>
      </c>
      <c r="Q13" s="324"/>
      <c r="S13" s="10" t="s">
        <v>3690</v>
      </c>
    </row>
    <row r="14" spans="1:19" x14ac:dyDescent="0.2">
      <c r="A14" s="409" t="s">
        <v>33</v>
      </c>
      <c r="B14" s="324"/>
      <c r="D14" s="18" t="s">
        <v>33</v>
      </c>
      <c r="E14" s="324"/>
      <c r="G14" s="110" t="s">
        <v>73</v>
      </c>
      <c r="H14" s="324"/>
      <c r="J14" s="18" t="s">
        <v>33</v>
      </c>
      <c r="K14" s="324"/>
      <c r="L14" s="324"/>
      <c r="M14" s="18" t="s">
        <v>33</v>
      </c>
      <c r="N14" s="324"/>
      <c r="P14" s="18" t="s">
        <v>33</v>
      </c>
      <c r="Q14" s="324"/>
    </row>
    <row r="15" spans="1:19" x14ac:dyDescent="0.2">
      <c r="A15" s="410" t="s">
        <v>3833</v>
      </c>
      <c r="B15" s="324"/>
      <c r="D15" s="109" t="s">
        <v>283</v>
      </c>
      <c r="E15" s="324"/>
      <c r="G15" s="18" t="s">
        <v>33</v>
      </c>
      <c r="H15" s="324"/>
      <c r="J15" s="109" t="s">
        <v>1442</v>
      </c>
      <c r="K15" s="324"/>
      <c r="L15" s="324"/>
      <c r="M15" s="109" t="s">
        <v>3361</v>
      </c>
      <c r="N15" s="324"/>
      <c r="P15" s="109" t="s">
        <v>1442</v>
      </c>
      <c r="Q15" s="324"/>
      <c r="S15" s="10" t="s">
        <v>3691</v>
      </c>
    </row>
    <row r="16" spans="1:19" x14ac:dyDescent="0.2">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x14ac:dyDescent="0.2">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x14ac:dyDescent="0.2">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x14ac:dyDescent="0.2">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x14ac:dyDescent="0.2">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x14ac:dyDescent="0.2">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x14ac:dyDescent="0.2">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x14ac:dyDescent="0.2">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x14ac:dyDescent="0.2">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x14ac:dyDescent="0.2">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x14ac:dyDescent="0.2">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x14ac:dyDescent="0.2">
      <c r="A27" s="410" t="s">
        <v>1442</v>
      </c>
      <c r="D27" s="110" t="s">
        <v>73</v>
      </c>
      <c r="E27" s="324"/>
      <c r="G27" s="109" t="s">
        <v>2785</v>
      </c>
      <c r="H27" s="324"/>
      <c r="J27" s="110" t="s">
        <v>1086</v>
      </c>
      <c r="K27" s="324"/>
      <c r="M27" s="110" t="s">
        <v>1209</v>
      </c>
      <c r="N27" s="324"/>
      <c r="Q27" s="324"/>
      <c r="S27" s="324" t="s">
        <v>3047</v>
      </c>
    </row>
    <row r="28" spans="1:19" x14ac:dyDescent="0.2">
      <c r="A28" s="411" t="s">
        <v>749</v>
      </c>
      <c r="D28" s="18" t="s">
        <v>1224</v>
      </c>
      <c r="E28" s="324"/>
      <c r="G28" s="110" t="s">
        <v>1086</v>
      </c>
      <c r="H28" s="324"/>
      <c r="J28" s="18" t="s">
        <v>2951</v>
      </c>
      <c r="K28" s="324"/>
      <c r="M28" s="109" t="s">
        <v>3833</v>
      </c>
      <c r="N28" s="324"/>
      <c r="Q28" s="324"/>
      <c r="S28" s="324" t="s">
        <v>3046</v>
      </c>
    </row>
    <row r="29" spans="1:19" x14ac:dyDescent="0.2">
      <c r="A29" s="409" t="s">
        <v>2948</v>
      </c>
      <c r="D29" s="109" t="s">
        <v>1442</v>
      </c>
      <c r="E29" s="324"/>
      <c r="G29" s="18" t="s">
        <v>2948</v>
      </c>
      <c r="H29" s="324"/>
      <c r="J29" s="109" t="s">
        <v>1441</v>
      </c>
      <c r="K29" s="324"/>
      <c r="M29" s="110" t="s">
        <v>3208</v>
      </c>
      <c r="N29" s="324"/>
      <c r="Q29" s="324"/>
      <c r="S29" s="324" t="s">
        <v>3045</v>
      </c>
    </row>
    <row r="30" spans="1:19" x14ac:dyDescent="0.2">
      <c r="A30" s="410" t="s">
        <v>2835</v>
      </c>
      <c r="D30" s="110" t="s">
        <v>1086</v>
      </c>
      <c r="G30" s="109" t="s">
        <v>283</v>
      </c>
      <c r="J30" s="110" t="s">
        <v>73</v>
      </c>
      <c r="M30" s="18" t="s">
        <v>1484</v>
      </c>
      <c r="S30" s="324" t="s">
        <v>3044</v>
      </c>
    </row>
    <row r="31" spans="1:19" x14ac:dyDescent="0.2">
      <c r="A31" s="411" t="s">
        <v>1086</v>
      </c>
      <c r="D31" s="18" t="s">
        <v>1484</v>
      </c>
      <c r="G31" s="110" t="s">
        <v>73</v>
      </c>
      <c r="J31" s="18" t="s">
        <v>1484</v>
      </c>
      <c r="S31" s="324" t="s">
        <v>3043</v>
      </c>
    </row>
    <row r="32" spans="1:19" x14ac:dyDescent="0.2">
      <c r="A32" s="409" t="s">
        <v>2951</v>
      </c>
      <c r="G32" s="18" t="s">
        <v>2951</v>
      </c>
      <c r="S32" s="324" t="s">
        <v>3048</v>
      </c>
    </row>
    <row r="33" spans="1:19" x14ac:dyDescent="0.2">
      <c r="A33" s="410" t="s">
        <v>2785</v>
      </c>
      <c r="G33" s="109" t="s">
        <v>3362</v>
      </c>
      <c r="S33" s="324" t="s">
        <v>3049</v>
      </c>
    </row>
    <row r="34" spans="1:19" x14ac:dyDescent="0.2">
      <c r="A34" s="411" t="s">
        <v>73</v>
      </c>
      <c r="G34" s="110" t="s">
        <v>73</v>
      </c>
      <c r="S34" s="324" t="s">
        <v>3050</v>
      </c>
    </row>
    <row r="35" spans="1:19" x14ac:dyDescent="0.2">
      <c r="A35" s="409" t="s">
        <v>1484</v>
      </c>
      <c r="G35" s="18" t="s">
        <v>1484</v>
      </c>
      <c r="S35" s="324" t="s">
        <v>3051</v>
      </c>
    </row>
    <row r="36" spans="1:19" x14ac:dyDescent="0.2">
      <c r="S36" s="324" t="s">
        <v>3052</v>
      </c>
    </row>
    <row r="37" spans="1:19" x14ac:dyDescent="0.2">
      <c r="S37" s="324" t="s">
        <v>3053</v>
      </c>
    </row>
    <row r="38" spans="1:19" x14ac:dyDescent="0.2">
      <c r="S38" s="324" t="s">
        <v>3054</v>
      </c>
    </row>
    <row r="39" spans="1:19" x14ac:dyDescent="0.2">
      <c r="S39" s="324" t="s">
        <v>3419</v>
      </c>
    </row>
    <row r="40" spans="1:19" x14ac:dyDescent="0.2">
      <c r="S40" s="324" t="s">
        <v>3408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45247</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58" t="str">
        <f ca="1">"AUDIENCIAS ASIGNADAS  AL DIA: " &amp; TEXT(TODAY(),"DD/MM/YYYY")</f>
        <v>AUDIENCIAS ASIGNADAS  AL DIA: 27/11/YYYY</v>
      </c>
      <c r="C1" s="458"/>
      <c r="D1" s="458"/>
      <c r="E1" s="458"/>
      <c r="F1" s="458"/>
      <c r="G1" s="458"/>
      <c r="H1" s="458"/>
      <c r="I1" s="458"/>
    </row>
    <row r="3" spans="2:9" ht="28.5" customHeight="1" x14ac:dyDescent="0.2">
      <c r="B3" s="456" t="s">
        <v>2041</v>
      </c>
      <c r="C3" s="457"/>
      <c r="E3" s="456" t="s">
        <v>2351</v>
      </c>
      <c r="F3" s="457"/>
      <c r="H3" s="456" t="s">
        <v>2378</v>
      </c>
      <c r="I3" s="457"/>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5" t="s">
        <v>2948</v>
      </c>
      <c r="F11" s="11">
        <f>COUNTIF(EXPEDIENTES!$J:$J,$E11)</f>
        <v>29</v>
      </c>
      <c r="H11" s="116"/>
      <c r="I11" s="116"/>
    </row>
    <row r="12" spans="2:9" s="341" customFormat="1" ht="24.95" customHeight="1" x14ac:dyDescent="0.2">
      <c r="B12" s="340" t="s">
        <v>370</v>
      </c>
      <c r="C12" s="60">
        <f>SUM(C5:C11)</f>
        <v>834</v>
      </c>
      <c r="E12" s="346" t="s">
        <v>2951</v>
      </c>
      <c r="F12" s="347">
        <f>COUNTIF(EXPEDIENTES!$J:$J,$E12)</f>
        <v>25</v>
      </c>
      <c r="H12" s="342"/>
      <c r="I12" s="342"/>
    </row>
    <row r="13" spans="2:9" s="341" customFormat="1" ht="24.95" customHeight="1" x14ac:dyDescent="0.2">
      <c r="E13" s="198" t="s">
        <v>370</v>
      </c>
      <c r="F13" s="60">
        <f>SUM(F5:F12)</f>
        <v>188</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58" t="str">
        <f ca="1">"AUDIENCIAS QUE RESTAN RESOLVER -  AL DIA: " &amp; TEXT(TODAY(),"DD/MM/YYYY")</f>
        <v>AUDIENCIAS QUE RESTAN RESOLVER -  AL DIA: 27/11/YYYY</v>
      </c>
      <c r="C26" s="458"/>
      <c r="D26" s="458"/>
      <c r="E26" s="458"/>
      <c r="F26" s="458"/>
      <c r="G26" s="458"/>
      <c r="H26" s="458"/>
      <c r="I26" s="458"/>
    </row>
    <row r="27" spans="2:9" ht="24.95" customHeight="1" x14ac:dyDescent="0.2"/>
    <row r="28" spans="2:9" ht="24.95" customHeight="1" x14ac:dyDescent="0.2">
      <c r="B28" s="456" t="s">
        <v>2042</v>
      </c>
      <c r="C28" s="457"/>
      <c r="E28" s="456" t="s">
        <v>2352</v>
      </c>
      <c r="F28" s="457"/>
      <c r="H28" s="456" t="s">
        <v>2043</v>
      </c>
      <c r="I28" s="457"/>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5" t="s">
        <v>2948</v>
      </c>
      <c r="F36" s="11">
        <f ca="1">COUNTIFS(EXPEDIENTES!J:J,$E36,EXPEDIENTES!O:O,"NO")</f>
        <v>3</v>
      </c>
    </row>
    <row r="37" spans="2:6" ht="20.100000000000001" customHeight="1" x14ac:dyDescent="0.2">
      <c r="B37" s="198" t="s">
        <v>963</v>
      </c>
      <c r="C37" s="60">
        <f ca="1">SUM(C30:C36)</f>
        <v>61</v>
      </c>
      <c r="E37" s="346" t="s">
        <v>2951</v>
      </c>
      <c r="F37" s="11">
        <f ca="1">COUNTIFS(EXPEDIENTES!J:J,$E37,EXPEDIENTES!O:O,"NO")</f>
        <v>6</v>
      </c>
    </row>
    <row r="38" spans="2:6" s="341" customFormat="1" ht="20.100000000000001" customHeight="1" x14ac:dyDescent="0.2">
      <c r="E38" s="198" t="s">
        <v>370</v>
      </c>
      <c r="F38" s="60">
        <f ca="1">SUM(F30:F37)</f>
        <v>10</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58" t="str">
        <f ca="1">"AUDIENCIAS RESUELTAS AL DIA: " &amp; TEXT(TODAY(),"DD/MM/YYYY")</f>
        <v>AUDIENCIAS RESUELTAS AL DIA: 27/11/YYYY</v>
      </c>
      <c r="C53" s="458"/>
      <c r="D53" s="458"/>
      <c r="E53" s="458"/>
      <c r="F53" s="458"/>
      <c r="G53" s="458"/>
      <c r="H53" s="458"/>
      <c r="I53" s="458"/>
    </row>
    <row r="54" spans="2:9" ht="20.100000000000001" customHeight="1" x14ac:dyDescent="0.2"/>
    <row r="55" spans="2:9" ht="28.35" customHeight="1" x14ac:dyDescent="0.2">
      <c r="B55" s="456" t="s">
        <v>2044</v>
      </c>
      <c r="C55" s="457"/>
      <c r="E55" s="456" t="s">
        <v>2045</v>
      </c>
      <c r="F55" s="457"/>
      <c r="H55" s="456" t="s">
        <v>2046</v>
      </c>
      <c r="I55" s="457"/>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5" t="s">
        <v>2948</v>
      </c>
      <c r="F63" s="11">
        <f ca="1">COUNTIFS(EXPEDIENTES!J:J,$E63,EXPEDIENTES!O:O,"SI")</f>
        <v>25</v>
      </c>
      <c r="G63" s="115"/>
      <c r="H63" s="115"/>
    </row>
    <row r="64" spans="2:9" ht="24.95" customHeight="1" x14ac:dyDescent="0.2">
      <c r="B64" s="198" t="s">
        <v>2032</v>
      </c>
      <c r="C64" s="29">
        <f ca="1">SUM(C57:C63)</f>
        <v>772</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55" t="s">
        <v>457</v>
      </c>
      <c r="C68" s="455"/>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59"/>
      <c r="B1" s="459"/>
      <c r="C1" s="459"/>
      <c r="D1" s="459"/>
      <c r="E1" s="459"/>
      <c r="F1" s="459"/>
      <c r="G1" s="459"/>
      <c r="H1" s="459"/>
      <c r="I1" s="459"/>
      <c r="J1" s="459"/>
      <c r="K1" s="191"/>
      <c r="AQ1" s="459" t="s">
        <v>1997</v>
      </c>
      <c r="AR1" s="459"/>
      <c r="AS1" s="459"/>
      <c r="AT1" s="459"/>
      <c r="AU1" s="459"/>
      <c r="AV1" s="459"/>
      <c r="AW1" s="459"/>
      <c r="AX1" s="459"/>
      <c r="AY1" s="459"/>
      <c r="AZ1" s="459"/>
      <c r="BA1" s="459"/>
    </row>
    <row r="2" spans="1:55" ht="12.75" customHeight="1" x14ac:dyDescent="0.2"/>
    <row r="3" spans="1:55" ht="30.75" customHeight="1" x14ac:dyDescent="0.2">
      <c r="M3" s="191" t="s">
        <v>1320</v>
      </c>
      <c r="N3" s="191" t="s">
        <v>1321</v>
      </c>
      <c r="AK3" s="191" t="s">
        <v>382</v>
      </c>
      <c r="AL3" s="191" t="s">
        <v>31</v>
      </c>
      <c r="AQ3" s="460" t="s">
        <v>1993</v>
      </c>
      <c r="AR3" s="460"/>
      <c r="AS3" s="460"/>
      <c r="AT3" s="460"/>
      <c r="AU3" s="460"/>
      <c r="AV3" s="460"/>
      <c r="AW3" s="460"/>
      <c r="AX3" s="460"/>
      <c r="AY3" s="460"/>
      <c r="AZ3" s="460"/>
      <c r="BA3" s="460"/>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x14ac:dyDescent="0.25">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953</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61" t="s">
        <v>1997</v>
      </c>
      <c r="AR22" s="461"/>
      <c r="AS22" s="461"/>
      <c r="AT22" s="461"/>
      <c r="AU22" s="461"/>
      <c r="AV22" s="461"/>
      <c r="AW22" s="461"/>
      <c r="AX22" s="461"/>
      <c r="AY22" s="461"/>
      <c r="AZ22" s="461"/>
      <c r="BA22" s="231"/>
      <c r="BB22" s="231"/>
    </row>
    <row r="24" spans="2:55" ht="26.25" x14ac:dyDescent="0.2">
      <c r="AQ24" s="462" t="s">
        <v>2439</v>
      </c>
      <c r="AR24" s="462"/>
      <c r="AS24" s="462"/>
      <c r="AT24" s="462"/>
      <c r="AU24" s="462"/>
      <c r="AV24" s="462"/>
      <c r="AW24" s="462"/>
      <c r="AX24" s="462"/>
      <c r="AY24" s="462"/>
      <c r="AZ24" s="462"/>
      <c r="BA24" s="232"/>
      <c r="BB24" s="232"/>
    </row>
    <row r="25" spans="2:55" ht="26.25" x14ac:dyDescent="0.2">
      <c r="AQ25" s="462" t="s">
        <v>2930</v>
      </c>
      <c r="AR25" s="462"/>
      <c r="AS25" s="462"/>
      <c r="AT25" s="462"/>
      <c r="AU25" s="462"/>
      <c r="AV25" s="462"/>
      <c r="AW25" s="462"/>
      <c r="AX25" s="462"/>
      <c r="AY25" s="462"/>
      <c r="AZ25" s="462"/>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63" t="s">
        <v>2929</v>
      </c>
      <c r="AR34" s="463"/>
    </row>
    <row r="35" spans="1:52" ht="30" customHeight="1" x14ac:dyDescent="0.2">
      <c r="M35" s="290" t="e">
        <f>SUM(M29:M34)</f>
        <v>#VALUE!</v>
      </c>
      <c r="N35" s="289" t="e">
        <f>SUM(N29:N34)</f>
        <v>#VALUE!</v>
      </c>
      <c r="O35" s="288" t="s">
        <v>370</v>
      </c>
      <c r="AK35" s="290" t="e">
        <f>SUM(AK29:AK34)</f>
        <v>#VALUE!</v>
      </c>
      <c r="AL35" s="289" t="e">
        <f>SUM(AL29:AL34)</f>
        <v>#VALUE!</v>
      </c>
      <c r="AM35" s="288" t="s">
        <v>370</v>
      </c>
      <c r="AQ35" s="463"/>
      <c r="AR35" s="463"/>
    </row>
    <row r="36" spans="1:52" ht="30" customHeight="1" x14ac:dyDescent="0.2">
      <c r="AQ36" s="464">
        <f ca="1">(AQ32*100)/[2]EXPEDIENTES!C1</f>
        <v>69.692058346839545</v>
      </c>
      <c r="AR36" s="464"/>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61" t="s">
        <v>1997</v>
      </c>
      <c r="AR42" s="461"/>
      <c r="AS42" s="461"/>
      <c r="AT42" s="461"/>
      <c r="AU42" s="461"/>
      <c r="AV42" s="461"/>
      <c r="AW42" s="461"/>
      <c r="AX42" s="461"/>
      <c r="AY42" s="461"/>
      <c r="AZ42" s="461"/>
    </row>
    <row r="43" spans="1:52" ht="30" customHeight="1" x14ac:dyDescent="0.25">
      <c r="A43" s="301"/>
      <c r="B43" s="301"/>
      <c r="C43" s="301"/>
      <c r="AK43" s="293" t="e">
        <f>COUNTIFS([2]EXPEDIENTES!Q:Q,"Libertad",[2]EXPEDIENTES!J:J,"=Dr. Rodriguez Pipino")</f>
        <v>#VALUE!</v>
      </c>
      <c r="AL43" s="292" t="e">
        <f>AK43/AK51</f>
        <v>#VALUE!</v>
      </c>
      <c r="AM43" s="294" t="s">
        <v>902</v>
      </c>
      <c r="AQ43" s="462" t="s">
        <v>2439</v>
      </c>
      <c r="AR43" s="462"/>
      <c r="AS43" s="462"/>
      <c r="AT43" s="462"/>
      <c r="AU43" s="462"/>
      <c r="AV43" s="462"/>
      <c r="AW43" s="462"/>
      <c r="AX43" s="462"/>
      <c r="AY43" s="462"/>
      <c r="AZ43" s="462"/>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27/11/YYYY</v>
      </c>
    </row>
    <row r="62" spans="1:52" ht="24.95" customHeight="1" x14ac:dyDescent="0.2"/>
    <row r="63" spans="1:52" ht="24.95" customHeight="1" x14ac:dyDescent="0.25">
      <c r="AQ63" s="461" t="s">
        <v>1997</v>
      </c>
      <c r="AR63" s="461"/>
      <c r="AS63" s="461"/>
      <c r="AT63" s="461"/>
      <c r="AU63" s="461"/>
      <c r="AV63" s="461"/>
      <c r="AW63" s="461"/>
      <c r="AX63" s="461"/>
      <c r="AY63" s="461"/>
      <c r="AZ63" s="461"/>
    </row>
    <row r="64" spans="1:52" ht="24.95" customHeight="1" x14ac:dyDescent="0.2">
      <c r="AQ64" s="462" t="s">
        <v>2928</v>
      </c>
      <c r="AR64" s="462"/>
      <c r="AS64" s="462"/>
      <c r="AT64" s="462"/>
      <c r="AU64" s="462"/>
      <c r="AV64" s="462"/>
      <c r="AW64" s="462"/>
      <c r="AX64" s="462"/>
      <c r="AY64" s="462"/>
      <c r="AZ64" s="462"/>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31</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946</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45257</v>
      </c>
    </row>
    <row r="2" spans="1:16384" ht="21.95" customHeight="1" x14ac:dyDescent="0.2">
      <c r="B2" s="465" t="s">
        <v>393</v>
      </c>
      <c r="C2" s="465"/>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6</v>
      </c>
    </row>
    <row r="9" spans="1:16384" ht="21.95" customHeight="1" x14ac:dyDescent="0.2">
      <c r="B9" s="11" t="s">
        <v>568</v>
      </c>
      <c r="C9" s="11">
        <f ca="1">COUNTIFS(EXPEDIENTES!G:G,B9,EXPEDIENTES!O:O,"NO")</f>
        <v>7</v>
      </c>
    </row>
    <row r="10" spans="1:16384" ht="21.95" customHeight="1" x14ac:dyDescent="0.2">
      <c r="B10" s="11" t="s">
        <v>1441</v>
      </c>
      <c r="C10" s="11">
        <f ca="1">COUNTIFS(EXPEDIENTES!G:G,B10,EXPEDIENTES!O:O,"NO")</f>
        <v>8</v>
      </c>
    </row>
    <row r="11" spans="1:16384" s="115" customFormat="1" ht="21.95" customHeight="1" x14ac:dyDescent="0.2">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0</v>
      </c>
    </row>
    <row r="13" spans="1:16384" ht="21.95" customHeight="1" x14ac:dyDescent="0.2">
      <c r="B13" s="279" t="s">
        <v>2771</v>
      </c>
      <c r="C13" s="11">
        <f ca="1">COUNTIFS(EXPEDIENTES!G:G,B13,EXPEDIENTES!O:O,"NO")</f>
        <v>5</v>
      </c>
    </row>
    <row r="14" spans="1:16384" ht="21.95" customHeight="1" x14ac:dyDescent="0.2">
      <c r="B14" s="279" t="s">
        <v>2772</v>
      </c>
      <c r="C14" s="11">
        <f ca="1">COUNTIFS(EXPEDIENTES!G:G,B14,EXPEDIENTES!O:O,"NO")</f>
        <v>2</v>
      </c>
    </row>
    <row r="15" spans="1:16384" ht="27" customHeight="1" x14ac:dyDescent="0.2">
      <c r="B15" s="279" t="s">
        <v>2785</v>
      </c>
      <c r="C15" s="11">
        <f ca="1">COUNTIFS(EXPEDIENTES!G:G,B15,EXPEDIENTES!O:O,"NO")</f>
        <v>6</v>
      </c>
    </row>
    <row r="16" spans="1:16384" ht="21.95" customHeight="1" x14ac:dyDescent="0.2">
      <c r="B16" s="279" t="s">
        <v>2835</v>
      </c>
      <c r="C16" s="11">
        <f ca="1">COUNTIFS(EXPEDIENTES!G:G,B16,EXPEDIENTES!O:O,"NO")</f>
        <v>6</v>
      </c>
    </row>
    <row r="17" spans="2:12" ht="21.95" customHeight="1" x14ac:dyDescent="0.25">
      <c r="B17" s="279" t="s">
        <v>3361</v>
      </c>
      <c r="C17" s="11">
        <f ca="1">COUNTIFS(EXPEDIENTES!G:G,B17,EXPEDIENTES!O:O,"NO")</f>
        <v>4</v>
      </c>
    </row>
    <row r="18" spans="2:12" ht="21.95" customHeight="1" x14ac:dyDescent="0.25">
      <c r="B18" s="279" t="s">
        <v>3362</v>
      </c>
      <c r="C18" s="11">
        <f ca="1">COUNTIFS(EXPEDIENTES!G:G,B18,EXPEDIENTES!O:O,"NO")</f>
        <v>5</v>
      </c>
    </row>
    <row r="19" spans="2:12" ht="21.95" customHeight="1" x14ac:dyDescent="0.25">
      <c r="B19" s="279" t="s">
        <v>3679</v>
      </c>
      <c r="C19" s="11">
        <f ca="1">COUNTIFS(EXPEDIENTES!G:G,B19,EXPEDIENTES!O:O,"NO")</f>
        <v>3</v>
      </c>
    </row>
    <row r="20" spans="2:12" ht="21.95" customHeight="1" x14ac:dyDescent="0.25">
      <c r="B20" s="11" t="s">
        <v>2287</v>
      </c>
      <c r="C20" s="11">
        <f ca="1">H36+'Exp por Encargado - Alvaro'!C5</f>
        <v>0</v>
      </c>
    </row>
    <row r="21" spans="2:12" ht="21.95" customHeight="1" x14ac:dyDescent="0.25">
      <c r="B21" s="25" t="s">
        <v>372</v>
      </c>
      <c r="C21" s="224">
        <f ca="1">SUM(C4:C20)</f>
        <v>68</v>
      </c>
      <c r="F21" s="226"/>
      <c r="G21" s="226"/>
      <c r="H21" s="226"/>
      <c r="I21" s="226"/>
      <c r="J21" s="226"/>
      <c r="K21" s="226"/>
      <c r="L21" s="226"/>
    </row>
    <row r="22" spans="2:12" ht="21.95" customHeight="1" x14ac:dyDescent="0.25">
      <c r="B22" s="11" t="s">
        <v>628</v>
      </c>
      <c r="C22" s="11">
        <f>'no realizadas'!N10</f>
        <v>0</v>
      </c>
      <c r="F22" s="226"/>
      <c r="G22" s="226"/>
      <c r="H22" s="226"/>
      <c r="I22" s="226"/>
      <c r="J22" s="226"/>
      <c r="K22" s="226"/>
      <c r="L22" s="226"/>
    </row>
    <row r="23" spans="2:12" ht="21.95" customHeight="1" x14ac:dyDescent="0.25">
      <c r="F23" s="226"/>
      <c r="G23" s="276"/>
      <c r="H23" s="226"/>
      <c r="I23" s="226"/>
      <c r="J23" s="226"/>
      <c r="K23" s="226"/>
      <c r="L23" s="226"/>
    </row>
    <row r="24" spans="2:12" ht="21.95" customHeight="1" x14ac:dyDescent="0.25">
      <c r="F24" s="226"/>
      <c r="G24" s="276"/>
      <c r="H24" s="226"/>
      <c r="I24" s="226"/>
      <c r="J24" s="226"/>
      <c r="K24" s="226"/>
      <c r="L24" s="226"/>
    </row>
    <row r="25" spans="2:12" ht="21.95" customHeight="1" x14ac:dyDescent="0.25">
      <c r="F25" s="226"/>
      <c r="G25" s="1"/>
      <c r="H25" s="223">
        <f>COUNTIF(EXPEDIENTES!G:G,G25)</f>
        <v>0</v>
      </c>
      <c r="I25" s="226"/>
      <c r="J25" s="226"/>
      <c r="K25" s="226"/>
      <c r="L25" s="226"/>
    </row>
    <row r="26" spans="2:12" ht="21.95" customHeight="1" x14ac:dyDescent="0.25">
      <c r="F26" s="226"/>
      <c r="G26" s="1"/>
      <c r="H26" s="223">
        <f>COUNTIF(EXPEDIENTES!G:G,G26)</f>
        <v>0</v>
      </c>
      <c r="I26" s="226"/>
      <c r="J26" s="226"/>
      <c r="K26" s="226"/>
      <c r="L26" s="226"/>
    </row>
    <row r="27" spans="2:12" ht="21.95" customHeight="1" x14ac:dyDescent="0.25">
      <c r="F27" s="226"/>
      <c r="G27" s="276"/>
      <c r="H27" s="223">
        <f>COUNTIF(EXPEDIENTES!G:G,G27)</f>
        <v>0</v>
      </c>
      <c r="I27" s="226"/>
      <c r="J27" s="226"/>
      <c r="K27" s="226"/>
      <c r="L27" s="226"/>
    </row>
    <row r="28" spans="2:12" ht="21.95" customHeight="1" x14ac:dyDescent="0.25">
      <c r="B28" s="465" t="s">
        <v>448</v>
      </c>
      <c r="C28" s="465"/>
      <c r="F28" s="226"/>
      <c r="G28" s="24" t="s">
        <v>2286</v>
      </c>
      <c r="H28" s="223">
        <f>COUNTIF(EXPEDIENTES!G:G,G28)</f>
        <v>0</v>
      </c>
      <c r="I28" s="226"/>
      <c r="J28" s="226"/>
      <c r="K28" s="226"/>
      <c r="L28" s="226"/>
    </row>
    <row r="29" spans="2:12" ht="24.95" customHeight="1" x14ac:dyDescent="0.25">
      <c r="B29" s="13" t="s">
        <v>3</v>
      </c>
      <c r="C29" s="13" t="s">
        <v>362</v>
      </c>
      <c r="F29" s="226"/>
      <c r="G29" s="226"/>
      <c r="H29" s="223">
        <f>SUM(H25:H28)</f>
        <v>0</v>
      </c>
      <c r="I29" s="226"/>
      <c r="J29" s="226"/>
      <c r="K29" s="226"/>
      <c r="L29" s="226"/>
    </row>
    <row r="30" spans="2:12" ht="24.95" customHeight="1" x14ac:dyDescent="0.25">
      <c r="B30" s="11" t="s">
        <v>43</v>
      </c>
      <c r="C30" s="11">
        <f>COUNTIF(EXPEDIENTES!G:G,B30)</f>
        <v>109</v>
      </c>
      <c r="F30" s="226"/>
      <c r="G30" s="226"/>
      <c r="H30" s="226"/>
      <c r="I30" s="226"/>
      <c r="J30" s="226"/>
      <c r="K30" s="226"/>
      <c r="L30" s="226"/>
    </row>
    <row r="31" spans="2:12" ht="24.95" customHeight="1" x14ac:dyDescent="0.25">
      <c r="B31" s="11" t="s">
        <v>29</v>
      </c>
      <c r="C31" s="11">
        <f>COUNTIF(EXPEDIENTES!G:G,B31)</f>
        <v>91</v>
      </c>
      <c r="F31" s="226"/>
      <c r="G31" s="226" t="s">
        <v>2289</v>
      </c>
      <c r="H31" s="226"/>
      <c r="I31" s="226"/>
      <c r="J31" s="226"/>
      <c r="K31" s="226"/>
      <c r="L31" s="226"/>
    </row>
    <row r="32" spans="2:12" ht="21.95" customHeight="1" x14ac:dyDescent="0.25">
      <c r="B32" s="11" t="s">
        <v>283</v>
      </c>
      <c r="C32" s="11">
        <f>COUNTIF(EXPEDIENTES!G:G,B32)</f>
        <v>122</v>
      </c>
      <c r="D32" s="10"/>
      <c r="F32" s="226"/>
      <c r="G32" s="24" t="s">
        <v>1659</v>
      </c>
      <c r="H32" s="223">
        <f ca="1">COUNTIFS(EXPEDIENTES!G:G,G32,EXPEDIENTES!O:O,"NO")</f>
        <v>0</v>
      </c>
      <c r="I32" s="226"/>
      <c r="J32" s="226"/>
      <c r="K32" s="226"/>
      <c r="L32" s="226"/>
    </row>
    <row r="33" spans="2:12" ht="21.95" customHeight="1" x14ac:dyDescent="0.25">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5">
      <c r="B34" s="11" t="s">
        <v>1440</v>
      </c>
      <c r="C34" s="11">
        <f>COUNTIF(EXPEDIENTES!G:G,B34)</f>
        <v>134</v>
      </c>
      <c r="D34" s="10"/>
      <c r="F34" s="226"/>
      <c r="G34" s="24" t="s">
        <v>1740</v>
      </c>
      <c r="H34" s="223">
        <f ca="1">COUNTIFS(EXPEDIENTES!G:G,G34,EXPEDIENTES!O:O,"NO")</f>
        <v>0</v>
      </c>
      <c r="I34" s="226"/>
      <c r="J34" s="226"/>
      <c r="K34" s="226"/>
      <c r="L34" s="226"/>
    </row>
    <row r="35" spans="2:12" ht="21.95" customHeight="1" x14ac:dyDescent="0.25">
      <c r="B35" s="11" t="s">
        <v>568</v>
      </c>
      <c r="C35" s="11">
        <f>COUNTIF(EXPEDIENTES!G:G,B35)</f>
        <v>89</v>
      </c>
      <c r="D35" s="10"/>
      <c r="F35" s="226"/>
      <c r="G35" s="24" t="s">
        <v>2286</v>
      </c>
      <c r="H35" s="223">
        <f>COUNTIFS(EXPEDIENTES!G:G,G35,EXPEDIENTES!O:O,"NO")</f>
        <v>0</v>
      </c>
      <c r="I35" s="226"/>
      <c r="J35" s="226"/>
      <c r="K35" s="226"/>
      <c r="L35" s="226"/>
    </row>
    <row r="36" spans="2:12" ht="21.95" customHeight="1" x14ac:dyDescent="0.25">
      <c r="B36" s="11" t="s">
        <v>1441</v>
      </c>
      <c r="C36" s="11">
        <f>COUNTIF(EXPEDIENTES!G:G,B36)</f>
        <v>81</v>
      </c>
      <c r="F36" s="226"/>
      <c r="G36" s="226"/>
      <c r="H36" s="223">
        <f ca="1">SUM(H32:H35)</f>
        <v>0</v>
      </c>
      <c r="I36" s="226"/>
      <c r="J36" s="226"/>
      <c r="K36" s="226"/>
      <c r="L36" s="226"/>
    </row>
    <row r="37" spans="2:12" ht="21.95" customHeight="1" x14ac:dyDescent="0.25">
      <c r="B37" s="11" t="s">
        <v>1442</v>
      </c>
      <c r="C37" s="11">
        <f>COUNTIF(EXPEDIENTES!G:G,B37)</f>
        <v>83</v>
      </c>
      <c r="F37" s="226"/>
      <c r="G37" s="226"/>
      <c r="H37" s="226"/>
      <c r="I37" s="226"/>
      <c r="J37" s="226"/>
      <c r="K37" s="226"/>
      <c r="L37" s="226"/>
    </row>
    <row r="38" spans="2:12" ht="21.95" customHeight="1" x14ac:dyDescent="0.25">
      <c r="B38" s="11" t="s">
        <v>2287</v>
      </c>
      <c r="C38" s="11">
        <f>H29+'Exp por Encargado - Alvaro'!C17</f>
        <v>34</v>
      </c>
      <c r="F38" s="226"/>
      <c r="G38" s="226" t="s">
        <v>2288</v>
      </c>
      <c r="H38" s="226"/>
      <c r="I38" s="226"/>
      <c r="J38" s="226"/>
      <c r="K38" s="226"/>
      <c r="L38" s="226"/>
    </row>
    <row r="39" spans="2:12" ht="21.95" customHeight="1" x14ac:dyDescent="0.25">
      <c r="B39" s="11" t="s">
        <v>450</v>
      </c>
      <c r="C39" s="11">
        <f>'no realizadas'!N10</f>
        <v>0</v>
      </c>
      <c r="F39" s="226"/>
      <c r="G39" s="24" t="s">
        <v>1659</v>
      </c>
      <c r="H39" s="223">
        <f ca="1">COUNTIFS(EXPEDIENTES!G:G,G39,EXPEDIENTES!O:O,"SI")</f>
        <v>5</v>
      </c>
      <c r="I39" s="226"/>
      <c r="J39" s="226"/>
      <c r="K39" s="226"/>
      <c r="L39" s="226"/>
    </row>
    <row r="40" spans="2:12" ht="21.95" customHeight="1" x14ac:dyDescent="0.25">
      <c r="B40" s="277" t="s">
        <v>370</v>
      </c>
      <c r="C40" s="28">
        <f>SUM(C30:C39)</f>
        <v>821</v>
      </c>
      <c r="F40" s="226"/>
      <c r="G40" s="24" t="s">
        <v>1661</v>
      </c>
      <c r="H40" s="223">
        <f ca="1">COUNTIFS(EXPEDIENTES!G:G,G40,EXPEDIENTES!O:O,"SI")</f>
        <v>6</v>
      </c>
      <c r="I40" s="226"/>
      <c r="J40" s="226"/>
      <c r="K40" s="226"/>
      <c r="L40" s="226"/>
    </row>
    <row r="41" spans="2:12" ht="21.95" customHeight="1" x14ac:dyDescent="0.25">
      <c r="F41" s="226"/>
      <c r="G41" s="24" t="s">
        <v>1740</v>
      </c>
      <c r="H41" s="223">
        <f ca="1">COUNTIFS(EXPEDIENTES!G:G,G41,EXPEDIENTES!O:O,"SI")</f>
        <v>3</v>
      </c>
      <c r="I41" s="226"/>
      <c r="J41" s="226"/>
      <c r="K41" s="226"/>
      <c r="L41" s="226"/>
    </row>
    <row r="42" spans="2:12" ht="18.75" customHeight="1" x14ac:dyDescent="0.25">
      <c r="B42" s="278" t="s">
        <v>449</v>
      </c>
      <c r="C42" s="278"/>
      <c r="F42" s="226"/>
      <c r="G42" s="24" t="s">
        <v>2286</v>
      </c>
      <c r="H42" s="223">
        <f>COUNTIFS(EXPEDIENTES!G:G,G42,EXPEDIENTES!O:O,"SI")</f>
        <v>0</v>
      </c>
      <c r="I42" s="226"/>
      <c r="J42" s="226"/>
      <c r="K42" s="226"/>
      <c r="L42" s="226"/>
    </row>
    <row r="43" spans="2:12" ht="24.75" customHeight="1" x14ac:dyDescent="0.25">
      <c r="B43" s="13" t="s">
        <v>3</v>
      </c>
      <c r="C43" s="13" t="s">
        <v>362</v>
      </c>
      <c r="F43" s="226"/>
      <c r="G43" s="226"/>
      <c r="H43" s="223">
        <f ca="1">SUM(H39:H42)</f>
        <v>14</v>
      </c>
      <c r="I43" s="226"/>
      <c r="J43" s="226"/>
      <c r="K43" s="226"/>
      <c r="L43" s="226"/>
    </row>
    <row r="44" spans="2:12" ht="18.75" customHeight="1" x14ac:dyDescent="0.25">
      <c r="B44" s="11" t="s">
        <v>43</v>
      </c>
      <c r="C44" s="11">
        <f ca="1">COUNTIFS(EXPEDIENTES!G:G,B44,EXPEDIENTES!O:O,"SI")</f>
        <v>106</v>
      </c>
      <c r="F44" s="226"/>
      <c r="G44" s="226"/>
      <c r="H44" s="226"/>
      <c r="I44" s="226"/>
      <c r="J44" s="226"/>
      <c r="K44" s="226"/>
      <c r="L44" s="226"/>
    </row>
    <row r="45" spans="2:12" ht="28.5" customHeight="1" x14ac:dyDescent="0.25">
      <c r="B45" s="11" t="s">
        <v>29</v>
      </c>
      <c r="C45" s="11">
        <f ca="1">COUNTIFS(EXPEDIENTES!G:G,B45,EXPEDIENTES!O:O,"SI")</f>
        <v>90</v>
      </c>
      <c r="F45" s="226"/>
      <c r="G45" s="226"/>
      <c r="H45" s="226"/>
      <c r="I45" s="226"/>
      <c r="J45" s="226"/>
      <c r="K45" s="226"/>
      <c r="L45" s="226"/>
    </row>
    <row r="46" spans="2:12" ht="28.5" customHeight="1" x14ac:dyDescent="0.25">
      <c r="B46" s="11" t="s">
        <v>283</v>
      </c>
      <c r="C46" s="11">
        <f ca="1">COUNTIFS(EXPEDIENTES!G:G,B46,EXPEDIENTES!O:O,"SI")</f>
        <v>116</v>
      </c>
      <c r="F46" s="226"/>
      <c r="G46" s="226"/>
      <c r="H46" s="226"/>
      <c r="I46" s="226"/>
      <c r="J46" s="226"/>
      <c r="K46" s="226"/>
      <c r="L46" s="226"/>
    </row>
    <row r="47" spans="2:12" ht="34.5" customHeight="1" x14ac:dyDescent="0.25">
      <c r="B47" s="11" t="s">
        <v>32</v>
      </c>
      <c r="C47" s="11">
        <f ca="1">COUNTIFS(EXPEDIENTES!G:G,B47,EXPEDIENTES!O:O,"SI")</f>
        <v>78</v>
      </c>
      <c r="F47" s="226"/>
      <c r="G47" s="226"/>
      <c r="H47" s="226"/>
      <c r="I47" s="226"/>
      <c r="J47" s="226"/>
      <c r="K47" s="226"/>
      <c r="L47" s="226"/>
    </row>
    <row r="48" spans="2:12" x14ac:dyDescent="0.25">
      <c r="B48" s="11" t="s">
        <v>1440</v>
      </c>
      <c r="C48" s="11">
        <f ca="1">COUNTIFS(EXPEDIENTES!G:G,B48,EXPEDIENTES!O:O,"SI")</f>
        <v>127</v>
      </c>
      <c r="F48" s="226"/>
      <c r="G48" s="226"/>
      <c r="H48" s="226"/>
      <c r="I48" s="226"/>
      <c r="J48" s="226"/>
      <c r="K48" s="226"/>
      <c r="L48" s="226"/>
    </row>
    <row r="49" spans="2:12" x14ac:dyDescent="0.25">
      <c r="B49" s="11" t="s">
        <v>568</v>
      </c>
      <c r="C49" s="11">
        <f ca="1">COUNTIFS(EXPEDIENTES!G:G,B49,EXPEDIENTES!O:O,"SI")</f>
        <v>82</v>
      </c>
      <c r="F49" s="226"/>
      <c r="G49" s="226"/>
      <c r="H49" s="226"/>
      <c r="I49" s="226"/>
      <c r="J49" s="226"/>
      <c r="K49" s="226"/>
      <c r="L49" s="226"/>
    </row>
    <row r="50" spans="2:12" x14ac:dyDescent="0.25">
      <c r="B50" s="11" t="s">
        <v>1441</v>
      </c>
      <c r="C50" s="11">
        <f ca="1">COUNTIFS(EXPEDIENTES!G:G,B50,EXPEDIENTES!O:O,"SI")</f>
        <v>73</v>
      </c>
      <c r="F50" s="226"/>
      <c r="G50" s="226"/>
      <c r="H50" s="226"/>
      <c r="I50" s="226"/>
      <c r="J50" s="226"/>
      <c r="K50" s="226"/>
      <c r="L50" s="226"/>
    </row>
    <row r="51" spans="2:12" x14ac:dyDescent="0.25">
      <c r="B51" s="11" t="s">
        <v>1442</v>
      </c>
      <c r="C51" s="11">
        <f ca="1">COUNTIFS(EXPEDIENTES!G:G,B51,EXPEDIENTES!O:O,"SI")</f>
        <v>76</v>
      </c>
      <c r="F51" s="226"/>
      <c r="G51" s="226"/>
      <c r="H51" s="226"/>
      <c r="I51" s="226"/>
      <c r="J51" s="226"/>
      <c r="K51" s="226"/>
      <c r="L51" s="226"/>
    </row>
    <row r="52" spans="2:12" x14ac:dyDescent="0.25">
      <c r="B52" s="79" t="s">
        <v>2287</v>
      </c>
      <c r="C52" s="11">
        <f ca="1">H43+'Exp por Encargado - Alvaro'!C29</f>
        <v>48</v>
      </c>
      <c r="F52" s="226"/>
      <c r="G52" s="226"/>
      <c r="H52" s="226"/>
      <c r="I52" s="226"/>
      <c r="J52" s="226"/>
      <c r="K52" s="226"/>
      <c r="L52" s="226"/>
    </row>
    <row r="53" spans="2:12" ht="15.75" x14ac:dyDescent="0.25">
      <c r="B53" s="277" t="s">
        <v>371</v>
      </c>
      <c r="C53" s="28">
        <f ca="1">SUM(C44:C52)</f>
        <v>796</v>
      </c>
      <c r="F53" s="226"/>
      <c r="G53" s="226"/>
      <c r="H53" s="226"/>
      <c r="I53" s="226"/>
      <c r="J53" s="226"/>
      <c r="K53" s="226"/>
      <c r="L53" s="226"/>
    </row>
    <row r="54" spans="2:12" x14ac:dyDescent="0.25">
      <c r="F54" s="226"/>
      <c r="G54" s="226"/>
      <c r="H54" s="226"/>
      <c r="I54" s="226"/>
      <c r="J54" s="226"/>
      <c r="K54" s="226"/>
      <c r="L54" s="226"/>
    </row>
    <row r="55" spans="2:12" x14ac:dyDescent="0.25">
      <c r="F55" s="226"/>
      <c r="G55" s="226"/>
      <c r="H55" s="226"/>
      <c r="I55" s="226"/>
      <c r="J55" s="226"/>
      <c r="K55" s="226"/>
      <c r="L55" s="226"/>
    </row>
    <row r="56" spans="2:12" x14ac:dyDescent="0.25">
      <c r="F56" s="226"/>
      <c r="G56" s="226"/>
      <c r="H56" s="226"/>
      <c r="I56" s="226"/>
      <c r="J56" s="226"/>
      <c r="K56" s="226"/>
      <c r="L56" s="226"/>
    </row>
    <row r="57" spans="2:12" x14ac:dyDescent="0.25">
      <c r="F57" s="226"/>
      <c r="G57" s="226"/>
      <c r="H57" s="226"/>
      <c r="I57" s="226"/>
      <c r="J57" s="226"/>
      <c r="K57" s="226"/>
      <c r="L57" s="226"/>
    </row>
    <row r="58" spans="2:12" x14ac:dyDescent="0.25">
      <c r="F58" s="226"/>
      <c r="G58" s="226"/>
      <c r="H58" s="226"/>
      <c r="I58" s="226"/>
      <c r="J58" s="226"/>
      <c r="K58" s="226"/>
      <c r="L58" s="226"/>
    </row>
    <row r="59" spans="2:12" x14ac:dyDescent="0.25">
      <c r="F59" s="226"/>
      <c r="G59" s="226"/>
      <c r="H59" s="226"/>
      <c r="I59" s="226"/>
      <c r="J59" s="226"/>
      <c r="K59" s="226"/>
      <c r="L59" s="226"/>
    </row>
    <row r="60" spans="2:12" x14ac:dyDescent="0.25">
      <c r="F60" s="226"/>
      <c r="G60" s="226"/>
      <c r="H60" s="226"/>
      <c r="I60" s="226"/>
      <c r="J60" s="226"/>
      <c r="K60" s="226"/>
      <c r="L60" s="226"/>
    </row>
    <row r="61" spans="2:12" x14ac:dyDescent="0.25">
      <c r="F61" s="226"/>
      <c r="G61" s="226"/>
      <c r="H61" s="226"/>
      <c r="I61" s="226"/>
      <c r="J61" s="226"/>
      <c r="K61" s="226"/>
      <c r="L61" s="226"/>
    </row>
    <row r="62" spans="2:12" x14ac:dyDescent="0.25">
      <c r="F62" s="226"/>
      <c r="G62" s="226"/>
      <c r="H62" s="226"/>
      <c r="I62" s="226"/>
      <c r="J62" s="226"/>
      <c r="K62" s="226"/>
      <c r="L62" s="226"/>
    </row>
    <row r="63" spans="2:12" x14ac:dyDescent="0.25">
      <c r="F63" s="226"/>
      <c r="G63" s="226"/>
      <c r="H63" s="226"/>
      <c r="I63" s="226"/>
      <c r="J63" s="226"/>
      <c r="K63" s="226"/>
      <c r="L63" s="226"/>
    </row>
    <row r="64" spans="2:12" x14ac:dyDescent="0.25">
      <c r="F64" s="226"/>
      <c r="G64" s="226"/>
      <c r="H64" s="226"/>
      <c r="I64" s="226"/>
      <c r="J64" s="226"/>
      <c r="K64" s="226"/>
      <c r="L64" s="226"/>
    </row>
    <row r="65" spans="6:12" x14ac:dyDescent="0.25">
      <c r="F65" s="226"/>
      <c r="G65" s="226"/>
      <c r="H65" s="226"/>
      <c r="I65" s="226"/>
      <c r="J65" s="226"/>
      <c r="K65" s="226"/>
      <c r="L65" s="226"/>
    </row>
    <row r="66" spans="6:12" x14ac:dyDescent="0.25">
      <c r="F66" s="226"/>
      <c r="G66" s="226"/>
      <c r="H66" s="226"/>
      <c r="I66" s="226"/>
      <c r="J66" s="226"/>
      <c r="K66" s="226"/>
      <c r="L66" s="226"/>
    </row>
    <row r="67" spans="6:12" x14ac:dyDescent="0.25">
      <c r="F67" s="226"/>
      <c r="G67" s="226"/>
      <c r="H67" s="226"/>
      <c r="I67" s="226"/>
      <c r="J67" s="226"/>
      <c r="K67" s="226"/>
      <c r="L67" s="226"/>
    </row>
    <row r="68" spans="6:12" x14ac:dyDescent="0.25">
      <c r="F68" s="226"/>
      <c r="G68" s="226"/>
      <c r="H68" s="226"/>
      <c r="I68" s="226"/>
      <c r="J68" s="226"/>
      <c r="K68" s="226"/>
      <c r="L68" s="226"/>
    </row>
    <row r="69" spans="6:12" x14ac:dyDescent="0.25">
      <c r="F69" s="226"/>
      <c r="G69" s="226"/>
      <c r="H69" s="226"/>
      <c r="I69" s="226"/>
      <c r="J69" s="226"/>
      <c r="K69" s="226"/>
      <c r="L69" s="226"/>
    </row>
    <row r="70" spans="6:12" x14ac:dyDescent="0.25">
      <c r="F70" s="226"/>
      <c r="G70" s="226"/>
      <c r="H70" s="226"/>
      <c r="I70" s="226"/>
      <c r="J70" s="226"/>
      <c r="K70" s="226"/>
      <c r="L70" s="226"/>
    </row>
    <row r="71" spans="6:12" x14ac:dyDescent="0.25">
      <c r="F71" s="226"/>
      <c r="G71" s="226"/>
      <c r="H71" s="226"/>
      <c r="I71" s="226"/>
      <c r="J71" s="226"/>
      <c r="K71" s="226"/>
      <c r="L71" s="226"/>
    </row>
    <row r="72" spans="6:12" x14ac:dyDescent="0.25">
      <c r="F72" s="226"/>
      <c r="G72" s="226"/>
      <c r="H72" s="226"/>
      <c r="I72" s="226"/>
      <c r="J72" s="226"/>
      <c r="K72" s="226"/>
      <c r="L72" s="226"/>
    </row>
    <row r="73" spans="6:12" x14ac:dyDescent="0.25">
      <c r="F73" s="226"/>
      <c r="G73" s="226"/>
      <c r="H73" s="226"/>
      <c r="I73" s="226"/>
      <c r="J73" s="226"/>
      <c r="K73" s="226"/>
      <c r="L73" s="226"/>
    </row>
    <row r="74" spans="6:12" x14ac:dyDescent="0.25">
      <c r="F74" s="226"/>
      <c r="G74" s="226"/>
      <c r="H74" s="226"/>
      <c r="I74" s="226"/>
      <c r="J74" s="226"/>
      <c r="K74" s="226"/>
      <c r="L74" s="226"/>
    </row>
    <row r="75" spans="6:12" x14ac:dyDescent="0.25">
      <c r="F75" s="226"/>
      <c r="G75" s="226"/>
      <c r="H75" s="226"/>
      <c r="I75" s="226"/>
      <c r="J75" s="226"/>
      <c r="K75" s="226"/>
      <c r="L75" s="226"/>
    </row>
    <row r="76" spans="6:12" x14ac:dyDescent="0.25">
      <c r="F76" s="226"/>
      <c r="G76" s="226"/>
      <c r="H76" s="226"/>
      <c r="I76" s="226"/>
      <c r="J76" s="226"/>
      <c r="K76" s="226"/>
      <c r="L76" s="226"/>
    </row>
    <row r="77" spans="6:12" x14ac:dyDescent="0.25">
      <c r="F77" s="226"/>
      <c r="G77" s="226"/>
      <c r="H77" s="226"/>
      <c r="I77" s="226"/>
      <c r="J77" s="226"/>
      <c r="K77" s="226"/>
      <c r="L77" s="226"/>
    </row>
    <row r="78" spans="6:12" x14ac:dyDescent="0.25">
      <c r="F78" s="226"/>
      <c r="G78" s="226"/>
      <c r="H78" s="226"/>
      <c r="I78" s="226"/>
      <c r="J78" s="226"/>
      <c r="K78" s="226"/>
      <c r="L78" s="226"/>
    </row>
    <row r="79" spans="6:12" x14ac:dyDescent="0.25">
      <c r="F79" s="226"/>
      <c r="G79" s="226"/>
      <c r="H79" s="226"/>
      <c r="I79" s="226"/>
      <c r="J79" s="226"/>
      <c r="K79" s="226"/>
      <c r="L79" s="226"/>
    </row>
    <row r="80" spans="6:12" x14ac:dyDescent="0.25">
      <c r="F80" s="226"/>
      <c r="G80" s="226"/>
      <c r="H80" s="226"/>
      <c r="I80" s="226"/>
      <c r="J80" s="226"/>
      <c r="K80" s="226"/>
      <c r="L80" s="226"/>
    </row>
    <row r="81" spans="6:12" x14ac:dyDescent="0.25">
      <c r="F81" s="226"/>
      <c r="G81" s="226"/>
      <c r="H81" s="226"/>
      <c r="I81" s="226"/>
      <c r="J81" s="226"/>
      <c r="K81" s="226"/>
      <c r="L81" s="226"/>
    </row>
    <row r="82" spans="6:12" x14ac:dyDescent="0.25">
      <c r="F82" s="226"/>
      <c r="G82" s="226"/>
      <c r="H82" s="226"/>
      <c r="I82" s="226"/>
      <c r="J82" s="226"/>
      <c r="K82" s="226"/>
      <c r="L82" s="226"/>
    </row>
    <row r="83" spans="6:12" x14ac:dyDescent="0.25">
      <c r="F83" s="226"/>
      <c r="G83" s="226"/>
      <c r="H83" s="226"/>
      <c r="I83" s="226"/>
      <c r="J83" s="226"/>
      <c r="K83" s="226"/>
      <c r="L83" s="226"/>
    </row>
    <row r="84" spans="6:12" x14ac:dyDescent="0.25">
      <c r="F84" s="226"/>
      <c r="G84" s="226"/>
      <c r="H84" s="226"/>
      <c r="I84" s="226"/>
      <c r="J84" s="226"/>
      <c r="K84" s="226"/>
      <c r="L84" s="226"/>
    </row>
    <row r="85" spans="6:12" x14ac:dyDescent="0.25">
      <c r="F85" s="226"/>
      <c r="G85" s="226"/>
      <c r="H85" s="226"/>
      <c r="I85" s="226"/>
      <c r="J85" s="226"/>
      <c r="K85" s="226"/>
      <c r="L85" s="226"/>
    </row>
    <row r="86" spans="6:12" x14ac:dyDescent="0.25">
      <c r="F86" s="226"/>
      <c r="G86" s="226"/>
      <c r="H86" s="226"/>
      <c r="I86" s="226"/>
      <c r="J86" s="226"/>
      <c r="K86" s="226"/>
      <c r="L86" s="226"/>
    </row>
    <row r="87" spans="6:12" x14ac:dyDescent="0.25">
      <c r="F87" s="226"/>
      <c r="G87" s="226"/>
      <c r="H87" s="226"/>
      <c r="I87" s="226"/>
      <c r="J87" s="226"/>
      <c r="K87" s="226"/>
      <c r="L87" s="226"/>
    </row>
    <row r="88" spans="6:12" x14ac:dyDescent="0.25">
      <c r="F88" s="226"/>
      <c r="G88" s="226"/>
      <c r="H88" s="226"/>
      <c r="I88" s="226"/>
      <c r="J88" s="226"/>
      <c r="K88" s="226"/>
      <c r="L88" s="226"/>
    </row>
    <row r="89" spans="6:12" x14ac:dyDescent="0.25">
      <c r="F89" s="226"/>
      <c r="G89" s="226"/>
      <c r="H89" s="226"/>
      <c r="I89" s="226"/>
      <c r="J89" s="226"/>
      <c r="K89" s="226"/>
      <c r="L89" s="226"/>
    </row>
    <row r="90" spans="6:12" x14ac:dyDescent="0.25">
      <c r="F90" s="226"/>
      <c r="G90" s="226"/>
      <c r="H90" s="226"/>
      <c r="I90" s="226"/>
      <c r="J90" s="226"/>
      <c r="K90" s="226"/>
      <c r="L90" s="226"/>
    </row>
    <row r="91" spans="6:12" x14ac:dyDescent="0.25">
      <c r="F91" s="226"/>
      <c r="G91" s="226"/>
      <c r="H91" s="226"/>
      <c r="I91" s="226"/>
      <c r="J91" s="226"/>
      <c r="K91" s="226"/>
      <c r="L91" s="226"/>
    </row>
    <row r="92" spans="6:12" x14ac:dyDescent="0.25">
      <c r="F92" s="226"/>
      <c r="G92" s="226"/>
      <c r="H92" s="226"/>
      <c r="I92" s="226"/>
      <c r="J92" s="226"/>
      <c r="K92" s="226"/>
      <c r="L92" s="226"/>
    </row>
    <row r="93" spans="6:12" x14ac:dyDescent="0.25">
      <c r="F93" s="226"/>
      <c r="G93" s="226"/>
      <c r="H93" s="226"/>
      <c r="I93" s="226"/>
      <c r="J93" s="226"/>
      <c r="K93" s="226"/>
      <c r="L93" s="226"/>
    </row>
    <row r="94" spans="6:12" x14ac:dyDescent="0.25">
      <c r="F94" s="226"/>
      <c r="G94" s="226"/>
      <c r="H94" s="226"/>
      <c r="I94" s="226"/>
      <c r="J94" s="226"/>
      <c r="K94" s="226"/>
      <c r="L94" s="226"/>
    </row>
    <row r="95" spans="6:12" x14ac:dyDescent="0.25">
      <c r="F95" s="226"/>
      <c r="G95" s="226"/>
      <c r="H95" s="226"/>
      <c r="I95" s="226"/>
      <c r="J95" s="226"/>
      <c r="K95" s="226"/>
      <c r="L95" s="226"/>
    </row>
    <row r="96" spans="6:12" x14ac:dyDescent="0.25">
      <c r="F96" s="226"/>
      <c r="G96" s="226"/>
      <c r="H96" s="226"/>
      <c r="I96" s="226"/>
      <c r="J96" s="226"/>
      <c r="K96" s="226"/>
      <c r="L96" s="226"/>
    </row>
    <row r="97" spans="6:12" x14ac:dyDescent="0.25">
      <c r="F97" s="226"/>
      <c r="G97" s="226"/>
      <c r="H97" s="226"/>
      <c r="I97" s="226"/>
      <c r="J97" s="226"/>
      <c r="K97" s="226"/>
      <c r="L97" s="226"/>
    </row>
    <row r="98" spans="6:12" x14ac:dyDescent="0.25">
      <c r="F98" s="226"/>
      <c r="G98" s="226"/>
      <c r="H98" s="226"/>
      <c r="I98" s="226"/>
      <c r="J98" s="226"/>
      <c r="K98" s="226"/>
      <c r="L98" s="226"/>
    </row>
    <row r="99" spans="6:12" x14ac:dyDescent="0.25">
      <c r="F99" s="226"/>
      <c r="G99" s="226"/>
      <c r="H99" s="226"/>
      <c r="I99" s="226"/>
      <c r="J99" s="226"/>
      <c r="K99" s="226"/>
      <c r="L99" s="226"/>
    </row>
    <row r="100" spans="6:12" x14ac:dyDescent="0.25">
      <c r="F100" s="226"/>
      <c r="G100" s="226"/>
      <c r="H100" s="226"/>
      <c r="I100" s="226"/>
      <c r="J100" s="226"/>
      <c r="K100" s="226"/>
      <c r="L100" s="226"/>
    </row>
    <row r="101" spans="6:12" x14ac:dyDescent="0.25">
      <c r="F101" s="226"/>
      <c r="G101" s="226"/>
      <c r="H101" s="226"/>
      <c r="I101" s="226"/>
      <c r="J101" s="226"/>
      <c r="K101" s="226"/>
      <c r="L101" s="226"/>
    </row>
    <row r="102" spans="6:12" x14ac:dyDescent="0.25">
      <c r="F102" s="226"/>
      <c r="G102" s="226"/>
      <c r="H102" s="226"/>
      <c r="I102" s="226"/>
      <c r="J102" s="226"/>
      <c r="K102" s="226"/>
      <c r="L102" s="226"/>
    </row>
    <row r="103" spans="6:12" x14ac:dyDescent="0.25">
      <c r="F103" s="226"/>
      <c r="G103" s="226"/>
      <c r="H103" s="226"/>
      <c r="I103" s="226"/>
      <c r="J103" s="226"/>
      <c r="K103" s="226"/>
      <c r="L103" s="226"/>
    </row>
    <row r="104" spans="6:12" x14ac:dyDescent="0.25">
      <c r="F104" s="226"/>
      <c r="G104" s="226"/>
      <c r="H104" s="226"/>
      <c r="I104" s="226"/>
      <c r="J104" s="226"/>
      <c r="K104" s="226"/>
      <c r="L104" s="226"/>
    </row>
    <row r="105" spans="6:12" x14ac:dyDescent="0.25">
      <c r="F105" s="226"/>
      <c r="G105" s="226"/>
      <c r="H105" s="226"/>
      <c r="I105" s="226"/>
      <c r="J105" s="226"/>
      <c r="K105" s="226"/>
      <c r="L105" s="226"/>
    </row>
    <row r="106" spans="6:12" x14ac:dyDescent="0.25">
      <c r="F106" s="226"/>
      <c r="G106" s="226"/>
      <c r="H106" s="226"/>
      <c r="I106" s="226"/>
      <c r="J106" s="226"/>
      <c r="K106" s="226"/>
      <c r="L106" s="226"/>
    </row>
    <row r="107" spans="6:12" x14ac:dyDescent="0.25">
      <c r="F107" s="226"/>
      <c r="G107" s="226"/>
      <c r="H107" s="226"/>
      <c r="I107" s="226"/>
      <c r="J107" s="226"/>
      <c r="K107" s="226"/>
      <c r="L107" s="226"/>
    </row>
    <row r="108" spans="6:12" x14ac:dyDescent="0.25">
      <c r="F108" s="226"/>
      <c r="G108" s="226"/>
      <c r="H108" s="226"/>
      <c r="I108" s="226"/>
      <c r="J108" s="226"/>
      <c r="K108" s="226"/>
      <c r="L108" s="226"/>
    </row>
    <row r="109" spans="6:12" x14ac:dyDescent="0.25">
      <c r="F109" s="226"/>
      <c r="G109" s="226"/>
      <c r="H109" s="226"/>
      <c r="I109" s="226"/>
      <c r="J109" s="226"/>
      <c r="K109" s="226"/>
      <c r="L109" s="226"/>
    </row>
    <row r="110" spans="6:12" x14ac:dyDescent="0.25">
      <c r="F110" s="226"/>
      <c r="G110" s="226"/>
      <c r="H110" s="226"/>
      <c r="I110" s="226"/>
      <c r="J110" s="226"/>
      <c r="K110" s="226"/>
      <c r="L110" s="226"/>
    </row>
    <row r="111" spans="6:12" x14ac:dyDescent="0.25">
      <c r="F111" s="226"/>
      <c r="G111" s="226"/>
      <c r="H111" s="226"/>
      <c r="I111" s="226"/>
      <c r="J111" s="226"/>
      <c r="K111" s="226"/>
      <c r="L111" s="226"/>
    </row>
    <row r="112" spans="6:12" x14ac:dyDescent="0.25">
      <c r="F112" s="226"/>
      <c r="G112" s="226"/>
      <c r="H112" s="226"/>
      <c r="I112" s="226"/>
      <c r="J112" s="226"/>
      <c r="K112" s="226"/>
      <c r="L112" s="226"/>
    </row>
    <row r="113" spans="6:12" x14ac:dyDescent="0.25">
      <c r="F113" s="226"/>
      <c r="G113" s="226"/>
      <c r="H113" s="226"/>
      <c r="I113" s="226"/>
      <c r="J113" s="226"/>
      <c r="K113" s="226"/>
      <c r="L113" s="226"/>
    </row>
    <row r="114" spans="6:12" x14ac:dyDescent="0.25">
      <c r="F114" s="226"/>
      <c r="G114" s="226"/>
      <c r="H114" s="226"/>
      <c r="I114" s="226"/>
      <c r="J114" s="226"/>
      <c r="K114" s="226"/>
      <c r="L114" s="226"/>
    </row>
    <row r="115" spans="6:12" x14ac:dyDescent="0.25">
      <c r="F115" s="226"/>
      <c r="G115" s="226"/>
      <c r="H115" s="226"/>
      <c r="I115" s="226"/>
      <c r="J115" s="226"/>
      <c r="K115" s="226"/>
      <c r="L115" s="226"/>
    </row>
    <row r="116" spans="6:12" x14ac:dyDescent="0.25">
      <c r="F116" s="226"/>
      <c r="G116" s="226"/>
      <c r="H116" s="226"/>
      <c r="I116" s="226"/>
      <c r="J116" s="226"/>
      <c r="K116" s="226"/>
      <c r="L116" s="226"/>
    </row>
    <row r="117" spans="6:12" x14ac:dyDescent="0.25">
      <c r="F117" s="226"/>
      <c r="G117" s="226"/>
      <c r="H117" s="226"/>
      <c r="I117" s="226"/>
      <c r="J117" s="226"/>
      <c r="K117" s="226"/>
      <c r="L117" s="226"/>
    </row>
    <row r="118" spans="6:12" x14ac:dyDescent="0.25">
      <c r="F118" s="226"/>
      <c r="G118" s="226"/>
      <c r="H118" s="226"/>
      <c r="I118" s="226"/>
      <c r="J118" s="226"/>
      <c r="K118" s="226"/>
      <c r="L118" s="226"/>
    </row>
    <row r="119" spans="6:12" x14ac:dyDescent="0.25">
      <c r="F119" s="226"/>
      <c r="G119" s="226"/>
      <c r="H119" s="226"/>
      <c r="I119" s="226"/>
      <c r="J119" s="226"/>
      <c r="K119" s="226"/>
      <c r="L119" s="226"/>
    </row>
    <row r="120" spans="6:12" x14ac:dyDescent="0.25">
      <c r="F120" s="226"/>
      <c r="G120" s="226"/>
      <c r="H120" s="226"/>
      <c r="I120" s="226"/>
      <c r="J120" s="226"/>
      <c r="K120" s="226"/>
      <c r="L120" s="226"/>
    </row>
    <row r="121" spans="6:12" x14ac:dyDescent="0.25">
      <c r="F121" s="226"/>
      <c r="G121" s="226"/>
      <c r="H121" s="226"/>
      <c r="I121" s="226"/>
      <c r="J121" s="226"/>
      <c r="K121" s="226"/>
      <c r="L121" s="226"/>
    </row>
    <row r="122" spans="6:12" x14ac:dyDescent="0.25">
      <c r="F122" s="226"/>
      <c r="G122" s="226"/>
      <c r="H122" s="226"/>
      <c r="I122" s="226"/>
      <c r="J122" s="226"/>
      <c r="K122" s="226"/>
      <c r="L122" s="226"/>
    </row>
    <row r="123" spans="6:12" x14ac:dyDescent="0.25">
      <c r="F123" s="226"/>
      <c r="G123" s="226"/>
      <c r="H123" s="226"/>
      <c r="I123" s="226"/>
      <c r="J123" s="226"/>
      <c r="K123" s="226"/>
      <c r="L123" s="226"/>
    </row>
    <row r="124" spans="6:12" x14ac:dyDescent="0.25">
      <c r="F124" s="226"/>
      <c r="G124" s="226"/>
      <c r="H124" s="226"/>
      <c r="I124" s="226"/>
      <c r="J124" s="226"/>
      <c r="K124" s="226"/>
      <c r="L124" s="226"/>
    </row>
    <row r="125" spans="6:12" x14ac:dyDescent="0.25">
      <c r="F125" s="226"/>
      <c r="G125" s="226"/>
      <c r="H125" s="226"/>
      <c r="I125" s="226"/>
      <c r="J125" s="226"/>
      <c r="K125" s="226"/>
      <c r="L125" s="226"/>
    </row>
    <row r="126" spans="6:12" x14ac:dyDescent="0.25">
      <c r="F126" s="226"/>
      <c r="G126" s="226"/>
      <c r="H126" s="226"/>
      <c r="I126" s="226"/>
      <c r="J126" s="226"/>
      <c r="K126" s="226"/>
      <c r="L126" s="226"/>
    </row>
    <row r="127" spans="6:12" x14ac:dyDescent="0.25">
      <c r="F127" s="226"/>
      <c r="G127" s="226"/>
      <c r="H127" s="226"/>
      <c r="I127" s="226"/>
      <c r="J127" s="226"/>
      <c r="K127" s="226"/>
      <c r="L127" s="226"/>
    </row>
    <row r="128" spans="6:12" x14ac:dyDescent="0.25">
      <c r="F128" s="226"/>
      <c r="G128" s="226"/>
      <c r="H128" s="226"/>
      <c r="I128" s="226"/>
      <c r="J128" s="226"/>
      <c r="K128" s="226"/>
      <c r="L128" s="226"/>
    </row>
    <row r="129" spans="6:12" x14ac:dyDescent="0.25">
      <c r="F129" s="226"/>
      <c r="G129" s="226"/>
      <c r="H129" s="226"/>
      <c r="I129" s="226"/>
      <c r="J129" s="226"/>
      <c r="K129" s="226"/>
      <c r="L129" s="226"/>
    </row>
    <row r="130" spans="6:12" x14ac:dyDescent="0.25">
      <c r="F130" s="226"/>
      <c r="G130" s="226"/>
      <c r="H130" s="226"/>
      <c r="I130" s="226"/>
      <c r="J130" s="226"/>
      <c r="K130" s="226"/>
      <c r="L130" s="226"/>
    </row>
    <row r="131" spans="6:12" x14ac:dyDescent="0.25">
      <c r="F131" s="226"/>
      <c r="G131" s="226"/>
      <c r="H131" s="226"/>
      <c r="I131" s="226"/>
      <c r="J131" s="226"/>
      <c r="K131" s="226"/>
      <c r="L131" s="226"/>
    </row>
    <row r="132" spans="6:12" x14ac:dyDescent="0.25">
      <c r="F132" s="226"/>
      <c r="G132" s="226"/>
      <c r="H132" s="226"/>
      <c r="I132" s="226"/>
      <c r="J132" s="226"/>
      <c r="K132" s="226"/>
      <c r="L132" s="226"/>
    </row>
    <row r="133" spans="6:12" x14ac:dyDescent="0.25">
      <c r="F133" s="226"/>
      <c r="G133" s="226"/>
      <c r="H133" s="226"/>
      <c r="I133" s="226"/>
      <c r="J133" s="226"/>
      <c r="K133" s="226"/>
      <c r="L133" s="226"/>
    </row>
    <row r="134" spans="6:12" x14ac:dyDescent="0.25">
      <c r="F134" s="226"/>
      <c r="G134" s="226"/>
      <c r="H134" s="226"/>
      <c r="I134" s="226"/>
      <c r="J134" s="226"/>
      <c r="K134" s="226"/>
      <c r="L134" s="226"/>
    </row>
    <row r="135" spans="6:12" x14ac:dyDescent="0.25">
      <c r="F135" s="226"/>
      <c r="G135" s="226"/>
      <c r="H135" s="226"/>
      <c r="I135" s="226"/>
      <c r="J135" s="226"/>
      <c r="K135" s="226"/>
      <c r="L135" s="226"/>
    </row>
    <row r="136" spans="6:12" x14ac:dyDescent="0.25">
      <c r="F136" s="226"/>
      <c r="G136" s="226"/>
      <c r="H136" s="226"/>
      <c r="I136" s="226"/>
      <c r="J136" s="226"/>
      <c r="K136" s="226"/>
      <c r="L136" s="226"/>
    </row>
    <row r="137" spans="6:12" x14ac:dyDescent="0.25">
      <c r="F137" s="226"/>
      <c r="G137" s="226"/>
      <c r="H137" s="226"/>
      <c r="I137" s="226"/>
      <c r="J137" s="226"/>
      <c r="K137" s="226"/>
      <c r="L137" s="226"/>
    </row>
    <row r="138" spans="6:12" x14ac:dyDescent="0.25">
      <c r="F138" s="226"/>
      <c r="G138" s="226"/>
      <c r="H138" s="226"/>
      <c r="I138" s="226"/>
      <c r="J138" s="226"/>
      <c r="K138" s="226"/>
      <c r="L138" s="226"/>
    </row>
    <row r="139" spans="6:12" x14ac:dyDescent="0.25">
      <c r="F139" s="226"/>
      <c r="G139" s="226"/>
      <c r="H139" s="226"/>
      <c r="I139" s="226"/>
      <c r="J139" s="226"/>
      <c r="K139" s="226"/>
      <c r="L139" s="226"/>
    </row>
    <row r="140" spans="6:12" x14ac:dyDescent="0.25">
      <c r="F140" s="226"/>
      <c r="G140" s="226"/>
      <c r="H140" s="226"/>
      <c r="I140" s="226"/>
      <c r="J140" s="226"/>
      <c r="K140" s="226"/>
      <c r="L140" s="226"/>
    </row>
    <row r="141" spans="6:12" x14ac:dyDescent="0.25">
      <c r="F141" s="226"/>
      <c r="G141" s="226"/>
      <c r="H141" s="226"/>
      <c r="I141" s="226"/>
      <c r="J141" s="226"/>
      <c r="K141" s="226"/>
      <c r="L141" s="226"/>
    </row>
    <row r="142" spans="6:12" x14ac:dyDescent="0.25">
      <c r="F142" s="226"/>
      <c r="G142" s="226"/>
      <c r="H142" s="226"/>
      <c r="I142" s="226"/>
      <c r="J142" s="226"/>
      <c r="K142" s="226"/>
      <c r="L142" s="226"/>
    </row>
    <row r="143" spans="6:12" x14ac:dyDescent="0.25">
      <c r="F143" s="226"/>
      <c r="G143" s="226"/>
      <c r="H143" s="226"/>
      <c r="I143" s="226"/>
      <c r="J143" s="226"/>
      <c r="K143" s="226"/>
      <c r="L143" s="226"/>
    </row>
    <row r="144" spans="6:12" x14ac:dyDescent="0.25">
      <c r="F144" s="226"/>
      <c r="G144" s="226"/>
      <c r="H144" s="226"/>
      <c r="I144" s="226"/>
      <c r="J144" s="226"/>
      <c r="K144" s="226"/>
      <c r="L144" s="226"/>
    </row>
    <row r="145" spans="6:12" x14ac:dyDescent="0.25">
      <c r="F145" s="226"/>
      <c r="G145" s="226"/>
      <c r="H145" s="226"/>
      <c r="I145" s="226"/>
      <c r="J145" s="226"/>
      <c r="K145" s="226"/>
      <c r="L145" s="226"/>
    </row>
    <row r="146" spans="6:12" x14ac:dyDescent="0.25">
      <c r="F146" s="226"/>
      <c r="G146" s="226"/>
      <c r="H146" s="226"/>
      <c r="I146" s="226"/>
      <c r="J146" s="226"/>
      <c r="K146" s="226"/>
      <c r="L146" s="226"/>
    </row>
    <row r="147" spans="6:12" x14ac:dyDescent="0.25">
      <c r="F147" s="226"/>
      <c r="G147" s="226"/>
      <c r="H147" s="226"/>
      <c r="I147" s="226"/>
      <c r="J147" s="226"/>
      <c r="K147" s="226"/>
      <c r="L147" s="226"/>
    </row>
    <row r="148" spans="6:12" x14ac:dyDescent="0.25">
      <c r="F148" s="226"/>
      <c r="G148" s="226"/>
      <c r="H148" s="226"/>
      <c r="I148" s="226"/>
      <c r="J148" s="226"/>
      <c r="K148" s="226"/>
      <c r="L148" s="226"/>
    </row>
    <row r="149" spans="6:12" x14ac:dyDescent="0.25">
      <c r="F149" s="226"/>
      <c r="G149" s="226"/>
      <c r="H149" s="226"/>
      <c r="I149" s="226"/>
      <c r="J149" s="226"/>
      <c r="K149" s="226"/>
      <c r="L149" s="226"/>
    </row>
    <row r="150" spans="6:12" x14ac:dyDescent="0.25">
      <c r="F150" s="226"/>
      <c r="G150" s="226"/>
      <c r="H150" s="226"/>
      <c r="I150" s="226"/>
      <c r="J150" s="226"/>
      <c r="K150" s="226"/>
      <c r="L150" s="226"/>
    </row>
    <row r="151" spans="6:12" x14ac:dyDescent="0.25">
      <c r="F151" s="226"/>
      <c r="G151" s="226"/>
      <c r="H151" s="226"/>
      <c r="I151" s="226"/>
      <c r="J151" s="226"/>
      <c r="K151" s="226"/>
      <c r="L151" s="226"/>
    </row>
    <row r="152" spans="6:12" x14ac:dyDescent="0.25">
      <c r="F152" s="226"/>
      <c r="G152" s="226"/>
      <c r="H152" s="226"/>
      <c r="I152" s="226"/>
      <c r="J152" s="226"/>
      <c r="K152" s="226"/>
      <c r="L152" s="226"/>
    </row>
    <row r="153" spans="6:12" x14ac:dyDescent="0.25">
      <c r="F153" s="226"/>
      <c r="G153" s="226"/>
      <c r="H153" s="226"/>
      <c r="I153" s="226"/>
      <c r="J153" s="226"/>
      <c r="K153" s="226"/>
      <c r="L153" s="226"/>
    </row>
    <row r="154" spans="6:12" x14ac:dyDescent="0.25">
      <c r="F154" s="226"/>
      <c r="G154" s="226"/>
      <c r="H154" s="226"/>
      <c r="I154" s="226"/>
      <c r="J154" s="226"/>
      <c r="K154" s="226"/>
      <c r="L154" s="226"/>
    </row>
    <row r="155" spans="6:12" x14ac:dyDescent="0.25">
      <c r="F155" s="226"/>
      <c r="G155" s="226"/>
      <c r="H155" s="226"/>
      <c r="I155" s="226"/>
      <c r="J155" s="226"/>
      <c r="K155" s="226"/>
      <c r="L155" s="226"/>
    </row>
    <row r="156" spans="6:12" x14ac:dyDescent="0.25">
      <c r="F156" s="226"/>
      <c r="G156" s="226"/>
      <c r="H156" s="226"/>
      <c r="I156" s="226"/>
      <c r="J156" s="226"/>
      <c r="K156" s="226"/>
      <c r="L156" s="226"/>
    </row>
    <row r="157" spans="6:12" x14ac:dyDescent="0.25">
      <c r="F157" s="226"/>
      <c r="G157" s="226"/>
      <c r="H157" s="226"/>
      <c r="I157" s="226"/>
      <c r="J157" s="226"/>
      <c r="K157" s="226"/>
      <c r="L157" s="226"/>
    </row>
    <row r="158" spans="6:12" x14ac:dyDescent="0.25">
      <c r="F158" s="226"/>
      <c r="G158" s="226"/>
      <c r="H158" s="226"/>
      <c r="I158" s="226"/>
      <c r="J158" s="226"/>
      <c r="K158" s="226"/>
      <c r="L158" s="226"/>
    </row>
    <row r="159" spans="6:12" x14ac:dyDescent="0.25">
      <c r="F159" s="226"/>
      <c r="G159" s="226"/>
      <c r="H159" s="226"/>
      <c r="I159" s="226"/>
      <c r="J159" s="226"/>
      <c r="K159" s="226"/>
      <c r="L159" s="226"/>
    </row>
    <row r="160" spans="6:12" x14ac:dyDescent="0.25">
      <c r="F160" s="226"/>
      <c r="G160" s="226"/>
      <c r="H160" s="226"/>
      <c r="I160" s="226"/>
      <c r="J160" s="226"/>
      <c r="K160" s="226"/>
      <c r="L160" s="226"/>
    </row>
    <row r="161" spans="6:12" x14ac:dyDescent="0.25">
      <c r="F161" s="226"/>
      <c r="G161" s="226"/>
      <c r="H161" s="226"/>
      <c r="I161" s="226"/>
      <c r="J161" s="226"/>
      <c r="K161" s="226"/>
      <c r="L161" s="226"/>
    </row>
    <row r="162" spans="6:12" x14ac:dyDescent="0.25">
      <c r="F162" s="226"/>
      <c r="G162" s="226"/>
      <c r="H162" s="226"/>
      <c r="I162" s="226"/>
      <c r="J162" s="226"/>
      <c r="K162" s="226"/>
      <c r="L162" s="226"/>
    </row>
    <row r="163" spans="6:12" x14ac:dyDescent="0.25">
      <c r="F163" s="226"/>
      <c r="G163" s="226"/>
      <c r="H163" s="226"/>
      <c r="I163" s="226"/>
      <c r="J163" s="226"/>
      <c r="K163" s="226"/>
      <c r="L163" s="226"/>
    </row>
    <row r="164" spans="6:12" x14ac:dyDescent="0.25">
      <c r="F164" s="226"/>
      <c r="G164" s="226"/>
      <c r="H164" s="226"/>
      <c r="I164" s="226"/>
      <c r="J164" s="226"/>
      <c r="K164" s="226"/>
      <c r="L164" s="226"/>
    </row>
    <row r="165" spans="6:12" x14ac:dyDescent="0.25">
      <c r="F165" s="226"/>
      <c r="G165" s="226"/>
      <c r="H165" s="226"/>
      <c r="I165" s="226"/>
      <c r="J165" s="226"/>
      <c r="K165" s="226"/>
      <c r="L165" s="226"/>
    </row>
    <row r="166" spans="6:12" x14ac:dyDescent="0.25">
      <c r="F166" s="226"/>
      <c r="G166" s="226"/>
      <c r="H166" s="226"/>
      <c r="I166" s="226"/>
      <c r="J166" s="226"/>
      <c r="K166" s="226"/>
      <c r="L166" s="226"/>
    </row>
    <row r="167" spans="6:12" x14ac:dyDescent="0.25">
      <c r="F167" s="226"/>
      <c r="G167" s="226"/>
      <c r="H167" s="226"/>
      <c r="I167" s="226"/>
      <c r="J167" s="226"/>
      <c r="K167" s="226"/>
      <c r="L167" s="226"/>
    </row>
    <row r="168" spans="6:12" x14ac:dyDescent="0.25">
      <c r="F168" s="226"/>
      <c r="G168" s="226"/>
      <c r="H168" s="226"/>
      <c r="I168" s="226"/>
      <c r="J168" s="226"/>
      <c r="K168" s="226"/>
      <c r="L168" s="226"/>
    </row>
    <row r="169" spans="6:12" x14ac:dyDescent="0.25">
      <c r="F169" s="226"/>
      <c r="G169" s="226"/>
      <c r="H169" s="226"/>
      <c r="I169" s="226"/>
      <c r="J169" s="226"/>
      <c r="K169" s="226"/>
      <c r="L169" s="226"/>
    </row>
    <row r="170" spans="6:12" x14ac:dyDescent="0.25">
      <c r="F170" s="226"/>
      <c r="G170" s="226"/>
      <c r="H170" s="226"/>
      <c r="I170" s="226"/>
      <c r="J170" s="226"/>
      <c r="K170" s="226"/>
      <c r="L170" s="226"/>
    </row>
    <row r="171" spans="6:12" x14ac:dyDescent="0.25">
      <c r="F171" s="226"/>
      <c r="G171" s="226"/>
      <c r="H171" s="226"/>
      <c r="I171" s="226"/>
      <c r="J171" s="226"/>
      <c r="K171" s="226"/>
      <c r="L171" s="226"/>
    </row>
    <row r="172" spans="6:12" x14ac:dyDescent="0.25">
      <c r="F172" s="226"/>
      <c r="G172" s="226"/>
      <c r="H172" s="226"/>
      <c r="I172" s="226"/>
      <c r="J172" s="226"/>
      <c r="K172" s="226"/>
      <c r="L172" s="226"/>
    </row>
    <row r="173" spans="6:12" x14ac:dyDescent="0.25">
      <c r="F173" s="226"/>
      <c r="G173" s="226"/>
      <c r="H173" s="226"/>
      <c r="I173" s="226"/>
      <c r="J173" s="226"/>
      <c r="K173" s="226"/>
      <c r="L173" s="226"/>
    </row>
    <row r="174" spans="6:12" x14ac:dyDescent="0.25">
      <c r="F174" s="226"/>
      <c r="G174" s="226"/>
      <c r="H174" s="226"/>
      <c r="I174" s="226"/>
      <c r="J174" s="226"/>
      <c r="K174" s="226"/>
      <c r="L174" s="226"/>
    </row>
    <row r="175" spans="6:12" x14ac:dyDescent="0.25">
      <c r="F175" s="226"/>
      <c r="G175" s="226"/>
      <c r="H175" s="226"/>
      <c r="I175" s="226"/>
      <c r="J175" s="226"/>
      <c r="K175" s="226"/>
      <c r="L175" s="226"/>
    </row>
    <row r="176" spans="6:12" x14ac:dyDescent="0.25">
      <c r="F176" s="226"/>
      <c r="G176" s="226"/>
      <c r="H176" s="226"/>
      <c r="I176" s="226"/>
      <c r="J176" s="226"/>
      <c r="K176" s="226"/>
      <c r="L176" s="226"/>
    </row>
    <row r="177" spans="6:12" x14ac:dyDescent="0.25">
      <c r="F177" s="226"/>
      <c r="G177" s="226"/>
      <c r="H177" s="226"/>
      <c r="I177" s="226"/>
      <c r="J177" s="226"/>
      <c r="K177" s="226"/>
      <c r="L177" s="226"/>
    </row>
    <row r="178" spans="6:12" x14ac:dyDescent="0.25">
      <c r="F178" s="226"/>
      <c r="G178" s="226"/>
      <c r="H178" s="226"/>
      <c r="I178" s="226"/>
      <c r="J178" s="226"/>
      <c r="K178" s="226"/>
      <c r="L178" s="226"/>
    </row>
    <row r="179" spans="6:12" x14ac:dyDescent="0.25">
      <c r="F179" s="226"/>
      <c r="G179" s="226"/>
      <c r="H179" s="226"/>
      <c r="I179" s="226"/>
      <c r="J179" s="226"/>
      <c r="K179" s="226"/>
      <c r="L179" s="226"/>
    </row>
    <row r="180" spans="6:12" x14ac:dyDescent="0.25">
      <c r="F180" s="226"/>
      <c r="G180" s="226"/>
      <c r="H180" s="226"/>
      <c r="I180" s="226"/>
      <c r="J180" s="226"/>
      <c r="K180" s="226"/>
      <c r="L180" s="226"/>
    </row>
    <row r="181" spans="6:12" x14ac:dyDescent="0.25">
      <c r="F181" s="226"/>
      <c r="G181" s="226"/>
      <c r="H181" s="226"/>
      <c r="I181" s="226"/>
      <c r="J181" s="226"/>
      <c r="K181" s="226"/>
      <c r="L181" s="226"/>
    </row>
    <row r="182" spans="6:12" x14ac:dyDescent="0.25">
      <c r="F182" s="226"/>
      <c r="G182" s="226"/>
      <c r="H182" s="226"/>
      <c r="I182" s="226"/>
      <c r="J182" s="226"/>
      <c r="K182" s="226"/>
      <c r="L182" s="226"/>
    </row>
    <row r="183" spans="6:12" x14ac:dyDescent="0.25">
      <c r="F183" s="226"/>
      <c r="G183" s="226"/>
      <c r="H183" s="226"/>
      <c r="I183" s="226"/>
      <c r="J183" s="226"/>
      <c r="K183" s="226"/>
      <c r="L183" s="226"/>
    </row>
    <row r="184" spans="6:12" x14ac:dyDescent="0.25">
      <c r="F184" s="226"/>
      <c r="G184" s="226"/>
      <c r="H184" s="226"/>
      <c r="I184" s="226"/>
      <c r="J184" s="226"/>
      <c r="K184" s="226"/>
      <c r="L184" s="226"/>
    </row>
    <row r="185" spans="6:12" x14ac:dyDescent="0.25">
      <c r="F185" s="226"/>
      <c r="G185" s="226"/>
      <c r="H185" s="226"/>
      <c r="I185" s="226"/>
      <c r="J185" s="226"/>
      <c r="K185" s="226"/>
      <c r="L185" s="226"/>
    </row>
    <row r="186" spans="6:12" x14ac:dyDescent="0.25">
      <c r="F186" s="226"/>
      <c r="G186" s="226"/>
      <c r="H186" s="226"/>
      <c r="I186" s="226"/>
      <c r="J186" s="226"/>
      <c r="K186" s="226"/>
      <c r="L186" s="226"/>
    </row>
    <row r="187" spans="6:12" x14ac:dyDescent="0.25">
      <c r="F187" s="226"/>
      <c r="G187" s="226"/>
      <c r="H187" s="226"/>
      <c r="I187" s="226"/>
      <c r="J187" s="226"/>
      <c r="K187" s="226"/>
      <c r="L187" s="226"/>
    </row>
    <row r="188" spans="6:12" x14ac:dyDescent="0.25">
      <c r="F188" s="226"/>
      <c r="G188" s="226"/>
      <c r="H188" s="226"/>
      <c r="I188" s="226"/>
      <c r="J188" s="226"/>
      <c r="K188" s="226"/>
      <c r="L188" s="226"/>
    </row>
    <row r="189" spans="6:12" x14ac:dyDescent="0.25">
      <c r="F189" s="226"/>
      <c r="G189" s="226"/>
      <c r="H189" s="226"/>
      <c r="I189" s="226"/>
      <c r="J189" s="226"/>
      <c r="K189" s="226"/>
      <c r="L189" s="226"/>
    </row>
    <row r="190" spans="6:12" x14ac:dyDescent="0.25">
      <c r="F190" s="226"/>
      <c r="G190" s="226"/>
      <c r="H190" s="226"/>
      <c r="I190" s="226"/>
      <c r="J190" s="226"/>
      <c r="K190" s="226"/>
      <c r="L190" s="226"/>
    </row>
    <row r="191" spans="6:12" x14ac:dyDescent="0.25">
      <c r="F191" s="226"/>
      <c r="G191" s="226"/>
      <c r="H191" s="226"/>
      <c r="I191" s="226"/>
      <c r="J191" s="226"/>
      <c r="K191" s="226"/>
      <c r="L191" s="226"/>
    </row>
    <row r="192" spans="6:12" x14ac:dyDescent="0.25">
      <c r="F192" s="226"/>
      <c r="G192" s="226"/>
      <c r="H192" s="226"/>
      <c r="I192" s="226"/>
      <c r="J192" s="226"/>
      <c r="K192" s="226"/>
      <c r="L192" s="226"/>
    </row>
    <row r="193" spans="6:12" x14ac:dyDescent="0.25">
      <c r="F193" s="226"/>
      <c r="G193" s="226"/>
      <c r="H193" s="226"/>
      <c r="I193" s="226"/>
      <c r="J193" s="226"/>
      <c r="K193" s="226"/>
      <c r="L193" s="226"/>
    </row>
    <row r="194" spans="6:12" x14ac:dyDescent="0.25">
      <c r="F194" s="226"/>
      <c r="G194" s="226"/>
      <c r="H194" s="226"/>
      <c r="I194" s="226"/>
      <c r="J194" s="226"/>
      <c r="K194" s="226"/>
      <c r="L194" s="226"/>
    </row>
    <row r="195" spans="6:12" x14ac:dyDescent="0.25">
      <c r="F195" s="226"/>
      <c r="G195" s="226"/>
      <c r="H195" s="226"/>
      <c r="I195" s="226"/>
      <c r="J195" s="226"/>
      <c r="K195" s="226"/>
      <c r="L195" s="226"/>
    </row>
    <row r="196" spans="6:12" x14ac:dyDescent="0.25">
      <c r="F196" s="226"/>
      <c r="G196" s="226"/>
      <c r="H196" s="226"/>
      <c r="I196" s="226"/>
      <c r="J196" s="226"/>
      <c r="K196" s="226"/>
      <c r="L196" s="226"/>
    </row>
    <row r="197" spans="6:12" x14ac:dyDescent="0.25">
      <c r="F197" s="226"/>
      <c r="G197" s="226"/>
      <c r="H197" s="226"/>
      <c r="I197" s="226"/>
      <c r="J197" s="226"/>
      <c r="K197" s="226"/>
      <c r="L197" s="226"/>
    </row>
    <row r="198" spans="6:12" x14ac:dyDescent="0.25">
      <c r="F198" s="226"/>
      <c r="G198" s="226"/>
      <c r="H198" s="226"/>
      <c r="I198" s="226"/>
      <c r="J198" s="226"/>
      <c r="K198" s="226"/>
      <c r="L198" s="226"/>
    </row>
    <row r="199" spans="6:12" x14ac:dyDescent="0.25">
      <c r="F199" s="226"/>
      <c r="G199" s="226"/>
      <c r="H199" s="226"/>
      <c r="I199" s="226"/>
      <c r="J199" s="226"/>
      <c r="K199" s="226"/>
      <c r="L199" s="226"/>
    </row>
    <row r="200" spans="6:12" x14ac:dyDescent="0.25">
      <c r="F200" s="226"/>
      <c r="G200" s="226"/>
      <c r="H200" s="226"/>
      <c r="I200" s="226"/>
      <c r="J200" s="226"/>
      <c r="K200" s="226"/>
      <c r="L200" s="226"/>
    </row>
    <row r="201" spans="6:12" x14ac:dyDescent="0.25">
      <c r="F201" s="226"/>
      <c r="G201" s="226"/>
      <c r="H201" s="226"/>
      <c r="I201" s="226"/>
      <c r="J201" s="226"/>
      <c r="K201" s="226"/>
      <c r="L201" s="226"/>
    </row>
    <row r="202" spans="6:12" x14ac:dyDescent="0.25">
      <c r="F202" s="226"/>
      <c r="G202" s="226"/>
      <c r="H202" s="226"/>
      <c r="I202" s="226"/>
      <c r="J202" s="226"/>
      <c r="K202" s="226"/>
      <c r="L202" s="226"/>
    </row>
    <row r="203" spans="6:12" x14ac:dyDescent="0.25">
      <c r="F203" s="226"/>
      <c r="G203" s="226"/>
      <c r="H203" s="226"/>
      <c r="I203" s="226"/>
      <c r="J203" s="226"/>
      <c r="K203" s="226"/>
      <c r="L203" s="226"/>
    </row>
    <row r="204" spans="6:12" x14ac:dyDescent="0.25">
      <c r="F204" s="226"/>
      <c r="G204" s="226"/>
      <c r="H204" s="226"/>
      <c r="I204" s="226"/>
      <c r="J204" s="226"/>
      <c r="K204" s="226"/>
      <c r="L204" s="226"/>
    </row>
    <row r="205" spans="6:12" x14ac:dyDescent="0.25">
      <c r="F205" s="226"/>
      <c r="G205" s="226"/>
      <c r="H205" s="226"/>
      <c r="I205" s="226"/>
      <c r="J205" s="226"/>
      <c r="K205" s="226"/>
      <c r="L205" s="226"/>
    </row>
    <row r="206" spans="6:12" x14ac:dyDescent="0.25">
      <c r="F206" s="226"/>
      <c r="G206" s="226"/>
      <c r="H206" s="226"/>
      <c r="I206" s="226"/>
      <c r="J206" s="226"/>
      <c r="K206" s="226"/>
      <c r="L206" s="226"/>
    </row>
    <row r="207" spans="6:12" x14ac:dyDescent="0.25">
      <c r="F207" s="226"/>
      <c r="G207" s="226"/>
      <c r="H207" s="226"/>
      <c r="I207" s="226"/>
      <c r="J207" s="226"/>
      <c r="K207" s="226"/>
      <c r="L207" s="226"/>
    </row>
    <row r="208" spans="6:12" x14ac:dyDescent="0.25">
      <c r="F208" s="226"/>
      <c r="G208" s="226"/>
      <c r="H208" s="226"/>
      <c r="I208" s="226"/>
      <c r="J208" s="226"/>
      <c r="K208" s="226"/>
      <c r="L208" s="226"/>
    </row>
    <row r="209" spans="6:12" x14ac:dyDescent="0.25">
      <c r="F209" s="226"/>
      <c r="G209" s="226"/>
      <c r="H209" s="226"/>
      <c r="I209" s="226"/>
      <c r="J209" s="226"/>
      <c r="K209" s="226"/>
      <c r="L209" s="226"/>
    </row>
    <row r="210" spans="6:12" x14ac:dyDescent="0.25">
      <c r="F210" s="226"/>
      <c r="G210" s="226"/>
      <c r="H210" s="226"/>
      <c r="I210" s="226"/>
      <c r="J210" s="226"/>
      <c r="K210" s="226"/>
      <c r="L210" s="226"/>
    </row>
    <row r="211" spans="6:12" x14ac:dyDescent="0.25">
      <c r="F211" s="226"/>
      <c r="G211" s="226"/>
      <c r="H211" s="226"/>
      <c r="I211" s="226"/>
      <c r="J211" s="226"/>
      <c r="K211" s="226"/>
      <c r="L211" s="226"/>
    </row>
    <row r="212" spans="6:12" x14ac:dyDescent="0.25">
      <c r="F212" s="226"/>
      <c r="G212" s="226"/>
      <c r="H212" s="226"/>
      <c r="I212" s="226"/>
      <c r="J212" s="226"/>
      <c r="K212" s="226"/>
      <c r="L212" s="226"/>
    </row>
    <row r="213" spans="6:12" x14ac:dyDescent="0.25">
      <c r="F213" s="226"/>
      <c r="G213" s="226"/>
      <c r="H213" s="226"/>
      <c r="I213" s="226"/>
      <c r="J213" s="226"/>
      <c r="K213" s="226"/>
      <c r="L213" s="226"/>
    </row>
    <row r="214" spans="6:12" x14ac:dyDescent="0.25">
      <c r="F214" s="226"/>
      <c r="G214" s="226"/>
      <c r="H214" s="226"/>
      <c r="I214" s="226"/>
      <c r="J214" s="226"/>
      <c r="K214" s="226"/>
      <c r="L214" s="226"/>
    </row>
    <row r="215" spans="6:12" x14ac:dyDescent="0.25">
      <c r="F215" s="226"/>
      <c r="G215" s="226"/>
      <c r="H215" s="226"/>
      <c r="I215" s="226"/>
      <c r="J215" s="226"/>
      <c r="K215" s="226"/>
      <c r="L215" s="226"/>
    </row>
    <row r="216" spans="6:12" x14ac:dyDescent="0.25">
      <c r="F216" s="226"/>
      <c r="G216" s="226"/>
      <c r="H216" s="226"/>
      <c r="I216" s="226"/>
      <c r="J216" s="226"/>
      <c r="K216" s="226"/>
      <c r="L216" s="226"/>
    </row>
    <row r="217" spans="6:12" x14ac:dyDescent="0.25">
      <c r="F217" s="226"/>
      <c r="G217" s="226"/>
      <c r="H217" s="226"/>
      <c r="I217" s="226"/>
      <c r="J217" s="226"/>
      <c r="K217" s="226"/>
      <c r="L217" s="226"/>
    </row>
    <row r="218" spans="6:12" x14ac:dyDescent="0.25">
      <c r="F218" s="226"/>
      <c r="G218" s="226"/>
      <c r="H218" s="226"/>
      <c r="I218" s="226"/>
      <c r="J218" s="226"/>
      <c r="K218" s="226"/>
      <c r="L218" s="226"/>
    </row>
    <row r="219" spans="6:12" x14ac:dyDescent="0.25">
      <c r="F219" s="226"/>
      <c r="G219" s="226"/>
      <c r="H219" s="226"/>
      <c r="I219" s="226"/>
      <c r="J219" s="226"/>
      <c r="K219" s="226"/>
      <c r="L219" s="226"/>
    </row>
    <row r="220" spans="6:12" x14ac:dyDescent="0.25">
      <c r="F220" s="226"/>
      <c r="G220" s="226"/>
      <c r="H220" s="226"/>
      <c r="I220" s="226"/>
      <c r="J220" s="226"/>
      <c r="K220" s="226"/>
      <c r="L220" s="226"/>
    </row>
    <row r="221" spans="6:12" x14ac:dyDescent="0.25">
      <c r="F221" s="226"/>
      <c r="G221" s="226"/>
      <c r="H221" s="226"/>
      <c r="I221" s="226"/>
      <c r="J221" s="226"/>
      <c r="K221" s="226"/>
      <c r="L221" s="226"/>
    </row>
    <row r="222" spans="6:12" x14ac:dyDescent="0.25">
      <c r="F222" s="226"/>
      <c r="G222" s="226"/>
      <c r="H222" s="226"/>
      <c r="I222" s="226"/>
      <c r="J222" s="226"/>
      <c r="K222" s="226"/>
      <c r="L222" s="226"/>
    </row>
    <row r="223" spans="6:12" x14ac:dyDescent="0.25">
      <c r="F223" s="226"/>
      <c r="G223" s="226"/>
      <c r="H223" s="226"/>
      <c r="I223" s="226"/>
      <c r="J223" s="226"/>
      <c r="K223" s="226"/>
      <c r="L223" s="226"/>
    </row>
    <row r="224" spans="6:12" x14ac:dyDescent="0.25">
      <c r="F224" s="226"/>
      <c r="G224" s="226"/>
      <c r="H224" s="226"/>
      <c r="I224" s="226"/>
      <c r="J224" s="226"/>
      <c r="K224" s="226"/>
      <c r="L224" s="226"/>
    </row>
    <row r="225" spans="6:12" x14ac:dyDescent="0.25">
      <c r="F225" s="226"/>
      <c r="G225" s="226"/>
      <c r="H225" s="226"/>
      <c r="I225" s="226"/>
      <c r="J225" s="226"/>
      <c r="K225" s="226"/>
      <c r="L225" s="226"/>
    </row>
    <row r="226" spans="6:12" x14ac:dyDescent="0.25">
      <c r="F226" s="226"/>
      <c r="G226" s="226"/>
      <c r="H226" s="226"/>
      <c r="I226" s="226"/>
      <c r="J226" s="226"/>
      <c r="K226" s="226"/>
      <c r="L226" s="226"/>
    </row>
    <row r="227" spans="6:12" x14ac:dyDescent="0.25">
      <c r="F227" s="226"/>
      <c r="G227" s="226"/>
      <c r="H227" s="226"/>
      <c r="I227" s="226"/>
      <c r="J227" s="226"/>
      <c r="K227" s="226"/>
      <c r="L227" s="226"/>
    </row>
    <row r="228" spans="6:12" x14ac:dyDescent="0.25">
      <c r="F228" s="226"/>
      <c r="G228" s="226"/>
      <c r="H228" s="226"/>
      <c r="I228" s="226"/>
      <c r="J228" s="226"/>
      <c r="K228" s="226"/>
      <c r="L228" s="226"/>
    </row>
    <row r="229" spans="6:12" x14ac:dyDescent="0.25">
      <c r="F229" s="226"/>
      <c r="G229" s="226"/>
      <c r="H229" s="226"/>
      <c r="I229" s="226"/>
      <c r="J229" s="226"/>
      <c r="K229" s="226"/>
      <c r="L229" s="226"/>
    </row>
    <row r="230" spans="6:12" x14ac:dyDescent="0.25">
      <c r="F230" s="226"/>
      <c r="G230" s="226"/>
      <c r="H230" s="226"/>
      <c r="I230" s="226"/>
      <c r="J230" s="226"/>
      <c r="K230" s="226"/>
      <c r="L230" s="226"/>
    </row>
    <row r="231" spans="6:12" x14ac:dyDescent="0.25">
      <c r="F231" s="226"/>
      <c r="G231" s="226"/>
      <c r="H231" s="226"/>
      <c r="I231" s="226"/>
      <c r="J231" s="226"/>
      <c r="K231" s="226"/>
      <c r="L231" s="226"/>
    </row>
    <row r="232" spans="6:12" x14ac:dyDescent="0.25">
      <c r="F232" s="226"/>
      <c r="G232" s="226"/>
      <c r="H232" s="226"/>
      <c r="I232" s="226"/>
      <c r="J232" s="226"/>
      <c r="K232" s="226"/>
      <c r="L232" s="226"/>
    </row>
    <row r="233" spans="6:12" x14ac:dyDescent="0.25">
      <c r="F233" s="226"/>
      <c r="G233" s="226"/>
      <c r="H233" s="226"/>
      <c r="I233" s="226"/>
      <c r="J233" s="226"/>
      <c r="K233" s="226"/>
      <c r="L233" s="226"/>
    </row>
    <row r="234" spans="6:12" x14ac:dyDescent="0.25">
      <c r="F234" s="226"/>
      <c r="G234" s="226"/>
      <c r="H234" s="226"/>
      <c r="I234" s="226"/>
      <c r="J234" s="226"/>
      <c r="K234" s="226"/>
      <c r="L234" s="226"/>
    </row>
    <row r="235" spans="6:12" x14ac:dyDescent="0.25">
      <c r="F235" s="226"/>
      <c r="G235" s="226"/>
      <c r="H235" s="226"/>
      <c r="I235" s="226"/>
      <c r="J235" s="226"/>
      <c r="K235" s="226"/>
      <c r="L235" s="226"/>
    </row>
    <row r="236" spans="6:12" x14ac:dyDescent="0.25">
      <c r="F236" s="226"/>
      <c r="G236" s="226"/>
      <c r="H236" s="226"/>
      <c r="I236" s="226"/>
      <c r="J236" s="226"/>
      <c r="K236" s="226"/>
      <c r="L236" s="226"/>
    </row>
    <row r="237" spans="6:12" x14ac:dyDescent="0.25">
      <c r="F237" s="226"/>
      <c r="G237" s="226"/>
      <c r="H237" s="226"/>
      <c r="I237" s="226"/>
      <c r="J237" s="226"/>
      <c r="K237" s="226"/>
      <c r="L237" s="226"/>
    </row>
    <row r="238" spans="6:12" x14ac:dyDescent="0.25">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5">
      <c r="A16" s="1" t="s">
        <v>3361</v>
      </c>
    </row>
    <row r="17" spans="1:1" x14ac:dyDescent="0.25">
      <c r="A17" s="1" t="s">
        <v>3362</v>
      </c>
    </row>
    <row r="18" spans="1:1" x14ac:dyDescent="0.25">
      <c r="A18" s="276" t="s">
        <v>3679</v>
      </c>
    </row>
    <row r="19" spans="1:1" x14ac:dyDescent="0.25">
      <c r="A19" s="276" t="s">
        <v>3833</v>
      </c>
    </row>
    <row r="20" spans="1:1" x14ac:dyDescent="0.25">
      <c r="A20" s="276" t="s">
        <v>3913</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3678</v>
      </c>
    </row>
    <row r="17" spans="1:2" ht="20.100000000000001" customHeight="1" x14ac:dyDescent="0.2">
      <c r="A17" s="44" t="s">
        <v>1700</v>
      </c>
    </row>
    <row r="18" spans="1:2" ht="20.100000000000001" customHeight="1" x14ac:dyDescent="0.2">
      <c r="A18" s="17" t="s">
        <v>4096</v>
      </c>
    </row>
    <row r="19" spans="1:2" ht="20.100000000000001" customHeight="1" x14ac:dyDescent="0.25">
      <c r="A19" s="17" t="s">
        <v>829</v>
      </c>
    </row>
    <row r="20" spans="1:2" ht="20.100000000000001" customHeight="1" x14ac:dyDescent="0.25">
      <c r="A20" s="44" t="s">
        <v>2090</v>
      </c>
      <c r="B20" s="10" t="s">
        <v>2091</v>
      </c>
    </row>
    <row r="21" spans="1:2" ht="20.100000000000001" customHeight="1" x14ac:dyDescent="0.25">
      <c r="A21" s="44" t="s">
        <v>788</v>
      </c>
    </row>
    <row r="22" spans="1:2" ht="20.100000000000001" customHeight="1" x14ac:dyDescent="0.25">
      <c r="A22" s="43" t="s">
        <v>1179</v>
      </c>
    </row>
    <row r="23" spans="1:2" ht="20.100000000000001" customHeight="1" x14ac:dyDescent="0.25">
      <c r="A23" s="16" t="s">
        <v>789</v>
      </c>
    </row>
    <row r="24" spans="1:2" ht="20.100000000000001" customHeight="1" x14ac:dyDescent="0.25">
      <c r="A24" s="17" t="s">
        <v>792</v>
      </c>
    </row>
    <row r="25" spans="1:2" ht="20.100000000000001" customHeight="1" x14ac:dyDescent="0.25">
      <c r="A25" s="17" t="s">
        <v>790</v>
      </c>
    </row>
    <row r="26" spans="1:2" ht="20.100000000000001" customHeight="1" x14ac:dyDescent="0.25">
      <c r="A26" s="16" t="s">
        <v>791</v>
      </c>
    </row>
    <row r="27" spans="1:2" ht="20.100000000000001" customHeight="1" x14ac:dyDescent="0.25">
      <c r="A27" s="44" t="s">
        <v>1501</v>
      </c>
    </row>
    <row r="28" spans="1:2" ht="20.100000000000001" customHeight="1" x14ac:dyDescent="0.25">
      <c r="A28" s="16" t="s">
        <v>793</v>
      </c>
    </row>
    <row r="29" spans="1:2" ht="20.100000000000001" customHeight="1" x14ac:dyDescent="0.25">
      <c r="A29" s="16" t="s">
        <v>794</v>
      </c>
    </row>
    <row r="30" spans="1:2" ht="20.100000000000001" customHeight="1" x14ac:dyDescent="0.25">
      <c r="A30" s="44" t="s">
        <v>1452</v>
      </c>
    </row>
    <row r="31" spans="1:2" ht="20.100000000000001" customHeight="1" x14ac:dyDescent="0.25">
      <c r="A31" s="17" t="s">
        <v>1148</v>
      </c>
    </row>
    <row r="32" spans="1:2" ht="20.100000000000001" customHeight="1" x14ac:dyDescent="0.25">
      <c r="A32" s="17" t="s">
        <v>803</v>
      </c>
    </row>
    <row r="33" spans="1:2" ht="20.100000000000001" customHeight="1" x14ac:dyDescent="0.25">
      <c r="A33" s="17" t="s">
        <v>2092</v>
      </c>
      <c r="B33" s="10" t="s">
        <v>2093</v>
      </c>
    </row>
    <row r="34" spans="1:2" ht="20.100000000000001" customHeight="1" x14ac:dyDescent="0.25">
      <c r="A34" s="17" t="s">
        <v>795</v>
      </c>
    </row>
    <row r="35" spans="1:2" ht="20.100000000000001" customHeight="1" x14ac:dyDescent="0.25">
      <c r="A35" s="17" t="s">
        <v>796</v>
      </c>
    </row>
    <row r="36" spans="1:2" ht="20.100000000000001" customHeight="1" x14ac:dyDescent="0.25">
      <c r="A36" s="17" t="s">
        <v>802</v>
      </c>
    </row>
    <row r="37" spans="1:2" ht="20.100000000000001" customHeight="1" x14ac:dyDescent="0.25">
      <c r="A37" s="17" t="s">
        <v>801</v>
      </c>
    </row>
    <row r="38" spans="1:2" ht="20.100000000000001" customHeight="1" x14ac:dyDescent="0.25">
      <c r="A38" s="17" t="s">
        <v>2088</v>
      </c>
      <c r="B38" s="10" t="s">
        <v>2089</v>
      </c>
    </row>
    <row r="39" spans="1:2" ht="20.100000000000001" customHeight="1" x14ac:dyDescent="0.25">
      <c r="A39" s="44" t="s">
        <v>810</v>
      </c>
    </row>
    <row r="40" spans="1:2" ht="20.100000000000001" customHeight="1" x14ac:dyDescent="0.25">
      <c r="A40" s="17" t="s">
        <v>798</v>
      </c>
    </row>
    <row r="41" spans="1:2" ht="20.100000000000001" customHeight="1" x14ac:dyDescent="0.25">
      <c r="A41" s="17" t="s">
        <v>799</v>
      </c>
    </row>
    <row r="42" spans="1:2" ht="20.100000000000001" customHeight="1" x14ac:dyDescent="0.25">
      <c r="A42" s="17" t="s">
        <v>800</v>
      </c>
    </row>
    <row r="43" spans="1:2" ht="20.100000000000001" customHeight="1" x14ac:dyDescent="0.25">
      <c r="A43" s="44" t="s">
        <v>1833</v>
      </c>
    </row>
    <row r="44" spans="1:2" ht="20.100000000000001" customHeight="1" x14ac:dyDescent="0.25">
      <c r="A44" s="17" t="s">
        <v>688</v>
      </c>
    </row>
    <row r="45" spans="1:2" ht="20.100000000000001" customHeight="1" x14ac:dyDescent="0.25">
      <c r="A45" s="44" t="s">
        <v>2086</v>
      </c>
      <c r="B45" s="10" t="s">
        <v>2087</v>
      </c>
    </row>
    <row r="46" spans="1:2" ht="20.100000000000001" customHeight="1" x14ac:dyDescent="0.25">
      <c r="A46" s="44" t="s">
        <v>814</v>
      </c>
    </row>
    <row r="47" spans="1:2" ht="20.100000000000001" customHeight="1" x14ac:dyDescent="0.25">
      <c r="A47" s="44" t="s">
        <v>1971</v>
      </c>
    </row>
    <row r="48" spans="1:2" ht="20.100000000000001" customHeight="1" x14ac:dyDescent="0.25">
      <c r="A48" s="44" t="s">
        <v>1654</v>
      </c>
    </row>
    <row r="49" spans="1:1" ht="20.100000000000001" customHeight="1" x14ac:dyDescent="0.25">
      <c r="A49" s="17" t="s">
        <v>1070</v>
      </c>
    </row>
    <row r="50" spans="1:1" ht="20.100000000000001" customHeight="1" x14ac:dyDescent="0.25">
      <c r="A50" s="43" t="s">
        <v>569</v>
      </c>
    </row>
    <row r="51" spans="1:1" ht="20.100000000000001" customHeight="1" x14ac:dyDescent="0.25">
      <c r="A51" s="44" t="s">
        <v>582</v>
      </c>
    </row>
    <row r="52" spans="1:1" x14ac:dyDescent="0.25">
      <c r="A52" s="44" t="s">
        <v>2108</v>
      </c>
    </row>
    <row r="53" spans="1:1" x14ac:dyDescent="0.25">
      <c r="A53" s="44" t="s">
        <v>2428</v>
      </c>
    </row>
    <row r="54" spans="1:1" x14ac:dyDescent="0.25">
      <c r="A54" s="44" t="s">
        <v>2734</v>
      </c>
    </row>
    <row r="55" spans="1:1" x14ac:dyDescent="0.25">
      <c r="A55" s="44" t="s">
        <v>3017</v>
      </c>
    </row>
    <row r="56" spans="1:1" x14ac:dyDescent="0.25">
      <c r="A56" s="43" t="s">
        <v>3068</v>
      </c>
    </row>
    <row r="57" spans="1:1" x14ac:dyDescent="0.25">
      <c r="A57" s="338" t="s">
        <v>3118</v>
      </c>
    </row>
    <row r="58" spans="1:1" x14ac:dyDescent="0.25">
      <c r="A58" s="44" t="s">
        <v>3955</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4114</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4261</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4256</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3918</v>
      </c>
    </row>
    <row r="177" spans="1:1" x14ac:dyDescent="0.2">
      <c r="A177" s="65" t="s">
        <v>4004</v>
      </c>
    </row>
    <row r="178" spans="1:1" x14ac:dyDescent="0.2">
      <c r="A178" s="65" t="s">
        <v>4023</v>
      </c>
    </row>
    <row r="179" spans="1:1" x14ac:dyDescent="0.2">
      <c r="A179" s="65" t="s">
        <v>4024</v>
      </c>
    </row>
    <row r="180" spans="1:1" x14ac:dyDescent="0.2">
      <c r="A180" s="65" t="s">
        <v>4076</v>
      </c>
    </row>
    <row r="181" spans="1:1" x14ac:dyDescent="0.2">
      <c r="A181" s="65" t="s">
        <v>4084</v>
      </c>
    </row>
    <row r="182" spans="1:1" x14ac:dyDescent="0.2">
      <c r="A182" s="42" t="s">
        <v>4090</v>
      </c>
    </row>
    <row r="183" spans="1:1" x14ac:dyDescent="0.2">
      <c r="A183" s="65" t="s">
        <v>1860</v>
      </c>
    </row>
    <row r="184" spans="1:1" x14ac:dyDescent="0.2">
      <c r="A184" s="65" t="s">
        <v>4139</v>
      </c>
    </row>
    <row r="185" spans="1:1" x14ac:dyDescent="0.2">
      <c r="A185" s="65" t="s">
        <v>4142</v>
      </c>
    </row>
    <row r="186" spans="1:1" x14ac:dyDescent="0.2">
      <c r="A186" s="65" t="s">
        <v>4180</v>
      </c>
    </row>
    <row r="187" spans="1:1" x14ac:dyDescent="0.2">
      <c r="A187" s="65" t="s">
        <v>4188</v>
      </c>
    </row>
    <row r="188" spans="1:1" x14ac:dyDescent="0.2">
      <c r="A188" s="65" t="s">
        <v>4259</v>
      </c>
    </row>
    <row r="189" spans="1:1" x14ac:dyDescent="0.2">
      <c r="A189" s="65" t="s">
        <v>4282</v>
      </c>
    </row>
    <row r="190" spans="1:1" x14ac:dyDescent="0.2">
      <c r="A190" s="65" t="s">
        <v>4288</v>
      </c>
    </row>
    <row r="191" spans="1:1" x14ac:dyDescent="0.2">
      <c r="A191" s="65" t="s">
        <v>4301</v>
      </c>
    </row>
    <row r="192" spans="1:1" x14ac:dyDescent="0.2">
      <c r="A192" s="199" t="s">
        <v>4303</v>
      </c>
    </row>
    <row r="193" spans="1:1" x14ac:dyDescent="0.2">
      <c r="A193" s="199"/>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x14ac:dyDescent="0.2">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x14ac:dyDescent="0.2">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4079</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x14ac:dyDescent="0.2">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66" t="s">
        <v>732</v>
      </c>
      <c r="I1" s="466"/>
      <c r="J1" s="466"/>
      <c r="K1" s="466"/>
      <c r="L1" s="466"/>
      <c r="M1" s="466"/>
      <c r="N1" s="466"/>
      <c r="O1" s="466"/>
      <c r="P1" s="466"/>
      <c r="Q1" s="466"/>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65" t="s">
        <v>393</v>
      </c>
      <c r="C2" s="465"/>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65" t="s">
        <v>448</v>
      </c>
      <c r="C14" s="465"/>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65" t="s">
        <v>449</v>
      </c>
      <c r="C26" s="465"/>
    </row>
    <row r="27" spans="2:3" ht="24.95" customHeight="1" x14ac:dyDescent="0.2">
      <c r="B27" s="13" t="s">
        <v>3</v>
      </c>
      <c r="C27" s="13" t="s">
        <v>362</v>
      </c>
    </row>
    <row r="28" spans="2:3" ht="24.95" customHeight="1" x14ac:dyDescent="0.2">
      <c r="B28" s="11" t="s">
        <v>43</v>
      </c>
      <c r="C28" s="11">
        <f ca="1">COUNTIFS(EXPEDIENTES!G:G,B28,EXPEDIENTES!O:O,"SI")</f>
        <v>106</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5">
      <c r="B31" s="11" t="s">
        <v>283</v>
      </c>
      <c r="C31" s="11">
        <f ca="1">COUNTIFS(EXPEDIENTES!G:G,B31,EXPEDIENTES!O:O,"SI")</f>
        <v>116</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82</v>
      </c>
    </row>
    <row r="35" spans="2:3" ht="24.95" customHeight="1" x14ac:dyDescent="0.25">
      <c r="B35" s="25" t="s">
        <v>371</v>
      </c>
      <c r="C35" s="28">
        <f ca="1">SUM(C28:C34)</f>
        <v>506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5">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5">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5">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5">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5">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5">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5">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5">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5">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5">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5">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5">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5">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5">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5">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5">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5">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5">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5">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5">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5">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5">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5">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5">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5">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5">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5">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5">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5">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5">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5">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5">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5">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5">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5">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5">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5">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5">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5">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5">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5">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5">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5">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5">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5">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5">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5">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5">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5">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5">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5">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5">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5">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5">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5">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5">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5">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5">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5">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5">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5">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5">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5">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5">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5">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5">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5">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5">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5">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5">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5">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5">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5">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5">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5">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5">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5">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5">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5">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5">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5">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5">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5">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5">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5">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5">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5">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5">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5">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5">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5">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5">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5">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5">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5">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5">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5">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5">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5">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5">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5">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5">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5">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5">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5">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5">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5">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5">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5">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5">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5">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5">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5">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5">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5">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5">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5">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5">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5">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5">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5">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5">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5">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5">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5">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5">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5">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5">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5">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5">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5">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5">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5">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5">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5">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5">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5">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5">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5">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5">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5">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5">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5">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5">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5">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5">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5">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5">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5">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5">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5">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5">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5">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5">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5">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5">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5">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5">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5">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5">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5">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5">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5">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5">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5">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5">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5">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5">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5">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5">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5">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5">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5">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5">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5">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5">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5">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5">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5">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5">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5">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5">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5">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5">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5">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5">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5">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5">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5">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5">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5">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5">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5">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5">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5">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5">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5">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5">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5">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5">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5">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5">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5">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5">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5">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5">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5">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5">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5">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5">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5">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5">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5">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5">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5">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5">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5">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5">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5">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5">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5">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5">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5">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5">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5">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5">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5">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5">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5">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5">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5">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5">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5">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5">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5">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5">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5">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5">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5">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5">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5">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5">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5">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5">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5">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5">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5">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5">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5">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5">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5">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5">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5">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5">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5">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5">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5">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5">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5">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5">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5">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5">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5">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5">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5">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5">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5">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5">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5">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5">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5">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5">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5">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5">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5">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5">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5">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5">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5">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5">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5">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5">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5">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5">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5">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5">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5">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5">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5">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5">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5">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5">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5">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5">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5">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5">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5">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5">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5">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5">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5">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5">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5">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5">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5">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5">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5">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5">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5">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5">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5">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5">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5">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5">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5">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5">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5">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5">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5">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5">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5">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5">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5">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5">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5">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5">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5">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5">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5">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5">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5">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5">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5">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5">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5">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5">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5">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5">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5">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5">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5">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5">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5">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5">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5">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5">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5">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5">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5">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5">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5">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5">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5">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5">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5">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5">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5">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5">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5">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5">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5">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5">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5">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5">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5">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5">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5">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5">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5">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5">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5">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5">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5">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5">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5">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5">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5">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5">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5">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5">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5">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5">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5">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5">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5">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5">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5">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5">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5">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5">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5">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5">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5">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5">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5">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5">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5">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5">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5">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5">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5">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5">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5">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5">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5">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5">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5">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5">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5">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5">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5">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5">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5">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5">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5">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5">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5">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5">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5">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5">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5">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5">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5">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5">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5">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5">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5">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5">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5">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5">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5">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5">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5">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5">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5">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5">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5">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5">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5">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5">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5">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5">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5">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5">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5">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5">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5">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5">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5">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5">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5">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5">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5">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5">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5">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5">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5">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5">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5">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5">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5">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5">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5">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5">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5">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5">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5">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5">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5">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5">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5">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5">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5">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5">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5">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5">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5">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5">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5">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5">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5">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5">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5">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5">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5">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5">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5">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5">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5">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5">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5">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5">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5">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5">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5">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5">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5">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5">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5">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5">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5">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5">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5">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5">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5">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5">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5">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5">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5">
      <c r="A735" s="178" t="str">
        <f t="shared" si="22"/>
        <v>00/01/yyyy9</v>
      </c>
      <c r="B735" s="171">
        <f t="shared" si="23"/>
        <v>9</v>
      </c>
    </row>
    <row r="736" spans="1:12" ht="30" customHeight="1" x14ac:dyDescent="0.25">
      <c r="A736" s="178" t="str">
        <f t="shared" si="22"/>
        <v>00/01/yyyy10</v>
      </c>
      <c r="B736" s="171">
        <f t="shared" si="23"/>
        <v>10</v>
      </c>
    </row>
    <row r="737" spans="1:2" ht="30" customHeight="1" x14ac:dyDescent="0.25">
      <c r="A737" s="178" t="str">
        <f t="shared" si="22"/>
        <v>00/01/yyyy11</v>
      </c>
      <c r="B737" s="171">
        <f t="shared" si="23"/>
        <v>11</v>
      </c>
    </row>
    <row r="738" spans="1:2" ht="30" customHeight="1" x14ac:dyDescent="0.25">
      <c r="A738" s="178" t="str">
        <f t="shared" si="22"/>
        <v>00/01/yyyy12</v>
      </c>
      <c r="B738" s="171">
        <f t="shared" si="23"/>
        <v>12</v>
      </c>
    </row>
    <row r="739" spans="1:2" ht="30" customHeight="1" x14ac:dyDescent="0.25">
      <c r="A739" s="178" t="str">
        <f t="shared" si="22"/>
        <v>00/01/yyyy13</v>
      </c>
      <c r="B739" s="171">
        <f t="shared" si="23"/>
        <v>13</v>
      </c>
    </row>
    <row r="740" spans="1:2" ht="30" customHeight="1" x14ac:dyDescent="0.25">
      <c r="A740" s="178" t="str">
        <f t="shared" si="22"/>
        <v>00/01/yyyy14</v>
      </c>
      <c r="B740" s="171">
        <f t="shared" si="23"/>
        <v>14</v>
      </c>
    </row>
    <row r="741" spans="1:2" ht="30" customHeight="1" x14ac:dyDescent="0.25">
      <c r="A741" s="178" t="str">
        <f t="shared" si="22"/>
        <v>00/01/yyyy15</v>
      </c>
      <c r="B741" s="171">
        <f t="shared" si="23"/>
        <v>15</v>
      </c>
    </row>
    <row r="742" spans="1:2" ht="30" customHeight="1" x14ac:dyDescent="0.25">
      <c r="A742" s="178" t="str">
        <f t="shared" si="22"/>
        <v>00/01/yyyy16</v>
      </c>
      <c r="B742" s="171">
        <f t="shared" si="23"/>
        <v>16</v>
      </c>
    </row>
    <row r="743" spans="1:2" ht="30" customHeight="1" x14ac:dyDescent="0.25">
      <c r="A743" s="178" t="str">
        <f t="shared" si="22"/>
        <v>00/01/yyyy17</v>
      </c>
      <c r="B743" s="171">
        <f t="shared" si="23"/>
        <v>17</v>
      </c>
    </row>
    <row r="744" spans="1:2" ht="30" customHeight="1" x14ac:dyDescent="0.25">
      <c r="A744" s="178" t="str">
        <f t="shared" si="22"/>
        <v>00/01/yyyy18</v>
      </c>
      <c r="B744" s="171">
        <f t="shared" si="23"/>
        <v>18</v>
      </c>
    </row>
    <row r="745" spans="1:2" ht="30" customHeight="1" x14ac:dyDescent="0.25">
      <c r="A745" s="178" t="str">
        <f t="shared" si="22"/>
        <v>00/01/yyyy19</v>
      </c>
      <c r="B745" s="171">
        <f t="shared" si="23"/>
        <v>19</v>
      </c>
    </row>
    <row r="746" spans="1:2" ht="30" customHeight="1" x14ac:dyDescent="0.25">
      <c r="A746" s="178" t="str">
        <f t="shared" si="22"/>
        <v>00/01/yyyy20</v>
      </c>
      <c r="B746" s="171">
        <f t="shared" si="23"/>
        <v>20</v>
      </c>
    </row>
    <row r="747" spans="1:2" ht="30" customHeight="1" x14ac:dyDescent="0.25">
      <c r="A747" s="178" t="str">
        <f t="shared" si="22"/>
        <v>00/01/yyyy21</v>
      </c>
      <c r="B747" s="171">
        <f t="shared" si="23"/>
        <v>21</v>
      </c>
    </row>
    <row r="748" spans="1:2" ht="30" customHeight="1" x14ac:dyDescent="0.25">
      <c r="A748" s="178" t="str">
        <f t="shared" si="22"/>
        <v>00/01/yyyy22</v>
      </c>
      <c r="B748" s="171">
        <f t="shared" si="23"/>
        <v>22</v>
      </c>
    </row>
    <row r="749" spans="1:2" ht="30" customHeight="1" x14ac:dyDescent="0.25">
      <c r="A749" s="178" t="str">
        <f t="shared" si="22"/>
        <v>00/01/yyyy23</v>
      </c>
      <c r="B749" s="171">
        <f t="shared" si="23"/>
        <v>23</v>
      </c>
    </row>
    <row r="750" spans="1:2" ht="30" customHeight="1" x14ac:dyDescent="0.25">
      <c r="A750" s="178" t="str">
        <f t="shared" si="22"/>
        <v>00/01/yyyy24</v>
      </c>
      <c r="B750" s="171">
        <f t="shared" si="23"/>
        <v>24</v>
      </c>
    </row>
    <row r="751" spans="1:2" ht="30" customHeight="1" x14ac:dyDescent="0.25">
      <c r="A751" s="178" t="str">
        <f t="shared" si="22"/>
        <v>00/01/yyyy25</v>
      </c>
      <c r="B751" s="171">
        <f t="shared" si="23"/>
        <v>25</v>
      </c>
    </row>
    <row r="752" spans="1:2" ht="30" customHeight="1" x14ac:dyDescent="0.25">
      <c r="A752" s="178" t="str">
        <f t="shared" si="22"/>
        <v>00/01/yyyy26</v>
      </c>
      <c r="B752" s="171">
        <f t="shared" si="23"/>
        <v>26</v>
      </c>
    </row>
    <row r="753" spans="1:2" ht="30" customHeight="1" x14ac:dyDescent="0.25">
      <c r="A753" s="178" t="str">
        <f t="shared" si="22"/>
        <v>00/01/yyyy27</v>
      </c>
      <c r="B753" s="171">
        <f t="shared" si="23"/>
        <v>27</v>
      </c>
    </row>
    <row r="754" spans="1:2" ht="30" customHeight="1" x14ac:dyDescent="0.25">
      <c r="A754" s="178" t="str">
        <f t="shared" si="22"/>
        <v>00/01/yyyy28</v>
      </c>
      <c r="B754" s="171">
        <f t="shared" si="23"/>
        <v>28</v>
      </c>
    </row>
    <row r="755" spans="1:2" ht="30" customHeight="1" x14ac:dyDescent="0.25">
      <c r="A755" s="178" t="str">
        <f t="shared" si="22"/>
        <v>00/01/yyyy29</v>
      </c>
      <c r="B755" s="171">
        <f t="shared" si="23"/>
        <v>29</v>
      </c>
    </row>
    <row r="756" spans="1:2" ht="30" customHeight="1" x14ac:dyDescent="0.25">
      <c r="A756" s="178" t="str">
        <f t="shared" si="22"/>
        <v>00/01/yyyy30</v>
      </c>
      <c r="B756" s="171">
        <f t="shared" si="23"/>
        <v>30</v>
      </c>
    </row>
    <row r="757" spans="1:2" ht="30" customHeight="1" x14ac:dyDescent="0.25">
      <c r="A757" s="178" t="str">
        <f t="shared" si="22"/>
        <v>00/01/yyyy31</v>
      </c>
      <c r="B757" s="171">
        <f t="shared" si="23"/>
        <v>31</v>
      </c>
    </row>
    <row r="758" spans="1:2" ht="30" customHeight="1" x14ac:dyDescent="0.25">
      <c r="A758" s="178" t="str">
        <f t="shared" si="22"/>
        <v>00/01/yyyy32</v>
      </c>
      <c r="B758" s="171">
        <f t="shared" si="23"/>
        <v>32</v>
      </c>
    </row>
    <row r="759" spans="1:2" ht="30" customHeight="1" x14ac:dyDescent="0.25">
      <c r="A759" s="178" t="str">
        <f t="shared" si="22"/>
        <v>00/01/yyyy33</v>
      </c>
      <c r="B759" s="171">
        <f t="shared" si="23"/>
        <v>33</v>
      </c>
    </row>
    <row r="760" spans="1:2" ht="30" customHeight="1" x14ac:dyDescent="0.25">
      <c r="A760" s="178" t="str">
        <f t="shared" si="22"/>
        <v>00/01/yyyy34</v>
      </c>
      <c r="B760" s="171">
        <f t="shared" si="23"/>
        <v>34</v>
      </c>
    </row>
    <row r="761" spans="1:2" ht="30" customHeight="1" x14ac:dyDescent="0.25">
      <c r="A761" s="178" t="str">
        <f t="shared" si="22"/>
        <v>00/01/yyyy35</v>
      </c>
      <c r="B761" s="171">
        <f t="shared" si="23"/>
        <v>35</v>
      </c>
    </row>
    <row r="762" spans="1:2" ht="30" customHeight="1" x14ac:dyDescent="0.25">
      <c r="A762" s="178" t="str">
        <f t="shared" si="22"/>
        <v>00/01/yyyy36</v>
      </c>
      <c r="B762" s="171">
        <f t="shared" si="23"/>
        <v>36</v>
      </c>
    </row>
    <row r="763" spans="1:2" ht="30" customHeight="1" x14ac:dyDescent="0.25">
      <c r="A763" s="178" t="str">
        <f t="shared" si="22"/>
        <v>00/01/yyyy37</v>
      </c>
      <c r="B763" s="171">
        <f t="shared" si="23"/>
        <v>37</v>
      </c>
    </row>
    <row r="764" spans="1:2" ht="30" customHeight="1" x14ac:dyDescent="0.25">
      <c r="A764" s="178" t="str">
        <f t="shared" si="22"/>
        <v>00/01/yyyy38</v>
      </c>
      <c r="B764" s="171">
        <f t="shared" si="23"/>
        <v>38</v>
      </c>
    </row>
    <row r="765" spans="1:2" ht="30" customHeight="1" x14ac:dyDescent="0.25">
      <c r="A765" s="178" t="str">
        <f t="shared" si="22"/>
        <v>00/01/yyyy39</v>
      </c>
      <c r="B765" s="171">
        <f t="shared" si="23"/>
        <v>39</v>
      </c>
    </row>
    <row r="766" spans="1:2" ht="30" customHeight="1" x14ac:dyDescent="0.25">
      <c r="A766" s="178" t="str">
        <f t="shared" si="22"/>
        <v>00/01/yyyy40</v>
      </c>
      <c r="B766" s="171">
        <f t="shared" si="23"/>
        <v>40</v>
      </c>
    </row>
    <row r="767" spans="1:2" ht="30" customHeight="1" x14ac:dyDescent="0.25">
      <c r="A767" s="178" t="str">
        <f t="shared" si="22"/>
        <v>00/01/yyyy41</v>
      </c>
      <c r="B767" s="171">
        <f t="shared" si="23"/>
        <v>41</v>
      </c>
    </row>
    <row r="768" spans="1:2" ht="30" customHeight="1" x14ac:dyDescent="0.25">
      <c r="A768" s="178" t="str">
        <f t="shared" si="22"/>
        <v>00/01/yyyy42</v>
      </c>
      <c r="B768" s="171">
        <f t="shared" si="23"/>
        <v>42</v>
      </c>
    </row>
    <row r="769" spans="1:2" ht="30" customHeight="1" x14ac:dyDescent="0.25">
      <c r="A769" s="178" t="str">
        <f t="shared" si="22"/>
        <v>00/01/yyyy43</v>
      </c>
      <c r="B769" s="171">
        <f t="shared" si="23"/>
        <v>43</v>
      </c>
    </row>
    <row r="770" spans="1:2" ht="30" customHeight="1" x14ac:dyDescent="0.25">
      <c r="A770" s="178" t="str">
        <f t="shared" si="22"/>
        <v>00/01/yyyy44</v>
      </c>
      <c r="B770" s="171">
        <f t="shared" si="23"/>
        <v>44</v>
      </c>
    </row>
    <row r="771" spans="1:2" ht="30" customHeight="1" x14ac:dyDescent="0.25">
      <c r="A771" s="178" t="str">
        <f t="shared" ref="A771:A834" si="24">CONCATENATE(TEXT($G771,"dd/mm/yyyy"),$B771)</f>
        <v>00/01/yyyy45</v>
      </c>
      <c r="B771" s="171">
        <f t="shared" si="23"/>
        <v>45</v>
      </c>
    </row>
    <row r="772" spans="1:2" ht="30" customHeight="1" x14ac:dyDescent="0.25">
      <c r="A772" s="178" t="str">
        <f t="shared" si="24"/>
        <v>00/01/yyyy46</v>
      </c>
      <c r="B772" s="171">
        <f t="shared" ref="B772:B835" si="25">IF($G772=$G771,$B771+1,1)</f>
        <v>46</v>
      </c>
    </row>
    <row r="773" spans="1:2" ht="30" customHeight="1" x14ac:dyDescent="0.25">
      <c r="A773" s="178" t="str">
        <f t="shared" si="24"/>
        <v>00/01/yyyy47</v>
      </c>
      <c r="B773" s="171">
        <f t="shared" si="25"/>
        <v>47</v>
      </c>
    </row>
    <row r="774" spans="1:2" ht="30" customHeight="1" x14ac:dyDescent="0.25">
      <c r="A774" s="178" t="str">
        <f t="shared" si="24"/>
        <v>00/01/yyyy48</v>
      </c>
      <c r="B774" s="171">
        <f t="shared" si="25"/>
        <v>48</v>
      </c>
    </row>
    <row r="775" spans="1:2" ht="30" customHeight="1" x14ac:dyDescent="0.25">
      <c r="A775" s="178" t="str">
        <f t="shared" si="24"/>
        <v>00/01/yyyy49</v>
      </c>
      <c r="B775" s="171">
        <f t="shared" si="25"/>
        <v>49</v>
      </c>
    </row>
    <row r="776" spans="1:2" ht="30" customHeight="1" x14ac:dyDescent="0.25">
      <c r="A776" s="178" t="str">
        <f t="shared" si="24"/>
        <v>00/01/yyyy50</v>
      </c>
      <c r="B776" s="171">
        <f t="shared" si="25"/>
        <v>50</v>
      </c>
    </row>
    <row r="777" spans="1:2" ht="30" customHeight="1" x14ac:dyDescent="0.25">
      <c r="A777" s="178" t="str">
        <f t="shared" si="24"/>
        <v>00/01/yyyy51</v>
      </c>
      <c r="B777" s="171">
        <f t="shared" si="25"/>
        <v>51</v>
      </c>
    </row>
    <row r="778" spans="1:2" ht="30" customHeight="1" x14ac:dyDescent="0.25">
      <c r="A778" s="178" t="str">
        <f t="shared" si="24"/>
        <v>00/01/yyyy52</v>
      </c>
      <c r="B778" s="171">
        <f t="shared" si="25"/>
        <v>52</v>
      </c>
    </row>
    <row r="779" spans="1:2" ht="30" customHeight="1" x14ac:dyDescent="0.25">
      <c r="A779" s="178" t="str">
        <f t="shared" si="24"/>
        <v>00/01/yyyy53</v>
      </c>
      <c r="B779" s="171">
        <f t="shared" si="25"/>
        <v>53</v>
      </c>
    </row>
    <row r="780" spans="1:2" ht="30" customHeight="1" x14ac:dyDescent="0.25">
      <c r="A780" s="178" t="str">
        <f t="shared" si="24"/>
        <v>00/01/yyyy54</v>
      </c>
      <c r="B780" s="171">
        <f t="shared" si="25"/>
        <v>54</v>
      </c>
    </row>
    <row r="781" spans="1:2" ht="30" customHeight="1" x14ac:dyDescent="0.25">
      <c r="A781" s="178" t="str">
        <f t="shared" si="24"/>
        <v>00/01/yyyy55</v>
      </c>
      <c r="B781" s="171">
        <f t="shared" si="25"/>
        <v>55</v>
      </c>
    </row>
    <row r="782" spans="1:2" ht="30" customHeight="1" x14ac:dyDescent="0.25">
      <c r="A782" s="178" t="str">
        <f t="shared" si="24"/>
        <v>00/01/yyyy56</v>
      </c>
      <c r="B782" s="171">
        <f t="shared" si="25"/>
        <v>56</v>
      </c>
    </row>
    <row r="783" spans="1:2" ht="30" customHeight="1" x14ac:dyDescent="0.25">
      <c r="A783" s="178" t="str">
        <f t="shared" si="24"/>
        <v>00/01/yyyy57</v>
      </c>
      <c r="B783" s="171">
        <f t="shared" si="25"/>
        <v>57</v>
      </c>
    </row>
    <row r="784" spans="1:2" ht="30" customHeight="1" x14ac:dyDescent="0.25">
      <c r="A784" s="178" t="str">
        <f t="shared" si="24"/>
        <v>00/01/yyyy58</v>
      </c>
      <c r="B784" s="171">
        <f t="shared" si="25"/>
        <v>58</v>
      </c>
    </row>
    <row r="785" spans="1:2" ht="30" customHeight="1" x14ac:dyDescent="0.25">
      <c r="A785" s="178" t="str">
        <f t="shared" si="24"/>
        <v>00/01/yyyy59</v>
      </c>
      <c r="B785" s="171">
        <f t="shared" si="25"/>
        <v>59</v>
      </c>
    </row>
    <row r="786" spans="1:2" ht="30" customHeight="1" x14ac:dyDescent="0.25">
      <c r="A786" s="178" t="str">
        <f t="shared" si="24"/>
        <v>00/01/yyyy60</v>
      </c>
      <c r="B786" s="171">
        <f t="shared" si="25"/>
        <v>60</v>
      </c>
    </row>
    <row r="787" spans="1:2" ht="30" customHeight="1" x14ac:dyDescent="0.25">
      <c r="A787" s="178" t="str">
        <f t="shared" si="24"/>
        <v>00/01/yyyy61</v>
      </c>
      <c r="B787" s="171">
        <f t="shared" si="25"/>
        <v>61</v>
      </c>
    </row>
    <row r="788" spans="1:2" ht="30" customHeight="1" x14ac:dyDescent="0.25">
      <c r="A788" s="178" t="str">
        <f t="shared" si="24"/>
        <v>00/01/yyyy62</v>
      </c>
      <c r="B788" s="171">
        <f t="shared" si="25"/>
        <v>62</v>
      </c>
    </row>
    <row r="789" spans="1:2" ht="30" customHeight="1" x14ac:dyDescent="0.25">
      <c r="A789" s="178" t="str">
        <f t="shared" si="24"/>
        <v>00/01/yyyy63</v>
      </c>
      <c r="B789" s="171">
        <f t="shared" si="25"/>
        <v>63</v>
      </c>
    </row>
    <row r="790" spans="1:2" ht="30" customHeight="1" x14ac:dyDescent="0.25">
      <c r="A790" s="178" t="str">
        <f t="shared" si="24"/>
        <v>00/01/yyyy64</v>
      </c>
      <c r="B790" s="171">
        <f t="shared" si="25"/>
        <v>64</v>
      </c>
    </row>
    <row r="791" spans="1:2" ht="30" customHeight="1" x14ac:dyDescent="0.25">
      <c r="A791" s="178" t="str">
        <f t="shared" si="24"/>
        <v>00/01/yyyy65</v>
      </c>
      <c r="B791" s="171">
        <f t="shared" si="25"/>
        <v>65</v>
      </c>
    </row>
    <row r="792" spans="1:2" ht="30" customHeight="1" x14ac:dyDescent="0.25">
      <c r="A792" s="178" t="str">
        <f t="shared" si="24"/>
        <v>00/01/yyyy66</v>
      </c>
      <c r="B792" s="171">
        <f t="shared" si="25"/>
        <v>66</v>
      </c>
    </row>
    <row r="793" spans="1:2" ht="30" customHeight="1" x14ac:dyDescent="0.25">
      <c r="A793" s="178" t="str">
        <f t="shared" si="24"/>
        <v>00/01/yyyy67</v>
      </c>
      <c r="B793" s="171">
        <f t="shared" si="25"/>
        <v>67</v>
      </c>
    </row>
    <row r="794" spans="1:2" ht="30" customHeight="1" x14ac:dyDescent="0.25">
      <c r="A794" s="178" t="str">
        <f t="shared" si="24"/>
        <v>00/01/yyyy68</v>
      </c>
      <c r="B794" s="171">
        <f t="shared" si="25"/>
        <v>68</v>
      </c>
    </row>
    <row r="795" spans="1:2" ht="30" customHeight="1" x14ac:dyDescent="0.25">
      <c r="A795" s="178" t="str">
        <f t="shared" si="24"/>
        <v>00/01/yyyy69</v>
      </c>
      <c r="B795" s="171">
        <f t="shared" si="25"/>
        <v>69</v>
      </c>
    </row>
    <row r="796" spans="1:2" ht="30" customHeight="1" x14ac:dyDescent="0.25">
      <c r="A796" s="178" t="str">
        <f t="shared" si="24"/>
        <v>00/01/yyyy70</v>
      </c>
      <c r="B796" s="171">
        <f t="shared" si="25"/>
        <v>70</v>
      </c>
    </row>
    <row r="797" spans="1:2" ht="30" customHeight="1" x14ac:dyDescent="0.25">
      <c r="A797" s="178" t="str">
        <f t="shared" si="24"/>
        <v>00/01/yyyy71</v>
      </c>
      <c r="B797" s="171">
        <f t="shared" si="25"/>
        <v>71</v>
      </c>
    </row>
    <row r="798" spans="1:2" ht="30" customHeight="1" x14ac:dyDescent="0.25">
      <c r="A798" s="178" t="str">
        <f t="shared" si="24"/>
        <v>00/01/yyyy72</v>
      </c>
      <c r="B798" s="171">
        <f t="shared" si="25"/>
        <v>72</v>
      </c>
    </row>
    <row r="799" spans="1:2" ht="30" customHeight="1" x14ac:dyDescent="0.25">
      <c r="A799" s="178" t="str">
        <f t="shared" si="24"/>
        <v>00/01/yyyy73</v>
      </c>
      <c r="B799" s="171">
        <f t="shared" si="25"/>
        <v>73</v>
      </c>
    </row>
    <row r="800" spans="1:2" ht="30" customHeight="1" x14ac:dyDescent="0.25">
      <c r="A800" s="178" t="str">
        <f t="shared" si="24"/>
        <v>00/01/yyyy74</v>
      </c>
      <c r="B800" s="171">
        <f t="shared" si="25"/>
        <v>74</v>
      </c>
    </row>
    <row r="801" spans="1:2" ht="30" customHeight="1" x14ac:dyDescent="0.25">
      <c r="A801" s="178" t="str">
        <f t="shared" si="24"/>
        <v>00/01/yyyy75</v>
      </c>
      <c r="B801" s="171">
        <f t="shared" si="25"/>
        <v>75</v>
      </c>
    </row>
    <row r="802" spans="1:2" ht="30" customHeight="1" x14ac:dyDescent="0.25">
      <c r="A802" s="178" t="str">
        <f t="shared" si="24"/>
        <v>00/01/yyyy76</v>
      </c>
      <c r="B802" s="171">
        <f t="shared" si="25"/>
        <v>76</v>
      </c>
    </row>
    <row r="803" spans="1:2" ht="30" customHeight="1" x14ac:dyDescent="0.25">
      <c r="A803" s="178" t="str">
        <f t="shared" si="24"/>
        <v>00/01/yyyy77</v>
      </c>
      <c r="B803" s="171">
        <f t="shared" si="25"/>
        <v>77</v>
      </c>
    </row>
    <row r="804" spans="1:2" ht="30" customHeight="1" x14ac:dyDescent="0.25">
      <c r="A804" s="178" t="str">
        <f t="shared" si="24"/>
        <v>00/01/yyyy78</v>
      </c>
      <c r="B804" s="171">
        <f t="shared" si="25"/>
        <v>78</v>
      </c>
    </row>
    <row r="805" spans="1:2" ht="30" customHeight="1" x14ac:dyDescent="0.25">
      <c r="A805" s="178" t="str">
        <f t="shared" si="24"/>
        <v>00/01/yyyy79</v>
      </c>
      <c r="B805" s="171">
        <f t="shared" si="25"/>
        <v>79</v>
      </c>
    </row>
    <row r="806" spans="1:2" ht="30" customHeight="1" x14ac:dyDescent="0.25">
      <c r="A806" s="178" t="str">
        <f t="shared" si="24"/>
        <v>00/01/yyyy80</v>
      </c>
      <c r="B806" s="171">
        <f t="shared" si="25"/>
        <v>80</v>
      </c>
    </row>
    <row r="807" spans="1:2" ht="30" customHeight="1" x14ac:dyDescent="0.25">
      <c r="A807" s="178" t="str">
        <f t="shared" si="24"/>
        <v>00/01/yyyy81</v>
      </c>
      <c r="B807" s="171">
        <f t="shared" si="25"/>
        <v>81</v>
      </c>
    </row>
    <row r="808" spans="1:2" ht="30" customHeight="1" x14ac:dyDescent="0.25">
      <c r="A808" s="178" t="str">
        <f t="shared" si="24"/>
        <v>00/01/yyyy82</v>
      </c>
      <c r="B808" s="171">
        <f t="shared" si="25"/>
        <v>82</v>
      </c>
    </row>
    <row r="809" spans="1:2" ht="30" customHeight="1" x14ac:dyDescent="0.25">
      <c r="A809" s="178" t="str">
        <f t="shared" si="24"/>
        <v>00/01/yyyy83</v>
      </c>
      <c r="B809" s="171">
        <f t="shared" si="25"/>
        <v>83</v>
      </c>
    </row>
    <row r="810" spans="1:2" ht="30" customHeight="1" x14ac:dyDescent="0.25">
      <c r="A810" s="178" t="str">
        <f t="shared" si="24"/>
        <v>00/01/yyyy84</v>
      </c>
      <c r="B810" s="171">
        <f t="shared" si="25"/>
        <v>84</v>
      </c>
    </row>
    <row r="811" spans="1:2" ht="30" customHeight="1" x14ac:dyDescent="0.25">
      <c r="A811" s="178" t="str">
        <f t="shared" si="24"/>
        <v>00/01/yyyy85</v>
      </c>
      <c r="B811" s="171">
        <f t="shared" si="25"/>
        <v>85</v>
      </c>
    </row>
    <row r="812" spans="1:2" ht="30" customHeight="1" x14ac:dyDescent="0.25">
      <c r="A812" s="178" t="str">
        <f t="shared" si="24"/>
        <v>00/01/yyyy86</v>
      </c>
      <c r="B812" s="171">
        <f t="shared" si="25"/>
        <v>86</v>
      </c>
    </row>
    <row r="813" spans="1:2" ht="30" customHeight="1" x14ac:dyDescent="0.25">
      <c r="A813" s="178" t="str">
        <f t="shared" si="24"/>
        <v>00/01/yyyy87</v>
      </c>
      <c r="B813" s="171">
        <f t="shared" si="25"/>
        <v>87</v>
      </c>
    </row>
    <row r="814" spans="1:2" ht="30" customHeight="1" x14ac:dyDescent="0.25">
      <c r="A814" s="178" t="str">
        <f t="shared" si="24"/>
        <v>00/01/yyyy88</v>
      </c>
      <c r="B814" s="171">
        <f t="shared" si="25"/>
        <v>88</v>
      </c>
    </row>
    <row r="815" spans="1:2" ht="30" customHeight="1" x14ac:dyDescent="0.25">
      <c r="A815" s="178" t="str">
        <f t="shared" si="24"/>
        <v>00/01/yyyy89</v>
      </c>
      <c r="B815" s="171">
        <f t="shared" si="25"/>
        <v>89</v>
      </c>
    </row>
    <row r="816" spans="1:2" ht="30" customHeight="1" x14ac:dyDescent="0.25">
      <c r="A816" s="178" t="str">
        <f t="shared" si="24"/>
        <v>00/01/yyyy90</v>
      </c>
      <c r="B816" s="171">
        <f t="shared" si="25"/>
        <v>90</v>
      </c>
    </row>
    <row r="817" spans="1:2" ht="30" customHeight="1" x14ac:dyDescent="0.25">
      <c r="A817" s="178" t="str">
        <f t="shared" si="24"/>
        <v>00/01/yyyy91</v>
      </c>
      <c r="B817" s="171">
        <f t="shared" si="25"/>
        <v>91</v>
      </c>
    </row>
    <row r="818" spans="1:2" ht="30" customHeight="1" x14ac:dyDescent="0.25">
      <c r="A818" s="178" t="str">
        <f t="shared" si="24"/>
        <v>00/01/yyyy92</v>
      </c>
      <c r="B818" s="171">
        <f t="shared" si="25"/>
        <v>92</v>
      </c>
    </row>
    <row r="819" spans="1:2" ht="30" customHeight="1" x14ac:dyDescent="0.25">
      <c r="A819" s="178" t="str">
        <f t="shared" si="24"/>
        <v>00/01/yyyy93</v>
      </c>
      <c r="B819" s="171">
        <f t="shared" si="25"/>
        <v>93</v>
      </c>
    </row>
    <row r="820" spans="1:2" ht="30" customHeight="1" x14ac:dyDescent="0.25">
      <c r="A820" s="178" t="str">
        <f t="shared" si="24"/>
        <v>00/01/yyyy94</v>
      </c>
      <c r="B820" s="171">
        <f t="shared" si="25"/>
        <v>94</v>
      </c>
    </row>
    <row r="821" spans="1:2" ht="30" customHeight="1" x14ac:dyDescent="0.25">
      <c r="A821" s="178" t="str">
        <f t="shared" si="24"/>
        <v>00/01/yyyy95</v>
      </c>
      <c r="B821" s="171">
        <f t="shared" si="25"/>
        <v>95</v>
      </c>
    </row>
    <row r="822" spans="1:2" ht="30" customHeight="1" x14ac:dyDescent="0.25">
      <c r="A822" s="178" t="str">
        <f t="shared" si="24"/>
        <v>00/01/yyyy96</v>
      </c>
      <c r="B822" s="171">
        <f t="shared" si="25"/>
        <v>96</v>
      </c>
    </row>
    <row r="823" spans="1:2" ht="30" customHeight="1" x14ac:dyDescent="0.25">
      <c r="A823" s="178" t="str">
        <f t="shared" si="24"/>
        <v>00/01/yyyy97</v>
      </c>
      <c r="B823" s="171">
        <f t="shared" si="25"/>
        <v>97</v>
      </c>
    </row>
    <row r="824" spans="1:2" ht="30" customHeight="1" x14ac:dyDescent="0.25">
      <c r="A824" s="178" t="str">
        <f t="shared" si="24"/>
        <v>00/01/yyyy98</v>
      </c>
      <c r="B824" s="171">
        <f t="shared" si="25"/>
        <v>98</v>
      </c>
    </row>
    <row r="825" spans="1:2" ht="30" customHeight="1" x14ac:dyDescent="0.25">
      <c r="A825" s="178" t="str">
        <f t="shared" si="24"/>
        <v>00/01/yyyy99</v>
      </c>
      <c r="B825" s="171">
        <f t="shared" si="25"/>
        <v>99</v>
      </c>
    </row>
    <row r="826" spans="1:2" ht="30" customHeight="1" x14ac:dyDescent="0.25">
      <c r="A826" s="178" t="str">
        <f t="shared" si="24"/>
        <v>00/01/yyyy100</v>
      </c>
      <c r="B826" s="171">
        <f t="shared" si="25"/>
        <v>100</v>
      </c>
    </row>
    <row r="827" spans="1:2" ht="30" customHeight="1" x14ac:dyDescent="0.25">
      <c r="A827" s="178" t="str">
        <f t="shared" si="24"/>
        <v>00/01/yyyy101</v>
      </c>
      <c r="B827" s="171">
        <f t="shared" si="25"/>
        <v>101</v>
      </c>
    </row>
    <row r="828" spans="1:2" ht="30" customHeight="1" x14ac:dyDescent="0.25">
      <c r="A828" s="178" t="str">
        <f t="shared" si="24"/>
        <v>00/01/yyyy102</v>
      </c>
      <c r="B828" s="171">
        <f t="shared" si="25"/>
        <v>102</v>
      </c>
    </row>
    <row r="829" spans="1:2" ht="30" customHeight="1" x14ac:dyDescent="0.25">
      <c r="A829" s="178" t="str">
        <f t="shared" si="24"/>
        <v>00/01/yyyy103</v>
      </c>
      <c r="B829" s="171">
        <f t="shared" si="25"/>
        <v>103</v>
      </c>
    </row>
    <row r="830" spans="1:2" ht="30" customHeight="1" x14ac:dyDescent="0.25">
      <c r="A830" s="178" t="str">
        <f t="shared" si="24"/>
        <v>00/01/yyyy104</v>
      </c>
      <c r="B830" s="171">
        <f t="shared" si="25"/>
        <v>104</v>
      </c>
    </row>
    <row r="831" spans="1:2" ht="30" customHeight="1" x14ac:dyDescent="0.25">
      <c r="A831" s="178" t="str">
        <f t="shared" si="24"/>
        <v>00/01/yyyy105</v>
      </c>
      <c r="B831" s="171">
        <f t="shared" si="25"/>
        <v>105</v>
      </c>
    </row>
    <row r="832" spans="1:2" ht="30" customHeight="1" x14ac:dyDescent="0.25">
      <c r="A832" s="178" t="str">
        <f t="shared" si="24"/>
        <v>00/01/yyyy106</v>
      </c>
      <c r="B832" s="171">
        <f t="shared" si="25"/>
        <v>106</v>
      </c>
    </row>
    <row r="833" spans="1:2" ht="30" customHeight="1" x14ac:dyDescent="0.25">
      <c r="A833" s="178" t="str">
        <f t="shared" si="24"/>
        <v>00/01/yyyy107</v>
      </c>
      <c r="B833" s="171">
        <f t="shared" si="25"/>
        <v>107</v>
      </c>
    </row>
    <row r="834" spans="1:2" ht="30" customHeight="1" x14ac:dyDescent="0.25">
      <c r="A834" s="178" t="str">
        <f t="shared" si="24"/>
        <v>00/01/yyyy108</v>
      </c>
      <c r="B834" s="171">
        <f t="shared" si="25"/>
        <v>108</v>
      </c>
    </row>
    <row r="835" spans="1:2" ht="30" customHeight="1" x14ac:dyDescent="0.25">
      <c r="A835" s="178" t="str">
        <f t="shared" ref="A835:A898" si="26">CONCATENATE(TEXT($G835,"dd/mm/yyyy"),$B835)</f>
        <v>00/01/yyyy109</v>
      </c>
      <c r="B835" s="171">
        <f t="shared" si="25"/>
        <v>109</v>
      </c>
    </row>
    <row r="836" spans="1:2" ht="30" customHeight="1" x14ac:dyDescent="0.25">
      <c r="A836" s="178" t="str">
        <f t="shared" si="26"/>
        <v>00/01/yyyy110</v>
      </c>
      <c r="B836" s="171">
        <f t="shared" ref="B836:B899" si="27">IF($G836=$G835,$B835+1,1)</f>
        <v>110</v>
      </c>
    </row>
    <row r="837" spans="1:2" ht="30" customHeight="1" x14ac:dyDescent="0.25">
      <c r="A837" s="178" t="str">
        <f t="shared" si="26"/>
        <v>00/01/yyyy111</v>
      </c>
      <c r="B837" s="171">
        <f t="shared" si="27"/>
        <v>111</v>
      </c>
    </row>
    <row r="838" spans="1:2" ht="30" customHeight="1" x14ac:dyDescent="0.25">
      <c r="A838" s="178" t="str">
        <f t="shared" si="26"/>
        <v>00/01/yyyy112</v>
      </c>
      <c r="B838" s="171">
        <f t="shared" si="27"/>
        <v>112</v>
      </c>
    </row>
    <row r="839" spans="1:2" ht="30" customHeight="1" x14ac:dyDescent="0.25">
      <c r="A839" s="178" t="str">
        <f t="shared" si="26"/>
        <v>00/01/yyyy113</v>
      </c>
      <c r="B839" s="171">
        <f t="shared" si="27"/>
        <v>113</v>
      </c>
    </row>
    <row r="840" spans="1:2" ht="30" customHeight="1" x14ac:dyDescent="0.25">
      <c r="A840" s="178" t="str">
        <f t="shared" si="26"/>
        <v>00/01/yyyy114</v>
      </c>
      <c r="B840" s="171">
        <f t="shared" si="27"/>
        <v>114</v>
      </c>
    </row>
    <row r="841" spans="1:2" ht="30" customHeight="1" x14ac:dyDescent="0.25">
      <c r="A841" s="178" t="str">
        <f t="shared" si="26"/>
        <v>00/01/yyyy115</v>
      </c>
      <c r="B841" s="171">
        <f t="shared" si="27"/>
        <v>115</v>
      </c>
    </row>
    <row r="842" spans="1:2" ht="30" customHeight="1" x14ac:dyDescent="0.25">
      <c r="A842" s="178" t="str">
        <f t="shared" si="26"/>
        <v>00/01/yyyy116</v>
      </c>
      <c r="B842" s="171">
        <f t="shared" si="27"/>
        <v>116</v>
      </c>
    </row>
    <row r="843" spans="1:2" ht="30" customHeight="1" x14ac:dyDescent="0.25">
      <c r="A843" s="178" t="str">
        <f t="shared" si="26"/>
        <v>00/01/yyyy117</v>
      </c>
      <c r="B843" s="171">
        <f t="shared" si="27"/>
        <v>117</v>
      </c>
    </row>
    <row r="844" spans="1:2" ht="30" customHeight="1" x14ac:dyDescent="0.25">
      <c r="A844" s="178" t="str">
        <f t="shared" si="26"/>
        <v>00/01/yyyy118</v>
      </c>
      <c r="B844" s="171">
        <f t="shared" si="27"/>
        <v>118</v>
      </c>
    </row>
    <row r="845" spans="1:2" ht="30" customHeight="1" x14ac:dyDescent="0.25">
      <c r="A845" s="178" t="str">
        <f t="shared" si="26"/>
        <v>00/01/yyyy119</v>
      </c>
      <c r="B845" s="171">
        <f t="shared" si="27"/>
        <v>119</v>
      </c>
    </row>
    <row r="846" spans="1:2" ht="30" customHeight="1" x14ac:dyDescent="0.25">
      <c r="A846" s="178" t="str">
        <f t="shared" si="26"/>
        <v>00/01/yyyy120</v>
      </c>
      <c r="B846" s="171">
        <f t="shared" si="27"/>
        <v>120</v>
      </c>
    </row>
    <row r="847" spans="1:2" ht="30" customHeight="1" x14ac:dyDescent="0.25">
      <c r="A847" s="178" t="str">
        <f t="shared" si="26"/>
        <v>00/01/yyyy121</v>
      </c>
      <c r="B847" s="171">
        <f t="shared" si="27"/>
        <v>121</v>
      </c>
    </row>
    <row r="848" spans="1:2" ht="30" customHeight="1" x14ac:dyDescent="0.25">
      <c r="A848" s="178" t="str">
        <f t="shared" si="26"/>
        <v>00/01/yyyy122</v>
      </c>
      <c r="B848" s="171">
        <f t="shared" si="27"/>
        <v>122</v>
      </c>
    </row>
    <row r="849" spans="1:2" ht="30" customHeight="1" x14ac:dyDescent="0.25">
      <c r="A849" s="178" t="str">
        <f t="shared" si="26"/>
        <v>00/01/yyyy123</v>
      </c>
      <c r="B849" s="171">
        <f t="shared" si="27"/>
        <v>123</v>
      </c>
    </row>
    <row r="850" spans="1:2" ht="30" customHeight="1" x14ac:dyDescent="0.25">
      <c r="A850" s="178" t="str">
        <f t="shared" si="26"/>
        <v>00/01/yyyy124</v>
      </c>
      <c r="B850" s="171">
        <f t="shared" si="27"/>
        <v>124</v>
      </c>
    </row>
    <row r="851" spans="1:2" ht="30" customHeight="1" x14ac:dyDescent="0.25">
      <c r="A851" s="178" t="str">
        <f t="shared" si="26"/>
        <v>00/01/yyyy125</v>
      </c>
      <c r="B851" s="171">
        <f t="shared" si="27"/>
        <v>125</v>
      </c>
    </row>
    <row r="852" spans="1:2" ht="30" customHeight="1" x14ac:dyDescent="0.25">
      <c r="A852" s="178" t="str">
        <f t="shared" si="26"/>
        <v>00/01/yyyy126</v>
      </c>
      <c r="B852" s="171">
        <f t="shared" si="27"/>
        <v>126</v>
      </c>
    </row>
    <row r="853" spans="1:2" ht="30" customHeight="1" x14ac:dyDescent="0.25">
      <c r="A853" s="178" t="str">
        <f t="shared" si="26"/>
        <v>00/01/yyyy127</v>
      </c>
      <c r="B853" s="171">
        <f t="shared" si="27"/>
        <v>127</v>
      </c>
    </row>
    <row r="854" spans="1:2" ht="30" customHeight="1" x14ac:dyDescent="0.25">
      <c r="A854" s="178" t="str">
        <f t="shared" si="26"/>
        <v>00/01/yyyy128</v>
      </c>
      <c r="B854" s="171">
        <f t="shared" si="27"/>
        <v>128</v>
      </c>
    </row>
    <row r="855" spans="1:2" ht="30" customHeight="1" x14ac:dyDescent="0.25">
      <c r="A855" s="178" t="str">
        <f t="shared" si="26"/>
        <v>00/01/yyyy129</v>
      </c>
      <c r="B855" s="171">
        <f t="shared" si="27"/>
        <v>129</v>
      </c>
    </row>
    <row r="856" spans="1:2" ht="30" customHeight="1" x14ac:dyDescent="0.25">
      <c r="A856" s="178" t="str">
        <f t="shared" si="26"/>
        <v>00/01/yyyy130</v>
      </c>
      <c r="B856" s="171">
        <f t="shared" si="27"/>
        <v>130</v>
      </c>
    </row>
    <row r="857" spans="1:2" ht="30" customHeight="1" x14ac:dyDescent="0.25">
      <c r="A857" s="178" t="str">
        <f t="shared" si="26"/>
        <v>00/01/yyyy131</v>
      </c>
      <c r="B857" s="171">
        <f t="shared" si="27"/>
        <v>131</v>
      </c>
    </row>
    <row r="858" spans="1:2" ht="30" customHeight="1" x14ac:dyDescent="0.25">
      <c r="A858" s="178" t="str">
        <f t="shared" si="26"/>
        <v>00/01/yyyy132</v>
      </c>
      <c r="B858" s="171">
        <f t="shared" si="27"/>
        <v>132</v>
      </c>
    </row>
    <row r="859" spans="1:2" ht="30" customHeight="1" x14ac:dyDescent="0.25">
      <c r="A859" s="178" t="str">
        <f t="shared" si="26"/>
        <v>00/01/yyyy133</v>
      </c>
      <c r="B859" s="171">
        <f t="shared" si="27"/>
        <v>133</v>
      </c>
    </row>
    <row r="860" spans="1:2" ht="30" customHeight="1" x14ac:dyDescent="0.25">
      <c r="A860" s="178" t="str">
        <f t="shared" si="26"/>
        <v>00/01/yyyy134</v>
      </c>
      <c r="B860" s="171">
        <f t="shared" si="27"/>
        <v>134</v>
      </c>
    </row>
    <row r="861" spans="1:2" ht="30" customHeight="1" x14ac:dyDescent="0.25">
      <c r="A861" s="178" t="str">
        <f t="shared" si="26"/>
        <v>00/01/yyyy135</v>
      </c>
      <c r="B861" s="171">
        <f t="shared" si="27"/>
        <v>135</v>
      </c>
    </row>
    <row r="862" spans="1:2" ht="30" customHeight="1" x14ac:dyDescent="0.25">
      <c r="A862" s="178" t="str">
        <f t="shared" si="26"/>
        <v>00/01/yyyy136</v>
      </c>
      <c r="B862" s="171">
        <f t="shared" si="27"/>
        <v>136</v>
      </c>
    </row>
    <row r="863" spans="1:2" ht="30" customHeight="1" x14ac:dyDescent="0.25">
      <c r="A863" s="178" t="str">
        <f t="shared" si="26"/>
        <v>00/01/yyyy137</v>
      </c>
      <c r="B863" s="171">
        <f t="shared" si="27"/>
        <v>137</v>
      </c>
    </row>
    <row r="864" spans="1:2" ht="30" customHeight="1" x14ac:dyDescent="0.25">
      <c r="A864" s="178" t="str">
        <f t="shared" si="26"/>
        <v>00/01/yyyy138</v>
      </c>
      <c r="B864" s="171">
        <f t="shared" si="27"/>
        <v>138</v>
      </c>
    </row>
    <row r="865" spans="1:2" ht="30" customHeight="1" x14ac:dyDescent="0.25">
      <c r="A865" s="178" t="str">
        <f t="shared" si="26"/>
        <v>00/01/yyyy139</v>
      </c>
      <c r="B865" s="171">
        <f t="shared" si="27"/>
        <v>139</v>
      </c>
    </row>
    <row r="866" spans="1:2" ht="30" customHeight="1" x14ac:dyDescent="0.25">
      <c r="A866" s="178" t="str">
        <f t="shared" si="26"/>
        <v>00/01/yyyy140</v>
      </c>
      <c r="B866" s="171">
        <f t="shared" si="27"/>
        <v>140</v>
      </c>
    </row>
    <row r="867" spans="1:2" ht="30" customHeight="1" x14ac:dyDescent="0.25">
      <c r="A867" s="178" t="str">
        <f t="shared" si="26"/>
        <v>00/01/yyyy141</v>
      </c>
      <c r="B867" s="171">
        <f t="shared" si="27"/>
        <v>141</v>
      </c>
    </row>
    <row r="868" spans="1:2" ht="30" customHeight="1" x14ac:dyDescent="0.25">
      <c r="A868" s="178" t="str">
        <f t="shared" si="26"/>
        <v>00/01/yyyy142</v>
      </c>
      <c r="B868" s="171">
        <f t="shared" si="27"/>
        <v>142</v>
      </c>
    </row>
    <row r="869" spans="1:2" ht="30" customHeight="1" x14ac:dyDescent="0.25">
      <c r="A869" s="178" t="str">
        <f t="shared" si="26"/>
        <v>00/01/yyyy143</v>
      </c>
      <c r="B869" s="171">
        <f t="shared" si="27"/>
        <v>143</v>
      </c>
    </row>
    <row r="870" spans="1:2" ht="30" customHeight="1" x14ac:dyDescent="0.25">
      <c r="A870" s="178" t="str">
        <f t="shared" si="26"/>
        <v>00/01/yyyy144</v>
      </c>
      <c r="B870" s="171">
        <f t="shared" si="27"/>
        <v>144</v>
      </c>
    </row>
    <row r="871" spans="1:2" ht="30" customHeight="1" x14ac:dyDescent="0.25">
      <c r="A871" s="178" t="str">
        <f t="shared" si="26"/>
        <v>00/01/yyyy145</v>
      </c>
      <c r="B871" s="171">
        <f t="shared" si="27"/>
        <v>145</v>
      </c>
    </row>
    <row r="872" spans="1:2" ht="30" customHeight="1" x14ac:dyDescent="0.25">
      <c r="A872" s="178" t="str">
        <f t="shared" si="26"/>
        <v>00/01/yyyy146</v>
      </c>
      <c r="B872" s="171">
        <f t="shared" si="27"/>
        <v>146</v>
      </c>
    </row>
    <row r="873" spans="1:2" ht="30" customHeight="1" x14ac:dyDescent="0.25">
      <c r="A873" s="178" t="str">
        <f t="shared" si="26"/>
        <v>00/01/yyyy147</v>
      </c>
      <c r="B873" s="171">
        <f t="shared" si="27"/>
        <v>147</v>
      </c>
    </row>
    <row r="874" spans="1:2" ht="30" customHeight="1" x14ac:dyDescent="0.25">
      <c r="A874" s="178" t="str">
        <f t="shared" si="26"/>
        <v>00/01/yyyy148</v>
      </c>
      <c r="B874" s="171">
        <f t="shared" si="27"/>
        <v>148</v>
      </c>
    </row>
    <row r="875" spans="1:2" ht="30" customHeight="1" x14ac:dyDescent="0.25">
      <c r="A875" s="178" t="str">
        <f t="shared" si="26"/>
        <v>00/01/yyyy149</v>
      </c>
      <c r="B875" s="171">
        <f t="shared" si="27"/>
        <v>149</v>
      </c>
    </row>
    <row r="876" spans="1:2" ht="30" customHeight="1" x14ac:dyDescent="0.25">
      <c r="A876" s="178" t="str">
        <f t="shared" si="26"/>
        <v>00/01/yyyy150</v>
      </c>
      <c r="B876" s="171">
        <f t="shared" si="27"/>
        <v>150</v>
      </c>
    </row>
    <row r="877" spans="1:2" ht="30" customHeight="1" x14ac:dyDescent="0.25">
      <c r="A877" s="178" t="str">
        <f t="shared" si="26"/>
        <v>00/01/yyyy151</v>
      </c>
      <c r="B877" s="171">
        <f t="shared" si="27"/>
        <v>151</v>
      </c>
    </row>
    <row r="878" spans="1:2" ht="30" customHeight="1" x14ac:dyDescent="0.25">
      <c r="A878" s="178" t="str">
        <f t="shared" si="26"/>
        <v>00/01/yyyy152</v>
      </c>
      <c r="B878" s="171">
        <f t="shared" si="27"/>
        <v>152</v>
      </c>
    </row>
    <row r="879" spans="1:2" ht="30" customHeight="1" x14ac:dyDescent="0.25">
      <c r="A879" s="178" t="str">
        <f t="shared" si="26"/>
        <v>00/01/yyyy153</v>
      </c>
      <c r="B879" s="171">
        <f t="shared" si="27"/>
        <v>153</v>
      </c>
    </row>
    <row r="880" spans="1:2" ht="30" customHeight="1" x14ac:dyDescent="0.25">
      <c r="A880" s="178" t="str">
        <f t="shared" si="26"/>
        <v>00/01/yyyy154</v>
      </c>
      <c r="B880" s="171">
        <f t="shared" si="27"/>
        <v>154</v>
      </c>
    </row>
    <row r="881" spans="1:2" ht="30" customHeight="1" x14ac:dyDescent="0.25">
      <c r="A881" s="178" t="str">
        <f t="shared" si="26"/>
        <v>00/01/yyyy155</v>
      </c>
      <c r="B881" s="171">
        <f t="shared" si="27"/>
        <v>155</v>
      </c>
    </row>
    <row r="882" spans="1:2" ht="30" customHeight="1" x14ac:dyDescent="0.25">
      <c r="A882" s="178" t="str">
        <f t="shared" si="26"/>
        <v>00/01/yyyy156</v>
      </c>
      <c r="B882" s="171">
        <f t="shared" si="27"/>
        <v>156</v>
      </c>
    </row>
    <row r="883" spans="1:2" ht="30" customHeight="1" x14ac:dyDescent="0.25">
      <c r="A883" s="178" t="str">
        <f t="shared" si="26"/>
        <v>00/01/yyyy157</v>
      </c>
      <c r="B883" s="171">
        <f t="shared" si="27"/>
        <v>157</v>
      </c>
    </row>
    <row r="884" spans="1:2" ht="30" customHeight="1" x14ac:dyDescent="0.25">
      <c r="A884" s="178" t="str">
        <f t="shared" si="26"/>
        <v>00/01/yyyy158</v>
      </c>
      <c r="B884" s="171">
        <f t="shared" si="27"/>
        <v>158</v>
      </c>
    </row>
    <row r="885" spans="1:2" ht="30" customHeight="1" x14ac:dyDescent="0.25">
      <c r="A885" s="178" t="str">
        <f t="shared" si="26"/>
        <v>00/01/yyyy159</v>
      </c>
      <c r="B885" s="171">
        <f t="shared" si="27"/>
        <v>159</v>
      </c>
    </row>
    <row r="886" spans="1:2" ht="30" customHeight="1" x14ac:dyDescent="0.25">
      <c r="A886" s="178" t="str">
        <f t="shared" si="26"/>
        <v>00/01/yyyy160</v>
      </c>
      <c r="B886" s="171">
        <f t="shared" si="27"/>
        <v>160</v>
      </c>
    </row>
    <row r="887" spans="1:2" ht="30" customHeight="1" x14ac:dyDescent="0.25">
      <c r="A887" s="178" t="str">
        <f t="shared" si="26"/>
        <v>00/01/yyyy161</v>
      </c>
      <c r="B887" s="171">
        <f t="shared" si="27"/>
        <v>161</v>
      </c>
    </row>
    <row r="888" spans="1:2" ht="30" customHeight="1" x14ac:dyDescent="0.25">
      <c r="A888" s="178" t="str">
        <f t="shared" si="26"/>
        <v>00/01/yyyy162</v>
      </c>
      <c r="B888" s="171">
        <f t="shared" si="27"/>
        <v>162</v>
      </c>
    </row>
    <row r="889" spans="1:2" ht="30" customHeight="1" x14ac:dyDescent="0.25">
      <c r="A889" s="178" t="str">
        <f t="shared" si="26"/>
        <v>00/01/yyyy163</v>
      </c>
      <c r="B889" s="171">
        <f t="shared" si="27"/>
        <v>163</v>
      </c>
    </row>
    <row r="890" spans="1:2" ht="30" customHeight="1" x14ac:dyDescent="0.25">
      <c r="A890" s="178" t="str">
        <f t="shared" si="26"/>
        <v>00/01/yyyy164</v>
      </c>
      <c r="B890" s="171">
        <f t="shared" si="27"/>
        <v>164</v>
      </c>
    </row>
    <row r="891" spans="1:2" ht="30" customHeight="1" x14ac:dyDescent="0.25">
      <c r="A891" s="178" t="str">
        <f t="shared" si="26"/>
        <v>00/01/yyyy165</v>
      </c>
      <c r="B891" s="171">
        <f t="shared" si="27"/>
        <v>165</v>
      </c>
    </row>
    <row r="892" spans="1:2" ht="30" customHeight="1" x14ac:dyDescent="0.25">
      <c r="A892" s="178" t="str">
        <f t="shared" si="26"/>
        <v>00/01/yyyy166</v>
      </c>
      <c r="B892" s="171">
        <f t="shared" si="27"/>
        <v>166</v>
      </c>
    </row>
    <row r="893" spans="1:2" ht="30" customHeight="1" x14ac:dyDescent="0.25">
      <c r="A893" s="178" t="str">
        <f t="shared" si="26"/>
        <v>00/01/yyyy167</v>
      </c>
      <c r="B893" s="171">
        <f t="shared" si="27"/>
        <v>167</v>
      </c>
    </row>
    <row r="894" spans="1:2" ht="30" customHeight="1" x14ac:dyDescent="0.25">
      <c r="A894" s="178" t="str">
        <f t="shared" si="26"/>
        <v>00/01/yyyy168</v>
      </c>
      <c r="B894" s="171">
        <f t="shared" si="27"/>
        <v>168</v>
      </c>
    </row>
    <row r="895" spans="1:2" ht="30" customHeight="1" x14ac:dyDescent="0.25">
      <c r="A895" s="178" t="str">
        <f t="shared" si="26"/>
        <v>00/01/yyyy169</v>
      </c>
      <c r="B895" s="171">
        <f t="shared" si="27"/>
        <v>169</v>
      </c>
    </row>
    <row r="896" spans="1:2" ht="30" customHeight="1" x14ac:dyDescent="0.25">
      <c r="A896" s="178" t="str">
        <f t="shared" si="26"/>
        <v>00/01/yyyy170</v>
      </c>
      <c r="B896" s="171">
        <f t="shared" si="27"/>
        <v>170</v>
      </c>
    </row>
    <row r="897" spans="1:2" ht="30" customHeight="1" x14ac:dyDescent="0.25">
      <c r="A897" s="178" t="str">
        <f t="shared" si="26"/>
        <v>00/01/yyyy171</v>
      </c>
      <c r="B897" s="171">
        <f t="shared" si="27"/>
        <v>171</v>
      </c>
    </row>
    <row r="898" spans="1:2" ht="30" customHeight="1" x14ac:dyDescent="0.25">
      <c r="A898" s="178" t="str">
        <f t="shared" si="26"/>
        <v>00/01/yyyy172</v>
      </c>
      <c r="B898" s="171">
        <f t="shared" si="27"/>
        <v>172</v>
      </c>
    </row>
    <row r="899" spans="1:2" ht="30" customHeight="1" x14ac:dyDescent="0.25">
      <c r="A899" s="178" t="str">
        <f t="shared" ref="A899:A962" si="28">CONCATENATE(TEXT($G899,"dd/mm/yyyy"),$B899)</f>
        <v>00/01/yyyy173</v>
      </c>
      <c r="B899" s="171">
        <f t="shared" si="27"/>
        <v>173</v>
      </c>
    </row>
    <row r="900" spans="1:2" ht="30" customHeight="1" x14ac:dyDescent="0.25">
      <c r="A900" s="178" t="str">
        <f t="shared" si="28"/>
        <v>00/01/yyyy174</v>
      </c>
      <c r="B900" s="171">
        <f t="shared" ref="B900:B963" si="29">IF($G900=$G899,$B899+1,1)</f>
        <v>174</v>
      </c>
    </row>
    <row r="901" spans="1:2" ht="30" customHeight="1" x14ac:dyDescent="0.25">
      <c r="A901" s="178" t="str">
        <f t="shared" si="28"/>
        <v>00/01/yyyy175</v>
      </c>
      <c r="B901" s="171">
        <f t="shared" si="29"/>
        <v>175</v>
      </c>
    </row>
    <row r="902" spans="1:2" ht="30" customHeight="1" x14ac:dyDescent="0.25">
      <c r="A902" s="178" t="str">
        <f t="shared" si="28"/>
        <v>00/01/yyyy176</v>
      </c>
      <c r="B902" s="171">
        <f t="shared" si="29"/>
        <v>176</v>
      </c>
    </row>
    <row r="903" spans="1:2" ht="30" customHeight="1" x14ac:dyDescent="0.25">
      <c r="A903" s="178" t="str">
        <f t="shared" si="28"/>
        <v>00/01/yyyy177</v>
      </c>
      <c r="B903" s="171">
        <f t="shared" si="29"/>
        <v>177</v>
      </c>
    </row>
    <row r="904" spans="1:2" ht="30" customHeight="1" x14ac:dyDescent="0.25">
      <c r="A904" s="178" t="str">
        <f t="shared" si="28"/>
        <v>00/01/yyyy178</v>
      </c>
      <c r="B904" s="171">
        <f t="shared" si="29"/>
        <v>178</v>
      </c>
    </row>
    <row r="905" spans="1:2" ht="30" customHeight="1" x14ac:dyDescent="0.25">
      <c r="A905" s="178" t="str">
        <f t="shared" si="28"/>
        <v>00/01/yyyy179</v>
      </c>
      <c r="B905" s="171">
        <f t="shared" si="29"/>
        <v>179</v>
      </c>
    </row>
    <row r="906" spans="1:2" ht="30" customHeight="1" x14ac:dyDescent="0.25">
      <c r="A906" s="178" t="str">
        <f t="shared" si="28"/>
        <v>00/01/yyyy180</v>
      </c>
      <c r="B906" s="171">
        <f t="shared" si="29"/>
        <v>180</v>
      </c>
    </row>
    <row r="907" spans="1:2" ht="30" customHeight="1" x14ac:dyDescent="0.25">
      <c r="A907" s="178" t="str">
        <f t="shared" si="28"/>
        <v>00/01/yyyy181</v>
      </c>
      <c r="B907" s="171">
        <f t="shared" si="29"/>
        <v>181</v>
      </c>
    </row>
    <row r="908" spans="1:2" ht="30" customHeight="1" x14ac:dyDescent="0.25">
      <c r="A908" s="178" t="str">
        <f t="shared" si="28"/>
        <v>00/01/yyyy182</v>
      </c>
      <c r="B908" s="171">
        <f t="shared" si="29"/>
        <v>182</v>
      </c>
    </row>
    <row r="909" spans="1:2" ht="30" customHeight="1" x14ac:dyDescent="0.25">
      <c r="A909" s="178" t="str">
        <f t="shared" si="28"/>
        <v>00/01/yyyy183</v>
      </c>
      <c r="B909" s="171">
        <f t="shared" si="29"/>
        <v>183</v>
      </c>
    </row>
    <row r="910" spans="1:2" ht="30" customHeight="1" x14ac:dyDescent="0.25">
      <c r="A910" s="178" t="str">
        <f t="shared" si="28"/>
        <v>00/01/yyyy184</v>
      </c>
      <c r="B910" s="171">
        <f t="shared" si="29"/>
        <v>184</v>
      </c>
    </row>
    <row r="911" spans="1:2" ht="30" customHeight="1" x14ac:dyDescent="0.25">
      <c r="A911" s="178" t="str">
        <f t="shared" si="28"/>
        <v>00/01/yyyy185</v>
      </c>
      <c r="B911" s="171">
        <f t="shared" si="29"/>
        <v>185</v>
      </c>
    </row>
    <row r="912" spans="1:2" ht="30" customHeight="1" x14ac:dyDescent="0.25">
      <c r="A912" s="178" t="str">
        <f t="shared" si="28"/>
        <v>00/01/yyyy186</v>
      </c>
      <c r="B912" s="171">
        <f t="shared" si="29"/>
        <v>186</v>
      </c>
    </row>
    <row r="913" spans="1:2" ht="30" customHeight="1" x14ac:dyDescent="0.25">
      <c r="A913" s="178" t="str">
        <f t="shared" si="28"/>
        <v>00/01/yyyy187</v>
      </c>
      <c r="B913" s="171">
        <f t="shared" si="29"/>
        <v>187</v>
      </c>
    </row>
    <row r="914" spans="1:2" ht="30" customHeight="1" x14ac:dyDescent="0.25">
      <c r="A914" s="178" t="str">
        <f t="shared" si="28"/>
        <v>00/01/yyyy188</v>
      </c>
      <c r="B914" s="171">
        <f t="shared" si="29"/>
        <v>188</v>
      </c>
    </row>
    <row r="915" spans="1:2" ht="30" customHeight="1" x14ac:dyDescent="0.25">
      <c r="A915" s="178" t="str">
        <f t="shared" si="28"/>
        <v>00/01/yyyy189</v>
      </c>
      <c r="B915" s="171">
        <f t="shared" si="29"/>
        <v>189</v>
      </c>
    </row>
    <row r="916" spans="1:2" ht="30" customHeight="1" x14ac:dyDescent="0.25">
      <c r="A916" s="178" t="str">
        <f t="shared" si="28"/>
        <v>00/01/yyyy190</v>
      </c>
      <c r="B916" s="171">
        <f t="shared" si="29"/>
        <v>190</v>
      </c>
    </row>
    <row r="917" spans="1:2" ht="30" customHeight="1" x14ac:dyDescent="0.25">
      <c r="A917" s="178" t="str">
        <f t="shared" si="28"/>
        <v>00/01/yyyy191</v>
      </c>
      <c r="B917" s="171">
        <f t="shared" si="29"/>
        <v>191</v>
      </c>
    </row>
    <row r="918" spans="1:2" ht="30" customHeight="1" x14ac:dyDescent="0.25">
      <c r="A918" s="178" t="str">
        <f t="shared" si="28"/>
        <v>00/01/yyyy192</v>
      </c>
      <c r="B918" s="171">
        <f t="shared" si="29"/>
        <v>192</v>
      </c>
    </row>
    <row r="919" spans="1:2" ht="30" customHeight="1" x14ac:dyDescent="0.25">
      <c r="A919" s="178" t="str">
        <f t="shared" si="28"/>
        <v>00/01/yyyy193</v>
      </c>
      <c r="B919" s="171">
        <f t="shared" si="29"/>
        <v>193</v>
      </c>
    </row>
    <row r="920" spans="1:2" ht="30" customHeight="1" x14ac:dyDescent="0.25">
      <c r="A920" s="178" t="str">
        <f t="shared" si="28"/>
        <v>00/01/yyyy194</v>
      </c>
      <c r="B920" s="171">
        <f t="shared" si="29"/>
        <v>194</v>
      </c>
    </row>
    <row r="921" spans="1:2" ht="30" customHeight="1" x14ac:dyDescent="0.25">
      <c r="A921" s="178" t="str">
        <f t="shared" si="28"/>
        <v>00/01/yyyy195</v>
      </c>
      <c r="B921" s="171">
        <f t="shared" si="29"/>
        <v>195</v>
      </c>
    </row>
    <row r="922" spans="1:2" ht="30" customHeight="1" x14ac:dyDescent="0.25">
      <c r="A922" s="178" t="str">
        <f t="shared" si="28"/>
        <v>00/01/yyyy196</v>
      </c>
      <c r="B922" s="171">
        <f t="shared" si="29"/>
        <v>196</v>
      </c>
    </row>
    <row r="923" spans="1:2" ht="30" customHeight="1" x14ac:dyDescent="0.25">
      <c r="A923" s="178" t="str">
        <f t="shared" si="28"/>
        <v>00/01/yyyy197</v>
      </c>
      <c r="B923" s="171">
        <f t="shared" si="29"/>
        <v>197</v>
      </c>
    </row>
    <row r="924" spans="1:2" ht="30" customHeight="1" x14ac:dyDescent="0.25">
      <c r="A924" s="178" t="str">
        <f t="shared" si="28"/>
        <v>00/01/yyyy198</v>
      </c>
      <c r="B924" s="171">
        <f t="shared" si="29"/>
        <v>198</v>
      </c>
    </row>
    <row r="925" spans="1:2" ht="30" customHeight="1" x14ac:dyDescent="0.25">
      <c r="A925" s="178" t="str">
        <f t="shared" si="28"/>
        <v>00/01/yyyy199</v>
      </c>
      <c r="B925" s="171">
        <f t="shared" si="29"/>
        <v>199</v>
      </c>
    </row>
    <row r="926" spans="1:2" ht="30" customHeight="1" x14ac:dyDescent="0.25">
      <c r="A926" s="178" t="str">
        <f t="shared" si="28"/>
        <v>00/01/yyyy200</v>
      </c>
      <c r="B926" s="171">
        <f t="shared" si="29"/>
        <v>200</v>
      </c>
    </row>
    <row r="927" spans="1:2" ht="30" customHeight="1" x14ac:dyDescent="0.25">
      <c r="A927" s="178" t="str">
        <f t="shared" si="28"/>
        <v>00/01/yyyy201</v>
      </c>
      <c r="B927" s="171">
        <f t="shared" si="29"/>
        <v>201</v>
      </c>
    </row>
    <row r="928" spans="1:2" ht="30" customHeight="1" x14ac:dyDescent="0.25">
      <c r="A928" s="178" t="str">
        <f t="shared" si="28"/>
        <v>00/01/yyyy202</v>
      </c>
      <c r="B928" s="171">
        <f t="shared" si="29"/>
        <v>202</v>
      </c>
    </row>
    <row r="929" spans="1:2" ht="30" customHeight="1" x14ac:dyDescent="0.25">
      <c r="A929" s="178" t="str">
        <f t="shared" si="28"/>
        <v>00/01/yyyy203</v>
      </c>
      <c r="B929" s="171">
        <f t="shared" si="29"/>
        <v>203</v>
      </c>
    </row>
    <row r="930" spans="1:2" ht="30" customHeight="1" x14ac:dyDescent="0.25">
      <c r="A930" s="178" t="str">
        <f t="shared" si="28"/>
        <v>00/01/yyyy204</v>
      </c>
      <c r="B930" s="171">
        <f t="shared" si="29"/>
        <v>204</v>
      </c>
    </row>
    <row r="931" spans="1:2" ht="30" customHeight="1" x14ac:dyDescent="0.25">
      <c r="A931" s="178" t="str">
        <f t="shared" si="28"/>
        <v>00/01/yyyy205</v>
      </c>
      <c r="B931" s="171">
        <f t="shared" si="29"/>
        <v>205</v>
      </c>
    </row>
    <row r="932" spans="1:2" ht="30" customHeight="1" x14ac:dyDescent="0.25">
      <c r="A932" s="178" t="str">
        <f t="shared" si="28"/>
        <v>00/01/yyyy206</v>
      </c>
      <c r="B932" s="171">
        <f t="shared" si="29"/>
        <v>206</v>
      </c>
    </row>
    <row r="933" spans="1:2" ht="30" customHeight="1" x14ac:dyDescent="0.25">
      <c r="A933" s="178" t="str">
        <f t="shared" si="28"/>
        <v>00/01/yyyy207</v>
      </c>
      <c r="B933" s="171">
        <f t="shared" si="29"/>
        <v>207</v>
      </c>
    </row>
    <row r="934" spans="1:2" ht="30" customHeight="1" x14ac:dyDescent="0.25">
      <c r="A934" s="178" t="str">
        <f t="shared" si="28"/>
        <v>00/01/yyyy208</v>
      </c>
      <c r="B934" s="171">
        <f t="shared" si="29"/>
        <v>208</v>
      </c>
    </row>
    <row r="935" spans="1:2" ht="30" customHeight="1" x14ac:dyDescent="0.25">
      <c r="A935" s="178" t="str">
        <f t="shared" si="28"/>
        <v>00/01/yyyy209</v>
      </c>
      <c r="B935" s="171">
        <f t="shared" si="29"/>
        <v>209</v>
      </c>
    </row>
    <row r="936" spans="1:2" ht="30" customHeight="1" x14ac:dyDescent="0.25">
      <c r="A936" s="178" t="str">
        <f t="shared" si="28"/>
        <v>00/01/yyyy210</v>
      </c>
      <c r="B936" s="171">
        <f t="shared" si="29"/>
        <v>210</v>
      </c>
    </row>
    <row r="937" spans="1:2" ht="30" customHeight="1" x14ac:dyDescent="0.25">
      <c r="A937" s="178" t="str">
        <f t="shared" si="28"/>
        <v>00/01/yyyy211</v>
      </c>
      <c r="B937" s="171">
        <f t="shared" si="29"/>
        <v>211</v>
      </c>
    </row>
    <row r="938" spans="1:2" ht="30" customHeight="1" x14ac:dyDescent="0.25">
      <c r="A938" s="178" t="str">
        <f t="shared" si="28"/>
        <v>00/01/yyyy212</v>
      </c>
      <c r="B938" s="171">
        <f t="shared" si="29"/>
        <v>212</v>
      </c>
    </row>
    <row r="939" spans="1:2" ht="30" customHeight="1" x14ac:dyDescent="0.25">
      <c r="A939" s="178" t="str">
        <f t="shared" si="28"/>
        <v>00/01/yyyy213</v>
      </c>
      <c r="B939" s="171">
        <f t="shared" si="29"/>
        <v>213</v>
      </c>
    </row>
    <row r="940" spans="1:2" ht="30" customHeight="1" x14ac:dyDescent="0.25">
      <c r="A940" s="178" t="str">
        <f t="shared" si="28"/>
        <v>00/01/yyyy214</v>
      </c>
      <c r="B940" s="171">
        <f t="shared" si="29"/>
        <v>214</v>
      </c>
    </row>
    <row r="941" spans="1:2" ht="30" customHeight="1" x14ac:dyDescent="0.25">
      <c r="A941" s="178" t="str">
        <f t="shared" si="28"/>
        <v>00/01/yyyy215</v>
      </c>
      <c r="B941" s="171">
        <f t="shared" si="29"/>
        <v>215</v>
      </c>
    </row>
    <row r="942" spans="1:2" ht="30" customHeight="1" x14ac:dyDescent="0.25">
      <c r="A942" s="178" t="str">
        <f t="shared" si="28"/>
        <v>00/01/yyyy216</v>
      </c>
      <c r="B942" s="171">
        <f t="shared" si="29"/>
        <v>216</v>
      </c>
    </row>
    <row r="943" spans="1:2" ht="30" customHeight="1" x14ac:dyDescent="0.25">
      <c r="A943" s="178" t="str">
        <f t="shared" si="28"/>
        <v>00/01/yyyy217</v>
      </c>
      <c r="B943" s="171">
        <f t="shared" si="29"/>
        <v>217</v>
      </c>
    </row>
    <row r="944" spans="1:2" ht="30" customHeight="1" x14ac:dyDescent="0.25">
      <c r="A944" s="178" t="str">
        <f t="shared" si="28"/>
        <v>00/01/yyyy218</v>
      </c>
      <c r="B944" s="171">
        <f t="shared" si="29"/>
        <v>218</v>
      </c>
    </row>
    <row r="945" spans="1:2" ht="30" customHeight="1" x14ac:dyDescent="0.25">
      <c r="A945" s="178" t="str">
        <f t="shared" si="28"/>
        <v>00/01/yyyy219</v>
      </c>
      <c r="B945" s="171">
        <f t="shared" si="29"/>
        <v>219</v>
      </c>
    </row>
    <row r="946" spans="1:2" ht="30" customHeight="1" x14ac:dyDescent="0.25">
      <c r="A946" s="178" t="str">
        <f t="shared" si="28"/>
        <v>00/01/yyyy220</v>
      </c>
      <c r="B946" s="171">
        <f t="shared" si="29"/>
        <v>220</v>
      </c>
    </row>
    <row r="947" spans="1:2" ht="30" customHeight="1" x14ac:dyDescent="0.25">
      <c r="A947" s="178" t="str">
        <f t="shared" si="28"/>
        <v>00/01/yyyy221</v>
      </c>
      <c r="B947" s="171">
        <f t="shared" si="29"/>
        <v>221</v>
      </c>
    </row>
    <row r="948" spans="1:2" ht="30" customHeight="1" x14ac:dyDescent="0.25">
      <c r="A948" s="178" t="str">
        <f t="shared" si="28"/>
        <v>00/01/yyyy222</v>
      </c>
      <c r="B948" s="171">
        <f t="shared" si="29"/>
        <v>222</v>
      </c>
    </row>
    <row r="949" spans="1:2" ht="30" customHeight="1" x14ac:dyDescent="0.25">
      <c r="A949" s="178" t="str">
        <f t="shared" si="28"/>
        <v>00/01/yyyy223</v>
      </c>
      <c r="B949" s="171">
        <f t="shared" si="29"/>
        <v>223</v>
      </c>
    </row>
    <row r="950" spans="1:2" ht="30" customHeight="1" x14ac:dyDescent="0.25">
      <c r="A950" s="178" t="str">
        <f t="shared" si="28"/>
        <v>00/01/yyyy224</v>
      </c>
      <c r="B950" s="171">
        <f t="shared" si="29"/>
        <v>224</v>
      </c>
    </row>
    <row r="951" spans="1:2" ht="30" customHeight="1" x14ac:dyDescent="0.25">
      <c r="A951" s="178" t="str">
        <f t="shared" si="28"/>
        <v>00/01/yyyy225</v>
      </c>
      <c r="B951" s="171">
        <f t="shared" si="29"/>
        <v>225</v>
      </c>
    </row>
    <row r="952" spans="1:2" ht="30" customHeight="1" x14ac:dyDescent="0.25">
      <c r="A952" s="178" t="str">
        <f t="shared" si="28"/>
        <v>00/01/yyyy226</v>
      </c>
      <c r="B952" s="171">
        <f t="shared" si="29"/>
        <v>226</v>
      </c>
    </row>
    <row r="953" spans="1:2" ht="30" customHeight="1" x14ac:dyDescent="0.25">
      <c r="A953" s="178" t="str">
        <f t="shared" si="28"/>
        <v>00/01/yyyy227</v>
      </c>
      <c r="B953" s="171">
        <f t="shared" si="29"/>
        <v>227</v>
      </c>
    </row>
    <row r="954" spans="1:2" ht="30" customHeight="1" x14ac:dyDescent="0.25">
      <c r="A954" s="178" t="str">
        <f t="shared" si="28"/>
        <v>00/01/yyyy228</v>
      </c>
      <c r="B954" s="171">
        <f t="shared" si="29"/>
        <v>228</v>
      </c>
    </row>
    <row r="955" spans="1:2" ht="30" customHeight="1" x14ac:dyDescent="0.25">
      <c r="A955" s="178" t="str">
        <f t="shared" si="28"/>
        <v>00/01/yyyy229</v>
      </c>
      <c r="B955" s="171">
        <f t="shared" si="29"/>
        <v>229</v>
      </c>
    </row>
    <row r="956" spans="1:2" ht="30" customHeight="1" x14ac:dyDescent="0.25">
      <c r="A956" s="178" t="str">
        <f t="shared" si="28"/>
        <v>00/01/yyyy230</v>
      </c>
      <c r="B956" s="171">
        <f t="shared" si="29"/>
        <v>230</v>
      </c>
    </row>
    <row r="957" spans="1:2" ht="30" customHeight="1" x14ac:dyDescent="0.25">
      <c r="A957" s="178" t="str">
        <f t="shared" si="28"/>
        <v>00/01/yyyy231</v>
      </c>
      <c r="B957" s="171">
        <f t="shared" si="29"/>
        <v>231</v>
      </c>
    </row>
    <row r="958" spans="1:2" ht="30" customHeight="1" x14ac:dyDescent="0.25">
      <c r="A958" s="178" t="str">
        <f t="shared" si="28"/>
        <v>00/01/yyyy232</v>
      </c>
      <c r="B958" s="171">
        <f t="shared" si="29"/>
        <v>232</v>
      </c>
    </row>
    <row r="959" spans="1:2" ht="30" customHeight="1" x14ac:dyDescent="0.25">
      <c r="A959" s="178" t="str">
        <f t="shared" si="28"/>
        <v>00/01/yyyy233</v>
      </c>
      <c r="B959" s="171">
        <f t="shared" si="29"/>
        <v>233</v>
      </c>
    </row>
    <row r="960" spans="1:2" ht="30" customHeight="1" x14ac:dyDescent="0.25">
      <c r="A960" s="178" t="str">
        <f t="shared" si="28"/>
        <v>00/01/yyyy234</v>
      </c>
      <c r="B960" s="171">
        <f t="shared" si="29"/>
        <v>234</v>
      </c>
    </row>
    <row r="961" spans="1:2" ht="30" customHeight="1" x14ac:dyDescent="0.25">
      <c r="A961" s="178" t="str">
        <f t="shared" si="28"/>
        <v>00/01/yyyy235</v>
      </c>
      <c r="B961" s="171">
        <f t="shared" si="29"/>
        <v>235</v>
      </c>
    </row>
    <row r="962" spans="1:2" ht="30" customHeight="1" x14ac:dyDescent="0.25">
      <c r="A962" s="178" t="str">
        <f t="shared" si="28"/>
        <v>00/01/yyyy236</v>
      </c>
      <c r="B962" s="171">
        <f t="shared" si="29"/>
        <v>236</v>
      </c>
    </row>
    <row r="963" spans="1:2" ht="30" customHeight="1" x14ac:dyDescent="0.25">
      <c r="A963" s="178" t="str">
        <f t="shared" ref="A963:A1026" si="30">CONCATENATE(TEXT($G963,"dd/mm/yyyy"),$B963)</f>
        <v>00/01/yyyy237</v>
      </c>
      <c r="B963" s="171">
        <f t="shared" si="29"/>
        <v>237</v>
      </c>
    </row>
    <row r="964" spans="1:2" ht="30" customHeight="1" x14ac:dyDescent="0.25">
      <c r="A964" s="178" t="str">
        <f t="shared" si="30"/>
        <v>00/01/yyyy238</v>
      </c>
      <c r="B964" s="171">
        <f t="shared" ref="B964:B1027" si="31">IF($G964=$G963,$B963+1,1)</f>
        <v>238</v>
      </c>
    </row>
    <row r="965" spans="1:2" ht="30" customHeight="1" x14ac:dyDescent="0.25">
      <c r="A965" s="178" t="str">
        <f t="shared" si="30"/>
        <v>00/01/yyyy239</v>
      </c>
      <c r="B965" s="171">
        <f t="shared" si="31"/>
        <v>239</v>
      </c>
    </row>
    <row r="966" spans="1:2" ht="30" customHeight="1" x14ac:dyDescent="0.25">
      <c r="A966" s="178" t="str">
        <f t="shared" si="30"/>
        <v>00/01/yyyy240</v>
      </c>
      <c r="B966" s="171">
        <f t="shared" si="31"/>
        <v>240</v>
      </c>
    </row>
    <row r="967" spans="1:2" ht="30" customHeight="1" x14ac:dyDescent="0.25">
      <c r="A967" s="178" t="str">
        <f t="shared" si="30"/>
        <v>00/01/yyyy241</v>
      </c>
      <c r="B967" s="171">
        <f t="shared" si="31"/>
        <v>241</v>
      </c>
    </row>
    <row r="968" spans="1:2" ht="30" customHeight="1" x14ac:dyDescent="0.25">
      <c r="A968" s="178" t="str">
        <f t="shared" si="30"/>
        <v>00/01/yyyy242</v>
      </c>
      <c r="B968" s="171">
        <f t="shared" si="31"/>
        <v>242</v>
      </c>
    </row>
    <row r="969" spans="1:2" ht="30" customHeight="1" x14ac:dyDescent="0.25">
      <c r="A969" s="178" t="str">
        <f t="shared" si="30"/>
        <v>00/01/yyyy243</v>
      </c>
      <c r="B969" s="171">
        <f t="shared" si="31"/>
        <v>243</v>
      </c>
    </row>
    <row r="970" spans="1:2" ht="30" customHeight="1" x14ac:dyDescent="0.25">
      <c r="A970" s="178" t="str">
        <f t="shared" si="30"/>
        <v>00/01/yyyy244</v>
      </c>
      <c r="B970" s="171">
        <f t="shared" si="31"/>
        <v>244</v>
      </c>
    </row>
    <row r="971" spans="1:2" ht="30" customHeight="1" x14ac:dyDescent="0.25">
      <c r="A971" s="178" t="str">
        <f t="shared" si="30"/>
        <v>00/01/yyyy245</v>
      </c>
      <c r="B971" s="171">
        <f t="shared" si="31"/>
        <v>245</v>
      </c>
    </row>
    <row r="972" spans="1:2" ht="30" customHeight="1" x14ac:dyDescent="0.25">
      <c r="A972" s="178" t="str">
        <f t="shared" si="30"/>
        <v>00/01/yyyy246</v>
      </c>
      <c r="B972" s="171">
        <f t="shared" si="31"/>
        <v>246</v>
      </c>
    </row>
    <row r="973" spans="1:2" ht="30" customHeight="1" x14ac:dyDescent="0.25">
      <c r="A973" s="178" t="str">
        <f t="shared" si="30"/>
        <v>00/01/yyyy247</v>
      </c>
      <c r="B973" s="171">
        <f t="shared" si="31"/>
        <v>247</v>
      </c>
    </row>
    <row r="974" spans="1:2" ht="30" customHeight="1" x14ac:dyDescent="0.25">
      <c r="A974" s="178" t="str">
        <f t="shared" si="30"/>
        <v>00/01/yyyy248</v>
      </c>
      <c r="B974" s="171">
        <f t="shared" si="31"/>
        <v>248</v>
      </c>
    </row>
    <row r="975" spans="1:2" ht="30" customHeight="1" x14ac:dyDescent="0.25">
      <c r="A975" s="178" t="str">
        <f t="shared" si="30"/>
        <v>00/01/yyyy249</v>
      </c>
      <c r="B975" s="171">
        <f t="shared" si="31"/>
        <v>249</v>
      </c>
    </row>
    <row r="976" spans="1:2" ht="30" customHeight="1" x14ac:dyDescent="0.25">
      <c r="A976" s="178" t="str">
        <f t="shared" si="30"/>
        <v>00/01/yyyy250</v>
      </c>
      <c r="B976" s="171">
        <f t="shared" si="31"/>
        <v>250</v>
      </c>
    </row>
    <row r="977" spans="1:2" ht="30" customHeight="1" x14ac:dyDescent="0.25">
      <c r="A977" s="178" t="str">
        <f t="shared" si="30"/>
        <v>00/01/yyyy251</v>
      </c>
      <c r="B977" s="171">
        <f t="shared" si="31"/>
        <v>251</v>
      </c>
    </row>
    <row r="978" spans="1:2" ht="30" customHeight="1" x14ac:dyDescent="0.25">
      <c r="A978" s="178" t="str">
        <f t="shared" si="30"/>
        <v>00/01/yyyy252</v>
      </c>
      <c r="B978" s="171">
        <f t="shared" si="31"/>
        <v>252</v>
      </c>
    </row>
    <row r="979" spans="1:2" ht="30" customHeight="1" x14ac:dyDescent="0.25">
      <c r="A979" s="178" t="str">
        <f t="shared" si="30"/>
        <v>00/01/yyyy253</v>
      </c>
      <c r="B979" s="171">
        <f t="shared" si="31"/>
        <v>253</v>
      </c>
    </row>
    <row r="980" spans="1:2" ht="30" customHeight="1" x14ac:dyDescent="0.25">
      <c r="A980" s="178" t="str">
        <f t="shared" si="30"/>
        <v>00/01/yyyy254</v>
      </c>
      <c r="B980" s="171">
        <f t="shared" si="31"/>
        <v>254</v>
      </c>
    </row>
    <row r="981" spans="1:2" ht="30" customHeight="1" x14ac:dyDescent="0.25">
      <c r="A981" s="178" t="str">
        <f t="shared" si="30"/>
        <v>00/01/yyyy255</v>
      </c>
      <c r="B981" s="171">
        <f t="shared" si="31"/>
        <v>255</v>
      </c>
    </row>
    <row r="982" spans="1:2" ht="30" customHeight="1" x14ac:dyDescent="0.25">
      <c r="A982" s="178" t="str">
        <f t="shared" si="30"/>
        <v>00/01/yyyy256</v>
      </c>
      <c r="B982" s="171">
        <f t="shared" si="31"/>
        <v>256</v>
      </c>
    </row>
    <row r="983" spans="1:2" ht="30" customHeight="1" x14ac:dyDescent="0.25">
      <c r="A983" s="178" t="str">
        <f t="shared" si="30"/>
        <v>00/01/yyyy257</v>
      </c>
      <c r="B983" s="171">
        <f t="shared" si="31"/>
        <v>257</v>
      </c>
    </row>
    <row r="984" spans="1:2" ht="30" customHeight="1" x14ac:dyDescent="0.25">
      <c r="A984" s="178" t="str">
        <f t="shared" si="30"/>
        <v>00/01/yyyy258</v>
      </c>
      <c r="B984" s="171">
        <f t="shared" si="31"/>
        <v>258</v>
      </c>
    </row>
    <row r="985" spans="1:2" ht="30" customHeight="1" x14ac:dyDescent="0.25">
      <c r="A985" s="178" t="str">
        <f t="shared" si="30"/>
        <v>00/01/yyyy259</v>
      </c>
      <c r="B985" s="171">
        <f t="shared" si="31"/>
        <v>259</v>
      </c>
    </row>
    <row r="986" spans="1:2" ht="30" customHeight="1" x14ac:dyDescent="0.25">
      <c r="A986" s="178" t="str">
        <f t="shared" si="30"/>
        <v>00/01/yyyy260</v>
      </c>
      <c r="B986" s="171">
        <f t="shared" si="31"/>
        <v>260</v>
      </c>
    </row>
    <row r="987" spans="1:2" ht="30" customHeight="1" x14ac:dyDescent="0.25">
      <c r="A987" s="178" t="str">
        <f t="shared" si="30"/>
        <v>00/01/yyyy261</v>
      </c>
      <c r="B987" s="171">
        <f t="shared" si="31"/>
        <v>261</v>
      </c>
    </row>
    <row r="988" spans="1:2" ht="30" customHeight="1" x14ac:dyDescent="0.25">
      <c r="A988" s="178" t="str">
        <f t="shared" si="30"/>
        <v>00/01/yyyy262</v>
      </c>
      <c r="B988" s="171">
        <f t="shared" si="31"/>
        <v>262</v>
      </c>
    </row>
    <row r="989" spans="1:2" ht="30" customHeight="1" x14ac:dyDescent="0.25">
      <c r="A989" s="178" t="str">
        <f t="shared" si="30"/>
        <v>00/01/yyyy263</v>
      </c>
      <c r="B989" s="171">
        <f t="shared" si="31"/>
        <v>263</v>
      </c>
    </row>
    <row r="990" spans="1:2" ht="30" customHeight="1" x14ac:dyDescent="0.25">
      <c r="A990" s="178" t="str">
        <f t="shared" si="30"/>
        <v>00/01/yyyy264</v>
      </c>
      <c r="B990" s="171">
        <f t="shared" si="31"/>
        <v>264</v>
      </c>
    </row>
    <row r="991" spans="1:2" ht="30" customHeight="1" x14ac:dyDescent="0.25">
      <c r="A991" s="178" t="str">
        <f t="shared" si="30"/>
        <v>00/01/yyyy265</v>
      </c>
      <c r="B991" s="171">
        <f t="shared" si="31"/>
        <v>265</v>
      </c>
    </row>
    <row r="992" spans="1:2" ht="30" customHeight="1" x14ac:dyDescent="0.25">
      <c r="A992" s="178" t="str">
        <f t="shared" si="30"/>
        <v>00/01/yyyy266</v>
      </c>
      <c r="B992" s="171">
        <f t="shared" si="31"/>
        <v>266</v>
      </c>
    </row>
    <row r="993" spans="1:2" ht="30" customHeight="1" x14ac:dyDescent="0.25">
      <c r="A993" s="178" t="str">
        <f t="shared" si="30"/>
        <v>00/01/yyyy267</v>
      </c>
      <c r="B993" s="171">
        <f t="shared" si="31"/>
        <v>267</v>
      </c>
    </row>
    <row r="994" spans="1:2" ht="30" customHeight="1" x14ac:dyDescent="0.25">
      <c r="A994" s="178" t="str">
        <f t="shared" si="30"/>
        <v>00/01/yyyy268</v>
      </c>
      <c r="B994" s="171">
        <f t="shared" si="31"/>
        <v>268</v>
      </c>
    </row>
    <row r="995" spans="1:2" ht="30" customHeight="1" x14ac:dyDescent="0.25">
      <c r="A995" s="178" t="str">
        <f t="shared" si="30"/>
        <v>00/01/yyyy269</v>
      </c>
      <c r="B995" s="171">
        <f t="shared" si="31"/>
        <v>269</v>
      </c>
    </row>
    <row r="996" spans="1:2" ht="30" customHeight="1" x14ac:dyDescent="0.25">
      <c r="A996" s="178" t="str">
        <f t="shared" si="30"/>
        <v>00/01/yyyy270</v>
      </c>
      <c r="B996" s="171">
        <f t="shared" si="31"/>
        <v>270</v>
      </c>
    </row>
    <row r="997" spans="1:2" ht="30" customHeight="1" x14ac:dyDescent="0.25">
      <c r="A997" s="178" t="str">
        <f t="shared" si="30"/>
        <v>00/01/yyyy271</v>
      </c>
      <c r="B997" s="171">
        <f t="shared" si="31"/>
        <v>271</v>
      </c>
    </row>
    <row r="998" spans="1:2" ht="30" customHeight="1" x14ac:dyDescent="0.25">
      <c r="A998" s="178" t="str">
        <f t="shared" si="30"/>
        <v>00/01/yyyy272</v>
      </c>
      <c r="B998" s="171">
        <f t="shared" si="31"/>
        <v>272</v>
      </c>
    </row>
    <row r="999" spans="1:2" ht="30" customHeight="1" x14ac:dyDescent="0.25">
      <c r="A999" s="178" t="str">
        <f t="shared" si="30"/>
        <v>00/01/yyyy273</v>
      </c>
      <c r="B999" s="171">
        <f t="shared" si="31"/>
        <v>273</v>
      </c>
    </row>
    <row r="1000" spans="1:2" ht="30" customHeight="1" x14ac:dyDescent="0.25">
      <c r="A1000" s="178" t="str">
        <f t="shared" si="30"/>
        <v>00/01/yyyy274</v>
      </c>
      <c r="B1000" s="171">
        <f t="shared" si="31"/>
        <v>274</v>
      </c>
    </row>
    <row r="1001" spans="1:2" ht="30" customHeight="1" x14ac:dyDescent="0.25">
      <c r="A1001" s="178" t="str">
        <f t="shared" si="30"/>
        <v>00/01/yyyy275</v>
      </c>
      <c r="B1001" s="171">
        <f t="shared" si="31"/>
        <v>275</v>
      </c>
    </row>
    <row r="1002" spans="1:2" ht="30" customHeight="1" x14ac:dyDescent="0.25">
      <c r="A1002" s="178" t="str">
        <f t="shared" si="30"/>
        <v>00/01/yyyy276</v>
      </c>
      <c r="B1002" s="171">
        <f t="shared" si="31"/>
        <v>276</v>
      </c>
    </row>
    <row r="1003" spans="1:2" ht="30" customHeight="1" x14ac:dyDescent="0.25">
      <c r="A1003" s="178" t="str">
        <f t="shared" si="30"/>
        <v>00/01/yyyy277</v>
      </c>
      <c r="B1003" s="171">
        <f t="shared" si="31"/>
        <v>277</v>
      </c>
    </row>
    <row r="1004" spans="1:2" ht="30" customHeight="1" x14ac:dyDescent="0.25">
      <c r="A1004" s="178" t="str">
        <f t="shared" si="30"/>
        <v>00/01/yyyy278</v>
      </c>
      <c r="B1004" s="171">
        <f t="shared" si="31"/>
        <v>278</v>
      </c>
    </row>
    <row r="1005" spans="1:2" ht="30" customHeight="1" x14ac:dyDescent="0.25">
      <c r="A1005" s="178" t="str">
        <f t="shared" si="30"/>
        <v>00/01/yyyy279</v>
      </c>
      <c r="B1005" s="171">
        <f t="shared" si="31"/>
        <v>279</v>
      </c>
    </row>
    <row r="1006" spans="1:2" ht="30" customHeight="1" x14ac:dyDescent="0.25">
      <c r="A1006" s="178" t="str">
        <f t="shared" si="30"/>
        <v>00/01/yyyy280</v>
      </c>
      <c r="B1006" s="171">
        <f t="shared" si="31"/>
        <v>280</v>
      </c>
    </row>
    <row r="1007" spans="1:2" ht="30" customHeight="1" x14ac:dyDescent="0.25">
      <c r="A1007" s="178" t="str">
        <f t="shared" si="30"/>
        <v>00/01/yyyy281</v>
      </c>
      <c r="B1007" s="171">
        <f t="shared" si="31"/>
        <v>281</v>
      </c>
    </row>
    <row r="1008" spans="1:2" ht="30" customHeight="1" x14ac:dyDescent="0.25">
      <c r="A1008" s="178" t="str">
        <f t="shared" si="30"/>
        <v>00/01/yyyy282</v>
      </c>
      <c r="B1008" s="171">
        <f t="shared" si="31"/>
        <v>282</v>
      </c>
    </row>
    <row r="1009" spans="1:2" ht="30" customHeight="1" x14ac:dyDescent="0.25">
      <c r="A1009" s="178" t="str">
        <f t="shared" si="30"/>
        <v>00/01/yyyy283</v>
      </c>
      <c r="B1009" s="171">
        <f t="shared" si="31"/>
        <v>283</v>
      </c>
    </row>
    <row r="1010" spans="1:2" ht="30" customHeight="1" x14ac:dyDescent="0.25">
      <c r="A1010" s="178" t="str">
        <f t="shared" si="30"/>
        <v>00/01/yyyy284</v>
      </c>
      <c r="B1010" s="171">
        <f t="shared" si="31"/>
        <v>284</v>
      </c>
    </row>
    <row r="1011" spans="1:2" ht="30" customHeight="1" x14ac:dyDescent="0.25">
      <c r="A1011" s="178" t="str">
        <f t="shared" si="30"/>
        <v>00/01/yyyy285</v>
      </c>
      <c r="B1011" s="171">
        <f t="shared" si="31"/>
        <v>285</v>
      </c>
    </row>
    <row r="1012" spans="1:2" ht="30" customHeight="1" x14ac:dyDescent="0.25">
      <c r="A1012" s="178" t="str">
        <f t="shared" si="30"/>
        <v>00/01/yyyy286</v>
      </c>
      <c r="B1012" s="171">
        <f t="shared" si="31"/>
        <v>286</v>
      </c>
    </row>
    <row r="1013" spans="1:2" ht="30" customHeight="1" x14ac:dyDescent="0.25">
      <c r="A1013" s="178" t="str">
        <f t="shared" si="30"/>
        <v>00/01/yyyy287</v>
      </c>
      <c r="B1013" s="171">
        <f t="shared" si="31"/>
        <v>287</v>
      </c>
    </row>
    <row r="1014" spans="1:2" ht="30" customHeight="1" x14ac:dyDescent="0.25">
      <c r="A1014" s="178" t="str">
        <f t="shared" si="30"/>
        <v>00/01/yyyy288</v>
      </c>
      <c r="B1014" s="171">
        <f t="shared" si="31"/>
        <v>288</v>
      </c>
    </row>
    <row r="1015" spans="1:2" ht="30" customHeight="1" x14ac:dyDescent="0.25">
      <c r="A1015" s="178" t="str">
        <f t="shared" si="30"/>
        <v>00/01/yyyy289</v>
      </c>
      <c r="B1015" s="171">
        <f t="shared" si="31"/>
        <v>289</v>
      </c>
    </row>
    <row r="1016" spans="1:2" ht="30" customHeight="1" x14ac:dyDescent="0.25">
      <c r="A1016" s="178" t="str">
        <f t="shared" si="30"/>
        <v>00/01/yyyy290</v>
      </c>
      <c r="B1016" s="171">
        <f t="shared" si="31"/>
        <v>290</v>
      </c>
    </row>
    <row r="1017" spans="1:2" ht="30" customHeight="1" x14ac:dyDescent="0.25">
      <c r="A1017" s="178" t="str">
        <f t="shared" si="30"/>
        <v>00/01/yyyy291</v>
      </c>
      <c r="B1017" s="171">
        <f t="shared" si="31"/>
        <v>291</v>
      </c>
    </row>
    <row r="1018" spans="1:2" ht="30" customHeight="1" x14ac:dyDescent="0.25">
      <c r="A1018" s="178" t="str">
        <f t="shared" si="30"/>
        <v>00/01/yyyy292</v>
      </c>
      <c r="B1018" s="171">
        <f t="shared" si="31"/>
        <v>292</v>
      </c>
    </row>
    <row r="1019" spans="1:2" ht="30" customHeight="1" x14ac:dyDescent="0.25">
      <c r="A1019" s="178" t="str">
        <f t="shared" si="30"/>
        <v>00/01/yyyy293</v>
      </c>
      <c r="B1019" s="171">
        <f t="shared" si="31"/>
        <v>293</v>
      </c>
    </row>
    <row r="1020" spans="1:2" ht="30" customHeight="1" x14ac:dyDescent="0.25">
      <c r="A1020" s="178" t="str">
        <f t="shared" si="30"/>
        <v>00/01/yyyy294</v>
      </c>
      <c r="B1020" s="171">
        <f t="shared" si="31"/>
        <v>294</v>
      </c>
    </row>
    <row r="1021" spans="1:2" ht="30" customHeight="1" x14ac:dyDescent="0.25">
      <c r="A1021" s="178" t="str">
        <f t="shared" si="30"/>
        <v>00/01/yyyy295</v>
      </c>
      <c r="B1021" s="171">
        <f t="shared" si="31"/>
        <v>295</v>
      </c>
    </row>
    <row r="1022" spans="1:2" ht="30" customHeight="1" x14ac:dyDescent="0.25">
      <c r="A1022" s="178" t="str">
        <f t="shared" si="30"/>
        <v>00/01/yyyy296</v>
      </c>
      <c r="B1022" s="171">
        <f t="shared" si="31"/>
        <v>296</v>
      </c>
    </row>
    <row r="1023" spans="1:2" ht="30" customHeight="1" x14ac:dyDescent="0.25">
      <c r="A1023" s="178" t="str">
        <f t="shared" si="30"/>
        <v>00/01/yyyy297</v>
      </c>
      <c r="B1023" s="171">
        <f t="shared" si="31"/>
        <v>297</v>
      </c>
    </row>
    <row r="1024" spans="1:2" ht="30" customHeight="1" x14ac:dyDescent="0.25">
      <c r="A1024" s="178" t="str">
        <f t="shared" si="30"/>
        <v>00/01/yyyy298</v>
      </c>
      <c r="B1024" s="171">
        <f t="shared" si="31"/>
        <v>298</v>
      </c>
    </row>
    <row r="1025" spans="1:2" ht="30" customHeight="1" x14ac:dyDescent="0.25">
      <c r="A1025" s="178" t="str">
        <f t="shared" si="30"/>
        <v>00/01/yyyy299</v>
      </c>
      <c r="B1025" s="171">
        <f t="shared" si="31"/>
        <v>299</v>
      </c>
    </row>
    <row r="1026" spans="1:2" ht="30" customHeight="1" x14ac:dyDescent="0.25">
      <c r="A1026" s="178" t="str">
        <f t="shared" si="30"/>
        <v>00/01/yyyy300</v>
      </c>
      <c r="B1026" s="171">
        <f t="shared" si="31"/>
        <v>300</v>
      </c>
    </row>
    <row r="1027" spans="1:2" ht="30" customHeight="1" x14ac:dyDescent="0.25">
      <c r="A1027" s="178" t="str">
        <f t="shared" ref="A1027:A1090" si="32">CONCATENATE(TEXT($G1027,"dd/mm/yyyy"),$B1027)</f>
        <v>00/01/yyyy301</v>
      </c>
      <c r="B1027" s="171">
        <f t="shared" si="31"/>
        <v>301</v>
      </c>
    </row>
    <row r="1028" spans="1:2" ht="30" customHeight="1" x14ac:dyDescent="0.25">
      <c r="A1028" s="178" t="str">
        <f t="shared" si="32"/>
        <v>00/01/yyyy302</v>
      </c>
      <c r="B1028" s="171">
        <f t="shared" ref="B1028:B1091" si="33">IF($G1028=$G1027,$B1027+1,1)</f>
        <v>302</v>
      </c>
    </row>
    <row r="1029" spans="1:2" ht="30" customHeight="1" x14ac:dyDescent="0.25">
      <c r="A1029" s="178" t="str">
        <f t="shared" si="32"/>
        <v>00/01/yyyy303</v>
      </c>
      <c r="B1029" s="171">
        <f t="shared" si="33"/>
        <v>303</v>
      </c>
    </row>
    <row r="1030" spans="1:2" ht="30" customHeight="1" x14ac:dyDescent="0.25">
      <c r="A1030" s="178" t="str">
        <f t="shared" si="32"/>
        <v>00/01/yyyy304</v>
      </c>
      <c r="B1030" s="171">
        <f t="shared" si="33"/>
        <v>304</v>
      </c>
    </row>
    <row r="1031" spans="1:2" ht="30" customHeight="1" x14ac:dyDescent="0.25">
      <c r="A1031" s="178" t="str">
        <f t="shared" si="32"/>
        <v>00/01/yyyy305</v>
      </c>
      <c r="B1031" s="171">
        <f t="shared" si="33"/>
        <v>305</v>
      </c>
    </row>
    <row r="1032" spans="1:2" ht="30" customHeight="1" x14ac:dyDescent="0.25">
      <c r="A1032" s="178" t="str">
        <f t="shared" si="32"/>
        <v>00/01/yyyy306</v>
      </c>
      <c r="B1032" s="171">
        <f t="shared" si="33"/>
        <v>306</v>
      </c>
    </row>
    <row r="1033" spans="1:2" ht="30" customHeight="1" x14ac:dyDescent="0.25">
      <c r="A1033" s="178" t="str">
        <f t="shared" si="32"/>
        <v>00/01/yyyy307</v>
      </c>
      <c r="B1033" s="171">
        <f t="shared" si="33"/>
        <v>307</v>
      </c>
    </row>
    <row r="1034" spans="1:2" ht="30" customHeight="1" x14ac:dyDescent="0.25">
      <c r="A1034" s="178" t="str">
        <f t="shared" si="32"/>
        <v>00/01/yyyy308</v>
      </c>
      <c r="B1034" s="171">
        <f t="shared" si="33"/>
        <v>308</v>
      </c>
    </row>
    <row r="1035" spans="1:2" ht="30" customHeight="1" x14ac:dyDescent="0.25">
      <c r="A1035" s="178" t="str">
        <f t="shared" si="32"/>
        <v>00/01/yyyy309</v>
      </c>
      <c r="B1035" s="171">
        <f t="shared" si="33"/>
        <v>309</v>
      </c>
    </row>
    <row r="1036" spans="1:2" ht="30" customHeight="1" x14ac:dyDescent="0.25">
      <c r="A1036" s="178" t="str">
        <f t="shared" si="32"/>
        <v>00/01/yyyy310</v>
      </c>
      <c r="B1036" s="171">
        <f t="shared" si="33"/>
        <v>310</v>
      </c>
    </row>
    <row r="1037" spans="1:2" ht="30" customHeight="1" x14ac:dyDescent="0.25">
      <c r="A1037" s="178" t="str">
        <f t="shared" si="32"/>
        <v>00/01/yyyy311</v>
      </c>
      <c r="B1037" s="171">
        <f t="shared" si="33"/>
        <v>311</v>
      </c>
    </row>
    <row r="1038" spans="1:2" ht="30" customHeight="1" x14ac:dyDescent="0.25">
      <c r="A1038" s="178" t="str">
        <f t="shared" si="32"/>
        <v>00/01/yyyy312</v>
      </c>
      <c r="B1038" s="171">
        <f t="shared" si="33"/>
        <v>312</v>
      </c>
    </row>
    <row r="1039" spans="1:2" ht="30" customHeight="1" x14ac:dyDescent="0.25">
      <c r="A1039" s="178" t="str">
        <f t="shared" si="32"/>
        <v>00/01/yyyy313</v>
      </c>
      <c r="B1039" s="171">
        <f t="shared" si="33"/>
        <v>313</v>
      </c>
    </row>
    <row r="1040" spans="1:2" ht="30" customHeight="1" x14ac:dyDescent="0.25">
      <c r="A1040" s="178" t="str">
        <f t="shared" si="32"/>
        <v>00/01/yyyy314</v>
      </c>
      <c r="B1040" s="171">
        <f t="shared" si="33"/>
        <v>314</v>
      </c>
    </row>
    <row r="1041" spans="1:2" ht="30" customHeight="1" x14ac:dyDescent="0.25">
      <c r="A1041" s="178" t="str">
        <f t="shared" si="32"/>
        <v>00/01/yyyy315</v>
      </c>
      <c r="B1041" s="171">
        <f t="shared" si="33"/>
        <v>315</v>
      </c>
    </row>
    <row r="1042" spans="1:2" ht="30" customHeight="1" x14ac:dyDescent="0.25">
      <c r="A1042" s="178" t="str">
        <f t="shared" si="32"/>
        <v>00/01/yyyy316</v>
      </c>
      <c r="B1042" s="171">
        <f t="shared" si="33"/>
        <v>316</v>
      </c>
    </row>
    <row r="1043" spans="1:2" ht="30" customHeight="1" x14ac:dyDescent="0.25">
      <c r="A1043" s="178" t="str">
        <f t="shared" si="32"/>
        <v>00/01/yyyy317</v>
      </c>
      <c r="B1043" s="171">
        <f t="shared" si="33"/>
        <v>317</v>
      </c>
    </row>
    <row r="1044" spans="1:2" ht="30" customHeight="1" x14ac:dyDescent="0.25">
      <c r="A1044" s="178" t="str">
        <f t="shared" si="32"/>
        <v>00/01/yyyy318</v>
      </c>
      <c r="B1044" s="171">
        <f t="shared" si="33"/>
        <v>318</v>
      </c>
    </row>
    <row r="1045" spans="1:2" ht="30" customHeight="1" x14ac:dyDescent="0.25">
      <c r="A1045" s="178" t="str">
        <f t="shared" si="32"/>
        <v>00/01/yyyy319</v>
      </c>
      <c r="B1045" s="171">
        <f t="shared" si="33"/>
        <v>319</v>
      </c>
    </row>
    <row r="1046" spans="1:2" ht="30" customHeight="1" x14ac:dyDescent="0.25">
      <c r="A1046" s="178" t="str">
        <f t="shared" si="32"/>
        <v>00/01/yyyy320</v>
      </c>
      <c r="B1046" s="171">
        <f t="shared" si="33"/>
        <v>320</v>
      </c>
    </row>
    <row r="1047" spans="1:2" ht="30" customHeight="1" x14ac:dyDescent="0.25">
      <c r="A1047" s="178" t="str">
        <f t="shared" si="32"/>
        <v>00/01/yyyy321</v>
      </c>
      <c r="B1047" s="171">
        <f t="shared" si="33"/>
        <v>321</v>
      </c>
    </row>
    <row r="1048" spans="1:2" ht="30" customHeight="1" x14ac:dyDescent="0.25">
      <c r="A1048" s="178" t="str">
        <f t="shared" si="32"/>
        <v>00/01/yyyy322</v>
      </c>
      <c r="B1048" s="171">
        <f t="shared" si="33"/>
        <v>322</v>
      </c>
    </row>
    <row r="1049" spans="1:2" ht="30" customHeight="1" x14ac:dyDescent="0.25">
      <c r="A1049" s="178" t="str">
        <f t="shared" si="32"/>
        <v>00/01/yyyy323</v>
      </c>
      <c r="B1049" s="171">
        <f t="shared" si="33"/>
        <v>323</v>
      </c>
    </row>
    <row r="1050" spans="1:2" ht="30" customHeight="1" x14ac:dyDescent="0.25">
      <c r="A1050" s="178" t="str">
        <f t="shared" si="32"/>
        <v>00/01/yyyy324</v>
      </c>
      <c r="B1050" s="171">
        <f t="shared" si="33"/>
        <v>324</v>
      </c>
    </row>
    <row r="1051" spans="1:2" ht="30" customHeight="1" x14ac:dyDescent="0.25">
      <c r="A1051" s="178" t="str">
        <f t="shared" si="32"/>
        <v>00/01/yyyy325</v>
      </c>
      <c r="B1051" s="171">
        <f t="shared" si="33"/>
        <v>325</v>
      </c>
    </row>
    <row r="1052" spans="1:2" ht="30" customHeight="1" x14ac:dyDescent="0.25">
      <c r="A1052" s="178" t="str">
        <f t="shared" si="32"/>
        <v>00/01/yyyy326</v>
      </c>
      <c r="B1052" s="171">
        <f t="shared" si="33"/>
        <v>326</v>
      </c>
    </row>
    <row r="1053" spans="1:2" ht="30" customHeight="1" x14ac:dyDescent="0.25">
      <c r="A1053" s="178" t="str">
        <f t="shared" si="32"/>
        <v>00/01/yyyy327</v>
      </c>
      <c r="B1053" s="171">
        <f t="shared" si="33"/>
        <v>327</v>
      </c>
    </row>
    <row r="1054" spans="1:2" ht="30" customHeight="1" x14ac:dyDescent="0.25">
      <c r="A1054" s="178" t="str">
        <f t="shared" si="32"/>
        <v>00/01/yyyy328</v>
      </c>
      <c r="B1054" s="171">
        <f t="shared" si="33"/>
        <v>328</v>
      </c>
    </row>
    <row r="1055" spans="1:2" ht="30" customHeight="1" x14ac:dyDescent="0.25">
      <c r="A1055" s="178" t="str">
        <f t="shared" si="32"/>
        <v>00/01/yyyy329</v>
      </c>
      <c r="B1055" s="171">
        <f t="shared" si="33"/>
        <v>329</v>
      </c>
    </row>
    <row r="1056" spans="1:2" ht="30" customHeight="1" x14ac:dyDescent="0.25">
      <c r="A1056" s="178" t="str">
        <f t="shared" si="32"/>
        <v>00/01/yyyy330</v>
      </c>
      <c r="B1056" s="171">
        <f t="shared" si="33"/>
        <v>330</v>
      </c>
    </row>
    <row r="1057" spans="1:2" ht="30" customHeight="1" x14ac:dyDescent="0.25">
      <c r="A1057" s="178" t="str">
        <f t="shared" si="32"/>
        <v>00/01/yyyy331</v>
      </c>
      <c r="B1057" s="171">
        <f t="shared" si="33"/>
        <v>331</v>
      </c>
    </row>
    <row r="1058" spans="1:2" ht="30" customHeight="1" x14ac:dyDescent="0.25">
      <c r="A1058" s="178" t="str">
        <f t="shared" si="32"/>
        <v>00/01/yyyy332</v>
      </c>
      <c r="B1058" s="171">
        <f t="shared" si="33"/>
        <v>332</v>
      </c>
    </row>
    <row r="1059" spans="1:2" ht="30" customHeight="1" x14ac:dyDescent="0.25">
      <c r="A1059" s="178" t="str">
        <f t="shared" si="32"/>
        <v>00/01/yyyy333</v>
      </c>
      <c r="B1059" s="171">
        <f t="shared" si="33"/>
        <v>333</v>
      </c>
    </row>
    <row r="1060" spans="1:2" ht="30" customHeight="1" x14ac:dyDescent="0.25">
      <c r="A1060" s="178" t="str">
        <f t="shared" si="32"/>
        <v>00/01/yyyy334</v>
      </c>
      <c r="B1060" s="171">
        <f t="shared" si="33"/>
        <v>334</v>
      </c>
    </row>
    <row r="1061" spans="1:2" ht="30" customHeight="1" x14ac:dyDescent="0.25">
      <c r="A1061" s="178" t="str">
        <f t="shared" si="32"/>
        <v>00/01/yyyy335</v>
      </c>
      <c r="B1061" s="171">
        <f t="shared" si="33"/>
        <v>335</v>
      </c>
    </row>
    <row r="1062" spans="1:2" ht="30" customHeight="1" x14ac:dyDescent="0.25">
      <c r="A1062" s="178" t="str">
        <f t="shared" si="32"/>
        <v>00/01/yyyy336</v>
      </c>
      <c r="B1062" s="171">
        <f t="shared" si="33"/>
        <v>336</v>
      </c>
    </row>
    <row r="1063" spans="1:2" ht="30" customHeight="1" x14ac:dyDescent="0.25">
      <c r="A1063" s="178" t="str">
        <f t="shared" si="32"/>
        <v>00/01/yyyy337</v>
      </c>
      <c r="B1063" s="171">
        <f t="shared" si="33"/>
        <v>337</v>
      </c>
    </row>
    <row r="1064" spans="1:2" ht="30" customHeight="1" x14ac:dyDescent="0.25">
      <c r="A1064" s="178" t="str">
        <f t="shared" si="32"/>
        <v>00/01/yyyy338</v>
      </c>
      <c r="B1064" s="171">
        <f t="shared" si="33"/>
        <v>338</v>
      </c>
    </row>
    <row r="1065" spans="1:2" ht="30" customHeight="1" x14ac:dyDescent="0.25">
      <c r="A1065" s="178" t="str">
        <f t="shared" si="32"/>
        <v>00/01/yyyy339</v>
      </c>
      <c r="B1065" s="171">
        <f t="shared" si="33"/>
        <v>339</v>
      </c>
    </row>
    <row r="1066" spans="1:2" ht="30" customHeight="1" x14ac:dyDescent="0.25">
      <c r="A1066" s="178" t="str">
        <f t="shared" si="32"/>
        <v>00/01/yyyy340</v>
      </c>
      <c r="B1066" s="171">
        <f t="shared" si="33"/>
        <v>340</v>
      </c>
    </row>
    <row r="1067" spans="1:2" ht="30" customHeight="1" x14ac:dyDescent="0.25">
      <c r="A1067" s="178" t="str">
        <f t="shared" si="32"/>
        <v>00/01/yyyy341</v>
      </c>
      <c r="B1067" s="171">
        <f t="shared" si="33"/>
        <v>341</v>
      </c>
    </row>
    <row r="1068" spans="1:2" ht="30" customHeight="1" x14ac:dyDescent="0.25">
      <c r="A1068" s="178" t="str">
        <f t="shared" si="32"/>
        <v>00/01/yyyy342</v>
      </c>
      <c r="B1068" s="171">
        <f t="shared" si="33"/>
        <v>342</v>
      </c>
    </row>
    <row r="1069" spans="1:2" ht="30" customHeight="1" x14ac:dyDescent="0.25">
      <c r="A1069" s="178" t="str">
        <f t="shared" si="32"/>
        <v>00/01/yyyy343</v>
      </c>
      <c r="B1069" s="171">
        <f t="shared" si="33"/>
        <v>343</v>
      </c>
    </row>
    <row r="1070" spans="1:2" ht="30" customHeight="1" x14ac:dyDescent="0.25">
      <c r="A1070" s="178" t="str">
        <f t="shared" si="32"/>
        <v>00/01/yyyy344</v>
      </c>
      <c r="B1070" s="171">
        <f t="shared" si="33"/>
        <v>344</v>
      </c>
    </row>
    <row r="1071" spans="1:2" ht="30" customHeight="1" x14ac:dyDescent="0.25">
      <c r="A1071" s="178" t="str">
        <f t="shared" si="32"/>
        <v>00/01/yyyy345</v>
      </c>
      <c r="B1071" s="171">
        <f t="shared" si="33"/>
        <v>345</v>
      </c>
    </row>
    <row r="1072" spans="1:2" ht="30" customHeight="1" x14ac:dyDescent="0.25">
      <c r="A1072" s="178" t="str">
        <f t="shared" si="32"/>
        <v>00/01/yyyy346</v>
      </c>
      <c r="B1072" s="171">
        <f t="shared" si="33"/>
        <v>346</v>
      </c>
    </row>
    <row r="1073" spans="1:2" ht="30" customHeight="1" x14ac:dyDescent="0.25">
      <c r="A1073" s="178" t="str">
        <f t="shared" si="32"/>
        <v>00/01/yyyy347</v>
      </c>
      <c r="B1073" s="171">
        <f t="shared" si="33"/>
        <v>347</v>
      </c>
    </row>
    <row r="1074" spans="1:2" ht="30" customHeight="1" x14ac:dyDescent="0.25">
      <c r="A1074" s="178" t="str">
        <f t="shared" si="32"/>
        <v>00/01/yyyy348</v>
      </c>
      <c r="B1074" s="171">
        <f t="shared" si="33"/>
        <v>348</v>
      </c>
    </row>
    <row r="1075" spans="1:2" ht="30" customHeight="1" x14ac:dyDescent="0.25">
      <c r="A1075" s="178" t="str">
        <f t="shared" si="32"/>
        <v>00/01/yyyy349</v>
      </c>
      <c r="B1075" s="171">
        <f t="shared" si="33"/>
        <v>349</v>
      </c>
    </row>
    <row r="1076" spans="1:2" ht="30" customHeight="1" x14ac:dyDescent="0.25">
      <c r="A1076" s="178" t="str">
        <f t="shared" si="32"/>
        <v>00/01/yyyy350</v>
      </c>
      <c r="B1076" s="171">
        <f t="shared" si="33"/>
        <v>350</v>
      </c>
    </row>
    <row r="1077" spans="1:2" ht="30" customHeight="1" x14ac:dyDescent="0.25">
      <c r="A1077" s="178" t="str">
        <f t="shared" si="32"/>
        <v>00/01/yyyy351</v>
      </c>
      <c r="B1077" s="171">
        <f t="shared" si="33"/>
        <v>351</v>
      </c>
    </row>
    <row r="1078" spans="1:2" ht="30" customHeight="1" x14ac:dyDescent="0.25">
      <c r="A1078" s="178" t="str">
        <f t="shared" si="32"/>
        <v>00/01/yyyy352</v>
      </c>
      <c r="B1078" s="171">
        <f t="shared" si="33"/>
        <v>352</v>
      </c>
    </row>
    <row r="1079" spans="1:2" ht="30" customHeight="1" x14ac:dyDescent="0.25">
      <c r="A1079" s="178" t="str">
        <f t="shared" si="32"/>
        <v>00/01/yyyy353</v>
      </c>
      <c r="B1079" s="171">
        <f t="shared" si="33"/>
        <v>353</v>
      </c>
    </row>
    <row r="1080" spans="1:2" ht="30" customHeight="1" x14ac:dyDescent="0.25">
      <c r="A1080" s="178" t="str">
        <f t="shared" si="32"/>
        <v>00/01/yyyy354</v>
      </c>
      <c r="B1080" s="171">
        <f t="shared" si="33"/>
        <v>354</v>
      </c>
    </row>
    <row r="1081" spans="1:2" ht="30" customHeight="1" x14ac:dyDescent="0.25">
      <c r="A1081" s="178" t="str">
        <f t="shared" si="32"/>
        <v>00/01/yyyy355</v>
      </c>
      <c r="B1081" s="171">
        <f t="shared" si="33"/>
        <v>355</v>
      </c>
    </row>
    <row r="1082" spans="1:2" ht="30" customHeight="1" x14ac:dyDescent="0.25">
      <c r="A1082" s="178" t="str">
        <f t="shared" si="32"/>
        <v>00/01/yyyy356</v>
      </c>
      <c r="B1082" s="171">
        <f t="shared" si="33"/>
        <v>356</v>
      </c>
    </row>
    <row r="1083" spans="1:2" ht="30" customHeight="1" x14ac:dyDescent="0.25">
      <c r="A1083" s="178" t="str">
        <f t="shared" si="32"/>
        <v>00/01/yyyy357</v>
      </c>
      <c r="B1083" s="171">
        <f t="shared" si="33"/>
        <v>357</v>
      </c>
    </row>
    <row r="1084" spans="1:2" ht="30" customHeight="1" x14ac:dyDescent="0.25">
      <c r="A1084" s="178" t="str">
        <f t="shared" si="32"/>
        <v>00/01/yyyy358</v>
      </c>
      <c r="B1084" s="171">
        <f t="shared" si="33"/>
        <v>358</v>
      </c>
    </row>
    <row r="1085" spans="1:2" ht="30" customHeight="1" x14ac:dyDescent="0.25">
      <c r="A1085" s="178" t="str">
        <f t="shared" si="32"/>
        <v>00/01/yyyy359</v>
      </c>
      <c r="B1085" s="171">
        <f t="shared" si="33"/>
        <v>359</v>
      </c>
    </row>
    <row r="1086" spans="1:2" ht="30" customHeight="1" x14ac:dyDescent="0.25">
      <c r="A1086" s="178" t="str">
        <f t="shared" si="32"/>
        <v>00/01/yyyy360</v>
      </c>
      <c r="B1086" s="171">
        <f t="shared" si="33"/>
        <v>360</v>
      </c>
    </row>
    <row r="1087" spans="1:2" ht="30" customHeight="1" x14ac:dyDescent="0.25">
      <c r="A1087" s="178" t="str">
        <f t="shared" si="32"/>
        <v>00/01/yyyy361</v>
      </c>
      <c r="B1087" s="171">
        <f t="shared" si="33"/>
        <v>361</v>
      </c>
    </row>
    <row r="1088" spans="1:2" ht="30" customHeight="1" x14ac:dyDescent="0.25">
      <c r="A1088" s="178" t="str">
        <f t="shared" si="32"/>
        <v>00/01/yyyy362</v>
      </c>
      <c r="B1088" s="171">
        <f t="shared" si="33"/>
        <v>362</v>
      </c>
    </row>
    <row r="1089" spans="1:2" ht="30" customHeight="1" x14ac:dyDescent="0.25">
      <c r="A1089" s="178" t="str">
        <f t="shared" si="32"/>
        <v>00/01/yyyy363</v>
      </c>
      <c r="B1089" s="171">
        <f t="shared" si="33"/>
        <v>363</v>
      </c>
    </row>
    <row r="1090" spans="1:2" ht="30" customHeight="1" x14ac:dyDescent="0.25">
      <c r="A1090" s="178" t="str">
        <f t="shared" si="32"/>
        <v>00/01/yyyy364</v>
      </c>
      <c r="B1090" s="171">
        <f t="shared" si="33"/>
        <v>364</v>
      </c>
    </row>
    <row r="1091" spans="1:2" ht="30" customHeight="1" x14ac:dyDescent="0.25">
      <c r="A1091" s="178" t="str">
        <f t="shared" ref="A1091:A1154" si="34">CONCATENATE(TEXT($G1091,"dd/mm/yyyy"),$B1091)</f>
        <v>00/01/yyyy365</v>
      </c>
      <c r="B1091" s="171">
        <f t="shared" si="33"/>
        <v>365</v>
      </c>
    </row>
    <row r="1092" spans="1:2" ht="30" customHeight="1" x14ac:dyDescent="0.25">
      <c r="A1092" s="178" t="str">
        <f t="shared" si="34"/>
        <v>00/01/yyyy366</v>
      </c>
      <c r="B1092" s="171">
        <f t="shared" ref="B1092:B1155" si="35">IF($G1092=$G1091,$B1091+1,1)</f>
        <v>366</v>
      </c>
    </row>
    <row r="1093" spans="1:2" ht="30" customHeight="1" x14ac:dyDescent="0.25">
      <c r="A1093" s="178" t="str">
        <f t="shared" si="34"/>
        <v>00/01/yyyy367</v>
      </c>
      <c r="B1093" s="171">
        <f t="shared" si="35"/>
        <v>367</v>
      </c>
    </row>
    <row r="1094" spans="1:2" ht="30" customHeight="1" x14ac:dyDescent="0.25">
      <c r="A1094" s="178" t="str">
        <f t="shared" si="34"/>
        <v>00/01/yyyy368</v>
      </c>
      <c r="B1094" s="171">
        <f t="shared" si="35"/>
        <v>368</v>
      </c>
    </row>
    <row r="1095" spans="1:2" ht="30" customHeight="1" x14ac:dyDescent="0.25">
      <c r="A1095" s="178" t="str">
        <f t="shared" si="34"/>
        <v>00/01/yyyy369</v>
      </c>
      <c r="B1095" s="171">
        <f t="shared" si="35"/>
        <v>369</v>
      </c>
    </row>
    <row r="1096" spans="1:2" ht="30" customHeight="1" x14ac:dyDescent="0.25">
      <c r="A1096" s="178" t="str">
        <f t="shared" si="34"/>
        <v>00/01/yyyy370</v>
      </c>
      <c r="B1096" s="171">
        <f t="shared" si="35"/>
        <v>370</v>
      </c>
    </row>
    <row r="1097" spans="1:2" ht="30" customHeight="1" x14ac:dyDescent="0.25">
      <c r="A1097" s="178" t="str">
        <f t="shared" si="34"/>
        <v>00/01/yyyy371</v>
      </c>
      <c r="B1097" s="171">
        <f t="shared" si="35"/>
        <v>371</v>
      </c>
    </row>
    <row r="1098" spans="1:2" ht="30" customHeight="1" x14ac:dyDescent="0.25">
      <c r="A1098" s="178" t="str">
        <f t="shared" si="34"/>
        <v>00/01/yyyy372</v>
      </c>
      <c r="B1098" s="171">
        <f t="shared" si="35"/>
        <v>372</v>
      </c>
    </row>
    <row r="1099" spans="1:2" ht="30" customHeight="1" x14ac:dyDescent="0.25">
      <c r="A1099" s="178" t="str">
        <f t="shared" si="34"/>
        <v>00/01/yyyy373</v>
      </c>
      <c r="B1099" s="171">
        <f t="shared" si="35"/>
        <v>373</v>
      </c>
    </row>
    <row r="1100" spans="1:2" ht="30" customHeight="1" x14ac:dyDescent="0.25">
      <c r="A1100" s="178" t="str">
        <f t="shared" si="34"/>
        <v>00/01/yyyy374</v>
      </c>
      <c r="B1100" s="171">
        <f t="shared" si="35"/>
        <v>374</v>
      </c>
    </row>
    <row r="1101" spans="1:2" ht="30" customHeight="1" x14ac:dyDescent="0.25">
      <c r="A1101" s="178" t="str">
        <f t="shared" si="34"/>
        <v>00/01/yyyy375</v>
      </c>
      <c r="B1101" s="171">
        <f t="shared" si="35"/>
        <v>375</v>
      </c>
    </row>
    <row r="1102" spans="1:2" ht="30" customHeight="1" x14ac:dyDescent="0.25">
      <c r="A1102" s="178" t="str">
        <f t="shared" si="34"/>
        <v>00/01/yyyy376</v>
      </c>
      <c r="B1102" s="171">
        <f t="shared" si="35"/>
        <v>376</v>
      </c>
    </row>
    <row r="1103" spans="1:2" ht="30" customHeight="1" x14ac:dyDescent="0.25">
      <c r="A1103" s="178" t="str">
        <f t="shared" si="34"/>
        <v>00/01/yyyy377</v>
      </c>
      <c r="B1103" s="171">
        <f t="shared" si="35"/>
        <v>377</v>
      </c>
    </row>
    <row r="1104" spans="1:2" ht="30" customHeight="1" x14ac:dyDescent="0.25">
      <c r="A1104" s="178" t="str">
        <f t="shared" si="34"/>
        <v>00/01/yyyy378</v>
      </c>
      <c r="B1104" s="171">
        <f t="shared" si="35"/>
        <v>378</v>
      </c>
    </row>
    <row r="1105" spans="1:2" ht="30" customHeight="1" x14ac:dyDescent="0.25">
      <c r="A1105" s="178" t="str">
        <f t="shared" si="34"/>
        <v>00/01/yyyy379</v>
      </c>
      <c r="B1105" s="171">
        <f t="shared" si="35"/>
        <v>379</v>
      </c>
    </row>
    <row r="1106" spans="1:2" ht="30" customHeight="1" x14ac:dyDescent="0.25">
      <c r="A1106" s="178" t="str">
        <f t="shared" si="34"/>
        <v>00/01/yyyy380</v>
      </c>
      <c r="B1106" s="171">
        <f t="shared" si="35"/>
        <v>380</v>
      </c>
    </row>
    <row r="1107" spans="1:2" ht="30" customHeight="1" x14ac:dyDescent="0.25">
      <c r="A1107" s="178" t="str">
        <f t="shared" si="34"/>
        <v>00/01/yyyy381</v>
      </c>
      <c r="B1107" s="171">
        <f t="shared" si="35"/>
        <v>381</v>
      </c>
    </row>
    <row r="1108" spans="1:2" ht="30" customHeight="1" x14ac:dyDescent="0.25">
      <c r="A1108" s="178" t="str">
        <f t="shared" si="34"/>
        <v>00/01/yyyy382</v>
      </c>
      <c r="B1108" s="171">
        <f t="shared" si="35"/>
        <v>382</v>
      </c>
    </row>
    <row r="1109" spans="1:2" ht="30" customHeight="1" x14ac:dyDescent="0.25">
      <c r="A1109" s="178" t="str">
        <f t="shared" si="34"/>
        <v>00/01/yyyy383</v>
      </c>
      <c r="B1109" s="171">
        <f t="shared" si="35"/>
        <v>383</v>
      </c>
    </row>
    <row r="1110" spans="1:2" ht="30" customHeight="1" x14ac:dyDescent="0.25">
      <c r="A1110" s="178" t="str">
        <f t="shared" si="34"/>
        <v>00/01/yyyy384</v>
      </c>
      <c r="B1110" s="171">
        <f t="shared" si="35"/>
        <v>384</v>
      </c>
    </row>
    <row r="1111" spans="1:2" ht="30" customHeight="1" x14ac:dyDescent="0.25">
      <c r="A1111" s="178" t="str">
        <f t="shared" si="34"/>
        <v>00/01/yyyy385</v>
      </c>
      <c r="B1111" s="171">
        <f t="shared" si="35"/>
        <v>385</v>
      </c>
    </row>
    <row r="1112" spans="1:2" ht="30" customHeight="1" x14ac:dyDescent="0.25">
      <c r="A1112" s="178" t="str">
        <f t="shared" si="34"/>
        <v>00/01/yyyy386</v>
      </c>
      <c r="B1112" s="171">
        <f t="shared" si="35"/>
        <v>386</v>
      </c>
    </row>
    <row r="1113" spans="1:2" ht="30" customHeight="1" x14ac:dyDescent="0.25">
      <c r="A1113" s="178" t="str">
        <f t="shared" si="34"/>
        <v>00/01/yyyy387</v>
      </c>
      <c r="B1113" s="171">
        <f t="shared" si="35"/>
        <v>387</v>
      </c>
    </row>
    <row r="1114" spans="1:2" ht="30" customHeight="1" x14ac:dyDescent="0.25">
      <c r="A1114" s="178" t="str">
        <f t="shared" si="34"/>
        <v>00/01/yyyy388</v>
      </c>
      <c r="B1114" s="171">
        <f t="shared" si="35"/>
        <v>388</v>
      </c>
    </row>
    <row r="1115" spans="1:2" ht="30" customHeight="1" x14ac:dyDescent="0.25">
      <c r="A1115" s="178" t="str">
        <f t="shared" si="34"/>
        <v>00/01/yyyy389</v>
      </c>
      <c r="B1115" s="171">
        <f t="shared" si="35"/>
        <v>389</v>
      </c>
    </row>
    <row r="1116" spans="1:2" ht="30" customHeight="1" x14ac:dyDescent="0.25">
      <c r="A1116" s="178" t="str">
        <f t="shared" si="34"/>
        <v>00/01/yyyy390</v>
      </c>
      <c r="B1116" s="171">
        <f t="shared" si="35"/>
        <v>390</v>
      </c>
    </row>
    <row r="1117" spans="1:2" ht="30" customHeight="1" x14ac:dyDescent="0.25">
      <c r="A1117" s="178" t="str">
        <f t="shared" si="34"/>
        <v>00/01/yyyy391</v>
      </c>
      <c r="B1117" s="171">
        <f t="shared" si="35"/>
        <v>391</v>
      </c>
    </row>
    <row r="1118" spans="1:2" ht="30" customHeight="1" x14ac:dyDescent="0.25">
      <c r="A1118" s="178" t="str">
        <f t="shared" si="34"/>
        <v>00/01/yyyy392</v>
      </c>
      <c r="B1118" s="171">
        <f t="shared" si="35"/>
        <v>392</v>
      </c>
    </row>
    <row r="1119" spans="1:2" ht="30" customHeight="1" x14ac:dyDescent="0.25">
      <c r="A1119" s="178" t="str">
        <f t="shared" si="34"/>
        <v>00/01/yyyy393</v>
      </c>
      <c r="B1119" s="171">
        <f t="shared" si="35"/>
        <v>393</v>
      </c>
    </row>
    <row r="1120" spans="1:2" ht="30" customHeight="1" x14ac:dyDescent="0.25">
      <c r="A1120" s="178" t="str">
        <f t="shared" si="34"/>
        <v>00/01/yyyy394</v>
      </c>
      <c r="B1120" s="171">
        <f t="shared" si="35"/>
        <v>394</v>
      </c>
    </row>
    <row r="1121" spans="1:2" ht="30" customHeight="1" x14ac:dyDescent="0.25">
      <c r="A1121" s="178" t="str">
        <f t="shared" si="34"/>
        <v>00/01/yyyy395</v>
      </c>
      <c r="B1121" s="171">
        <f t="shared" si="35"/>
        <v>395</v>
      </c>
    </row>
    <row r="1122" spans="1:2" ht="30" customHeight="1" x14ac:dyDescent="0.25">
      <c r="A1122" s="178" t="str">
        <f t="shared" si="34"/>
        <v>00/01/yyyy396</v>
      </c>
      <c r="B1122" s="171">
        <f t="shared" si="35"/>
        <v>396</v>
      </c>
    </row>
    <row r="1123" spans="1:2" ht="30" customHeight="1" x14ac:dyDescent="0.25">
      <c r="A1123" s="178" t="str">
        <f t="shared" si="34"/>
        <v>00/01/yyyy397</v>
      </c>
      <c r="B1123" s="171">
        <f t="shared" si="35"/>
        <v>397</v>
      </c>
    </row>
    <row r="1124" spans="1:2" ht="30" customHeight="1" x14ac:dyDescent="0.25">
      <c r="A1124" s="178" t="str">
        <f t="shared" si="34"/>
        <v>00/01/yyyy398</v>
      </c>
      <c r="B1124" s="171">
        <f t="shared" si="35"/>
        <v>398</v>
      </c>
    </row>
    <row r="1125" spans="1:2" ht="30" customHeight="1" x14ac:dyDescent="0.25">
      <c r="A1125" s="178" t="str">
        <f t="shared" si="34"/>
        <v>00/01/yyyy399</v>
      </c>
      <c r="B1125" s="171">
        <f t="shared" si="35"/>
        <v>399</v>
      </c>
    </row>
    <row r="1126" spans="1:2" ht="30" customHeight="1" x14ac:dyDescent="0.25">
      <c r="A1126" s="178" t="str">
        <f t="shared" si="34"/>
        <v>00/01/yyyy400</v>
      </c>
      <c r="B1126" s="171">
        <f t="shared" si="35"/>
        <v>400</v>
      </c>
    </row>
    <row r="1127" spans="1:2" ht="30" customHeight="1" x14ac:dyDescent="0.25">
      <c r="A1127" s="178" t="str">
        <f t="shared" si="34"/>
        <v>00/01/yyyy401</v>
      </c>
      <c r="B1127" s="171">
        <f t="shared" si="35"/>
        <v>401</v>
      </c>
    </row>
    <row r="1128" spans="1:2" ht="30" customHeight="1" x14ac:dyDescent="0.25">
      <c r="A1128" s="178" t="str">
        <f t="shared" si="34"/>
        <v>00/01/yyyy402</v>
      </c>
      <c r="B1128" s="171">
        <f t="shared" si="35"/>
        <v>402</v>
      </c>
    </row>
    <row r="1129" spans="1:2" ht="30" customHeight="1" x14ac:dyDescent="0.25">
      <c r="A1129" s="178" t="str">
        <f t="shared" si="34"/>
        <v>00/01/yyyy403</v>
      </c>
      <c r="B1129" s="171">
        <f t="shared" si="35"/>
        <v>403</v>
      </c>
    </row>
    <row r="1130" spans="1:2" ht="30" customHeight="1" x14ac:dyDescent="0.25">
      <c r="A1130" s="178" t="str">
        <f t="shared" si="34"/>
        <v>00/01/yyyy404</v>
      </c>
      <c r="B1130" s="171">
        <f t="shared" si="35"/>
        <v>404</v>
      </c>
    </row>
    <row r="1131" spans="1:2" ht="30" customHeight="1" x14ac:dyDescent="0.25">
      <c r="A1131" s="178" t="str">
        <f t="shared" si="34"/>
        <v>00/01/yyyy405</v>
      </c>
      <c r="B1131" s="171">
        <f t="shared" si="35"/>
        <v>405</v>
      </c>
    </row>
    <row r="1132" spans="1:2" ht="30" customHeight="1" x14ac:dyDescent="0.25">
      <c r="A1132" s="178" t="str">
        <f t="shared" si="34"/>
        <v>00/01/yyyy406</v>
      </c>
      <c r="B1132" s="171">
        <f t="shared" si="35"/>
        <v>406</v>
      </c>
    </row>
    <row r="1133" spans="1:2" ht="30" customHeight="1" x14ac:dyDescent="0.25">
      <c r="A1133" s="178" t="str">
        <f t="shared" si="34"/>
        <v>00/01/yyyy407</v>
      </c>
      <c r="B1133" s="171">
        <f t="shared" si="35"/>
        <v>407</v>
      </c>
    </row>
    <row r="1134" spans="1:2" ht="30" customHeight="1" x14ac:dyDescent="0.25">
      <c r="A1134" s="178" t="str">
        <f t="shared" si="34"/>
        <v>00/01/yyyy408</v>
      </c>
      <c r="B1134" s="171">
        <f t="shared" si="35"/>
        <v>408</v>
      </c>
    </row>
    <row r="1135" spans="1:2" ht="30" customHeight="1" x14ac:dyDescent="0.25">
      <c r="A1135" s="178" t="str">
        <f t="shared" si="34"/>
        <v>00/01/yyyy409</v>
      </c>
      <c r="B1135" s="171">
        <f t="shared" si="35"/>
        <v>409</v>
      </c>
    </row>
    <row r="1136" spans="1:2" ht="30" customHeight="1" x14ac:dyDescent="0.25">
      <c r="A1136" s="178" t="str">
        <f t="shared" si="34"/>
        <v>00/01/yyyy410</v>
      </c>
      <c r="B1136" s="171">
        <f t="shared" si="35"/>
        <v>410</v>
      </c>
    </row>
    <row r="1137" spans="1:2" ht="30" customHeight="1" x14ac:dyDescent="0.25">
      <c r="A1137" s="178" t="str">
        <f t="shared" si="34"/>
        <v>00/01/yyyy411</v>
      </c>
      <c r="B1137" s="171">
        <f t="shared" si="35"/>
        <v>411</v>
      </c>
    </row>
    <row r="1138" spans="1:2" ht="30" customHeight="1" x14ac:dyDescent="0.25">
      <c r="A1138" s="178" t="str">
        <f t="shared" si="34"/>
        <v>00/01/yyyy412</v>
      </c>
      <c r="B1138" s="171">
        <f t="shared" si="35"/>
        <v>412</v>
      </c>
    </row>
    <row r="1139" spans="1:2" ht="30" customHeight="1" x14ac:dyDescent="0.25">
      <c r="A1139" s="178" t="str">
        <f t="shared" si="34"/>
        <v>00/01/yyyy413</v>
      </c>
      <c r="B1139" s="171">
        <f t="shared" si="35"/>
        <v>413</v>
      </c>
    </row>
    <row r="1140" spans="1:2" ht="30" customHeight="1" x14ac:dyDescent="0.25">
      <c r="A1140" s="178" t="str">
        <f t="shared" si="34"/>
        <v>00/01/yyyy414</v>
      </c>
      <c r="B1140" s="171">
        <f t="shared" si="35"/>
        <v>414</v>
      </c>
    </row>
    <row r="1141" spans="1:2" ht="30" customHeight="1" x14ac:dyDescent="0.25">
      <c r="A1141" s="178" t="str">
        <f t="shared" si="34"/>
        <v>00/01/yyyy415</v>
      </c>
      <c r="B1141" s="171">
        <f t="shared" si="35"/>
        <v>415</v>
      </c>
    </row>
    <row r="1142" spans="1:2" ht="30" customHeight="1" x14ac:dyDescent="0.25">
      <c r="A1142" s="178" t="str">
        <f t="shared" si="34"/>
        <v>00/01/yyyy416</v>
      </c>
      <c r="B1142" s="171">
        <f t="shared" si="35"/>
        <v>416</v>
      </c>
    </row>
    <row r="1143" spans="1:2" ht="30" customHeight="1" x14ac:dyDescent="0.25">
      <c r="A1143" s="178" t="str">
        <f t="shared" si="34"/>
        <v>00/01/yyyy417</v>
      </c>
      <c r="B1143" s="171">
        <f t="shared" si="35"/>
        <v>417</v>
      </c>
    </row>
    <row r="1144" spans="1:2" ht="30" customHeight="1" x14ac:dyDescent="0.25">
      <c r="A1144" s="178" t="str">
        <f t="shared" si="34"/>
        <v>00/01/yyyy418</v>
      </c>
      <c r="B1144" s="171">
        <f t="shared" si="35"/>
        <v>418</v>
      </c>
    </row>
    <row r="1145" spans="1:2" ht="30" customHeight="1" x14ac:dyDescent="0.25">
      <c r="A1145" s="178" t="str">
        <f t="shared" si="34"/>
        <v>00/01/yyyy419</v>
      </c>
      <c r="B1145" s="171">
        <f t="shared" si="35"/>
        <v>419</v>
      </c>
    </row>
    <row r="1146" spans="1:2" ht="30" customHeight="1" x14ac:dyDescent="0.25">
      <c r="A1146" s="178" t="str">
        <f t="shared" si="34"/>
        <v>00/01/yyyy420</v>
      </c>
      <c r="B1146" s="171">
        <f t="shared" si="35"/>
        <v>420</v>
      </c>
    </row>
    <row r="1147" spans="1:2" ht="30" customHeight="1" x14ac:dyDescent="0.25">
      <c r="A1147" s="178" t="str">
        <f t="shared" si="34"/>
        <v>00/01/yyyy421</v>
      </c>
      <c r="B1147" s="171">
        <f t="shared" si="35"/>
        <v>421</v>
      </c>
    </row>
    <row r="1148" spans="1:2" ht="30" customHeight="1" x14ac:dyDescent="0.25">
      <c r="A1148" s="178" t="str">
        <f t="shared" si="34"/>
        <v>00/01/yyyy422</v>
      </c>
      <c r="B1148" s="171">
        <f t="shared" si="35"/>
        <v>422</v>
      </c>
    </row>
    <row r="1149" spans="1:2" ht="30" customHeight="1" x14ac:dyDescent="0.25">
      <c r="A1149" s="178" t="str">
        <f t="shared" si="34"/>
        <v>00/01/yyyy423</v>
      </c>
      <c r="B1149" s="171">
        <f t="shared" si="35"/>
        <v>423</v>
      </c>
    </row>
    <row r="1150" spans="1:2" ht="30" customHeight="1" x14ac:dyDescent="0.25">
      <c r="A1150" s="178" t="str">
        <f t="shared" si="34"/>
        <v>00/01/yyyy424</v>
      </c>
      <c r="B1150" s="171">
        <f t="shared" si="35"/>
        <v>424</v>
      </c>
    </row>
    <row r="1151" spans="1:2" ht="30" customHeight="1" x14ac:dyDescent="0.25">
      <c r="A1151" s="178" t="str">
        <f t="shared" si="34"/>
        <v>00/01/yyyy425</v>
      </c>
      <c r="B1151" s="171">
        <f t="shared" si="35"/>
        <v>425</v>
      </c>
    </row>
    <row r="1152" spans="1:2" ht="30" customHeight="1" x14ac:dyDescent="0.25">
      <c r="A1152" s="178" t="str">
        <f t="shared" si="34"/>
        <v>00/01/yyyy426</v>
      </c>
      <c r="B1152" s="171">
        <f t="shared" si="35"/>
        <v>426</v>
      </c>
    </row>
    <row r="1153" spans="1:2" ht="30" customHeight="1" x14ac:dyDescent="0.25">
      <c r="A1153" s="178" t="str">
        <f t="shared" si="34"/>
        <v>00/01/yyyy427</v>
      </c>
      <c r="B1153" s="171">
        <f t="shared" si="35"/>
        <v>427</v>
      </c>
    </row>
    <row r="1154" spans="1:2" ht="30" customHeight="1" x14ac:dyDescent="0.25">
      <c r="A1154" s="178" t="str">
        <f t="shared" si="34"/>
        <v>00/01/yyyy428</v>
      </c>
      <c r="B1154" s="171">
        <f t="shared" si="35"/>
        <v>428</v>
      </c>
    </row>
    <row r="1155" spans="1:2" ht="30" customHeight="1" x14ac:dyDescent="0.25">
      <c r="A1155" s="178" t="str">
        <f t="shared" ref="A1155:A1218" si="36">CONCATENATE(TEXT($G1155,"dd/mm/yyyy"),$B1155)</f>
        <v>00/01/yyyy429</v>
      </c>
      <c r="B1155" s="171">
        <f t="shared" si="35"/>
        <v>429</v>
      </c>
    </row>
    <row r="1156" spans="1:2" ht="30" customHeight="1" x14ac:dyDescent="0.25">
      <c r="A1156" s="178" t="str">
        <f t="shared" si="36"/>
        <v>00/01/yyyy430</v>
      </c>
      <c r="B1156" s="171">
        <f t="shared" ref="B1156:B1219" si="37">IF($G1156=$G1155,$B1155+1,1)</f>
        <v>430</v>
      </c>
    </row>
    <row r="1157" spans="1:2" ht="30" customHeight="1" x14ac:dyDescent="0.25">
      <c r="A1157" s="178" t="str">
        <f t="shared" si="36"/>
        <v>00/01/yyyy431</v>
      </c>
      <c r="B1157" s="171">
        <f t="shared" si="37"/>
        <v>431</v>
      </c>
    </row>
    <row r="1158" spans="1:2" ht="30" customHeight="1" x14ac:dyDescent="0.25">
      <c r="A1158" s="178" t="str">
        <f t="shared" si="36"/>
        <v>00/01/yyyy432</v>
      </c>
      <c r="B1158" s="171">
        <f t="shared" si="37"/>
        <v>432</v>
      </c>
    </row>
    <row r="1159" spans="1:2" ht="30" customHeight="1" x14ac:dyDescent="0.25">
      <c r="A1159" s="178" t="str">
        <f t="shared" si="36"/>
        <v>00/01/yyyy433</v>
      </c>
      <c r="B1159" s="171">
        <f t="shared" si="37"/>
        <v>433</v>
      </c>
    </row>
    <row r="1160" spans="1:2" ht="30" customHeight="1" x14ac:dyDescent="0.25">
      <c r="A1160" s="178" t="str">
        <f t="shared" si="36"/>
        <v>00/01/yyyy434</v>
      </c>
      <c r="B1160" s="171">
        <f t="shared" si="37"/>
        <v>434</v>
      </c>
    </row>
    <row r="1161" spans="1:2" ht="30" customHeight="1" x14ac:dyDescent="0.25">
      <c r="A1161" s="178" t="str">
        <f t="shared" si="36"/>
        <v>00/01/yyyy435</v>
      </c>
      <c r="B1161" s="171">
        <f t="shared" si="37"/>
        <v>435</v>
      </c>
    </row>
    <row r="1162" spans="1:2" ht="30" customHeight="1" x14ac:dyDescent="0.25">
      <c r="A1162" s="178" t="str">
        <f t="shared" si="36"/>
        <v>00/01/yyyy436</v>
      </c>
      <c r="B1162" s="171">
        <f t="shared" si="37"/>
        <v>436</v>
      </c>
    </row>
    <row r="1163" spans="1:2" ht="30" customHeight="1" x14ac:dyDescent="0.25">
      <c r="A1163" s="178" t="str">
        <f t="shared" si="36"/>
        <v>00/01/yyyy437</v>
      </c>
      <c r="B1163" s="171">
        <f t="shared" si="37"/>
        <v>437</v>
      </c>
    </row>
    <row r="1164" spans="1:2" ht="30" customHeight="1" x14ac:dyDescent="0.25">
      <c r="A1164" s="178" t="str">
        <f t="shared" si="36"/>
        <v>00/01/yyyy438</v>
      </c>
      <c r="B1164" s="171">
        <f t="shared" si="37"/>
        <v>438</v>
      </c>
    </row>
    <row r="1165" spans="1:2" ht="30" customHeight="1" x14ac:dyDescent="0.25">
      <c r="A1165" s="178" t="str">
        <f t="shared" si="36"/>
        <v>00/01/yyyy439</v>
      </c>
      <c r="B1165" s="171">
        <f t="shared" si="37"/>
        <v>439</v>
      </c>
    </row>
    <row r="1166" spans="1:2" ht="30" customHeight="1" x14ac:dyDescent="0.25">
      <c r="A1166" s="178" t="str">
        <f t="shared" si="36"/>
        <v>00/01/yyyy440</v>
      </c>
      <c r="B1166" s="171">
        <f t="shared" si="37"/>
        <v>440</v>
      </c>
    </row>
    <row r="1167" spans="1:2" ht="30" customHeight="1" x14ac:dyDescent="0.25">
      <c r="A1167" s="178" t="str">
        <f t="shared" si="36"/>
        <v>00/01/yyyy441</v>
      </c>
      <c r="B1167" s="171">
        <f t="shared" si="37"/>
        <v>441</v>
      </c>
    </row>
    <row r="1168" spans="1:2" ht="30" customHeight="1" x14ac:dyDescent="0.25">
      <c r="A1168" s="178" t="str">
        <f t="shared" si="36"/>
        <v>00/01/yyyy442</v>
      </c>
      <c r="B1168" s="171">
        <f t="shared" si="37"/>
        <v>442</v>
      </c>
    </row>
    <row r="1169" spans="1:2" ht="30" customHeight="1" x14ac:dyDescent="0.25">
      <c r="A1169" s="178" t="str">
        <f t="shared" si="36"/>
        <v>00/01/yyyy443</v>
      </c>
      <c r="B1169" s="171">
        <f t="shared" si="37"/>
        <v>443</v>
      </c>
    </row>
    <row r="1170" spans="1:2" ht="30" customHeight="1" x14ac:dyDescent="0.25">
      <c r="A1170" s="178" t="str">
        <f t="shared" si="36"/>
        <v>00/01/yyyy444</v>
      </c>
      <c r="B1170" s="171">
        <f t="shared" si="37"/>
        <v>444</v>
      </c>
    </row>
    <row r="1171" spans="1:2" ht="30" customHeight="1" x14ac:dyDescent="0.25">
      <c r="A1171" s="178" t="str">
        <f t="shared" si="36"/>
        <v>00/01/yyyy445</v>
      </c>
      <c r="B1171" s="171">
        <f t="shared" si="37"/>
        <v>445</v>
      </c>
    </row>
    <row r="1172" spans="1:2" ht="30" customHeight="1" x14ac:dyDescent="0.25">
      <c r="A1172" s="178" t="str">
        <f t="shared" si="36"/>
        <v>00/01/yyyy446</v>
      </c>
      <c r="B1172" s="171">
        <f t="shared" si="37"/>
        <v>446</v>
      </c>
    </row>
    <row r="1173" spans="1:2" ht="30" customHeight="1" x14ac:dyDescent="0.25">
      <c r="A1173" s="178" t="str">
        <f t="shared" si="36"/>
        <v>00/01/yyyy447</v>
      </c>
      <c r="B1173" s="171">
        <f t="shared" si="37"/>
        <v>447</v>
      </c>
    </row>
    <row r="1174" spans="1:2" ht="30" customHeight="1" x14ac:dyDescent="0.25">
      <c r="A1174" s="178" t="str">
        <f t="shared" si="36"/>
        <v>00/01/yyyy448</v>
      </c>
      <c r="B1174" s="171">
        <f t="shared" si="37"/>
        <v>448</v>
      </c>
    </row>
    <row r="1175" spans="1:2" ht="30" customHeight="1" x14ac:dyDescent="0.25">
      <c r="A1175" s="178" t="str">
        <f t="shared" si="36"/>
        <v>00/01/yyyy449</v>
      </c>
      <c r="B1175" s="171">
        <f t="shared" si="37"/>
        <v>449</v>
      </c>
    </row>
    <row r="1176" spans="1:2" ht="30" customHeight="1" x14ac:dyDescent="0.25">
      <c r="A1176" s="178" t="str">
        <f t="shared" si="36"/>
        <v>00/01/yyyy450</v>
      </c>
      <c r="B1176" s="171">
        <f t="shared" si="37"/>
        <v>450</v>
      </c>
    </row>
    <row r="1177" spans="1:2" ht="30" customHeight="1" x14ac:dyDescent="0.25">
      <c r="A1177" s="178" t="str">
        <f t="shared" si="36"/>
        <v>00/01/yyyy451</v>
      </c>
      <c r="B1177" s="171">
        <f t="shared" si="37"/>
        <v>451</v>
      </c>
    </row>
    <row r="1178" spans="1:2" ht="30" customHeight="1" x14ac:dyDescent="0.25">
      <c r="A1178" s="178" t="str">
        <f t="shared" si="36"/>
        <v>00/01/yyyy452</v>
      </c>
      <c r="B1178" s="171">
        <f t="shared" si="37"/>
        <v>452</v>
      </c>
    </row>
    <row r="1179" spans="1:2" ht="30" customHeight="1" x14ac:dyDescent="0.25">
      <c r="A1179" s="178" t="str">
        <f t="shared" si="36"/>
        <v>00/01/yyyy453</v>
      </c>
      <c r="B1179" s="171">
        <f t="shared" si="37"/>
        <v>453</v>
      </c>
    </row>
    <row r="1180" spans="1:2" ht="30" customHeight="1" x14ac:dyDescent="0.25">
      <c r="A1180" s="178" t="str">
        <f t="shared" si="36"/>
        <v>00/01/yyyy454</v>
      </c>
      <c r="B1180" s="171">
        <f t="shared" si="37"/>
        <v>454</v>
      </c>
    </row>
    <row r="1181" spans="1:2" ht="30" customHeight="1" x14ac:dyDescent="0.25">
      <c r="A1181" s="178" t="str">
        <f t="shared" si="36"/>
        <v>00/01/yyyy455</v>
      </c>
      <c r="B1181" s="171">
        <f t="shared" si="37"/>
        <v>455</v>
      </c>
    </row>
    <row r="1182" spans="1:2" ht="30" customHeight="1" x14ac:dyDescent="0.25">
      <c r="A1182" s="178" t="str">
        <f t="shared" si="36"/>
        <v>00/01/yyyy456</v>
      </c>
      <c r="B1182" s="171">
        <f t="shared" si="37"/>
        <v>456</v>
      </c>
    </row>
    <row r="1183" spans="1:2" ht="30" customHeight="1" x14ac:dyDescent="0.25">
      <c r="A1183" s="178" t="str">
        <f t="shared" si="36"/>
        <v>00/01/yyyy457</v>
      </c>
      <c r="B1183" s="171">
        <f t="shared" si="37"/>
        <v>457</v>
      </c>
    </row>
    <row r="1184" spans="1:2" ht="30" customHeight="1" x14ac:dyDescent="0.25">
      <c r="A1184" s="178" t="str">
        <f t="shared" si="36"/>
        <v>00/01/yyyy458</v>
      </c>
      <c r="B1184" s="171">
        <f t="shared" si="37"/>
        <v>458</v>
      </c>
    </row>
    <row r="1185" spans="1:2" ht="30" customHeight="1" x14ac:dyDescent="0.25">
      <c r="A1185" s="178" t="str">
        <f t="shared" si="36"/>
        <v>00/01/yyyy459</v>
      </c>
      <c r="B1185" s="171">
        <f t="shared" si="37"/>
        <v>459</v>
      </c>
    </row>
    <row r="1186" spans="1:2" ht="30" customHeight="1" x14ac:dyDescent="0.25">
      <c r="A1186" s="178" t="str">
        <f t="shared" si="36"/>
        <v>00/01/yyyy460</v>
      </c>
      <c r="B1186" s="171">
        <f t="shared" si="37"/>
        <v>460</v>
      </c>
    </row>
    <row r="1187" spans="1:2" ht="30" customHeight="1" x14ac:dyDescent="0.25">
      <c r="A1187" s="178" t="str">
        <f t="shared" si="36"/>
        <v>00/01/yyyy461</v>
      </c>
      <c r="B1187" s="171">
        <f t="shared" si="37"/>
        <v>461</v>
      </c>
    </row>
    <row r="1188" spans="1:2" ht="30" customHeight="1" x14ac:dyDescent="0.25">
      <c r="A1188" s="178" t="str">
        <f t="shared" si="36"/>
        <v>00/01/yyyy462</v>
      </c>
      <c r="B1188" s="171">
        <f t="shared" si="37"/>
        <v>462</v>
      </c>
    </row>
    <row r="1189" spans="1:2" ht="30" customHeight="1" x14ac:dyDescent="0.25">
      <c r="A1189" s="178" t="str">
        <f t="shared" si="36"/>
        <v>00/01/yyyy463</v>
      </c>
      <c r="B1189" s="171">
        <f t="shared" si="37"/>
        <v>463</v>
      </c>
    </row>
    <row r="1190" spans="1:2" ht="30" customHeight="1" x14ac:dyDescent="0.25">
      <c r="A1190" s="178" t="str">
        <f t="shared" si="36"/>
        <v>00/01/yyyy464</v>
      </c>
      <c r="B1190" s="171">
        <f t="shared" si="37"/>
        <v>464</v>
      </c>
    </row>
    <row r="1191" spans="1:2" ht="30" customHeight="1" x14ac:dyDescent="0.25">
      <c r="A1191" s="178" t="str">
        <f t="shared" si="36"/>
        <v>00/01/yyyy465</v>
      </c>
      <c r="B1191" s="171">
        <f t="shared" si="37"/>
        <v>465</v>
      </c>
    </row>
    <row r="1192" spans="1:2" ht="30" customHeight="1" x14ac:dyDescent="0.25">
      <c r="A1192" s="178" t="str">
        <f t="shared" si="36"/>
        <v>00/01/yyyy466</v>
      </c>
      <c r="B1192" s="171">
        <f t="shared" si="37"/>
        <v>466</v>
      </c>
    </row>
    <row r="1193" spans="1:2" ht="30" customHeight="1" x14ac:dyDescent="0.25">
      <c r="A1193" s="178" t="str">
        <f t="shared" si="36"/>
        <v>00/01/yyyy467</v>
      </c>
      <c r="B1193" s="171">
        <f t="shared" si="37"/>
        <v>467</v>
      </c>
    </row>
    <row r="1194" spans="1:2" ht="30" customHeight="1" x14ac:dyDescent="0.25">
      <c r="A1194" s="178" t="str">
        <f t="shared" si="36"/>
        <v>00/01/yyyy468</v>
      </c>
      <c r="B1194" s="171">
        <f t="shared" si="37"/>
        <v>468</v>
      </c>
    </row>
    <row r="1195" spans="1:2" ht="30" customHeight="1" x14ac:dyDescent="0.25">
      <c r="A1195" s="178" t="str">
        <f t="shared" si="36"/>
        <v>00/01/yyyy469</v>
      </c>
      <c r="B1195" s="171">
        <f t="shared" si="37"/>
        <v>469</v>
      </c>
    </row>
    <row r="1196" spans="1:2" ht="30" customHeight="1" x14ac:dyDescent="0.25">
      <c r="A1196" s="178" t="str">
        <f t="shared" si="36"/>
        <v>00/01/yyyy470</v>
      </c>
      <c r="B1196" s="171">
        <f t="shared" si="37"/>
        <v>470</v>
      </c>
    </row>
    <row r="1197" spans="1:2" ht="30" customHeight="1" x14ac:dyDescent="0.25">
      <c r="A1197" s="178" t="str">
        <f t="shared" si="36"/>
        <v>00/01/yyyy471</v>
      </c>
      <c r="B1197" s="171">
        <f t="shared" si="37"/>
        <v>471</v>
      </c>
    </row>
    <row r="1198" spans="1:2" ht="30" customHeight="1" x14ac:dyDescent="0.25">
      <c r="A1198" s="178" t="str">
        <f t="shared" si="36"/>
        <v>00/01/yyyy472</v>
      </c>
      <c r="B1198" s="171">
        <f t="shared" si="37"/>
        <v>472</v>
      </c>
    </row>
    <row r="1199" spans="1:2" ht="30" customHeight="1" x14ac:dyDescent="0.25">
      <c r="A1199" s="178" t="str">
        <f t="shared" si="36"/>
        <v>00/01/yyyy473</v>
      </c>
      <c r="B1199" s="171">
        <f t="shared" si="37"/>
        <v>473</v>
      </c>
    </row>
    <row r="1200" spans="1:2" ht="30" customHeight="1" x14ac:dyDescent="0.25">
      <c r="A1200" s="178" t="str">
        <f t="shared" si="36"/>
        <v>00/01/yyyy474</v>
      </c>
      <c r="B1200" s="171">
        <f t="shared" si="37"/>
        <v>474</v>
      </c>
    </row>
    <row r="1201" spans="1:2" ht="30" customHeight="1" x14ac:dyDescent="0.25">
      <c r="A1201" s="178" t="str">
        <f t="shared" si="36"/>
        <v>00/01/yyyy475</v>
      </c>
      <c r="B1201" s="171">
        <f t="shared" si="37"/>
        <v>475</v>
      </c>
    </row>
    <row r="1202" spans="1:2" ht="30" customHeight="1" x14ac:dyDescent="0.25">
      <c r="A1202" s="178" t="str">
        <f t="shared" si="36"/>
        <v>00/01/yyyy476</v>
      </c>
      <c r="B1202" s="171">
        <f t="shared" si="37"/>
        <v>476</v>
      </c>
    </row>
    <row r="1203" spans="1:2" ht="30" customHeight="1" x14ac:dyDescent="0.25">
      <c r="A1203" s="178" t="str">
        <f t="shared" si="36"/>
        <v>00/01/yyyy477</v>
      </c>
      <c r="B1203" s="171">
        <f t="shared" si="37"/>
        <v>477</v>
      </c>
    </row>
    <row r="1204" spans="1:2" ht="30" customHeight="1" x14ac:dyDescent="0.25">
      <c r="A1204" s="178" t="str">
        <f t="shared" si="36"/>
        <v>00/01/yyyy478</v>
      </c>
      <c r="B1204" s="171">
        <f t="shared" si="37"/>
        <v>478</v>
      </c>
    </row>
    <row r="1205" spans="1:2" ht="30" customHeight="1" x14ac:dyDescent="0.25">
      <c r="A1205" s="178" t="str">
        <f t="shared" si="36"/>
        <v>00/01/yyyy479</v>
      </c>
      <c r="B1205" s="171">
        <f t="shared" si="37"/>
        <v>479</v>
      </c>
    </row>
    <row r="1206" spans="1:2" ht="30" customHeight="1" x14ac:dyDescent="0.25">
      <c r="A1206" s="178" t="str">
        <f t="shared" si="36"/>
        <v>00/01/yyyy480</v>
      </c>
      <c r="B1206" s="171">
        <f t="shared" si="37"/>
        <v>480</v>
      </c>
    </row>
    <row r="1207" spans="1:2" ht="30" customHeight="1" x14ac:dyDescent="0.25">
      <c r="A1207" s="178" t="str">
        <f t="shared" si="36"/>
        <v>00/01/yyyy481</v>
      </c>
      <c r="B1207" s="171">
        <f t="shared" si="37"/>
        <v>481</v>
      </c>
    </row>
    <row r="1208" spans="1:2" ht="30" customHeight="1" x14ac:dyDescent="0.25">
      <c r="A1208" s="178" t="str">
        <f t="shared" si="36"/>
        <v>00/01/yyyy482</v>
      </c>
      <c r="B1208" s="171">
        <f t="shared" si="37"/>
        <v>482</v>
      </c>
    </row>
    <row r="1209" spans="1:2" ht="30" customHeight="1" x14ac:dyDescent="0.25">
      <c r="A1209" s="178" t="str">
        <f t="shared" si="36"/>
        <v>00/01/yyyy483</v>
      </c>
      <c r="B1209" s="171">
        <f t="shared" si="37"/>
        <v>483</v>
      </c>
    </row>
    <row r="1210" spans="1:2" ht="30" customHeight="1" x14ac:dyDescent="0.25">
      <c r="A1210" s="178" t="str">
        <f t="shared" si="36"/>
        <v>00/01/yyyy484</v>
      </c>
      <c r="B1210" s="171">
        <f t="shared" si="37"/>
        <v>484</v>
      </c>
    </row>
    <row r="1211" spans="1:2" ht="30" customHeight="1" x14ac:dyDescent="0.25">
      <c r="A1211" s="178" t="str">
        <f t="shared" si="36"/>
        <v>00/01/yyyy485</v>
      </c>
      <c r="B1211" s="171">
        <f t="shared" si="37"/>
        <v>485</v>
      </c>
    </row>
    <row r="1212" spans="1:2" ht="30" customHeight="1" x14ac:dyDescent="0.25">
      <c r="A1212" s="178" t="str">
        <f t="shared" si="36"/>
        <v>00/01/yyyy486</v>
      </c>
      <c r="B1212" s="171">
        <f t="shared" si="37"/>
        <v>486</v>
      </c>
    </row>
    <row r="1213" spans="1:2" ht="30" customHeight="1" x14ac:dyDescent="0.25">
      <c r="A1213" s="178" t="str">
        <f t="shared" si="36"/>
        <v>00/01/yyyy487</v>
      </c>
      <c r="B1213" s="171">
        <f t="shared" si="37"/>
        <v>487</v>
      </c>
    </row>
    <row r="1214" spans="1:2" ht="30" customHeight="1" x14ac:dyDescent="0.25">
      <c r="A1214" s="178" t="str">
        <f t="shared" si="36"/>
        <v>00/01/yyyy488</v>
      </c>
      <c r="B1214" s="171">
        <f t="shared" si="37"/>
        <v>488</v>
      </c>
    </row>
    <row r="1215" spans="1:2" ht="30" customHeight="1" x14ac:dyDescent="0.25">
      <c r="A1215" s="178" t="str">
        <f t="shared" si="36"/>
        <v>00/01/yyyy489</v>
      </c>
      <c r="B1215" s="171">
        <f t="shared" si="37"/>
        <v>489</v>
      </c>
    </row>
    <row r="1216" spans="1:2" ht="30" customHeight="1" x14ac:dyDescent="0.25">
      <c r="A1216" s="178" t="str">
        <f t="shared" si="36"/>
        <v>00/01/yyyy490</v>
      </c>
      <c r="B1216" s="171">
        <f t="shared" si="37"/>
        <v>490</v>
      </c>
    </row>
    <row r="1217" spans="1:2" ht="30" customHeight="1" x14ac:dyDescent="0.25">
      <c r="A1217" s="178" t="str">
        <f t="shared" si="36"/>
        <v>00/01/yyyy491</v>
      </c>
      <c r="B1217" s="171">
        <f t="shared" si="37"/>
        <v>491</v>
      </c>
    </row>
    <row r="1218" spans="1:2" ht="30" customHeight="1" x14ac:dyDescent="0.25">
      <c r="A1218" s="178" t="str">
        <f t="shared" si="36"/>
        <v>00/01/yyyy492</v>
      </c>
      <c r="B1218" s="171">
        <f t="shared" si="37"/>
        <v>492</v>
      </c>
    </row>
    <row r="1219" spans="1:2" ht="30" customHeight="1" x14ac:dyDescent="0.25">
      <c r="A1219" s="178" t="str">
        <f t="shared" ref="A1219:A1282" si="38">CONCATENATE(TEXT($G1219,"dd/mm/yyyy"),$B1219)</f>
        <v>00/01/yyyy493</v>
      </c>
      <c r="B1219" s="171">
        <f t="shared" si="37"/>
        <v>493</v>
      </c>
    </row>
    <row r="1220" spans="1:2" ht="30" customHeight="1" x14ac:dyDescent="0.25">
      <c r="A1220" s="178" t="str">
        <f t="shared" si="38"/>
        <v>00/01/yyyy494</v>
      </c>
      <c r="B1220" s="171">
        <f t="shared" ref="B1220:B1283" si="39">IF($G1220=$G1219,$B1219+1,1)</f>
        <v>494</v>
      </c>
    </row>
    <row r="1221" spans="1:2" ht="30" customHeight="1" x14ac:dyDescent="0.25">
      <c r="A1221" s="178" t="str">
        <f t="shared" si="38"/>
        <v>00/01/yyyy495</v>
      </c>
      <c r="B1221" s="171">
        <f t="shared" si="39"/>
        <v>495</v>
      </c>
    </row>
    <row r="1222" spans="1:2" ht="30" customHeight="1" x14ac:dyDescent="0.25">
      <c r="A1222" s="178" t="str">
        <f t="shared" si="38"/>
        <v>00/01/yyyy496</v>
      </c>
      <c r="B1222" s="171">
        <f t="shared" si="39"/>
        <v>496</v>
      </c>
    </row>
    <row r="1223" spans="1:2" ht="30" customHeight="1" x14ac:dyDescent="0.25">
      <c r="A1223" s="178" t="str">
        <f t="shared" si="38"/>
        <v>00/01/yyyy497</v>
      </c>
      <c r="B1223" s="171">
        <f t="shared" si="39"/>
        <v>497</v>
      </c>
    </row>
    <row r="1224" spans="1:2" ht="30" customHeight="1" x14ac:dyDescent="0.25">
      <c r="A1224" s="178" t="str">
        <f t="shared" si="38"/>
        <v>00/01/yyyy498</v>
      </c>
      <c r="B1224" s="171">
        <f t="shared" si="39"/>
        <v>498</v>
      </c>
    </row>
    <row r="1225" spans="1:2" ht="30" customHeight="1" x14ac:dyDescent="0.25">
      <c r="A1225" s="178" t="str">
        <f t="shared" si="38"/>
        <v>00/01/yyyy499</v>
      </c>
      <c r="B1225" s="171">
        <f t="shared" si="39"/>
        <v>499</v>
      </c>
    </row>
    <row r="1226" spans="1:2" ht="30" customHeight="1" x14ac:dyDescent="0.25">
      <c r="A1226" s="178" t="str">
        <f t="shared" si="38"/>
        <v>00/01/yyyy500</v>
      </c>
      <c r="B1226" s="171">
        <f t="shared" si="39"/>
        <v>500</v>
      </c>
    </row>
    <row r="1227" spans="1:2" ht="30" customHeight="1" x14ac:dyDescent="0.25">
      <c r="A1227" s="178" t="str">
        <f t="shared" si="38"/>
        <v>00/01/yyyy501</v>
      </c>
      <c r="B1227" s="171">
        <f t="shared" si="39"/>
        <v>501</v>
      </c>
    </row>
    <row r="1228" spans="1:2" ht="30" customHeight="1" x14ac:dyDescent="0.25">
      <c r="A1228" s="178" t="str">
        <f t="shared" si="38"/>
        <v>00/01/yyyy502</v>
      </c>
      <c r="B1228" s="171">
        <f t="shared" si="39"/>
        <v>502</v>
      </c>
    </row>
    <row r="1229" spans="1:2" ht="30" customHeight="1" x14ac:dyDescent="0.25">
      <c r="A1229" s="178" t="str">
        <f t="shared" si="38"/>
        <v>00/01/yyyy503</v>
      </c>
      <c r="B1229" s="171">
        <f t="shared" si="39"/>
        <v>503</v>
      </c>
    </row>
    <row r="1230" spans="1:2" ht="30" customHeight="1" x14ac:dyDescent="0.25">
      <c r="A1230" s="178" t="str">
        <f t="shared" si="38"/>
        <v>00/01/yyyy504</v>
      </c>
      <c r="B1230" s="171">
        <f t="shared" si="39"/>
        <v>504</v>
      </c>
    </row>
    <row r="1231" spans="1:2" ht="30" customHeight="1" x14ac:dyDescent="0.25">
      <c r="A1231" s="178" t="str">
        <f t="shared" si="38"/>
        <v>00/01/yyyy505</v>
      </c>
      <c r="B1231" s="171">
        <f t="shared" si="39"/>
        <v>505</v>
      </c>
    </row>
    <row r="1232" spans="1:2" ht="30" customHeight="1" x14ac:dyDescent="0.25">
      <c r="A1232" s="178" t="str">
        <f t="shared" si="38"/>
        <v>00/01/yyyy506</v>
      </c>
      <c r="B1232" s="171">
        <f t="shared" si="39"/>
        <v>506</v>
      </c>
    </row>
    <row r="1233" spans="1:2" ht="30" customHeight="1" x14ac:dyDescent="0.25">
      <c r="A1233" s="178" t="str">
        <f t="shared" si="38"/>
        <v>00/01/yyyy507</v>
      </c>
      <c r="B1233" s="171">
        <f t="shared" si="39"/>
        <v>507</v>
      </c>
    </row>
    <row r="1234" spans="1:2" ht="30" customHeight="1" x14ac:dyDescent="0.25">
      <c r="A1234" s="178" t="str">
        <f t="shared" si="38"/>
        <v>00/01/yyyy508</v>
      </c>
      <c r="B1234" s="171">
        <f t="shared" si="39"/>
        <v>508</v>
      </c>
    </row>
    <row r="1235" spans="1:2" ht="30" customHeight="1" x14ac:dyDescent="0.25">
      <c r="A1235" s="178" t="str">
        <f t="shared" si="38"/>
        <v>00/01/yyyy509</v>
      </c>
      <c r="B1235" s="171">
        <f t="shared" si="39"/>
        <v>509</v>
      </c>
    </row>
    <row r="1236" spans="1:2" ht="30" customHeight="1" x14ac:dyDescent="0.25">
      <c r="A1236" s="178" t="str">
        <f t="shared" si="38"/>
        <v>00/01/yyyy510</v>
      </c>
      <c r="B1236" s="171">
        <f t="shared" si="39"/>
        <v>510</v>
      </c>
    </row>
    <row r="1237" spans="1:2" ht="30" customHeight="1" x14ac:dyDescent="0.25">
      <c r="A1237" s="178" t="str">
        <f t="shared" si="38"/>
        <v>00/01/yyyy511</v>
      </c>
      <c r="B1237" s="171">
        <f t="shared" si="39"/>
        <v>511</v>
      </c>
    </row>
    <row r="1238" spans="1:2" ht="30" customHeight="1" x14ac:dyDescent="0.25">
      <c r="A1238" s="178" t="str">
        <f t="shared" si="38"/>
        <v>00/01/yyyy512</v>
      </c>
      <c r="B1238" s="171">
        <f t="shared" si="39"/>
        <v>512</v>
      </c>
    </row>
    <row r="1239" spans="1:2" ht="30" customHeight="1" x14ac:dyDescent="0.25">
      <c r="A1239" s="178" t="str">
        <f t="shared" si="38"/>
        <v>00/01/yyyy513</v>
      </c>
      <c r="B1239" s="171">
        <f t="shared" si="39"/>
        <v>513</v>
      </c>
    </row>
    <row r="1240" spans="1:2" ht="30" customHeight="1" x14ac:dyDescent="0.25">
      <c r="A1240" s="178" t="str">
        <f t="shared" si="38"/>
        <v>00/01/yyyy514</v>
      </c>
      <c r="B1240" s="171">
        <f t="shared" si="39"/>
        <v>514</v>
      </c>
    </row>
    <row r="1241" spans="1:2" ht="30" customHeight="1" x14ac:dyDescent="0.25">
      <c r="A1241" s="178" t="str">
        <f t="shared" si="38"/>
        <v>00/01/yyyy515</v>
      </c>
      <c r="B1241" s="171">
        <f t="shared" si="39"/>
        <v>515</v>
      </c>
    </row>
    <row r="1242" spans="1:2" ht="30" customHeight="1" x14ac:dyDescent="0.25">
      <c r="A1242" s="178" t="str">
        <f t="shared" si="38"/>
        <v>00/01/yyyy516</v>
      </c>
      <c r="B1242" s="171">
        <f t="shared" si="39"/>
        <v>516</v>
      </c>
    </row>
    <row r="1243" spans="1:2" ht="30" customHeight="1" x14ac:dyDescent="0.25">
      <c r="A1243" s="178" t="str">
        <f t="shared" si="38"/>
        <v>00/01/yyyy517</v>
      </c>
      <c r="B1243" s="171">
        <f t="shared" si="39"/>
        <v>517</v>
      </c>
    </row>
    <row r="1244" spans="1:2" ht="30" customHeight="1" x14ac:dyDescent="0.25">
      <c r="A1244" s="178" t="str">
        <f t="shared" si="38"/>
        <v>00/01/yyyy518</v>
      </c>
      <c r="B1244" s="171">
        <f t="shared" si="39"/>
        <v>518</v>
      </c>
    </row>
    <row r="1245" spans="1:2" ht="30" customHeight="1" x14ac:dyDescent="0.25">
      <c r="A1245" s="178" t="str">
        <f t="shared" si="38"/>
        <v>00/01/yyyy519</v>
      </c>
      <c r="B1245" s="171">
        <f t="shared" si="39"/>
        <v>519</v>
      </c>
    </row>
    <row r="1246" spans="1:2" ht="30" customHeight="1" x14ac:dyDescent="0.25">
      <c r="A1246" s="178" t="str">
        <f t="shared" si="38"/>
        <v>00/01/yyyy520</v>
      </c>
      <c r="B1246" s="171">
        <f t="shared" si="39"/>
        <v>520</v>
      </c>
    </row>
    <row r="1247" spans="1:2" ht="30" customHeight="1" x14ac:dyDescent="0.25">
      <c r="A1247" s="178" t="str">
        <f t="shared" si="38"/>
        <v>00/01/yyyy521</v>
      </c>
      <c r="B1247" s="171">
        <f t="shared" si="39"/>
        <v>521</v>
      </c>
    </row>
    <row r="1248" spans="1:2" ht="30" customHeight="1" x14ac:dyDescent="0.25">
      <c r="A1248" s="178" t="str">
        <f t="shared" si="38"/>
        <v>00/01/yyyy522</v>
      </c>
      <c r="B1248" s="171">
        <f t="shared" si="39"/>
        <v>522</v>
      </c>
    </row>
    <row r="1249" spans="1:2" ht="30" customHeight="1" x14ac:dyDescent="0.25">
      <c r="A1249" s="178" t="str">
        <f t="shared" si="38"/>
        <v>00/01/yyyy523</v>
      </c>
      <c r="B1249" s="171">
        <f t="shared" si="39"/>
        <v>523</v>
      </c>
    </row>
    <row r="1250" spans="1:2" ht="30" customHeight="1" x14ac:dyDescent="0.25">
      <c r="A1250" s="178" t="str">
        <f t="shared" si="38"/>
        <v>00/01/yyyy524</v>
      </c>
      <c r="B1250" s="171">
        <f t="shared" si="39"/>
        <v>524</v>
      </c>
    </row>
    <row r="1251" spans="1:2" ht="30" customHeight="1" x14ac:dyDescent="0.25">
      <c r="A1251" s="178" t="str">
        <f t="shared" si="38"/>
        <v>00/01/yyyy525</v>
      </c>
      <c r="B1251" s="171">
        <f t="shared" si="39"/>
        <v>525</v>
      </c>
    </row>
    <row r="1252" spans="1:2" ht="30" customHeight="1" x14ac:dyDescent="0.25">
      <c r="A1252" s="178" t="str">
        <f t="shared" si="38"/>
        <v>00/01/yyyy526</v>
      </c>
      <c r="B1252" s="171">
        <f t="shared" si="39"/>
        <v>526</v>
      </c>
    </row>
    <row r="1253" spans="1:2" ht="30" customHeight="1" x14ac:dyDescent="0.25">
      <c r="A1253" s="178" t="str">
        <f t="shared" si="38"/>
        <v>00/01/yyyy527</v>
      </c>
      <c r="B1253" s="171">
        <f t="shared" si="39"/>
        <v>527</v>
      </c>
    </row>
    <row r="1254" spans="1:2" ht="30" customHeight="1" x14ac:dyDescent="0.25">
      <c r="A1254" s="178" t="str">
        <f t="shared" si="38"/>
        <v>00/01/yyyy528</v>
      </c>
      <c r="B1254" s="171">
        <f t="shared" si="39"/>
        <v>528</v>
      </c>
    </row>
    <row r="1255" spans="1:2" ht="30" customHeight="1" x14ac:dyDescent="0.25">
      <c r="A1255" s="178" t="str">
        <f t="shared" si="38"/>
        <v>00/01/yyyy529</v>
      </c>
      <c r="B1255" s="171">
        <f t="shared" si="39"/>
        <v>529</v>
      </c>
    </row>
    <row r="1256" spans="1:2" ht="30" customHeight="1" x14ac:dyDescent="0.25">
      <c r="A1256" s="178" t="str">
        <f t="shared" si="38"/>
        <v>00/01/yyyy530</v>
      </c>
      <c r="B1256" s="171">
        <f t="shared" si="39"/>
        <v>530</v>
      </c>
    </row>
    <row r="1257" spans="1:2" ht="30" customHeight="1" x14ac:dyDescent="0.25">
      <c r="A1257" s="178" t="str">
        <f t="shared" si="38"/>
        <v>00/01/yyyy531</v>
      </c>
      <c r="B1257" s="171">
        <f t="shared" si="39"/>
        <v>531</v>
      </c>
    </row>
    <row r="1258" spans="1:2" ht="30" customHeight="1" x14ac:dyDescent="0.25">
      <c r="A1258" s="178" t="str">
        <f t="shared" si="38"/>
        <v>00/01/yyyy532</v>
      </c>
      <c r="B1258" s="171">
        <f t="shared" si="39"/>
        <v>532</v>
      </c>
    </row>
    <row r="1259" spans="1:2" ht="30" customHeight="1" x14ac:dyDescent="0.25">
      <c r="A1259" s="178" t="str">
        <f t="shared" si="38"/>
        <v>00/01/yyyy533</v>
      </c>
      <c r="B1259" s="171">
        <f t="shared" si="39"/>
        <v>533</v>
      </c>
    </row>
    <row r="1260" spans="1:2" ht="30" customHeight="1" x14ac:dyDescent="0.25">
      <c r="A1260" s="178" t="str">
        <f t="shared" si="38"/>
        <v>00/01/yyyy534</v>
      </c>
      <c r="B1260" s="171">
        <f t="shared" si="39"/>
        <v>534</v>
      </c>
    </row>
    <row r="1261" spans="1:2" ht="30" customHeight="1" x14ac:dyDescent="0.25">
      <c r="A1261" s="178" t="str">
        <f t="shared" si="38"/>
        <v>00/01/yyyy535</v>
      </c>
      <c r="B1261" s="171">
        <f t="shared" si="39"/>
        <v>535</v>
      </c>
    </row>
    <row r="1262" spans="1:2" ht="30" customHeight="1" x14ac:dyDescent="0.25">
      <c r="A1262" s="178" t="str">
        <f t="shared" si="38"/>
        <v>00/01/yyyy536</v>
      </c>
      <c r="B1262" s="171">
        <f t="shared" si="39"/>
        <v>536</v>
      </c>
    </row>
    <row r="1263" spans="1:2" ht="30" customHeight="1" x14ac:dyDescent="0.25">
      <c r="A1263" s="178" t="str">
        <f t="shared" si="38"/>
        <v>00/01/yyyy537</v>
      </c>
      <c r="B1263" s="171">
        <f t="shared" si="39"/>
        <v>537</v>
      </c>
    </row>
    <row r="1264" spans="1:2" ht="30" customHeight="1" x14ac:dyDescent="0.25">
      <c r="A1264" s="178" t="str">
        <f t="shared" si="38"/>
        <v>00/01/yyyy538</v>
      </c>
      <c r="B1264" s="171">
        <f t="shared" si="39"/>
        <v>538</v>
      </c>
    </row>
    <row r="1265" spans="1:2" ht="30" customHeight="1" x14ac:dyDescent="0.25">
      <c r="A1265" s="178" t="str">
        <f t="shared" si="38"/>
        <v>00/01/yyyy539</v>
      </c>
      <c r="B1265" s="171">
        <f t="shared" si="39"/>
        <v>539</v>
      </c>
    </row>
    <row r="1266" spans="1:2" ht="30" customHeight="1" x14ac:dyDescent="0.25">
      <c r="A1266" s="178" t="str">
        <f t="shared" si="38"/>
        <v>00/01/yyyy540</v>
      </c>
      <c r="B1266" s="171">
        <f t="shared" si="39"/>
        <v>540</v>
      </c>
    </row>
    <row r="1267" spans="1:2" ht="30" customHeight="1" x14ac:dyDescent="0.25">
      <c r="A1267" s="178" t="str">
        <f t="shared" si="38"/>
        <v>00/01/yyyy541</v>
      </c>
      <c r="B1267" s="171">
        <f t="shared" si="39"/>
        <v>541</v>
      </c>
    </row>
    <row r="1268" spans="1:2" ht="30" customHeight="1" x14ac:dyDescent="0.25">
      <c r="A1268" s="178" t="str">
        <f t="shared" si="38"/>
        <v>00/01/yyyy542</v>
      </c>
      <c r="B1268" s="171">
        <f t="shared" si="39"/>
        <v>542</v>
      </c>
    </row>
    <row r="1269" spans="1:2" ht="30" customHeight="1" x14ac:dyDescent="0.25">
      <c r="A1269" s="178" t="str">
        <f t="shared" si="38"/>
        <v>00/01/yyyy543</v>
      </c>
      <c r="B1269" s="171">
        <f t="shared" si="39"/>
        <v>543</v>
      </c>
    </row>
    <row r="1270" spans="1:2" ht="30" customHeight="1" x14ac:dyDescent="0.25">
      <c r="A1270" s="178" t="str">
        <f t="shared" si="38"/>
        <v>00/01/yyyy544</v>
      </c>
      <c r="B1270" s="171">
        <f t="shared" si="39"/>
        <v>544</v>
      </c>
    </row>
    <row r="1271" spans="1:2" ht="30" customHeight="1" x14ac:dyDescent="0.25">
      <c r="A1271" s="178" t="str">
        <f t="shared" si="38"/>
        <v>00/01/yyyy545</v>
      </c>
      <c r="B1271" s="171">
        <f t="shared" si="39"/>
        <v>545</v>
      </c>
    </row>
    <row r="1272" spans="1:2" ht="30" customHeight="1" x14ac:dyDescent="0.25">
      <c r="A1272" s="178" t="str">
        <f t="shared" si="38"/>
        <v>00/01/yyyy546</v>
      </c>
      <c r="B1272" s="171">
        <f t="shared" si="39"/>
        <v>546</v>
      </c>
    </row>
    <row r="1273" spans="1:2" ht="30" customHeight="1" x14ac:dyDescent="0.25">
      <c r="A1273" s="178" t="str">
        <f t="shared" si="38"/>
        <v>00/01/yyyy547</v>
      </c>
      <c r="B1273" s="171">
        <f t="shared" si="39"/>
        <v>547</v>
      </c>
    </row>
    <row r="1274" spans="1:2" ht="30" customHeight="1" x14ac:dyDescent="0.25">
      <c r="A1274" s="178" t="str">
        <f t="shared" si="38"/>
        <v>00/01/yyyy548</v>
      </c>
      <c r="B1274" s="171">
        <f t="shared" si="39"/>
        <v>548</v>
      </c>
    </row>
    <row r="1275" spans="1:2" ht="30" customHeight="1" x14ac:dyDescent="0.25">
      <c r="A1275" s="178" t="str">
        <f t="shared" si="38"/>
        <v>00/01/yyyy549</v>
      </c>
      <c r="B1275" s="171">
        <f t="shared" si="39"/>
        <v>549</v>
      </c>
    </row>
    <row r="1276" spans="1:2" ht="30" customHeight="1" x14ac:dyDescent="0.25">
      <c r="A1276" s="178" t="str">
        <f t="shared" si="38"/>
        <v>00/01/yyyy550</v>
      </c>
      <c r="B1276" s="171">
        <f t="shared" si="39"/>
        <v>550</v>
      </c>
    </row>
    <row r="1277" spans="1:2" ht="30" customHeight="1" x14ac:dyDescent="0.25">
      <c r="A1277" s="178" t="str">
        <f t="shared" si="38"/>
        <v>00/01/yyyy551</v>
      </c>
      <c r="B1277" s="171">
        <f t="shared" si="39"/>
        <v>551</v>
      </c>
    </row>
    <row r="1278" spans="1:2" ht="30" customHeight="1" x14ac:dyDescent="0.25">
      <c r="A1278" s="178" t="str">
        <f t="shared" si="38"/>
        <v>00/01/yyyy552</v>
      </c>
      <c r="B1278" s="171">
        <f t="shared" si="39"/>
        <v>552</v>
      </c>
    </row>
    <row r="1279" spans="1:2" ht="30" customHeight="1" x14ac:dyDescent="0.25">
      <c r="A1279" s="178" t="str">
        <f t="shared" si="38"/>
        <v>00/01/yyyy553</v>
      </c>
      <c r="B1279" s="171">
        <f t="shared" si="39"/>
        <v>553</v>
      </c>
    </row>
    <row r="1280" spans="1:2" ht="30" customHeight="1" x14ac:dyDescent="0.25">
      <c r="A1280" s="178" t="str">
        <f t="shared" si="38"/>
        <v>00/01/yyyy554</v>
      </c>
      <c r="B1280" s="171">
        <f t="shared" si="39"/>
        <v>554</v>
      </c>
    </row>
    <row r="1281" spans="1:2" ht="30" customHeight="1" x14ac:dyDescent="0.25">
      <c r="A1281" s="178" t="str">
        <f t="shared" si="38"/>
        <v>00/01/yyyy555</v>
      </c>
      <c r="B1281" s="171">
        <f t="shared" si="39"/>
        <v>555</v>
      </c>
    </row>
    <row r="1282" spans="1:2" ht="30" customHeight="1" x14ac:dyDescent="0.25">
      <c r="A1282" s="178" t="str">
        <f t="shared" si="38"/>
        <v>00/01/yyyy556</v>
      </c>
      <c r="B1282" s="171">
        <f t="shared" si="39"/>
        <v>556</v>
      </c>
    </row>
    <row r="1283" spans="1:2" ht="30" customHeight="1" x14ac:dyDescent="0.25">
      <c r="A1283" s="178" t="str">
        <f t="shared" ref="A1283:A1346" si="40">CONCATENATE(TEXT($G1283,"dd/mm/yyyy"),$B1283)</f>
        <v>00/01/yyyy557</v>
      </c>
      <c r="B1283" s="171">
        <f t="shared" si="39"/>
        <v>557</v>
      </c>
    </row>
    <row r="1284" spans="1:2" ht="30" customHeight="1" x14ac:dyDescent="0.25">
      <c r="A1284" s="178" t="str">
        <f t="shared" si="40"/>
        <v>00/01/yyyy558</v>
      </c>
      <c r="B1284" s="171">
        <f t="shared" ref="B1284:B1347" si="41">IF($G1284=$G1283,$B1283+1,1)</f>
        <v>558</v>
      </c>
    </row>
    <row r="1285" spans="1:2" ht="30" customHeight="1" x14ac:dyDescent="0.25">
      <c r="A1285" s="178" t="str">
        <f t="shared" si="40"/>
        <v>00/01/yyyy559</v>
      </c>
      <c r="B1285" s="171">
        <f t="shared" si="41"/>
        <v>559</v>
      </c>
    </row>
    <row r="1286" spans="1:2" ht="30" customHeight="1" x14ac:dyDescent="0.25">
      <c r="A1286" s="178" t="str">
        <f t="shared" si="40"/>
        <v>00/01/yyyy560</v>
      </c>
      <c r="B1286" s="171">
        <f t="shared" si="41"/>
        <v>560</v>
      </c>
    </row>
    <row r="1287" spans="1:2" ht="30" customHeight="1" x14ac:dyDescent="0.25">
      <c r="A1287" s="178" t="str">
        <f t="shared" si="40"/>
        <v>00/01/yyyy561</v>
      </c>
      <c r="B1287" s="171">
        <f t="shared" si="41"/>
        <v>561</v>
      </c>
    </row>
    <row r="1288" spans="1:2" ht="30" customHeight="1" x14ac:dyDescent="0.25">
      <c r="A1288" s="178" t="str">
        <f t="shared" si="40"/>
        <v>00/01/yyyy562</v>
      </c>
      <c r="B1288" s="171">
        <f t="shared" si="41"/>
        <v>562</v>
      </c>
    </row>
    <row r="1289" spans="1:2" ht="30" customHeight="1" x14ac:dyDescent="0.25">
      <c r="A1289" s="178" t="str">
        <f t="shared" si="40"/>
        <v>00/01/yyyy563</v>
      </c>
      <c r="B1289" s="171">
        <f t="shared" si="41"/>
        <v>563</v>
      </c>
    </row>
    <row r="1290" spans="1:2" ht="30" customHeight="1" x14ac:dyDescent="0.25">
      <c r="A1290" s="178" t="str">
        <f t="shared" si="40"/>
        <v>00/01/yyyy564</v>
      </c>
      <c r="B1290" s="171">
        <f t="shared" si="41"/>
        <v>564</v>
      </c>
    </row>
    <row r="1291" spans="1:2" ht="30" customHeight="1" x14ac:dyDescent="0.25">
      <c r="A1291" s="178" t="str">
        <f t="shared" si="40"/>
        <v>00/01/yyyy565</v>
      </c>
      <c r="B1291" s="171">
        <f t="shared" si="41"/>
        <v>565</v>
      </c>
    </row>
    <row r="1292" spans="1:2" ht="30" customHeight="1" x14ac:dyDescent="0.25">
      <c r="A1292" s="178" t="str">
        <f t="shared" si="40"/>
        <v>00/01/yyyy566</v>
      </c>
      <c r="B1292" s="171">
        <f t="shared" si="41"/>
        <v>566</v>
      </c>
    </row>
    <row r="1293" spans="1:2" ht="30" customHeight="1" x14ac:dyDescent="0.25">
      <c r="A1293" s="178" t="str">
        <f t="shared" si="40"/>
        <v>00/01/yyyy567</v>
      </c>
      <c r="B1293" s="171">
        <f t="shared" si="41"/>
        <v>567</v>
      </c>
    </row>
    <row r="1294" spans="1:2" ht="30" customHeight="1" x14ac:dyDescent="0.25">
      <c r="A1294" s="178" t="str">
        <f t="shared" si="40"/>
        <v>00/01/yyyy568</v>
      </c>
      <c r="B1294" s="171">
        <f t="shared" si="41"/>
        <v>568</v>
      </c>
    </row>
    <row r="1295" spans="1:2" ht="30" customHeight="1" x14ac:dyDescent="0.25">
      <c r="A1295" s="178" t="str">
        <f t="shared" si="40"/>
        <v>00/01/yyyy569</v>
      </c>
      <c r="B1295" s="171">
        <f t="shared" si="41"/>
        <v>569</v>
      </c>
    </row>
    <row r="1296" spans="1:2" ht="30" customHeight="1" x14ac:dyDescent="0.25">
      <c r="A1296" s="178" t="str">
        <f t="shared" si="40"/>
        <v>00/01/yyyy570</v>
      </c>
      <c r="B1296" s="171">
        <f t="shared" si="41"/>
        <v>570</v>
      </c>
    </row>
    <row r="1297" spans="1:2" ht="30" customHeight="1" x14ac:dyDescent="0.25">
      <c r="A1297" s="178" t="str">
        <f t="shared" si="40"/>
        <v>00/01/yyyy571</v>
      </c>
      <c r="B1297" s="171">
        <f t="shared" si="41"/>
        <v>571</v>
      </c>
    </row>
    <row r="1298" spans="1:2" ht="30" customHeight="1" x14ac:dyDescent="0.25">
      <c r="A1298" s="178" t="str">
        <f t="shared" si="40"/>
        <v>00/01/yyyy572</v>
      </c>
      <c r="B1298" s="171">
        <f t="shared" si="41"/>
        <v>572</v>
      </c>
    </row>
    <row r="1299" spans="1:2" ht="30" customHeight="1" x14ac:dyDescent="0.25">
      <c r="A1299" s="178" t="str">
        <f t="shared" si="40"/>
        <v>00/01/yyyy573</v>
      </c>
      <c r="B1299" s="171">
        <f t="shared" si="41"/>
        <v>573</v>
      </c>
    </row>
    <row r="1300" spans="1:2" ht="30" customHeight="1" x14ac:dyDescent="0.25">
      <c r="A1300" s="178" t="str">
        <f t="shared" si="40"/>
        <v>00/01/yyyy574</v>
      </c>
      <c r="B1300" s="171">
        <f t="shared" si="41"/>
        <v>574</v>
      </c>
    </row>
    <row r="1301" spans="1:2" ht="30" customHeight="1" x14ac:dyDescent="0.25">
      <c r="A1301" s="178" t="str">
        <f t="shared" si="40"/>
        <v>00/01/yyyy575</v>
      </c>
      <c r="B1301" s="171">
        <f t="shared" si="41"/>
        <v>575</v>
      </c>
    </row>
    <row r="1302" spans="1:2" ht="30" customHeight="1" x14ac:dyDescent="0.25">
      <c r="A1302" s="178" t="str">
        <f t="shared" si="40"/>
        <v>00/01/yyyy576</v>
      </c>
      <c r="B1302" s="171">
        <f t="shared" si="41"/>
        <v>576</v>
      </c>
    </row>
    <row r="1303" spans="1:2" ht="30" customHeight="1" x14ac:dyDescent="0.25">
      <c r="A1303" s="178" t="str">
        <f t="shared" si="40"/>
        <v>00/01/yyyy577</v>
      </c>
      <c r="B1303" s="171">
        <f t="shared" si="41"/>
        <v>577</v>
      </c>
    </row>
    <row r="1304" spans="1:2" ht="30" customHeight="1" x14ac:dyDescent="0.25">
      <c r="A1304" s="178" t="str">
        <f t="shared" si="40"/>
        <v>00/01/yyyy578</v>
      </c>
      <c r="B1304" s="171">
        <f t="shared" si="41"/>
        <v>578</v>
      </c>
    </row>
    <row r="1305" spans="1:2" ht="30" customHeight="1" x14ac:dyDescent="0.25">
      <c r="A1305" s="178" t="str">
        <f t="shared" si="40"/>
        <v>00/01/yyyy579</v>
      </c>
      <c r="B1305" s="171">
        <f t="shared" si="41"/>
        <v>579</v>
      </c>
    </row>
    <row r="1306" spans="1:2" ht="30" customHeight="1" x14ac:dyDescent="0.25">
      <c r="A1306" s="178" t="str">
        <f t="shared" si="40"/>
        <v>00/01/yyyy580</v>
      </c>
      <c r="B1306" s="171">
        <f t="shared" si="41"/>
        <v>580</v>
      </c>
    </row>
    <row r="1307" spans="1:2" ht="30" customHeight="1" x14ac:dyDescent="0.25">
      <c r="A1307" s="178" t="str">
        <f t="shared" si="40"/>
        <v>00/01/yyyy581</v>
      </c>
      <c r="B1307" s="171">
        <f t="shared" si="41"/>
        <v>581</v>
      </c>
    </row>
    <row r="1308" spans="1:2" ht="30" customHeight="1" x14ac:dyDescent="0.25">
      <c r="A1308" s="178" t="str">
        <f t="shared" si="40"/>
        <v>00/01/yyyy582</v>
      </c>
      <c r="B1308" s="171">
        <f t="shared" si="41"/>
        <v>582</v>
      </c>
    </row>
    <row r="1309" spans="1:2" ht="30" customHeight="1" x14ac:dyDescent="0.25">
      <c r="A1309" s="178" t="str">
        <f t="shared" si="40"/>
        <v>00/01/yyyy583</v>
      </c>
      <c r="B1309" s="171">
        <f t="shared" si="41"/>
        <v>583</v>
      </c>
    </row>
    <row r="1310" spans="1:2" ht="30" customHeight="1" x14ac:dyDescent="0.25">
      <c r="A1310" s="178" t="str">
        <f t="shared" si="40"/>
        <v>00/01/yyyy584</v>
      </c>
      <c r="B1310" s="171">
        <f t="shared" si="41"/>
        <v>584</v>
      </c>
    </row>
    <row r="1311" spans="1:2" ht="30" customHeight="1" x14ac:dyDescent="0.25">
      <c r="A1311" s="178" t="str">
        <f t="shared" si="40"/>
        <v>00/01/yyyy585</v>
      </c>
      <c r="B1311" s="171">
        <f t="shared" si="41"/>
        <v>585</v>
      </c>
    </row>
    <row r="1312" spans="1:2" ht="30" customHeight="1" x14ac:dyDescent="0.25">
      <c r="A1312" s="178" t="str">
        <f t="shared" si="40"/>
        <v>00/01/yyyy586</v>
      </c>
      <c r="B1312" s="171">
        <f t="shared" si="41"/>
        <v>586</v>
      </c>
    </row>
    <row r="1313" spans="1:2" ht="30" customHeight="1" x14ac:dyDescent="0.25">
      <c r="A1313" s="178" t="str">
        <f t="shared" si="40"/>
        <v>00/01/yyyy587</v>
      </c>
      <c r="B1313" s="171">
        <f t="shared" si="41"/>
        <v>587</v>
      </c>
    </row>
    <row r="1314" spans="1:2" ht="30" customHeight="1" x14ac:dyDescent="0.25">
      <c r="A1314" s="178" t="str">
        <f t="shared" si="40"/>
        <v>00/01/yyyy588</v>
      </c>
      <c r="B1314" s="171">
        <f t="shared" si="41"/>
        <v>588</v>
      </c>
    </row>
    <row r="1315" spans="1:2" ht="30" customHeight="1" x14ac:dyDescent="0.25">
      <c r="A1315" s="178" t="str">
        <f t="shared" si="40"/>
        <v>00/01/yyyy589</v>
      </c>
      <c r="B1315" s="171">
        <f t="shared" si="41"/>
        <v>589</v>
      </c>
    </row>
    <row r="1316" spans="1:2" ht="30" customHeight="1" x14ac:dyDescent="0.25">
      <c r="A1316" s="178" t="str">
        <f t="shared" si="40"/>
        <v>00/01/yyyy590</v>
      </c>
      <c r="B1316" s="171">
        <f t="shared" si="41"/>
        <v>590</v>
      </c>
    </row>
    <row r="1317" spans="1:2" ht="30" customHeight="1" x14ac:dyDescent="0.25">
      <c r="A1317" s="178" t="str">
        <f t="shared" si="40"/>
        <v>00/01/yyyy591</v>
      </c>
      <c r="B1317" s="171">
        <f t="shared" si="41"/>
        <v>591</v>
      </c>
    </row>
    <row r="1318" spans="1:2" ht="30" customHeight="1" x14ac:dyDescent="0.25">
      <c r="A1318" s="178" t="str">
        <f t="shared" si="40"/>
        <v>00/01/yyyy592</v>
      </c>
      <c r="B1318" s="171">
        <f t="shared" si="41"/>
        <v>592</v>
      </c>
    </row>
    <row r="1319" spans="1:2" ht="30" customHeight="1" x14ac:dyDescent="0.25">
      <c r="A1319" s="178" t="str">
        <f t="shared" si="40"/>
        <v>00/01/yyyy593</v>
      </c>
      <c r="B1319" s="171">
        <f t="shared" si="41"/>
        <v>593</v>
      </c>
    </row>
    <row r="1320" spans="1:2" ht="30" customHeight="1" x14ac:dyDescent="0.25">
      <c r="A1320" s="178" t="str">
        <f t="shared" si="40"/>
        <v>00/01/yyyy594</v>
      </c>
      <c r="B1320" s="171">
        <f t="shared" si="41"/>
        <v>594</v>
      </c>
    </row>
    <row r="1321" spans="1:2" ht="30" customHeight="1" x14ac:dyDescent="0.25">
      <c r="A1321" s="178" t="str">
        <f t="shared" si="40"/>
        <v>00/01/yyyy595</v>
      </c>
      <c r="B1321" s="171">
        <f t="shared" si="41"/>
        <v>595</v>
      </c>
    </row>
    <row r="1322" spans="1:2" ht="30" customHeight="1" x14ac:dyDescent="0.25">
      <c r="A1322" s="178" t="str">
        <f t="shared" si="40"/>
        <v>00/01/yyyy596</v>
      </c>
      <c r="B1322" s="171">
        <f t="shared" si="41"/>
        <v>596</v>
      </c>
    </row>
    <row r="1323" spans="1:2" ht="30" customHeight="1" x14ac:dyDescent="0.25">
      <c r="A1323" s="178" t="str">
        <f t="shared" si="40"/>
        <v>00/01/yyyy597</v>
      </c>
      <c r="B1323" s="171">
        <f t="shared" si="41"/>
        <v>597</v>
      </c>
    </row>
    <row r="1324" spans="1:2" ht="30" customHeight="1" x14ac:dyDescent="0.25">
      <c r="A1324" s="178" t="str">
        <f t="shared" si="40"/>
        <v>00/01/yyyy598</v>
      </c>
      <c r="B1324" s="171">
        <f t="shared" si="41"/>
        <v>598</v>
      </c>
    </row>
    <row r="1325" spans="1:2" ht="30" customHeight="1" x14ac:dyDescent="0.25">
      <c r="A1325" s="178" t="str">
        <f t="shared" si="40"/>
        <v>00/01/yyyy599</v>
      </c>
      <c r="B1325" s="171">
        <f t="shared" si="41"/>
        <v>599</v>
      </c>
    </row>
    <row r="1326" spans="1:2" ht="30" customHeight="1" x14ac:dyDescent="0.25">
      <c r="A1326" s="178" t="str">
        <f t="shared" si="40"/>
        <v>00/01/yyyy600</v>
      </c>
      <c r="B1326" s="171">
        <f t="shared" si="41"/>
        <v>600</v>
      </c>
    </row>
    <row r="1327" spans="1:2" ht="30" customHeight="1" x14ac:dyDescent="0.25">
      <c r="A1327" s="178" t="str">
        <f t="shared" si="40"/>
        <v>00/01/yyyy601</v>
      </c>
      <c r="B1327" s="171">
        <f t="shared" si="41"/>
        <v>601</v>
      </c>
    </row>
    <row r="1328" spans="1:2" ht="30" customHeight="1" x14ac:dyDescent="0.25">
      <c r="A1328" s="178" t="str">
        <f t="shared" si="40"/>
        <v>00/01/yyyy602</v>
      </c>
      <c r="B1328" s="171">
        <f t="shared" si="41"/>
        <v>602</v>
      </c>
    </row>
    <row r="1329" spans="1:2" ht="30" customHeight="1" x14ac:dyDescent="0.25">
      <c r="A1329" s="178" t="str">
        <f t="shared" si="40"/>
        <v>00/01/yyyy603</v>
      </c>
      <c r="B1329" s="171">
        <f t="shared" si="41"/>
        <v>603</v>
      </c>
    </row>
    <row r="1330" spans="1:2" ht="30" customHeight="1" x14ac:dyDescent="0.25">
      <c r="A1330" s="178" t="str">
        <f t="shared" si="40"/>
        <v>00/01/yyyy604</v>
      </c>
      <c r="B1330" s="171">
        <f t="shared" si="41"/>
        <v>604</v>
      </c>
    </row>
    <row r="1331" spans="1:2" ht="30" customHeight="1" x14ac:dyDescent="0.25">
      <c r="A1331" s="178" t="str">
        <f t="shared" si="40"/>
        <v>00/01/yyyy605</v>
      </c>
      <c r="B1331" s="171">
        <f t="shared" si="41"/>
        <v>605</v>
      </c>
    </row>
    <row r="1332" spans="1:2" ht="30" customHeight="1" x14ac:dyDescent="0.25">
      <c r="A1332" s="178" t="str">
        <f t="shared" si="40"/>
        <v>00/01/yyyy606</v>
      </c>
      <c r="B1332" s="171">
        <f t="shared" si="41"/>
        <v>606</v>
      </c>
    </row>
    <row r="1333" spans="1:2" ht="30" customHeight="1" x14ac:dyDescent="0.25">
      <c r="A1333" s="178" t="str">
        <f t="shared" si="40"/>
        <v>00/01/yyyy607</v>
      </c>
      <c r="B1333" s="171">
        <f t="shared" si="41"/>
        <v>607</v>
      </c>
    </row>
    <row r="1334" spans="1:2" ht="30" customHeight="1" x14ac:dyDescent="0.25">
      <c r="A1334" s="178" t="str">
        <f t="shared" si="40"/>
        <v>00/01/yyyy608</v>
      </c>
      <c r="B1334" s="171">
        <f t="shared" si="41"/>
        <v>608</v>
      </c>
    </row>
    <row r="1335" spans="1:2" ht="30" customHeight="1" x14ac:dyDescent="0.25">
      <c r="A1335" s="178" t="str">
        <f t="shared" si="40"/>
        <v>00/01/yyyy609</v>
      </c>
      <c r="B1335" s="171">
        <f t="shared" si="41"/>
        <v>609</v>
      </c>
    </row>
    <row r="1336" spans="1:2" ht="30" customHeight="1" x14ac:dyDescent="0.25">
      <c r="A1336" s="178" t="str">
        <f t="shared" si="40"/>
        <v>00/01/yyyy610</v>
      </c>
      <c r="B1336" s="171">
        <f t="shared" si="41"/>
        <v>610</v>
      </c>
    </row>
    <row r="1337" spans="1:2" ht="30" customHeight="1" x14ac:dyDescent="0.25">
      <c r="A1337" s="178" t="str">
        <f t="shared" si="40"/>
        <v>00/01/yyyy611</v>
      </c>
      <c r="B1337" s="171">
        <f t="shared" si="41"/>
        <v>611</v>
      </c>
    </row>
    <row r="1338" spans="1:2" ht="30" customHeight="1" x14ac:dyDescent="0.25">
      <c r="A1338" s="178" t="str">
        <f t="shared" si="40"/>
        <v>00/01/yyyy612</v>
      </c>
      <c r="B1338" s="171">
        <f t="shared" si="41"/>
        <v>612</v>
      </c>
    </row>
    <row r="1339" spans="1:2" ht="30" customHeight="1" x14ac:dyDescent="0.25">
      <c r="A1339" s="178" t="str">
        <f t="shared" si="40"/>
        <v>00/01/yyyy613</v>
      </c>
      <c r="B1339" s="171">
        <f t="shared" si="41"/>
        <v>613</v>
      </c>
    </row>
    <row r="1340" spans="1:2" ht="30" customHeight="1" x14ac:dyDescent="0.25">
      <c r="A1340" s="178" t="str">
        <f t="shared" si="40"/>
        <v>00/01/yyyy614</v>
      </c>
      <c r="B1340" s="171">
        <f t="shared" si="41"/>
        <v>614</v>
      </c>
    </row>
    <row r="1341" spans="1:2" ht="30" customHeight="1" x14ac:dyDescent="0.25">
      <c r="A1341" s="178" t="str">
        <f t="shared" si="40"/>
        <v>00/01/yyyy615</v>
      </c>
      <c r="B1341" s="171">
        <f t="shared" si="41"/>
        <v>615</v>
      </c>
    </row>
    <row r="1342" spans="1:2" ht="30" customHeight="1" x14ac:dyDescent="0.25">
      <c r="A1342" s="178" t="str">
        <f t="shared" si="40"/>
        <v>00/01/yyyy616</v>
      </c>
      <c r="B1342" s="171">
        <f t="shared" si="41"/>
        <v>616</v>
      </c>
    </row>
    <row r="1343" spans="1:2" ht="30" customHeight="1" x14ac:dyDescent="0.25">
      <c r="A1343" s="178" t="str">
        <f t="shared" si="40"/>
        <v>00/01/yyyy617</v>
      </c>
      <c r="B1343" s="171">
        <f t="shared" si="41"/>
        <v>617</v>
      </c>
    </row>
    <row r="1344" spans="1:2" ht="30" customHeight="1" x14ac:dyDescent="0.25">
      <c r="A1344" s="178" t="str">
        <f t="shared" si="40"/>
        <v>00/01/yyyy618</v>
      </c>
      <c r="B1344" s="171">
        <f t="shared" si="41"/>
        <v>618</v>
      </c>
    </row>
    <row r="1345" spans="1:2" ht="30" customHeight="1" x14ac:dyDescent="0.25">
      <c r="A1345" s="178" t="str">
        <f t="shared" si="40"/>
        <v>00/01/yyyy619</v>
      </c>
      <c r="B1345" s="171">
        <f t="shared" si="41"/>
        <v>619</v>
      </c>
    </row>
    <row r="1346" spans="1:2" ht="30" customHeight="1" x14ac:dyDescent="0.25">
      <c r="A1346" s="178" t="str">
        <f t="shared" si="40"/>
        <v>00/01/yyyy620</v>
      </c>
      <c r="B1346" s="171">
        <f t="shared" si="41"/>
        <v>620</v>
      </c>
    </row>
    <row r="1347" spans="1:2" ht="30" customHeight="1" x14ac:dyDescent="0.25">
      <c r="A1347" s="178" t="str">
        <f t="shared" ref="A1347:A1410" si="42">CONCATENATE(TEXT($G1347,"dd/mm/yyyy"),$B1347)</f>
        <v>00/01/yyyy621</v>
      </c>
      <c r="B1347" s="171">
        <f t="shared" si="41"/>
        <v>621</v>
      </c>
    </row>
    <row r="1348" spans="1:2" ht="30" customHeight="1" x14ac:dyDescent="0.25">
      <c r="A1348" s="178" t="str">
        <f t="shared" si="42"/>
        <v>00/01/yyyy622</v>
      </c>
      <c r="B1348" s="171">
        <f t="shared" ref="B1348:B1411" si="43">IF($G1348=$G1347,$B1347+1,1)</f>
        <v>622</v>
      </c>
    </row>
    <row r="1349" spans="1:2" ht="30" customHeight="1" x14ac:dyDescent="0.25">
      <c r="A1349" s="178" t="str">
        <f t="shared" si="42"/>
        <v>00/01/yyyy623</v>
      </c>
      <c r="B1349" s="171">
        <f t="shared" si="43"/>
        <v>623</v>
      </c>
    </row>
    <row r="1350" spans="1:2" ht="30" customHeight="1" x14ac:dyDescent="0.25">
      <c r="A1350" s="178" t="str">
        <f t="shared" si="42"/>
        <v>00/01/yyyy624</v>
      </c>
      <c r="B1350" s="171">
        <f t="shared" si="43"/>
        <v>624</v>
      </c>
    </row>
    <row r="1351" spans="1:2" ht="30" customHeight="1" x14ac:dyDescent="0.25">
      <c r="A1351" s="178" t="str">
        <f t="shared" si="42"/>
        <v>00/01/yyyy625</v>
      </c>
      <c r="B1351" s="171">
        <f t="shared" si="43"/>
        <v>625</v>
      </c>
    </row>
    <row r="1352" spans="1:2" ht="30" customHeight="1" x14ac:dyDescent="0.25">
      <c r="A1352" s="178" t="str">
        <f t="shared" si="42"/>
        <v>00/01/yyyy626</v>
      </c>
      <c r="B1352" s="171">
        <f t="shared" si="43"/>
        <v>626</v>
      </c>
    </row>
    <row r="1353" spans="1:2" ht="30" customHeight="1" x14ac:dyDescent="0.25">
      <c r="A1353" s="178" t="str">
        <f t="shared" si="42"/>
        <v>00/01/yyyy627</v>
      </c>
      <c r="B1353" s="171">
        <f t="shared" si="43"/>
        <v>627</v>
      </c>
    </row>
    <row r="1354" spans="1:2" ht="30" customHeight="1" x14ac:dyDescent="0.25">
      <c r="A1354" s="178" t="str">
        <f t="shared" si="42"/>
        <v>00/01/yyyy628</v>
      </c>
      <c r="B1354" s="171">
        <f t="shared" si="43"/>
        <v>628</v>
      </c>
    </row>
    <row r="1355" spans="1:2" ht="30" customHeight="1" x14ac:dyDescent="0.25">
      <c r="A1355" s="178" t="str">
        <f t="shared" si="42"/>
        <v>00/01/yyyy629</v>
      </c>
      <c r="B1355" s="171">
        <f t="shared" si="43"/>
        <v>629</v>
      </c>
    </row>
    <row r="1356" spans="1:2" ht="30" customHeight="1" x14ac:dyDescent="0.25">
      <c r="A1356" s="178" t="str">
        <f t="shared" si="42"/>
        <v>00/01/yyyy630</v>
      </c>
      <c r="B1356" s="171">
        <f t="shared" si="43"/>
        <v>630</v>
      </c>
    </row>
    <row r="1357" spans="1:2" ht="30" customHeight="1" x14ac:dyDescent="0.25">
      <c r="A1357" s="178" t="str">
        <f t="shared" si="42"/>
        <v>00/01/yyyy631</v>
      </c>
      <c r="B1357" s="171">
        <f t="shared" si="43"/>
        <v>631</v>
      </c>
    </row>
    <row r="1358" spans="1:2" ht="30" customHeight="1" x14ac:dyDescent="0.25">
      <c r="A1358" s="178" t="str">
        <f t="shared" si="42"/>
        <v>00/01/yyyy632</v>
      </c>
      <c r="B1358" s="171">
        <f t="shared" si="43"/>
        <v>632</v>
      </c>
    </row>
    <row r="1359" spans="1:2" ht="30" customHeight="1" x14ac:dyDescent="0.25">
      <c r="A1359" s="178" t="str">
        <f t="shared" si="42"/>
        <v>00/01/yyyy633</v>
      </c>
      <c r="B1359" s="171">
        <f t="shared" si="43"/>
        <v>633</v>
      </c>
    </row>
    <row r="1360" spans="1:2" ht="30" customHeight="1" x14ac:dyDescent="0.25">
      <c r="A1360" s="178" t="str">
        <f t="shared" si="42"/>
        <v>00/01/yyyy634</v>
      </c>
      <c r="B1360" s="171">
        <f t="shared" si="43"/>
        <v>634</v>
      </c>
    </row>
    <row r="1361" spans="1:2" ht="30" customHeight="1" x14ac:dyDescent="0.25">
      <c r="A1361" s="178" t="str">
        <f t="shared" si="42"/>
        <v>00/01/yyyy635</v>
      </c>
      <c r="B1361" s="171">
        <f t="shared" si="43"/>
        <v>635</v>
      </c>
    </row>
    <row r="1362" spans="1:2" ht="30" customHeight="1" x14ac:dyDescent="0.25">
      <c r="A1362" s="178" t="str">
        <f t="shared" si="42"/>
        <v>00/01/yyyy636</v>
      </c>
      <c r="B1362" s="171">
        <f t="shared" si="43"/>
        <v>636</v>
      </c>
    </row>
    <row r="1363" spans="1:2" ht="30" customHeight="1" x14ac:dyDescent="0.25">
      <c r="A1363" s="178" t="str">
        <f t="shared" si="42"/>
        <v>00/01/yyyy637</v>
      </c>
      <c r="B1363" s="171">
        <f t="shared" si="43"/>
        <v>637</v>
      </c>
    </row>
    <row r="1364" spans="1:2" ht="30" customHeight="1" x14ac:dyDescent="0.25">
      <c r="A1364" s="178" t="str">
        <f t="shared" si="42"/>
        <v>00/01/yyyy638</v>
      </c>
      <c r="B1364" s="171">
        <f t="shared" si="43"/>
        <v>638</v>
      </c>
    </row>
    <row r="1365" spans="1:2" ht="30" customHeight="1" x14ac:dyDescent="0.25">
      <c r="A1365" s="178" t="str">
        <f t="shared" si="42"/>
        <v>00/01/yyyy639</v>
      </c>
      <c r="B1365" s="171">
        <f t="shared" si="43"/>
        <v>639</v>
      </c>
    </row>
    <row r="1366" spans="1:2" ht="30" customHeight="1" x14ac:dyDescent="0.25">
      <c r="A1366" s="178" t="str">
        <f t="shared" si="42"/>
        <v>00/01/yyyy640</v>
      </c>
      <c r="B1366" s="171">
        <f t="shared" si="43"/>
        <v>640</v>
      </c>
    </row>
    <row r="1367" spans="1:2" ht="30" customHeight="1" x14ac:dyDescent="0.25">
      <c r="A1367" s="178" t="str">
        <f t="shared" si="42"/>
        <v>00/01/yyyy641</v>
      </c>
      <c r="B1367" s="171">
        <f t="shared" si="43"/>
        <v>641</v>
      </c>
    </row>
    <row r="1368" spans="1:2" ht="30" customHeight="1" x14ac:dyDescent="0.25">
      <c r="A1368" s="178" t="str">
        <f t="shared" si="42"/>
        <v>00/01/yyyy642</v>
      </c>
      <c r="B1368" s="171">
        <f t="shared" si="43"/>
        <v>642</v>
      </c>
    </row>
    <row r="1369" spans="1:2" ht="30" customHeight="1" x14ac:dyDescent="0.25">
      <c r="A1369" s="178" t="str">
        <f t="shared" si="42"/>
        <v>00/01/yyyy643</v>
      </c>
      <c r="B1369" s="171">
        <f t="shared" si="43"/>
        <v>643</v>
      </c>
    </row>
    <row r="1370" spans="1:2" ht="30" customHeight="1" x14ac:dyDescent="0.25">
      <c r="A1370" s="178" t="str">
        <f t="shared" si="42"/>
        <v>00/01/yyyy644</v>
      </c>
      <c r="B1370" s="171">
        <f t="shared" si="43"/>
        <v>644</v>
      </c>
    </row>
    <row r="1371" spans="1:2" ht="30" customHeight="1" x14ac:dyDescent="0.25">
      <c r="A1371" s="178" t="str">
        <f t="shared" si="42"/>
        <v>00/01/yyyy645</v>
      </c>
      <c r="B1371" s="171">
        <f t="shared" si="43"/>
        <v>645</v>
      </c>
    </row>
    <row r="1372" spans="1:2" ht="30" customHeight="1" x14ac:dyDescent="0.25">
      <c r="A1372" s="178" t="str">
        <f t="shared" si="42"/>
        <v>00/01/yyyy646</v>
      </c>
      <c r="B1372" s="171">
        <f t="shared" si="43"/>
        <v>646</v>
      </c>
    </row>
    <row r="1373" spans="1:2" ht="30" customHeight="1" x14ac:dyDescent="0.25">
      <c r="A1373" s="178" t="str">
        <f t="shared" si="42"/>
        <v>00/01/yyyy647</v>
      </c>
      <c r="B1373" s="171">
        <f t="shared" si="43"/>
        <v>647</v>
      </c>
    </row>
    <row r="1374" spans="1:2" ht="30" customHeight="1" x14ac:dyDescent="0.25">
      <c r="A1374" s="178" t="str">
        <f t="shared" si="42"/>
        <v>00/01/yyyy648</v>
      </c>
      <c r="B1374" s="171">
        <f t="shared" si="43"/>
        <v>648</v>
      </c>
    </row>
    <row r="1375" spans="1:2" ht="30" customHeight="1" x14ac:dyDescent="0.25">
      <c r="A1375" s="178" t="str">
        <f t="shared" si="42"/>
        <v>00/01/yyyy649</v>
      </c>
      <c r="B1375" s="171">
        <f t="shared" si="43"/>
        <v>649</v>
      </c>
    </row>
    <row r="1376" spans="1:2" ht="30" customHeight="1" x14ac:dyDescent="0.25">
      <c r="A1376" s="178" t="str">
        <f t="shared" si="42"/>
        <v>00/01/yyyy650</v>
      </c>
      <c r="B1376" s="171">
        <f t="shared" si="43"/>
        <v>650</v>
      </c>
    </row>
    <row r="1377" spans="1:2" ht="30" customHeight="1" x14ac:dyDescent="0.25">
      <c r="A1377" s="178" t="str">
        <f t="shared" si="42"/>
        <v>00/01/yyyy651</v>
      </c>
      <c r="B1377" s="171">
        <f t="shared" si="43"/>
        <v>651</v>
      </c>
    </row>
    <row r="1378" spans="1:2" ht="30" customHeight="1" x14ac:dyDescent="0.25">
      <c r="A1378" s="178" t="str">
        <f t="shared" si="42"/>
        <v>00/01/yyyy652</v>
      </c>
      <c r="B1378" s="171">
        <f t="shared" si="43"/>
        <v>652</v>
      </c>
    </row>
    <row r="1379" spans="1:2" ht="30" customHeight="1" x14ac:dyDescent="0.25">
      <c r="A1379" s="178" t="str">
        <f t="shared" si="42"/>
        <v>00/01/yyyy653</v>
      </c>
      <c r="B1379" s="171">
        <f t="shared" si="43"/>
        <v>653</v>
      </c>
    </row>
    <row r="1380" spans="1:2" ht="30" customHeight="1" x14ac:dyDescent="0.25">
      <c r="A1380" s="178" t="str">
        <f t="shared" si="42"/>
        <v>00/01/yyyy654</v>
      </c>
      <c r="B1380" s="171">
        <f t="shared" si="43"/>
        <v>654</v>
      </c>
    </row>
    <row r="1381" spans="1:2" ht="30" customHeight="1" x14ac:dyDescent="0.25">
      <c r="A1381" s="178" t="str">
        <f t="shared" si="42"/>
        <v>00/01/yyyy655</v>
      </c>
      <c r="B1381" s="171">
        <f t="shared" si="43"/>
        <v>655</v>
      </c>
    </row>
    <row r="1382" spans="1:2" ht="30" customHeight="1" x14ac:dyDescent="0.25">
      <c r="A1382" s="178" t="str">
        <f t="shared" si="42"/>
        <v>00/01/yyyy656</v>
      </c>
      <c r="B1382" s="171">
        <f t="shared" si="43"/>
        <v>656</v>
      </c>
    </row>
    <row r="1383" spans="1:2" ht="30" customHeight="1" x14ac:dyDescent="0.25">
      <c r="A1383" s="178" t="str">
        <f t="shared" si="42"/>
        <v>00/01/yyyy657</v>
      </c>
      <c r="B1383" s="171">
        <f t="shared" si="43"/>
        <v>657</v>
      </c>
    </row>
    <row r="1384" spans="1:2" ht="30" customHeight="1" x14ac:dyDescent="0.25">
      <c r="A1384" s="178" t="str">
        <f t="shared" si="42"/>
        <v>00/01/yyyy658</v>
      </c>
      <c r="B1384" s="171">
        <f t="shared" si="43"/>
        <v>658</v>
      </c>
    </row>
    <row r="1385" spans="1:2" ht="30" customHeight="1" x14ac:dyDescent="0.25">
      <c r="A1385" s="178" t="str">
        <f t="shared" si="42"/>
        <v>00/01/yyyy659</v>
      </c>
      <c r="B1385" s="171">
        <f t="shared" si="43"/>
        <v>659</v>
      </c>
    </row>
    <row r="1386" spans="1:2" ht="30" customHeight="1" x14ac:dyDescent="0.25">
      <c r="A1386" s="178" t="str">
        <f t="shared" si="42"/>
        <v>00/01/yyyy660</v>
      </c>
      <c r="B1386" s="171">
        <f t="shared" si="43"/>
        <v>660</v>
      </c>
    </row>
    <row r="1387" spans="1:2" ht="30" customHeight="1" x14ac:dyDescent="0.25">
      <c r="A1387" s="178" t="str">
        <f t="shared" si="42"/>
        <v>00/01/yyyy661</v>
      </c>
      <c r="B1387" s="171">
        <f t="shared" si="43"/>
        <v>661</v>
      </c>
    </row>
    <row r="1388" spans="1:2" ht="30" customHeight="1" x14ac:dyDescent="0.25">
      <c r="A1388" s="178" t="str">
        <f t="shared" si="42"/>
        <v>00/01/yyyy662</v>
      </c>
      <c r="B1388" s="171">
        <f t="shared" si="43"/>
        <v>662</v>
      </c>
    </row>
    <row r="1389" spans="1:2" ht="30" customHeight="1" x14ac:dyDescent="0.25">
      <c r="A1389" s="178" t="str">
        <f t="shared" si="42"/>
        <v>00/01/yyyy663</v>
      </c>
      <c r="B1389" s="171">
        <f t="shared" si="43"/>
        <v>663</v>
      </c>
    </row>
    <row r="1390" spans="1:2" ht="30" customHeight="1" x14ac:dyDescent="0.25">
      <c r="A1390" s="178" t="str">
        <f t="shared" si="42"/>
        <v>00/01/yyyy664</v>
      </c>
      <c r="B1390" s="171">
        <f t="shared" si="43"/>
        <v>664</v>
      </c>
    </row>
    <row r="1391" spans="1:2" ht="30" customHeight="1" x14ac:dyDescent="0.25">
      <c r="A1391" s="178" t="str">
        <f t="shared" si="42"/>
        <v>00/01/yyyy665</v>
      </c>
      <c r="B1391" s="171">
        <f t="shared" si="43"/>
        <v>665</v>
      </c>
    </row>
    <row r="1392" spans="1:2" ht="30" customHeight="1" x14ac:dyDescent="0.25">
      <c r="A1392" s="178" t="str">
        <f t="shared" si="42"/>
        <v>00/01/yyyy666</v>
      </c>
      <c r="B1392" s="171">
        <f t="shared" si="43"/>
        <v>666</v>
      </c>
    </row>
    <row r="1393" spans="1:2" ht="30" customHeight="1" x14ac:dyDescent="0.25">
      <c r="A1393" s="178" t="str">
        <f t="shared" si="42"/>
        <v>00/01/yyyy667</v>
      </c>
      <c r="B1393" s="171">
        <f t="shared" si="43"/>
        <v>667</v>
      </c>
    </row>
    <row r="1394" spans="1:2" ht="30" customHeight="1" x14ac:dyDescent="0.25">
      <c r="A1394" s="178" t="str">
        <f t="shared" si="42"/>
        <v>00/01/yyyy668</v>
      </c>
      <c r="B1394" s="171">
        <f t="shared" si="43"/>
        <v>668</v>
      </c>
    </row>
    <row r="1395" spans="1:2" ht="30" customHeight="1" x14ac:dyDescent="0.25">
      <c r="A1395" s="178" t="str">
        <f t="shared" si="42"/>
        <v>00/01/yyyy669</v>
      </c>
      <c r="B1395" s="171">
        <f t="shared" si="43"/>
        <v>669</v>
      </c>
    </row>
    <row r="1396" spans="1:2" ht="30" customHeight="1" x14ac:dyDescent="0.25">
      <c r="A1396" s="178" t="str">
        <f t="shared" si="42"/>
        <v>00/01/yyyy670</v>
      </c>
      <c r="B1396" s="171">
        <f t="shared" si="43"/>
        <v>670</v>
      </c>
    </row>
    <row r="1397" spans="1:2" ht="30" customHeight="1" x14ac:dyDescent="0.25">
      <c r="A1397" s="178" t="str">
        <f t="shared" si="42"/>
        <v>00/01/yyyy671</v>
      </c>
      <c r="B1397" s="171">
        <f t="shared" si="43"/>
        <v>671</v>
      </c>
    </row>
    <row r="1398" spans="1:2" ht="30" customHeight="1" x14ac:dyDescent="0.25">
      <c r="A1398" s="178" t="str">
        <f t="shared" si="42"/>
        <v>00/01/yyyy672</v>
      </c>
      <c r="B1398" s="171">
        <f t="shared" si="43"/>
        <v>672</v>
      </c>
    </row>
    <row r="1399" spans="1:2" ht="30" customHeight="1" x14ac:dyDescent="0.25">
      <c r="A1399" s="178" t="str">
        <f t="shared" si="42"/>
        <v>00/01/yyyy673</v>
      </c>
      <c r="B1399" s="171">
        <f t="shared" si="43"/>
        <v>673</v>
      </c>
    </row>
    <row r="1400" spans="1:2" ht="30" customHeight="1" x14ac:dyDescent="0.25">
      <c r="A1400" s="178" t="str">
        <f t="shared" si="42"/>
        <v>00/01/yyyy674</v>
      </c>
      <c r="B1400" s="171">
        <f t="shared" si="43"/>
        <v>674</v>
      </c>
    </row>
    <row r="1401" spans="1:2" ht="30" customHeight="1" x14ac:dyDescent="0.25">
      <c r="A1401" s="178" t="str">
        <f t="shared" si="42"/>
        <v>00/01/yyyy675</v>
      </c>
      <c r="B1401" s="171">
        <f t="shared" si="43"/>
        <v>675</v>
      </c>
    </row>
    <row r="1402" spans="1:2" ht="30" customHeight="1" x14ac:dyDescent="0.25">
      <c r="A1402" s="178" t="str">
        <f t="shared" si="42"/>
        <v>00/01/yyyy676</v>
      </c>
      <c r="B1402" s="171">
        <f t="shared" si="43"/>
        <v>676</v>
      </c>
    </row>
    <row r="1403" spans="1:2" ht="30" customHeight="1" x14ac:dyDescent="0.25">
      <c r="A1403" s="178" t="str">
        <f t="shared" si="42"/>
        <v>00/01/yyyy677</v>
      </c>
      <c r="B1403" s="171">
        <f t="shared" si="43"/>
        <v>677</v>
      </c>
    </row>
    <row r="1404" spans="1:2" ht="30" customHeight="1" x14ac:dyDescent="0.25">
      <c r="A1404" s="178" t="str">
        <f t="shared" si="42"/>
        <v>00/01/yyyy678</v>
      </c>
      <c r="B1404" s="171">
        <f t="shared" si="43"/>
        <v>678</v>
      </c>
    </row>
    <row r="1405" spans="1:2" ht="30" customHeight="1" x14ac:dyDescent="0.25">
      <c r="A1405" s="178" t="str">
        <f t="shared" si="42"/>
        <v>00/01/yyyy679</v>
      </c>
      <c r="B1405" s="171">
        <f t="shared" si="43"/>
        <v>679</v>
      </c>
    </row>
    <row r="1406" spans="1:2" ht="30" customHeight="1" x14ac:dyDescent="0.25">
      <c r="A1406" s="178" t="str">
        <f t="shared" si="42"/>
        <v>00/01/yyyy680</v>
      </c>
      <c r="B1406" s="171">
        <f t="shared" si="43"/>
        <v>680</v>
      </c>
    </row>
    <row r="1407" spans="1:2" ht="30" customHeight="1" x14ac:dyDescent="0.25">
      <c r="A1407" s="178" t="str">
        <f t="shared" si="42"/>
        <v>00/01/yyyy681</v>
      </c>
      <c r="B1407" s="171">
        <f t="shared" si="43"/>
        <v>681</v>
      </c>
    </row>
    <row r="1408" spans="1:2" ht="30" customHeight="1" x14ac:dyDescent="0.25">
      <c r="A1408" s="178" t="str">
        <f t="shared" si="42"/>
        <v>00/01/yyyy682</v>
      </c>
      <c r="B1408" s="171">
        <f t="shared" si="43"/>
        <v>682</v>
      </c>
    </row>
    <row r="1409" spans="1:2" ht="30" customHeight="1" x14ac:dyDescent="0.25">
      <c r="A1409" s="178" t="str">
        <f t="shared" si="42"/>
        <v>00/01/yyyy683</v>
      </c>
      <c r="B1409" s="171">
        <f t="shared" si="43"/>
        <v>683</v>
      </c>
    </row>
    <row r="1410" spans="1:2" ht="30" customHeight="1" x14ac:dyDescent="0.25">
      <c r="A1410" s="178" t="str">
        <f t="shared" si="42"/>
        <v>00/01/yyyy684</v>
      </c>
      <c r="B1410" s="171">
        <f t="shared" si="43"/>
        <v>684</v>
      </c>
    </row>
    <row r="1411" spans="1:2" ht="30" customHeight="1" x14ac:dyDescent="0.25">
      <c r="A1411" s="178" t="str">
        <f t="shared" ref="A1411:A1474" si="44">CONCATENATE(TEXT($G1411,"dd/mm/yyyy"),$B1411)</f>
        <v>00/01/yyyy685</v>
      </c>
      <c r="B1411" s="171">
        <f t="shared" si="43"/>
        <v>685</v>
      </c>
    </row>
    <row r="1412" spans="1:2" ht="30" customHeight="1" x14ac:dyDescent="0.25">
      <c r="A1412" s="178" t="str">
        <f t="shared" si="44"/>
        <v>00/01/yyyy686</v>
      </c>
      <c r="B1412" s="171">
        <f t="shared" ref="B1412:B1475" si="45">IF($G1412=$G1411,$B1411+1,1)</f>
        <v>686</v>
      </c>
    </row>
    <row r="1413" spans="1:2" ht="30" customHeight="1" x14ac:dyDescent="0.25">
      <c r="A1413" s="178" t="str">
        <f t="shared" si="44"/>
        <v>00/01/yyyy687</v>
      </c>
      <c r="B1413" s="171">
        <f t="shared" si="45"/>
        <v>687</v>
      </c>
    </row>
    <row r="1414" spans="1:2" ht="30" customHeight="1" x14ac:dyDescent="0.25">
      <c r="A1414" s="178" t="str">
        <f t="shared" si="44"/>
        <v>00/01/yyyy688</v>
      </c>
      <c r="B1414" s="171">
        <f t="shared" si="45"/>
        <v>688</v>
      </c>
    </row>
    <row r="1415" spans="1:2" ht="30" customHeight="1" x14ac:dyDescent="0.25">
      <c r="A1415" s="178" t="str">
        <f t="shared" si="44"/>
        <v>00/01/yyyy689</v>
      </c>
      <c r="B1415" s="171">
        <f t="shared" si="45"/>
        <v>689</v>
      </c>
    </row>
    <row r="1416" spans="1:2" ht="30" customHeight="1" x14ac:dyDescent="0.25">
      <c r="A1416" s="178" t="str">
        <f t="shared" si="44"/>
        <v>00/01/yyyy690</v>
      </c>
      <c r="B1416" s="171">
        <f t="shared" si="45"/>
        <v>690</v>
      </c>
    </row>
    <row r="1417" spans="1:2" ht="30" customHeight="1" x14ac:dyDescent="0.25">
      <c r="A1417" s="178" t="str">
        <f t="shared" si="44"/>
        <v>00/01/yyyy691</v>
      </c>
      <c r="B1417" s="171">
        <f t="shared" si="45"/>
        <v>691</v>
      </c>
    </row>
    <row r="1418" spans="1:2" ht="30" customHeight="1" x14ac:dyDescent="0.25">
      <c r="A1418" s="178" t="str">
        <f t="shared" si="44"/>
        <v>00/01/yyyy692</v>
      </c>
      <c r="B1418" s="171">
        <f t="shared" si="45"/>
        <v>692</v>
      </c>
    </row>
    <row r="1419" spans="1:2" ht="30" customHeight="1" x14ac:dyDescent="0.25">
      <c r="A1419" s="178" t="str">
        <f t="shared" si="44"/>
        <v>00/01/yyyy693</v>
      </c>
      <c r="B1419" s="171">
        <f t="shared" si="45"/>
        <v>693</v>
      </c>
    </row>
    <row r="1420" spans="1:2" ht="30" customHeight="1" x14ac:dyDescent="0.25">
      <c r="A1420" s="178" t="str">
        <f t="shared" si="44"/>
        <v>00/01/yyyy694</v>
      </c>
      <c r="B1420" s="171">
        <f t="shared" si="45"/>
        <v>694</v>
      </c>
    </row>
    <row r="1421" spans="1:2" ht="30" customHeight="1" x14ac:dyDescent="0.25">
      <c r="A1421" s="178" t="str">
        <f t="shared" si="44"/>
        <v>00/01/yyyy695</v>
      </c>
      <c r="B1421" s="171">
        <f t="shared" si="45"/>
        <v>695</v>
      </c>
    </row>
    <row r="1422" spans="1:2" ht="30" customHeight="1" x14ac:dyDescent="0.25">
      <c r="A1422" s="178" t="str">
        <f t="shared" si="44"/>
        <v>00/01/yyyy696</v>
      </c>
      <c r="B1422" s="171">
        <f t="shared" si="45"/>
        <v>696</v>
      </c>
    </row>
    <row r="1423" spans="1:2" ht="30" customHeight="1" x14ac:dyDescent="0.25">
      <c r="A1423" s="178" t="str">
        <f t="shared" si="44"/>
        <v>00/01/yyyy697</v>
      </c>
      <c r="B1423" s="171">
        <f t="shared" si="45"/>
        <v>697</v>
      </c>
    </row>
    <row r="1424" spans="1:2" ht="30" customHeight="1" x14ac:dyDescent="0.25">
      <c r="A1424" s="178" t="str">
        <f t="shared" si="44"/>
        <v>00/01/yyyy698</v>
      </c>
      <c r="B1424" s="171">
        <f t="shared" si="45"/>
        <v>698</v>
      </c>
    </row>
    <row r="1425" spans="1:2" ht="30" customHeight="1" x14ac:dyDescent="0.25">
      <c r="A1425" s="178" t="str">
        <f t="shared" si="44"/>
        <v>00/01/yyyy699</v>
      </c>
      <c r="B1425" s="171">
        <f t="shared" si="45"/>
        <v>699</v>
      </c>
    </row>
    <row r="1426" spans="1:2" ht="30" customHeight="1" x14ac:dyDescent="0.25">
      <c r="A1426" s="178" t="str">
        <f t="shared" si="44"/>
        <v>00/01/yyyy700</v>
      </c>
      <c r="B1426" s="171">
        <f t="shared" si="45"/>
        <v>700</v>
      </c>
    </row>
    <row r="1427" spans="1:2" ht="30" customHeight="1" x14ac:dyDescent="0.25">
      <c r="A1427" s="178" t="str">
        <f t="shared" si="44"/>
        <v>00/01/yyyy701</v>
      </c>
      <c r="B1427" s="171">
        <f t="shared" si="45"/>
        <v>701</v>
      </c>
    </row>
    <row r="1428" spans="1:2" ht="30" customHeight="1" x14ac:dyDescent="0.25">
      <c r="A1428" s="178" t="str">
        <f t="shared" si="44"/>
        <v>00/01/yyyy702</v>
      </c>
      <c r="B1428" s="171">
        <f t="shared" si="45"/>
        <v>702</v>
      </c>
    </row>
    <row r="1429" spans="1:2" ht="30" customHeight="1" x14ac:dyDescent="0.25">
      <c r="A1429" s="178" t="str">
        <f t="shared" si="44"/>
        <v>00/01/yyyy703</v>
      </c>
      <c r="B1429" s="171">
        <f t="shared" si="45"/>
        <v>703</v>
      </c>
    </row>
    <row r="1430" spans="1:2" ht="30" customHeight="1" x14ac:dyDescent="0.25">
      <c r="A1430" s="178" t="str">
        <f t="shared" si="44"/>
        <v>00/01/yyyy704</v>
      </c>
      <c r="B1430" s="171">
        <f t="shared" si="45"/>
        <v>704</v>
      </c>
    </row>
    <row r="1431" spans="1:2" ht="30" customHeight="1" x14ac:dyDescent="0.25">
      <c r="A1431" s="178" t="str">
        <f t="shared" si="44"/>
        <v>00/01/yyyy705</v>
      </c>
      <c r="B1431" s="171">
        <f t="shared" si="45"/>
        <v>705</v>
      </c>
    </row>
    <row r="1432" spans="1:2" ht="30" customHeight="1" x14ac:dyDescent="0.25">
      <c r="A1432" s="178" t="str">
        <f t="shared" si="44"/>
        <v>00/01/yyyy706</v>
      </c>
      <c r="B1432" s="171">
        <f t="shared" si="45"/>
        <v>706</v>
      </c>
    </row>
    <row r="1433" spans="1:2" ht="30" customHeight="1" x14ac:dyDescent="0.25">
      <c r="A1433" s="178" t="str">
        <f t="shared" si="44"/>
        <v>00/01/yyyy707</v>
      </c>
      <c r="B1433" s="171">
        <f t="shared" si="45"/>
        <v>707</v>
      </c>
    </row>
    <row r="1434" spans="1:2" ht="30" customHeight="1" x14ac:dyDescent="0.25">
      <c r="A1434" s="178" t="str">
        <f t="shared" si="44"/>
        <v>00/01/yyyy708</v>
      </c>
      <c r="B1434" s="171">
        <f t="shared" si="45"/>
        <v>708</v>
      </c>
    </row>
    <row r="1435" spans="1:2" ht="30" customHeight="1" x14ac:dyDescent="0.25">
      <c r="A1435" s="178" t="str">
        <f t="shared" si="44"/>
        <v>00/01/yyyy709</v>
      </c>
      <c r="B1435" s="171">
        <f t="shared" si="45"/>
        <v>709</v>
      </c>
    </row>
    <row r="1436" spans="1:2" ht="30" customHeight="1" x14ac:dyDescent="0.25">
      <c r="A1436" s="178" t="str">
        <f t="shared" si="44"/>
        <v>00/01/yyyy710</v>
      </c>
      <c r="B1436" s="171">
        <f t="shared" si="45"/>
        <v>710</v>
      </c>
    </row>
    <row r="1437" spans="1:2" ht="30" customHeight="1" x14ac:dyDescent="0.25">
      <c r="A1437" s="178" t="str">
        <f t="shared" si="44"/>
        <v>00/01/yyyy711</v>
      </c>
      <c r="B1437" s="171">
        <f t="shared" si="45"/>
        <v>711</v>
      </c>
    </row>
    <row r="1438" spans="1:2" ht="30" customHeight="1" x14ac:dyDescent="0.25">
      <c r="A1438" s="178" t="str">
        <f t="shared" si="44"/>
        <v>00/01/yyyy712</v>
      </c>
      <c r="B1438" s="171">
        <f t="shared" si="45"/>
        <v>712</v>
      </c>
    </row>
    <row r="1439" spans="1:2" ht="30" customHeight="1" x14ac:dyDescent="0.25">
      <c r="A1439" s="178" t="str">
        <f t="shared" si="44"/>
        <v>00/01/yyyy713</v>
      </c>
      <c r="B1439" s="171">
        <f t="shared" si="45"/>
        <v>713</v>
      </c>
    </row>
    <row r="1440" spans="1:2" ht="30" customHeight="1" x14ac:dyDescent="0.25">
      <c r="A1440" s="178" t="str">
        <f t="shared" si="44"/>
        <v>00/01/yyyy714</v>
      </c>
      <c r="B1440" s="171">
        <f t="shared" si="45"/>
        <v>714</v>
      </c>
    </row>
    <row r="1441" spans="1:2" ht="30" customHeight="1" x14ac:dyDescent="0.25">
      <c r="A1441" s="178" t="str">
        <f t="shared" si="44"/>
        <v>00/01/yyyy715</v>
      </c>
      <c r="B1441" s="171">
        <f t="shared" si="45"/>
        <v>715</v>
      </c>
    </row>
    <row r="1442" spans="1:2" ht="30" customHeight="1" x14ac:dyDescent="0.25">
      <c r="A1442" s="178" t="str">
        <f t="shared" si="44"/>
        <v>00/01/yyyy716</v>
      </c>
      <c r="B1442" s="171">
        <f t="shared" si="45"/>
        <v>716</v>
      </c>
    </row>
    <row r="1443" spans="1:2" ht="30" customHeight="1" x14ac:dyDescent="0.25">
      <c r="A1443" s="178" t="str">
        <f t="shared" si="44"/>
        <v>00/01/yyyy717</v>
      </c>
      <c r="B1443" s="171">
        <f t="shared" si="45"/>
        <v>717</v>
      </c>
    </row>
    <row r="1444" spans="1:2" ht="30" customHeight="1" x14ac:dyDescent="0.25">
      <c r="A1444" s="178" t="str">
        <f t="shared" si="44"/>
        <v>00/01/yyyy718</v>
      </c>
      <c r="B1444" s="171">
        <f t="shared" si="45"/>
        <v>718</v>
      </c>
    </row>
    <row r="1445" spans="1:2" ht="30" customHeight="1" x14ac:dyDescent="0.25">
      <c r="A1445" s="178" t="str">
        <f t="shared" si="44"/>
        <v>00/01/yyyy719</v>
      </c>
      <c r="B1445" s="171">
        <f t="shared" si="45"/>
        <v>719</v>
      </c>
    </row>
    <row r="1446" spans="1:2" ht="30" customHeight="1" x14ac:dyDescent="0.25">
      <c r="A1446" s="178" t="str">
        <f t="shared" si="44"/>
        <v>00/01/yyyy720</v>
      </c>
      <c r="B1446" s="171">
        <f t="shared" si="45"/>
        <v>720</v>
      </c>
    </row>
    <row r="1447" spans="1:2" ht="30" customHeight="1" x14ac:dyDescent="0.25">
      <c r="A1447" s="178" t="str">
        <f t="shared" si="44"/>
        <v>00/01/yyyy721</v>
      </c>
      <c r="B1447" s="171">
        <f t="shared" si="45"/>
        <v>721</v>
      </c>
    </row>
    <row r="1448" spans="1:2" ht="30" customHeight="1" x14ac:dyDescent="0.25">
      <c r="A1448" s="178" t="str">
        <f t="shared" si="44"/>
        <v>00/01/yyyy722</v>
      </c>
      <c r="B1448" s="171">
        <f t="shared" si="45"/>
        <v>722</v>
      </c>
    </row>
    <row r="1449" spans="1:2" ht="30" customHeight="1" x14ac:dyDescent="0.25">
      <c r="A1449" s="178" t="str">
        <f t="shared" si="44"/>
        <v>00/01/yyyy723</v>
      </c>
      <c r="B1449" s="171">
        <f t="shared" si="45"/>
        <v>723</v>
      </c>
    </row>
    <row r="1450" spans="1:2" ht="30" customHeight="1" x14ac:dyDescent="0.25">
      <c r="A1450" s="178" t="str">
        <f t="shared" si="44"/>
        <v>00/01/yyyy724</v>
      </c>
      <c r="B1450" s="171">
        <f t="shared" si="45"/>
        <v>724</v>
      </c>
    </row>
    <row r="1451" spans="1:2" ht="30" customHeight="1" x14ac:dyDescent="0.25">
      <c r="A1451" s="178" t="str">
        <f t="shared" si="44"/>
        <v>00/01/yyyy725</v>
      </c>
      <c r="B1451" s="171">
        <f t="shared" si="45"/>
        <v>725</v>
      </c>
    </row>
    <row r="1452" spans="1:2" ht="30" customHeight="1" x14ac:dyDescent="0.25">
      <c r="A1452" s="178" t="str">
        <f t="shared" si="44"/>
        <v>00/01/yyyy726</v>
      </c>
      <c r="B1452" s="171">
        <f t="shared" si="45"/>
        <v>726</v>
      </c>
    </row>
    <row r="1453" spans="1:2" ht="30" customHeight="1" x14ac:dyDescent="0.25">
      <c r="A1453" s="178" t="str">
        <f t="shared" si="44"/>
        <v>00/01/yyyy727</v>
      </c>
      <c r="B1453" s="171">
        <f t="shared" si="45"/>
        <v>727</v>
      </c>
    </row>
    <row r="1454" spans="1:2" ht="30" customHeight="1" x14ac:dyDescent="0.25">
      <c r="A1454" s="178" t="str">
        <f t="shared" si="44"/>
        <v>00/01/yyyy728</v>
      </c>
      <c r="B1454" s="171">
        <f t="shared" si="45"/>
        <v>728</v>
      </c>
    </row>
    <row r="1455" spans="1:2" ht="30" customHeight="1" x14ac:dyDescent="0.25">
      <c r="A1455" s="178" t="str">
        <f t="shared" si="44"/>
        <v>00/01/yyyy729</v>
      </c>
      <c r="B1455" s="171">
        <f t="shared" si="45"/>
        <v>729</v>
      </c>
    </row>
    <row r="1456" spans="1:2" ht="30" customHeight="1" x14ac:dyDescent="0.25">
      <c r="A1456" s="178" t="str">
        <f t="shared" si="44"/>
        <v>00/01/yyyy730</v>
      </c>
      <c r="B1456" s="171">
        <f t="shared" si="45"/>
        <v>730</v>
      </c>
    </row>
    <row r="1457" spans="1:2" ht="30" customHeight="1" x14ac:dyDescent="0.25">
      <c r="A1457" s="178" t="str">
        <f t="shared" si="44"/>
        <v>00/01/yyyy731</v>
      </c>
      <c r="B1457" s="171">
        <f t="shared" si="45"/>
        <v>731</v>
      </c>
    </row>
    <row r="1458" spans="1:2" ht="30" customHeight="1" x14ac:dyDescent="0.25">
      <c r="A1458" s="178" t="str">
        <f t="shared" si="44"/>
        <v>00/01/yyyy732</v>
      </c>
      <c r="B1458" s="171">
        <f t="shared" si="45"/>
        <v>732</v>
      </c>
    </row>
    <row r="1459" spans="1:2" ht="30" customHeight="1" x14ac:dyDescent="0.25">
      <c r="A1459" s="178" t="str">
        <f t="shared" si="44"/>
        <v>00/01/yyyy733</v>
      </c>
      <c r="B1459" s="171">
        <f t="shared" si="45"/>
        <v>733</v>
      </c>
    </row>
    <row r="1460" spans="1:2" ht="30" customHeight="1" x14ac:dyDescent="0.25">
      <c r="A1460" s="178" t="str">
        <f t="shared" si="44"/>
        <v>00/01/yyyy734</v>
      </c>
      <c r="B1460" s="171">
        <f t="shared" si="45"/>
        <v>734</v>
      </c>
    </row>
    <row r="1461" spans="1:2" ht="30" customHeight="1" x14ac:dyDescent="0.25">
      <c r="A1461" s="178" t="str">
        <f t="shared" si="44"/>
        <v>00/01/yyyy735</v>
      </c>
      <c r="B1461" s="171">
        <f t="shared" si="45"/>
        <v>735</v>
      </c>
    </row>
    <row r="1462" spans="1:2" ht="30" customHeight="1" x14ac:dyDescent="0.25">
      <c r="A1462" s="178" t="str">
        <f t="shared" si="44"/>
        <v>00/01/yyyy736</v>
      </c>
      <c r="B1462" s="171">
        <f t="shared" si="45"/>
        <v>736</v>
      </c>
    </row>
    <row r="1463" spans="1:2" ht="30" customHeight="1" x14ac:dyDescent="0.25">
      <c r="A1463" s="178" t="str">
        <f t="shared" si="44"/>
        <v>00/01/yyyy737</v>
      </c>
      <c r="B1463" s="171">
        <f t="shared" si="45"/>
        <v>737</v>
      </c>
    </row>
    <row r="1464" spans="1:2" ht="30" customHeight="1" x14ac:dyDescent="0.25">
      <c r="A1464" s="178" t="str">
        <f t="shared" si="44"/>
        <v>00/01/yyyy738</v>
      </c>
      <c r="B1464" s="171">
        <f t="shared" si="45"/>
        <v>738</v>
      </c>
    </row>
    <row r="1465" spans="1:2" ht="30" customHeight="1" x14ac:dyDescent="0.25">
      <c r="A1465" s="178" t="str">
        <f t="shared" si="44"/>
        <v>00/01/yyyy739</v>
      </c>
      <c r="B1465" s="171">
        <f t="shared" si="45"/>
        <v>739</v>
      </c>
    </row>
    <row r="1466" spans="1:2" ht="30" customHeight="1" x14ac:dyDescent="0.25">
      <c r="A1466" s="178" t="str">
        <f t="shared" si="44"/>
        <v>00/01/yyyy740</v>
      </c>
      <c r="B1466" s="171">
        <f t="shared" si="45"/>
        <v>740</v>
      </c>
    </row>
    <row r="1467" spans="1:2" ht="30" customHeight="1" x14ac:dyDescent="0.25">
      <c r="A1467" s="178" t="str">
        <f t="shared" si="44"/>
        <v>00/01/yyyy741</v>
      </c>
      <c r="B1467" s="171">
        <f t="shared" si="45"/>
        <v>741</v>
      </c>
    </row>
    <row r="1468" spans="1:2" ht="30" customHeight="1" x14ac:dyDescent="0.25">
      <c r="A1468" s="178" t="str">
        <f t="shared" si="44"/>
        <v>00/01/yyyy742</v>
      </c>
      <c r="B1468" s="171">
        <f t="shared" si="45"/>
        <v>742</v>
      </c>
    </row>
    <row r="1469" spans="1:2" ht="30" customHeight="1" x14ac:dyDescent="0.25">
      <c r="A1469" s="178" t="str">
        <f t="shared" si="44"/>
        <v>00/01/yyyy743</v>
      </c>
      <c r="B1469" s="171">
        <f t="shared" si="45"/>
        <v>743</v>
      </c>
    </row>
    <row r="1470" spans="1:2" ht="30" customHeight="1" x14ac:dyDescent="0.25">
      <c r="A1470" s="178" t="str">
        <f t="shared" si="44"/>
        <v>00/01/yyyy744</v>
      </c>
      <c r="B1470" s="171">
        <f t="shared" si="45"/>
        <v>744</v>
      </c>
    </row>
    <row r="1471" spans="1:2" ht="30" customHeight="1" x14ac:dyDescent="0.25">
      <c r="A1471" s="178" t="str">
        <f t="shared" si="44"/>
        <v>00/01/yyyy745</v>
      </c>
      <c r="B1471" s="171">
        <f t="shared" si="45"/>
        <v>745</v>
      </c>
    </row>
    <row r="1472" spans="1:2" ht="30" customHeight="1" x14ac:dyDescent="0.25">
      <c r="A1472" s="178" t="str">
        <f t="shared" si="44"/>
        <v>00/01/yyyy746</v>
      </c>
      <c r="B1472" s="171">
        <f t="shared" si="45"/>
        <v>746</v>
      </c>
    </row>
    <row r="1473" spans="1:2" ht="30" customHeight="1" x14ac:dyDescent="0.25">
      <c r="A1473" s="178" t="str">
        <f t="shared" si="44"/>
        <v>00/01/yyyy747</v>
      </c>
      <c r="B1473" s="171">
        <f t="shared" si="45"/>
        <v>747</v>
      </c>
    </row>
    <row r="1474" spans="1:2" ht="30" customHeight="1" x14ac:dyDescent="0.25">
      <c r="A1474" s="178" t="str">
        <f t="shared" si="44"/>
        <v>00/01/yyyy748</v>
      </c>
      <c r="B1474" s="171">
        <f t="shared" si="45"/>
        <v>748</v>
      </c>
    </row>
    <row r="1475" spans="1:2" ht="30" customHeight="1" x14ac:dyDescent="0.25">
      <c r="A1475" s="178" t="str">
        <f t="shared" ref="A1475:A1500" si="46">CONCATENATE(TEXT($G1475,"dd/mm/yyyy"),$B1475)</f>
        <v>00/01/yyyy749</v>
      </c>
      <c r="B1475" s="171">
        <f t="shared" si="45"/>
        <v>749</v>
      </c>
    </row>
    <row r="1476" spans="1:2" ht="30" customHeight="1" x14ac:dyDescent="0.25">
      <c r="A1476" s="178" t="str">
        <f t="shared" si="46"/>
        <v>00/01/yyyy750</v>
      </c>
      <c r="B1476" s="171">
        <f t="shared" ref="B1476:B1500" si="47">IF($G1476=$G1475,$B1475+1,1)</f>
        <v>750</v>
      </c>
    </row>
    <row r="1477" spans="1:2" ht="30" customHeight="1" x14ac:dyDescent="0.25">
      <c r="A1477" s="178" t="str">
        <f t="shared" si="46"/>
        <v>00/01/yyyy751</v>
      </c>
      <c r="B1477" s="171">
        <f t="shared" si="47"/>
        <v>751</v>
      </c>
    </row>
    <row r="1478" spans="1:2" ht="30" customHeight="1" x14ac:dyDescent="0.25">
      <c r="A1478" s="178" t="str">
        <f t="shared" si="46"/>
        <v>00/01/yyyy752</v>
      </c>
      <c r="B1478" s="171">
        <f t="shared" si="47"/>
        <v>752</v>
      </c>
    </row>
    <row r="1479" spans="1:2" ht="30" customHeight="1" x14ac:dyDescent="0.25">
      <c r="A1479" s="178" t="str">
        <f t="shared" si="46"/>
        <v>00/01/yyyy753</v>
      </c>
      <c r="B1479" s="171">
        <f t="shared" si="47"/>
        <v>753</v>
      </c>
    </row>
    <row r="1480" spans="1:2" ht="30" customHeight="1" x14ac:dyDescent="0.25">
      <c r="A1480" s="178" t="str">
        <f t="shared" si="46"/>
        <v>00/01/yyyy754</v>
      </c>
      <c r="B1480" s="171">
        <f t="shared" si="47"/>
        <v>754</v>
      </c>
    </row>
    <row r="1481" spans="1:2" ht="30" customHeight="1" x14ac:dyDescent="0.25">
      <c r="A1481" s="178" t="str">
        <f t="shared" si="46"/>
        <v>00/01/yyyy755</v>
      </c>
      <c r="B1481" s="171">
        <f t="shared" si="47"/>
        <v>755</v>
      </c>
    </row>
    <row r="1482" spans="1:2" ht="30" customHeight="1" x14ac:dyDescent="0.25">
      <c r="A1482" s="178" t="str">
        <f t="shared" si="46"/>
        <v>00/01/yyyy756</v>
      </c>
      <c r="B1482" s="171">
        <f t="shared" si="47"/>
        <v>756</v>
      </c>
    </row>
    <row r="1483" spans="1:2" ht="30" customHeight="1" x14ac:dyDescent="0.25">
      <c r="A1483" s="178" t="str">
        <f t="shared" si="46"/>
        <v>00/01/yyyy757</v>
      </c>
      <c r="B1483" s="171">
        <f t="shared" si="47"/>
        <v>757</v>
      </c>
    </row>
    <row r="1484" spans="1:2" ht="30" customHeight="1" x14ac:dyDescent="0.25">
      <c r="A1484" s="178" t="str">
        <f t="shared" si="46"/>
        <v>00/01/yyyy758</v>
      </c>
      <c r="B1484" s="171">
        <f t="shared" si="47"/>
        <v>758</v>
      </c>
    </row>
    <row r="1485" spans="1:2" ht="30" customHeight="1" x14ac:dyDescent="0.25">
      <c r="A1485" s="178" t="str">
        <f t="shared" si="46"/>
        <v>00/01/yyyy759</v>
      </c>
      <c r="B1485" s="171">
        <f t="shared" si="47"/>
        <v>759</v>
      </c>
    </row>
    <row r="1486" spans="1:2" ht="30" customHeight="1" x14ac:dyDescent="0.25">
      <c r="A1486" s="178" t="str">
        <f t="shared" si="46"/>
        <v>00/01/yyyy760</v>
      </c>
      <c r="B1486" s="171">
        <f t="shared" si="47"/>
        <v>760</v>
      </c>
    </row>
    <row r="1487" spans="1:2" ht="30" customHeight="1" x14ac:dyDescent="0.25">
      <c r="A1487" s="178" t="str">
        <f t="shared" si="46"/>
        <v>00/01/yyyy761</v>
      </c>
      <c r="B1487" s="171">
        <f t="shared" si="47"/>
        <v>761</v>
      </c>
    </row>
    <row r="1488" spans="1:2" ht="30" customHeight="1" x14ac:dyDescent="0.25">
      <c r="A1488" s="178" t="str">
        <f t="shared" si="46"/>
        <v>00/01/yyyy762</v>
      </c>
      <c r="B1488" s="171">
        <f t="shared" si="47"/>
        <v>762</v>
      </c>
    </row>
    <row r="1489" spans="1:2" ht="30" customHeight="1" x14ac:dyDescent="0.25">
      <c r="A1489" s="178" t="str">
        <f t="shared" si="46"/>
        <v>00/01/yyyy763</v>
      </c>
      <c r="B1489" s="171">
        <f t="shared" si="47"/>
        <v>763</v>
      </c>
    </row>
    <row r="1490" spans="1:2" ht="30" customHeight="1" x14ac:dyDescent="0.25">
      <c r="A1490" s="178" t="str">
        <f t="shared" si="46"/>
        <v>00/01/yyyy764</v>
      </c>
      <c r="B1490" s="171">
        <f t="shared" si="47"/>
        <v>764</v>
      </c>
    </row>
    <row r="1491" spans="1:2" ht="30" customHeight="1" x14ac:dyDescent="0.25">
      <c r="A1491" s="178" t="str">
        <f t="shared" si="46"/>
        <v>00/01/yyyy765</v>
      </c>
      <c r="B1491" s="171">
        <f t="shared" si="47"/>
        <v>765</v>
      </c>
    </row>
    <row r="1492" spans="1:2" ht="30" customHeight="1" x14ac:dyDescent="0.25">
      <c r="A1492" s="178" t="str">
        <f t="shared" si="46"/>
        <v>00/01/yyyy766</v>
      </c>
      <c r="B1492" s="171">
        <f t="shared" si="47"/>
        <v>766</v>
      </c>
    </row>
    <row r="1493" spans="1:2" ht="30" customHeight="1" x14ac:dyDescent="0.25">
      <c r="A1493" s="178" t="str">
        <f t="shared" si="46"/>
        <v>00/01/yyyy767</v>
      </c>
      <c r="B1493" s="171">
        <f t="shared" si="47"/>
        <v>767</v>
      </c>
    </row>
    <row r="1494" spans="1:2" ht="30" customHeight="1" x14ac:dyDescent="0.25">
      <c r="A1494" s="178" t="str">
        <f t="shared" si="46"/>
        <v>00/01/yyyy768</v>
      </c>
      <c r="B1494" s="171">
        <f t="shared" si="47"/>
        <v>768</v>
      </c>
    </row>
    <row r="1495" spans="1:2" ht="30" customHeight="1" x14ac:dyDescent="0.25">
      <c r="A1495" s="178" t="str">
        <f t="shared" si="46"/>
        <v>00/01/yyyy769</v>
      </c>
      <c r="B1495" s="171">
        <f t="shared" si="47"/>
        <v>769</v>
      </c>
    </row>
    <row r="1496" spans="1:2" ht="30" customHeight="1" x14ac:dyDescent="0.25">
      <c r="A1496" s="178" t="str">
        <f t="shared" si="46"/>
        <v>00/01/yyyy770</v>
      </c>
      <c r="B1496" s="171">
        <f t="shared" si="47"/>
        <v>770</v>
      </c>
    </row>
    <row r="1497" spans="1:2" ht="30" customHeight="1" x14ac:dyDescent="0.25">
      <c r="A1497" s="178" t="str">
        <f t="shared" si="46"/>
        <v>00/01/yyyy771</v>
      </c>
      <c r="B1497" s="171">
        <f t="shared" si="47"/>
        <v>771</v>
      </c>
    </row>
    <row r="1498" spans="1:2" ht="30" customHeight="1" x14ac:dyDescent="0.25">
      <c r="A1498" s="178" t="str">
        <f t="shared" si="46"/>
        <v>00/01/yyyy772</v>
      </c>
      <c r="B1498" s="171">
        <f t="shared" si="47"/>
        <v>772</v>
      </c>
    </row>
    <row r="1499" spans="1:2" ht="30" customHeight="1" x14ac:dyDescent="0.25">
      <c r="A1499" s="178" t="str">
        <f t="shared" si="46"/>
        <v>00/01/yyyy773</v>
      </c>
      <c r="B1499" s="171">
        <f t="shared" si="47"/>
        <v>773</v>
      </c>
    </row>
    <row r="1500" spans="1:2" ht="30" customHeight="1" x14ac:dyDescent="0.25">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2023-11-27T17:38:51Z</cp:lastPrinted>
  <dcterms:created xsi:type="dcterms:W3CDTF">2023-02-23T14:47:20Z</dcterms:created>
  <dcterms:modified xsi:type="dcterms:W3CDTF">2023-11-27T22:40:58Z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