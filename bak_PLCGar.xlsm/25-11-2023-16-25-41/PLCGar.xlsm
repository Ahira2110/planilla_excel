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builtInGroupCount="18"/>
  <externalReferences>
    <externalReference r:id="rId24"/>
    <externalReference r:id="rId25"/>
    <externalReference r:id="rId26"/>
  </externalReferences>
  <definedNames>
    <definedName name="_xlnm._FilterDatabase" localSheetId="0" hidden="1">EXPEDIENTES!$A$2:$AC$1068</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77" i="1" l="1"/>
  <c r="T977" i="1"/>
  <c r="P977" i="1"/>
  <c r="O977" i="1"/>
  <c r="K945" i="1"/>
  <c r="R1068" i="1"/>
  <c r="T1068" i="1"/>
  <c r="P1068" i="1"/>
  <c r="O1068" i="1"/>
  <c r="K1068" i="1"/>
  <c r="R1067" i="1"/>
  <c r="T1067" i="1"/>
  <c r="P1067" i="1"/>
  <c r="O1067" i="1"/>
  <c r="K1067" i="1"/>
  <c r="O1003" i="1"/>
  <c r="K1003" i="1"/>
  <c r="R1066" i="1" l="1"/>
  <c r="T1066" i="1"/>
  <c r="P1066" i="1"/>
  <c r="O1066" i="1"/>
  <c r="K1066" i="1"/>
  <c r="R1065" i="1"/>
  <c r="T1065" i="1"/>
  <c r="P1065" i="1"/>
  <c r="O1065" i="1"/>
  <c r="K1065" i="1"/>
  <c r="R1064" i="1"/>
  <c r="T1064" i="1"/>
  <c r="P1064" i="1"/>
  <c r="O1064" i="1"/>
  <c r="K1064" i="1"/>
  <c r="R995" i="1"/>
  <c r="T995" i="1"/>
  <c r="P995" i="1"/>
  <c r="O995" i="1"/>
  <c r="K995" i="1"/>
  <c r="R991" i="1"/>
  <c r="T991" i="1"/>
  <c r="P991" i="1"/>
  <c r="O991" i="1"/>
  <c r="K991" i="1"/>
  <c r="R1063" i="1"/>
  <c r="T1063" i="1"/>
  <c r="P1063" i="1"/>
  <c r="O1063" i="1"/>
  <c r="K1063" i="1"/>
  <c r="R974" i="1"/>
  <c r="T974" i="1"/>
  <c r="P974" i="1"/>
  <c r="O974" i="1"/>
  <c r="K974"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963" i="1"/>
  <c r="T963" i="1"/>
  <c r="P963" i="1"/>
  <c r="O963" i="1"/>
  <c r="K963" i="1"/>
  <c r="R1056" i="1"/>
  <c r="T1056" i="1"/>
  <c r="P1056" i="1"/>
  <c r="O1056" i="1"/>
  <c r="K1056" i="1"/>
  <c r="R1055" i="1"/>
  <c r="T1055" i="1"/>
  <c r="P1055" i="1"/>
  <c r="O1055" i="1"/>
  <c r="K1055" i="1"/>
  <c r="H32" i="17"/>
  <c r="R964" i="1"/>
  <c r="T964" i="1"/>
  <c r="P964" i="1"/>
  <c r="O964" i="1"/>
  <c r="R970" i="1"/>
  <c r="T970" i="1"/>
  <c r="P970" i="1"/>
  <c r="O970" i="1"/>
  <c r="K970" i="1"/>
  <c r="R1002" i="1"/>
  <c r="T1002" i="1"/>
  <c r="P1002" i="1"/>
  <c r="O1002" i="1"/>
  <c r="K1002" i="1"/>
  <c r="R998" i="1" l="1"/>
  <c r="T998" i="1"/>
  <c r="P998" i="1"/>
  <c r="O998" i="1"/>
  <c r="K998" i="1"/>
  <c r="H31" i="17" l="1"/>
  <c r="R994" i="1"/>
  <c r="T994" i="1"/>
  <c r="P994" i="1"/>
  <c r="O994" i="1"/>
  <c r="R1054" i="1"/>
  <c r="T1054" i="1"/>
  <c r="P1054" i="1"/>
  <c r="O1054" i="1"/>
  <c r="K1054" i="1"/>
  <c r="R1053" i="1"/>
  <c r="T1053" i="1"/>
  <c r="P1053" i="1"/>
  <c r="O1053" i="1"/>
  <c r="K1053" i="1"/>
  <c r="R1052" i="1"/>
  <c r="T1052" i="1"/>
  <c r="P1052" i="1"/>
  <c r="O1052" i="1"/>
  <c r="K1052" i="1"/>
  <c r="R1051" i="1"/>
  <c r="T1051" i="1"/>
  <c r="P1051" i="1"/>
  <c r="O1051" i="1"/>
  <c r="K1051" i="1"/>
  <c r="R1001" i="1"/>
  <c r="T1001" i="1"/>
  <c r="P1001" i="1"/>
  <c r="O1001" i="1"/>
  <c r="K1001" i="1"/>
  <c r="R1050" i="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1041" i="1"/>
  <c r="T1041" i="1"/>
  <c r="P1041" i="1"/>
  <c r="O1041" i="1"/>
  <c r="K1041" i="1"/>
  <c r="R1040" i="1"/>
  <c r="T1040" i="1"/>
  <c r="P1040" i="1"/>
  <c r="O1040" i="1"/>
  <c r="K1040" i="1"/>
  <c r="R969" i="1"/>
  <c r="T969" i="1"/>
  <c r="P969" i="1"/>
  <c r="O969" i="1"/>
  <c r="K969" i="1"/>
  <c r="R1039" i="1"/>
  <c r="T1039" i="1"/>
  <c r="P1039" i="1"/>
  <c r="O1039" i="1"/>
  <c r="K1039" i="1"/>
  <c r="R1038" i="1"/>
  <c r="T1038" i="1"/>
  <c r="P1038" i="1"/>
  <c r="O1038" i="1"/>
  <c r="K1038" i="1"/>
  <c r="R1037" i="1" l="1"/>
  <c r="T1037" i="1"/>
  <c r="P1037" i="1"/>
  <c r="O1037" i="1"/>
  <c r="K1037" i="1"/>
  <c r="R1036" i="1"/>
  <c r="T1036" i="1"/>
  <c r="P1036" i="1"/>
  <c r="O1036" i="1"/>
  <c r="K1036" i="1"/>
  <c r="R947" i="1"/>
  <c r="T947" i="1"/>
  <c r="P947" i="1"/>
  <c r="O947" i="1"/>
  <c r="R1035" i="1"/>
  <c r="T1035" i="1"/>
  <c r="P1035" i="1"/>
  <c r="O1035" i="1"/>
  <c r="K1035" i="1"/>
  <c r="R1034" i="1"/>
  <c r="T1034" i="1"/>
  <c r="P1034" i="1"/>
  <c r="O1034" i="1"/>
  <c r="K1034" i="1"/>
  <c r="R1033" i="1"/>
  <c r="T1033" i="1"/>
  <c r="P1033" i="1"/>
  <c r="O1033" i="1"/>
  <c r="K1033" i="1"/>
  <c r="R1032" i="1"/>
  <c r="T1032" i="1"/>
  <c r="P1032" i="1"/>
  <c r="O1032" i="1"/>
  <c r="K1032" i="1"/>
  <c r="R1031" i="1"/>
  <c r="T1031" i="1"/>
  <c r="P1031" i="1"/>
  <c r="O1031" i="1"/>
  <c r="K1031" i="1"/>
  <c r="R1030" i="1"/>
  <c r="T1030" i="1"/>
  <c r="P1030" i="1"/>
  <c r="O1030" i="1"/>
  <c r="K1030" i="1"/>
  <c r="R1029" i="1"/>
  <c r="T1029" i="1"/>
  <c r="P1029" i="1"/>
  <c r="O1029" i="1"/>
  <c r="K1029" i="1"/>
  <c r="R1028" i="1"/>
  <c r="T1028" i="1"/>
  <c r="P1028" i="1"/>
  <c r="O1028" i="1"/>
  <c r="K1028" i="1"/>
  <c r="R1015" i="1"/>
  <c r="T1015" i="1"/>
  <c r="P1015" i="1"/>
  <c r="O1015" i="1"/>
  <c r="R1027" i="1" l="1"/>
  <c r="T1027" i="1"/>
  <c r="P1027" i="1"/>
  <c r="O1027" i="1"/>
  <c r="K1027" i="1"/>
  <c r="R1026" i="1"/>
  <c r="T1026" i="1"/>
  <c r="P1026" i="1"/>
  <c r="O1026" i="1"/>
  <c r="K1026" i="1"/>
  <c r="R1025" i="1"/>
  <c r="T1025" i="1"/>
  <c r="P1025" i="1"/>
  <c r="O1025" i="1"/>
  <c r="K1025" i="1"/>
  <c r="R1011" i="1"/>
  <c r="T1011" i="1"/>
  <c r="P1011" i="1"/>
  <c r="O1011" i="1"/>
  <c r="K1011" i="1"/>
  <c r="R928" i="1"/>
  <c r="T928" i="1"/>
  <c r="P928" i="1"/>
  <c r="O928" i="1"/>
  <c r="R990" i="1" l="1"/>
  <c r="T990" i="1"/>
  <c r="P990" i="1"/>
  <c r="O990" i="1"/>
  <c r="K990" i="1"/>
  <c r="R1024" i="1" l="1"/>
  <c r="T1024" i="1"/>
  <c r="P1024" i="1"/>
  <c r="O1024" i="1"/>
  <c r="K1024" i="1"/>
  <c r="R1014" i="1"/>
  <c r="T1014" i="1"/>
  <c r="P1014" i="1"/>
  <c r="O1014" i="1"/>
  <c r="K1014" i="1"/>
  <c r="R1010" i="1"/>
  <c r="T1010" i="1"/>
  <c r="P1010" i="1"/>
  <c r="O1010" i="1"/>
  <c r="K1010" i="1"/>
  <c r="R968" i="1"/>
  <c r="T968" i="1"/>
  <c r="P968" i="1"/>
  <c r="O968" i="1"/>
  <c r="K968" i="1"/>
  <c r="R1017" i="1"/>
  <c r="T1017" i="1"/>
  <c r="P1017" i="1"/>
  <c r="O1017" i="1"/>
  <c r="K1017" i="1"/>
  <c r="R1013" i="1"/>
  <c r="T1013" i="1"/>
  <c r="P1013" i="1"/>
  <c r="O1013" i="1"/>
  <c r="K1013" i="1"/>
  <c r="R1023" i="1"/>
  <c r="T1023" i="1"/>
  <c r="P1023" i="1"/>
  <c r="O1023" i="1"/>
  <c r="K1023" i="1"/>
  <c r="R1012" i="1"/>
  <c r="T1012" i="1"/>
  <c r="P1012" i="1"/>
  <c r="O1012" i="1"/>
  <c r="K1012" i="1"/>
  <c r="R1022" i="1"/>
  <c r="T1022" i="1"/>
  <c r="P1022" i="1"/>
  <c r="O1022" i="1"/>
  <c r="K1022" i="1"/>
  <c r="R1008" i="1"/>
  <c r="T1008" i="1"/>
  <c r="P1008" i="1"/>
  <c r="O1008" i="1"/>
  <c r="K1008" i="1"/>
  <c r="R982" i="1" l="1"/>
  <c r="T982" i="1"/>
  <c r="P982" i="1"/>
  <c r="O982" i="1"/>
  <c r="K982" i="1"/>
  <c r="R973" i="1"/>
  <c r="T973" i="1"/>
  <c r="P973" i="1"/>
  <c r="O973" i="1"/>
  <c r="K973" i="1"/>
  <c r="R1007" i="1"/>
  <c r="T1007" i="1"/>
  <c r="P1007" i="1"/>
  <c r="O1007" i="1"/>
  <c r="K1007" i="1"/>
  <c r="R985" i="1"/>
  <c r="T985" i="1"/>
  <c r="P985" i="1"/>
  <c r="O985" i="1"/>
  <c r="K985" i="1"/>
  <c r="R1004" i="1"/>
  <c r="T1004" i="1"/>
  <c r="P1004" i="1"/>
  <c r="O1004" i="1"/>
  <c r="K1004" i="1"/>
  <c r="R1000" i="1"/>
  <c r="T1000" i="1"/>
  <c r="P1000" i="1"/>
  <c r="O1000" i="1"/>
  <c r="K1000" i="1"/>
  <c r="R962" i="1"/>
  <c r="T962" i="1"/>
  <c r="P962" i="1"/>
  <c r="O962" i="1"/>
  <c r="R989" i="1"/>
  <c r="T989" i="1"/>
  <c r="P989" i="1"/>
  <c r="O989" i="1"/>
  <c r="K989" i="1"/>
  <c r="R993" i="1" l="1"/>
  <c r="T993" i="1"/>
  <c r="P993" i="1"/>
  <c r="O993" i="1"/>
  <c r="K993" i="1"/>
  <c r="R997" i="1"/>
  <c r="T997" i="1"/>
  <c r="P997" i="1"/>
  <c r="O997" i="1"/>
  <c r="K997" i="1"/>
  <c r="R1009" i="1"/>
  <c r="T1009" i="1"/>
  <c r="P1009" i="1"/>
  <c r="O1009" i="1"/>
  <c r="K1009" i="1"/>
  <c r="R996" i="1"/>
  <c r="T996" i="1"/>
  <c r="P996" i="1"/>
  <c r="O996" i="1"/>
  <c r="R895" i="1"/>
  <c r="T895" i="1"/>
  <c r="P895" i="1"/>
  <c r="O895" i="1"/>
  <c r="R1021" i="1"/>
  <c r="T1021" i="1"/>
  <c r="P1021" i="1"/>
  <c r="O1021" i="1"/>
  <c r="K1021" i="1"/>
  <c r="R984" i="1"/>
  <c r="T984" i="1"/>
  <c r="P984" i="1"/>
  <c r="O984" i="1"/>
  <c r="K984" i="1"/>
  <c r="R1016" i="1"/>
  <c r="T1016" i="1"/>
  <c r="P1016" i="1"/>
  <c r="O1016" i="1"/>
  <c r="K1016" i="1"/>
  <c r="R1006" i="1" l="1"/>
  <c r="T1006" i="1"/>
  <c r="P1006" i="1"/>
  <c r="O1006" i="1"/>
  <c r="K1006" i="1"/>
  <c r="R967" i="1"/>
  <c r="T967" i="1"/>
  <c r="P967" i="1"/>
  <c r="O967" i="1"/>
  <c r="R988" i="1"/>
  <c r="T988" i="1"/>
  <c r="P988" i="1"/>
  <c r="O988" i="1"/>
  <c r="K988" i="1"/>
  <c r="R992" i="1"/>
  <c r="T992" i="1"/>
  <c r="P992" i="1"/>
  <c r="O992" i="1"/>
  <c r="K992" i="1"/>
  <c r="R981" i="1"/>
  <c r="T981" i="1"/>
  <c r="P981" i="1"/>
  <c r="O981" i="1"/>
  <c r="K981" i="1"/>
  <c r="R980" i="1"/>
  <c r="T980" i="1"/>
  <c r="P980" i="1"/>
  <c r="O980" i="1"/>
  <c r="K980" i="1"/>
  <c r="R979" i="1"/>
  <c r="T979" i="1"/>
  <c r="P979" i="1"/>
  <c r="O979" i="1"/>
  <c r="K979" i="1"/>
  <c r="R1020" i="1"/>
  <c r="T1020" i="1"/>
  <c r="P1020" i="1"/>
  <c r="O1020" i="1"/>
  <c r="K1020" i="1"/>
  <c r="R1005" i="1"/>
  <c r="T1005" i="1"/>
  <c r="P1005" i="1"/>
  <c r="O1005" i="1"/>
  <c r="K1005" i="1"/>
  <c r="R971" i="1"/>
  <c r="T971" i="1"/>
  <c r="P971" i="1"/>
  <c r="O971" i="1"/>
  <c r="K971" i="1"/>
  <c r="R920" i="1"/>
  <c r="T920" i="1"/>
  <c r="P920" i="1"/>
  <c r="O920" i="1"/>
  <c r="K920" i="1"/>
  <c r="R925" i="1" l="1"/>
  <c r="T925" i="1"/>
  <c r="P925" i="1"/>
  <c r="O925" i="1"/>
  <c r="R983" i="1"/>
  <c r="T983" i="1"/>
  <c r="P983" i="1"/>
  <c r="O983" i="1"/>
  <c r="K983" i="1"/>
  <c r="R987" i="1"/>
  <c r="T987" i="1"/>
  <c r="P987" i="1"/>
  <c r="O987" i="1"/>
  <c r="R978" i="1"/>
  <c r="T978" i="1"/>
  <c r="P978" i="1"/>
  <c r="O978" i="1"/>
  <c r="K978" i="1"/>
  <c r="R999" i="1"/>
  <c r="T999" i="1"/>
  <c r="P999" i="1"/>
  <c r="O999" i="1"/>
  <c r="K999" i="1"/>
  <c r="R986" i="1"/>
  <c r="T986" i="1"/>
  <c r="P986" i="1"/>
  <c r="O986" i="1"/>
  <c r="R927" i="1"/>
  <c r="T927" i="1"/>
  <c r="P927" i="1"/>
  <c r="O927" i="1"/>
  <c r="K927" i="1"/>
  <c r="R959" i="1"/>
  <c r="T959" i="1"/>
  <c r="P959" i="1"/>
  <c r="O959" i="1"/>
  <c r="K959" i="1"/>
  <c r="R955" i="1"/>
  <c r="T955" i="1"/>
  <c r="P955" i="1"/>
  <c r="O955" i="1"/>
  <c r="K955" i="1"/>
  <c r="R948" i="1"/>
  <c r="T948" i="1"/>
  <c r="P948" i="1"/>
  <c r="O948" i="1"/>
  <c r="K948" i="1"/>
  <c r="R966" i="1"/>
  <c r="T966" i="1"/>
  <c r="P966" i="1"/>
  <c r="O966" i="1"/>
  <c r="K966" i="1"/>
  <c r="R972" i="1"/>
  <c r="T972" i="1"/>
  <c r="P972" i="1"/>
  <c r="O972" i="1"/>
  <c r="K972" i="1"/>
  <c r="H27" i="17"/>
  <c r="R924" i="1"/>
  <c r="T924" i="1"/>
  <c r="P924" i="1"/>
  <c r="O924" i="1"/>
  <c r="K924" i="1"/>
  <c r="R946" i="1"/>
  <c r="T946" i="1"/>
  <c r="P946" i="1"/>
  <c r="O946" i="1"/>
  <c r="K946" i="1"/>
  <c r="R961" i="1"/>
  <c r="T961" i="1"/>
  <c r="P961" i="1"/>
  <c r="O961" i="1"/>
  <c r="K961" i="1"/>
  <c r="R954" i="1"/>
  <c r="T954" i="1"/>
  <c r="P954" i="1"/>
  <c r="O954" i="1"/>
  <c r="R951" i="1"/>
  <c r="T951" i="1"/>
  <c r="P951" i="1"/>
  <c r="O951" i="1"/>
  <c r="K951" i="1"/>
  <c r="R950" i="1"/>
  <c r="T950" i="1"/>
  <c r="P950" i="1"/>
  <c r="O950" i="1"/>
  <c r="K950" i="1"/>
  <c r="R958" i="1"/>
  <c r="T958" i="1"/>
  <c r="P958" i="1"/>
  <c r="O958" i="1"/>
  <c r="R965" i="1"/>
  <c r="T965" i="1"/>
  <c r="P965" i="1"/>
  <c r="O965" i="1"/>
  <c r="R930" i="1"/>
  <c r="T930" i="1"/>
  <c r="P930" i="1"/>
  <c r="O930" i="1"/>
  <c r="R937" i="1"/>
  <c r="T937" i="1"/>
  <c r="P937" i="1"/>
  <c r="O937" i="1"/>
  <c r="K937" i="1"/>
  <c r="R976" i="1"/>
  <c r="T976" i="1"/>
  <c r="P976" i="1"/>
  <c r="O976" i="1"/>
  <c r="R960" i="1"/>
  <c r="T960" i="1"/>
  <c r="P960" i="1"/>
  <c r="O960" i="1"/>
  <c r="R916" i="1"/>
  <c r="T916" i="1"/>
  <c r="P916" i="1"/>
  <c r="O916" i="1"/>
  <c r="R975" i="1"/>
  <c r="T975" i="1"/>
  <c r="P975" i="1"/>
  <c r="O975" i="1"/>
  <c r="K975" i="1"/>
  <c r="R935" i="1"/>
  <c r="T935" i="1"/>
  <c r="P935" i="1"/>
  <c r="O935" i="1"/>
  <c r="K935" i="1"/>
  <c r="R945" i="1"/>
  <c r="T945" i="1"/>
  <c r="P945" i="1"/>
  <c r="O945" i="1"/>
  <c r="R905" i="1" l="1"/>
  <c r="T905" i="1"/>
  <c r="P905" i="1"/>
  <c r="O905" i="1"/>
  <c r="R953" i="1" l="1"/>
  <c r="T953" i="1"/>
  <c r="P953" i="1"/>
  <c r="O953" i="1"/>
  <c r="K953" i="1"/>
  <c r="R929" i="1"/>
  <c r="T929" i="1"/>
  <c r="P929" i="1"/>
  <c r="O929" i="1"/>
  <c r="K929" i="1"/>
  <c r="R942" i="1"/>
  <c r="T942" i="1"/>
  <c r="P942" i="1"/>
  <c r="O942" i="1"/>
  <c r="K942" i="1"/>
  <c r="R923" i="1"/>
  <c r="T923" i="1"/>
  <c r="P923" i="1"/>
  <c r="O923" i="1"/>
  <c r="K923" i="1"/>
  <c r="R936" i="1"/>
  <c r="T936" i="1"/>
  <c r="P936" i="1"/>
  <c r="O936" i="1"/>
  <c r="K936" i="1"/>
  <c r="R934" i="1"/>
  <c r="T934" i="1"/>
  <c r="P934" i="1"/>
  <c r="O934" i="1"/>
  <c r="R922" i="1"/>
  <c r="T922" i="1"/>
  <c r="P922" i="1"/>
  <c r="O922" i="1"/>
  <c r="K922" i="1"/>
  <c r="R931" i="1"/>
  <c r="T931" i="1"/>
  <c r="P931" i="1"/>
  <c r="O931" i="1"/>
  <c r="R957" i="1"/>
  <c r="T957" i="1"/>
  <c r="P957" i="1"/>
  <c r="O957" i="1"/>
  <c r="K957" i="1"/>
  <c r="R952" i="1"/>
  <c r="T952" i="1"/>
  <c r="P952" i="1"/>
  <c r="O952" i="1"/>
  <c r="R941" i="1"/>
  <c r="T941" i="1"/>
  <c r="P941" i="1"/>
  <c r="O941" i="1"/>
  <c r="K941" i="1"/>
  <c r="R915" i="1"/>
  <c r="T915" i="1"/>
  <c r="P915" i="1"/>
  <c r="O915" i="1"/>
  <c r="R926" i="1"/>
  <c r="T926" i="1"/>
  <c r="P926" i="1"/>
  <c r="O926" i="1"/>
  <c r="K926" i="1"/>
  <c r="R949" i="1"/>
  <c r="T949" i="1"/>
  <c r="P949" i="1"/>
  <c r="O949" i="1"/>
  <c r="R944" i="1"/>
  <c r="T944" i="1"/>
  <c r="P944" i="1"/>
  <c r="O944" i="1"/>
  <c r="K944" i="1"/>
  <c r="R938" i="1"/>
  <c r="T938" i="1"/>
  <c r="P938" i="1"/>
  <c r="O938" i="1"/>
  <c r="R940" i="1"/>
  <c r="T940" i="1"/>
  <c r="P940" i="1"/>
  <c r="O940" i="1"/>
  <c r="R939" i="1"/>
  <c r="T939" i="1"/>
  <c r="P939" i="1"/>
  <c r="O939"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AW44" i="3"/>
  <c r="AT44" i="3"/>
  <c r="R918" i="1"/>
  <c r="T918" i="1"/>
  <c r="P918" i="1"/>
  <c r="O918" i="1"/>
  <c r="K918" i="1"/>
  <c r="R904" i="1"/>
  <c r="T904" i="1"/>
  <c r="P904" i="1"/>
  <c r="O904" i="1"/>
  <c r="K904"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870" i="1"/>
  <c r="T870" i="1"/>
  <c r="P870" i="1"/>
  <c r="O870" i="1"/>
  <c r="R921" i="1"/>
  <c r="T921" i="1"/>
  <c r="P921" i="1"/>
  <c r="O921" i="1"/>
  <c r="R883" i="1"/>
  <c r="T883" i="1"/>
  <c r="P883" i="1"/>
  <c r="O883" i="1"/>
  <c r="R912" i="1"/>
  <c r="T912" i="1"/>
  <c r="P912" i="1"/>
  <c r="O912" i="1"/>
  <c r="K912" i="1"/>
  <c r="R903" i="1"/>
  <c r="T903" i="1"/>
  <c r="P903" i="1"/>
  <c r="O903"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69" i="1"/>
  <c r="T869" i="1"/>
  <c r="P869" i="1"/>
  <c r="O869" i="1"/>
  <c r="K869" i="1"/>
  <c r="R911" i="1"/>
  <c r="T911" i="1"/>
  <c r="P911" i="1"/>
  <c r="O911" i="1"/>
  <c r="K911" i="1"/>
  <c r="R906" i="1"/>
  <c r="T906" i="1"/>
  <c r="P906" i="1"/>
  <c r="O906" i="1"/>
  <c r="R882" i="1"/>
  <c r="T882" i="1"/>
  <c r="P882" i="1"/>
  <c r="O882" i="1"/>
  <c r="K882" i="1"/>
  <c r="R900" i="1"/>
  <c r="T900" i="1"/>
  <c r="P900" i="1"/>
  <c r="O900" i="1"/>
  <c r="K900" i="1"/>
  <c r="R902" i="1"/>
  <c r="T902" i="1"/>
  <c r="P902" i="1"/>
  <c r="O902" i="1"/>
  <c r="K902" i="1"/>
  <c r="R875" i="1"/>
  <c r="T875" i="1"/>
  <c r="P875" i="1"/>
  <c r="O875"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1018" i="1"/>
  <c r="R1018" i="1"/>
  <c r="T1018" i="1"/>
  <c r="P1018" i="1"/>
  <c r="O1018"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3" i="1"/>
  <c r="T943" i="1"/>
  <c r="P943" i="1"/>
  <c r="O943"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1019" i="1"/>
  <c r="T1019" i="1"/>
  <c r="P1019" i="1"/>
  <c r="O1019"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780" i="1"/>
  <c r="T780" i="1"/>
  <c r="P780" i="1"/>
  <c r="O780" i="1"/>
  <c r="K780" i="1"/>
  <c r="R795" i="1"/>
  <c r="T795" i="1"/>
  <c r="P795" i="1"/>
  <c r="O795" i="1"/>
  <c r="R956" i="1"/>
  <c r="T956" i="1"/>
  <c r="P956" i="1"/>
  <c r="O956" i="1"/>
  <c r="K956" i="1"/>
  <c r="R808" i="1"/>
  <c r="T808" i="1"/>
  <c r="P808" i="1"/>
  <c r="O808" i="1"/>
  <c r="R784" i="1"/>
  <c r="T784" i="1"/>
  <c r="P784" i="1"/>
  <c r="O784" i="1"/>
  <c r="K784"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7" i="7" l="1"/>
  <c r="A9" i="7"/>
  <c r="A6" i="7"/>
  <c r="AQ14" i="24"/>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<sst xmlns="http://schemas.openxmlformats.org/spreadsheetml/2006/main" count="20119" uniqueCount="4329">
  <si>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</si>
  <si>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</si>
  <si>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</si>
  <si>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</si>
  <si>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</si>
  <si>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</si>
  <si>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</si>
  <si>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</si>
  <si>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</si>
  <si>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</si>
  <si>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</si>
  <si>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</si>
  <si>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</si>
  <si>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</si>
  <si>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</si>
  <si>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</si>
  <si>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</si>
  <si>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</si>
  <si>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</si>
  <si>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</si>
  <si>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</si>
  <si>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</si>
  <si>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</si>
  <si>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</si>
  <si>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</si>
  <si>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</si>
  <si>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</si>
  <si>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</si>
  <si>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</si>
  <si>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</si>
  <si>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</si>
  <si>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</si>
  <si>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</si>
  <si>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</si>
  <si>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</si>
  <si>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</si>
  <si>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</si>
  <si>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</si>
  <si>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</si>
  <si>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</si>
  <si>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</si>
  <si>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</si>
  <si>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</si>
  <si>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</si>
  <si>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</si>
  <si>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</si>
  <si>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</si>
  <si>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</si>
  <si>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</si>
  <si>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</si>
  <si>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</si>
  <si>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</si>
  <si>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</si>
  <si>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</si>
  <si>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</si>
  <si>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</si>
  <si>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</si>
  <si>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</si>
  <si>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</si>
  <si>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</si>
  <si>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</si>
  <si>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</si>
  <si>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</si>
  <si>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</si>
  <si>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</si>
  <si>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</si>
  <si>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</si>
  <si>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</si>
  <si>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</si>
  <si>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</si>
  <si>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</si>
  <si>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</si>
  <si>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</si>
  <si>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</si>
  <si>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</si>
  <si>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</si>
  <si>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</si>
  <si>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</si>
  <si>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</si>
  <si>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</si>
  <si>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</si>
  <si>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</si>
  <si>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</si>
  <si>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</si>
  <si>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</si>
  <si>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</si>
  <si>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</si>
  <si>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</si>
  <si>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</si>
  <si>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</si>
  <si>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</si>
  <si>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</si>
  <si>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</si>
  <si>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</si>
  <si>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</si>
  <si>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</si>
  <si>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</si>
  <si>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</si>
  <si>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</si>
  <si>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</si>
  <si>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</si>
  <si>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</si>
  <si>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</si>
  <si>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</si>
  <si>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</si>
  <si>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</si>
  <si>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</si>
  <si>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</si>
  <si>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</si>
  <si>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</si>
  <si>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</si>
  <si>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</si>
  <si>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</si>
  <si>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</si>
  <si>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</si>
  <si>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</si>
  <si>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</si>
  <si>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</si>
  <si>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</si>
  <si>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</si>
  <si>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</si>
  <si>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</si>
  <si>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</si>
  <si>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</si>
  <si>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</si>
  <si>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</si>
  <si>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</si>
  <si>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</si>
  <si>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</si>
  <si>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</si>
  <si>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</si>
  <si>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</si>
  <si>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</si>
  <si>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</si>
  <si>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</si>
  <si>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</si>
  <si>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</si>
  <si>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</si>
  <si>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</si>
  <si>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</si>
  <si>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</si>
  <si>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</si>
  <si>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</si>
  <si>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</si>
  <si>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</si>
  <si>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</si>
  <si>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</si>
  <si>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</si>
  <si>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</si>
  <si>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</si>
  <si>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</si>
  <si>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</si>
  <si>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</si>
  <si>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</si>
  <si>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</si>
  <si>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</si>
  <si>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</si>
  <si>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</si>
  <si>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</si>
  <si>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</si>
  <si>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</si>
  <si>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</si>
  <si>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</si>
  <si>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</si>
  <si>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</si>
  <si>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</si>
  <si>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</si>
  <si>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</si>
  <si>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</si>
  <si>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</si>
  <si>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</si>
  <si>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</si>
  <si>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</si>
  <si>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</si>
  <si>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</si>
  <si>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</si>
  <si>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</si>
  <si>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</si>
  <si>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</si>
  <si>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</si>
  <si>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</si>
  <si>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</si>
  <si>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</si>
  <si>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</si>
  <si>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</si>
  <si>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</si>
  <si>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</si>
  <si>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</si>
  <si>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</si>
  <si>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</si>
  <si>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</si>
  <si>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</si>
  <si>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</si>
  <si>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</si>
  <si>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</si>
  <si>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</si>
  <si>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</si>
  <si>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</si>
  <si>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</si>
  <si>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</si>
  <si>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</si>
  <si>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</si>
  <si>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</si>
  <si>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</si>
  <si>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</si>
  <si>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</si>
  <si>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</si>
  <si>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</si>
  <si>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</si>
  <si>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</si>
  <si>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</si>
  <si>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</si>
  <si>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</si>
  <si>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</si>
  <si>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</si>
  <si>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</si>
  <si>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</si>
  <si>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</si>
  <si>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</si>
  <si>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</si>
  <si>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</si>
  <si>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</si>
  <si>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</si>
  <si>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</si>
  <si>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</si>
  <si>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</si>
  <si>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</si>
  <si>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</si>
  <si>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</si>
  <si>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</si>
  <si>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</si>
  <si>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</si>
  <si>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</si>
  <si>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</si>
  <si>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</si>
  <si>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</si>
  <si>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</si>
  <si>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</si>
  <si>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</si>
  <si>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</si>
  <si>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</si>
  <si>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</si>
  <si>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</si>
  <si>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</si>
  <si>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</si>
  <si>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</si>
  <si>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</si>
  <si>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</si>
  <si>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</si>
  <si>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</si>
  <si>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</si>
  <si>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</si>
  <si>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</si>
  <si>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</si>
  <si>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</si>
  <si>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</si>
  <si>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</si>
  <si>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</si>
  <si>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</si>
  <si>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</si>
  <si>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</si>
  <si>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</si>
  <si>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</si>
  <si>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</si>
  <si>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</si>
  <si>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</si>
  <si>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</si>
  <si>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</si>
  <si>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</si>
  <si>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</si>
  <si>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</si>
  <si>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</si>
  <si>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</si>
  <si>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</si>
  <si>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</si>
  <si>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</si>
  <si>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</si>
  <si>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</si>
  <si>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</si>
  <si>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</si>
  <si>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</si>
  <si>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</si>
  <si>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</si>
  <si>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</si>
  <si>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</si>
  <si>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</si>
  <si>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</si>
  <si>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</si>
  <si>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</si>
  <si>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</si>
  <si>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</si>
  <si>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</si>
  <si>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</si>
  <si>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</si>
  <si>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</si>
  <si>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</si>
  <si>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</si>
  <si>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</si>
  <si>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</si>
  <si>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</si>
  <si>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</si>
  <si>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</si>
  <si>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</si>
  <si>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</si>
  <si>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</si>
  <si>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</si>
  <si>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</si>
  <si>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</si>
  <si>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</si>
  <si>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</si>
  <si>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</si>
  <si>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</si>
  <si>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</si>
  <si>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</si>
  <si>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</si>
  <si>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</si>
  <si>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</si>
  <si>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</si>
  <si>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</si>
  <si>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</si>
  <si>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</si>
  <si>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</si>
  <si>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</si>
  <si>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</si>
  <si>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</si>
  <si>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</si>
  <si>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</si>
  <si>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</si>
  <si>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</si>
  <si>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</si>
  <si>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</si>
  <si>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</si>
  <si>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</si>
  <si>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</si>
  <si>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</si>
  <si>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</si>
  <si>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</si>
  <si>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</si>
  <si>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</si>
  <si>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</si>
  <si>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</si>
  <si>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</si>
  <si>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</si>
  <si>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</si>
  <si>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</si>
  <si>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</si>
  <si>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</si>
  <si>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</si>
  <si>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</si>
  <si>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</si>
  <si>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</si>
  <si>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</si>
  <si>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</si>
  <si>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</si>
  <si>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</si>
  <si>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</si>
  <si>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</si>
  <si>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</si>
  <si>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</si>
  <si>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</si>
  <si>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</si>
  <si>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</si>
  <si>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</si>
  <si>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</si>
  <si>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</si>
  <si>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</si>
  <si>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</si>
  <si>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</si>
  <si>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</si>
  <si>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</si>
  <si>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</si>
  <si>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</si>
  <si>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</si>
  <si>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</si>
  <si>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</si>
  <si>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</si>
  <si>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</si>
  <si>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</si>
  <si>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</si>
  <si>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</si>
  <si>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</si>
  <si>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</si>
  <si>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</si>
  <si>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</si>
  <si>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</si>
  <si>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</si>
  <si>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</si>
  <si>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</si>
  <si>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</si>
  <si>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</si>
  <si>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</si>
  <si>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</si>
  <si>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</si>
  <si>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</si>
  <si>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</si>
  <si>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</si>
  <si>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</si>
  <si>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</si>
  <si>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</si>
  <si>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</si>
  <si>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</si>
  <si>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</si>
  <si>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</si>
  <si>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</si>
  <si>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</si>
  <si>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</si>
  <si>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</si>
  <si>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</si>
  <si>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</si>
  <si>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</si>
  <si>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</si>
  <si>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</si>
  <si>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</si>
  <si>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</si>
  <si>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</si>
  <si>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</si>
  <si>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</si>
  <si>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</si>
  <si>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</si>
  <si>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</si>
  <si>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</si>
  <si>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</si>
  <si>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</si>
  <si>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</si>
  <si>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</si>
  <si>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</si>
  <si>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</si>
  <si>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</si>
  <si>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</si>
  <si>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</si>
  <si>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</si>
  <si>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</si>
  <si>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</si>
  <si>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</si>
  <si>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</si>
  <si>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</si>
  <si>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</si>
  <si>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</si>
  <si>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</si>
  <si>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</si>
  <si>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</si>
  <si>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</si>
  <si>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</si>
  <si>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</si>
  <si>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</si>
  <si>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</si>
  <si>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</si>
  <si>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</si>
  <si>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</si>
  <si>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</si>
  <si>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</si>
  <si>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</si>
  <si>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</si>
  <si>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</si>
  <si>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</si>
  <si>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</si>
  <si>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</si>
  <si>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</si>
  <si>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</si>
  <si>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</si>
  <si>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</si>
  <si>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</si>
  <si>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</si>
  <si>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</si>
  <si>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</si>
  <si>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</si>
  <si>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</si>
  <si>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</si>
  <si>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</si>
  <si>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</si>
  <si>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</si>
  <si>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</si>
  <si>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</si>
  <si>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</si>
  <si>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</si>
  <si>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</si>
  <si>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</si>
  <si>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</si>
  <si>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</si>
  <si>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</si>
  <si>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</si>
  <si>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</si>
  <si>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</si>
  <si>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</si>
  <si>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</si>
  <si>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</si>
  <si>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</si>
  <si>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</si>
  <si>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</si>
  <si>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</si>
  <si>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</si>
  <si>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</si>
  <si>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</si>
  <si>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</si>
  <si>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</si>
  <si>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</si>
  <si>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</si>
  <si>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</si>
  <si>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</si>
  <si>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</si>
  <si>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</si>
  <si>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</si>
  <si>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</si>
  <si>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</si>
  <si>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</si>
  <si>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</si>
  <si>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</si>
  <si>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</si>
  <si>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</si>
  <si>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</si>
  <si>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</si>
  <si>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</si>
  <si>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</si>
  <si>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</si>
  <si>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</si>
  <si>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</si>
  <si>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</si>
  <si>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</si>
  <si>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</si>
  <si>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</si>
  <si>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</si>
  <si>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</si>
  <si>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</si>
  <si>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</si>
  <si>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</si>
  <si>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</si>
  <si>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</si>
  <si>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</si>
  <si>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</si>
  <si>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</si>
  <si>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</si>
  <si>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</si>
  <si>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</si>
  <si>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</si>
  <si>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</si>
  <si>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</si>
  <si>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</si>
  <si>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</si>
  <si>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</si>
  <si>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</si>
  <si>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</si>
  <si>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</si>
  <si>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</si>
  <si>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</si>
  <si>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</si>
  <si>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</si>
  <si>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</si>
  <si>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</si>
  <si>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</si>
  <si>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</si>
  <si>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</si>
  <si>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</si>
  <si>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</si>
  <si>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</si>
  <si>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</si>
  <si>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</si>
  <si>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</si>
  <si>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</si>
  <si>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</si>
  <si>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</si>
  <si>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</si>
  <si>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</si>
  <si>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</si>
  <si>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</si>
  <si>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</si>
  <si>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</si>
  <si>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</si>
  <si>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</si>
  <si>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</si>
  <si>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</si>
  <si>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</si>
  <si>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</si>
  <si>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</si>
  <si>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</si>
  <si>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</si>
  <si>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</si>
  <si>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</si>
  <si>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</si>
  <si>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</si>
  <si>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</si>
  <si>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</si>
  <si>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</si>
  <si>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</si>
  <si>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</si>
  <si>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</si>
  <si>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</si>
  <si>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</si>
  <si>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</si>
  <si>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</si>
  <si>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</si>
  <si>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</si>
  <si>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</si>
  <si>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</si>
  <si>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</si>
  <si>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</si>
  <si>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</si>
  <si>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</si>
  <si>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</si>
  <si>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</si>
  <si>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</si>
  <si>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</si>
  <si>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</si>
  <si>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</si>
  <si>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</si>
  <si>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</si>
  <si>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</si>
  <si>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</si>
  <si>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</si>
  <si>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</si>
  <si>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</si>
  <si>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</si>
  <si>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</si>
  <si>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</si>
  <si>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</si>
  <si>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</si>
  <si>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</si>
  <si>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</si>
  <si>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</si>
  <si>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</si>
  <si>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</si>
  <si>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</si>
  <si>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</si>
  <si>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</si>
  <si>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</si>
  <si>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</si>
  <si>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</si>
  <si>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</si>
  <si>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</si>
  <si>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</si>
  <si>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</si>
  <si>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</si>
  <si>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</si>
  <si>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</si>
  <si>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</si>
  <si>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</si>
  <si>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</si>
  <si>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</si>
  <si>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</si>
  <si>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</si>
  <si>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</si>
  <si>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</si>
  <si>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</si>
  <si>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</si>
  <si>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</si>
  <si>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</si>
  <si>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</si>
  <si>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</si>
  <si>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</si>
  <si>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</si>
  <si>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</si>
  <si>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</si>
  <si>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</si>
  <si>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</si>
  <si>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</si>
  <si>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</si>
  <si>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</si>
  <si>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</si>
  <si>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</si>
  <si>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</si>
  <si>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</si>
  <si>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</si>
  <si>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</si>
  <si>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</si>
  <si>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</si>
  <si>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</si>
  <si>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</si>
  <si>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</si>
  <si>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</si>
  <si>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</si>
  <si>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</si>
  <si>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</si>
  <si>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</si>
  <si>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</si>
  <si>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</si>
  <si>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</si>
  <si>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</si>
  <si>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</si>
  <si>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</si>
  <si>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</si>
  <si>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</si>
  <si>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</si>
  <si>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</si>
  <si>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</si>
  <si>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</si>
  <si>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</si>
  <si>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</si>
  <si>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</si>
  <si>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</si>
  <si>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</si>
  <si>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</si>
  <si>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</si>
  <si>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</si>
  <si>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</si>
  <si>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</si>
  <si>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</si>
  <si>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</si>
  <si>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</si>
  <si>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</si>
  <si>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</si>
  <si>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</si>
  <si>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</si>
  <si>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</si>
  <si>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</si>
  <si>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</si>
  <si>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</si>
  <si>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</si>
  <si>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</si>
  <si>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</si>
  <si>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</si>
  <si>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</si>
  <si>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</si>
  <si>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</si>
  <si>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</si>
  <si>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</si>
  <si>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</si>
  <si>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</si>
  <si>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</si>
  <si>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</si>
  <si>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</si>
  <si>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</si>
  <si>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</si>
  <si>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</si>
  <si>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</si>
  <si>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</si>
  <si>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</si>
  <si>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</si>
  <si>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</si>
  <si>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</si>
  <si>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</si>
  <si>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</si>
  <si>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</si>
  <si>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</si>
  <si>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</si>
  <si>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</si>
  <si>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</si>
  <si>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</si>
  <si>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</si>
  <si>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</si>
  <si>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</si>
  <si>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</si>
  <si>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</si>
  <si>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</si>
  <si>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</si>
  <si>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</si>
  <si>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</si>
  <si>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</si>
  <si>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</si>
  <si>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</si>
  <si>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</si>
  <si>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</si>
  <si>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</si>
  <si>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</si>
  <si>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</si>
  <si>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</si>
  <si>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</si>
  <si>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</si>
  <si>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</si>
  <si>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</si>
  <si>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</si>
  <si>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</si>
  <si>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</si>
  <si>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</si>
  <si>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</si>
  <si>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</si>
  <si>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</si>
  <si>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</si>
  <si>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</si>
  <si>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</si>
  <si>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</si>
  <si>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</si>
  <si>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</si>
  <si>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</si>
  <si>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</si>
  <si>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</si>
  <si>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</si>
  <si>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</si>
  <si>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</si>
  <si>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</si>
  <si>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</si>
  <si>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</si>
  <si>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</si>
  <si>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</si>
  <si>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</si>
  <si>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</si>
  <si>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</si>
  <si>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</si>
  <si>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</si>
  <si>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</si>
  <si>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</si>
  <si>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</si>
  <si>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</si>
  <si>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</si>
  <si>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</si>
  <si>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</si>
  <si>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</si>
  <si>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</si>
  <si>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</si>
  <si>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</si>
  <si>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</si>
  <si>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</si>
  <si>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</si>
  <si>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</si>
  <si>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</si>
  <si>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</si>
  <si>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</si>
  <si>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</si>
  <si>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</si>
  <si>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</si>
  <si>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</si>
  <si>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</si>
  <si>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</si>
  <si>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</si>
  <si>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</si>
  <si>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</si>
  <si>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</si>
  <si>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</si>
  <si>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</si>
  <si>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</si>
  <si>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</si>
  <si>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</si>
  <si>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</si>
  <si>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</si>
  <si>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</si>
  <si>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</si>
  <si>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</si>
  <si>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</si>
  <si>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</si>
  <si>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</si>
  <si>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</si>
  <si>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</si>
  <si>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</si>
  <si>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</si>
  <si>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</si>
  <si>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</si>
  <si>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</si>
  <si>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</si>
  <si>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</si>
  <si>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</si>
  <si>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</si>
  <si>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</si>
  <si>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</si>
  <si>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</si>
  <si>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</si>
  <si>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</si>
  <si>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</si>
  <si>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</si>
  <si>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</si>
  <si>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</si>
  <si>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</si>
  <si>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</si>
  <si>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</si>
  <si>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</si>
  <si>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</si>
  <si>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</si>
  <si>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</si>
  <si>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</si>
  <si>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</si>
  <si>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</si>
  <si>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</si>
  <si>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</si>
  <si>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</si>
  <si>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</si>
  <si>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</si>
  <si>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</si>
  <si>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</si>
  <si>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</si>
  <si>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</si>
  <si>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</si>
  <si>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</si>
  <si>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</si>
  <si>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</si>
  <si>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</si>
  <si>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</si>
  <si>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</si>
  <si>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</si>
  <si>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</si>
  <si>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</si>
  <si>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</si>
  <si>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</si>
  <si>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</si>
  <si>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</si>
  <si>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</si>
  <si>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</si>
  <si>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</si>
  <si>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</si>
  <si>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</si>
  <si>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</si>
  <si>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</si>
  <si>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</si>
  <si>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</si>
  <si>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</si>
  <si>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</si>
  <si>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</si>
  <si>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</si>
  <si>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</si>
  <si>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</si>
  <si>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</si>
  <si>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</si>
  <si>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</si>
  <si>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</si>
  <si>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</si>
  <si>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</si>
  <si>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</si>
  <si>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</si>
  <si>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</si>
  <si>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</si>
  <si>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</si>
  <si>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</si>
  <si>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</si>
  <si>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</si>
  <si>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</si>
  <si>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</si>
  <si>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</si>
  <si>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</si>
  <si>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</si>
  <si>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</si>
  <si>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</si>
  <si>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</si>
  <si>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</si>
  <si>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</si>
  <si>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</si>
  <si>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</si>
  <si>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</si>
  <si>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</si>
  <si>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</si>
  <si>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</si>
  <si>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</si>
  <si>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</si>
  <si>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</si>
  <si>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</si>
  <si>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</si>
  <si>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</si>
  <si>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</si>
  <si>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</si>
  <si>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</si>
  <si>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</si>
  <si>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</si>
  <si>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</si>
  <si>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</si>
  <si>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</si>
  <si>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</si>
  <si>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</si>
  <si>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</si>
  <si>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</si>
  <si>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</si>
  <si>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</si>
  <si>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</si>
  <si>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</si>
  <si>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</si>
  <si>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</si>
  <si>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</si>
  <si>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</si>
  <si>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</si>
  <si>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</si>
  <si>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</si>
  <si>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</si>
  <si>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</si>
  <si>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</si>
  <si>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</si>
  <si>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</si>
  <si>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</si>
  <si>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</si>
  <si>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</si>
  <si>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</si>
  <si>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</si>
  <si>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</si>
  <si>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</si>
  <si>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</si>
  <si>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</si>
  <si>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</si>
  <si>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</si>
  <si>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</si>
  <si>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</si>
  <si>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</si>
  <si>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</si>
  <si>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</si>
  <si>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</si>
  <si>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</si>
  <si>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</si>
  <si>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</si>
  <si>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</si>
  <si>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</si>
  <si>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</si>
  <si>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</si>
  <si>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</si>
  <si>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</si>
  <si>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</si>
  <si>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</si>
  <si>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</si>
  <si>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</si>
  <si>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</si>
  <si>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</si>
  <si>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</si>
  <si>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</si>
  <si>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</si>
  <si>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</si>
  <si>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</si>
  <si>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</si>
  <si>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</si>
  <si>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</si>
  <si>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</si>
  <si>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</si>
  <si>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</si>
  <si>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</si>
  <si>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</si>
  <si>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</si>
  <si>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</si>
  <si>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</si>
  <si>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</si>
  <si>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</si>
  <si>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</si>
  <si>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</si>
  <si>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</si>
  <si>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</si>
  <si>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</si>
  <si>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</si>
  <si>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</si>
  <si>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</si>
  <si>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</si>
  <si>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</si>
  <si>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</si>
  <si>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</si>
  <si>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</si>
  <si>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</si>
  <si>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</si>
  <si>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</si>
  <si>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</si>
  <si>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</si>
  <si>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</si>
  <si>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</si>
  <si>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</si>
  <si>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</si>
  <si>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</si>
  <si>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</si>
  <si>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</si>
  <si>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</si>
  <si>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</si>
  <si>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</si>
  <si>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</si>
  <si>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</si>
  <si>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</si>
  <si>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</si>
  <si>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</si>
  <si>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</si>
  <si>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</si>
  <si>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</si>
  <si>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</si>
  <si>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</si>
  <si>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</si>
  <si>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</si>
  <si>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</si>
  <si>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</si>
  <si>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</si>
  <si>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</si>
  <si>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</si>
  <si>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</si>
  <si>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</si>
  <si>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</si>
  <si>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</si>
  <si>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</si>
  <si>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</si>
  <si>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</si>
  <si>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</si>
  <si>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</si>
  <si>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</si>
  <si>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</si>
  <si>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</si>
  <si>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</si>
  <si>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</si>
  <si>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</si>
  <si>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</si>
  <si>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</si>
  <si>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</si>
  <si>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</si>
  <si>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</si>
  <si>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</si>
  <si>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</si>
  <si>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</si>
  <si>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</si>
  <si>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</si>
  <si>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</si>
  <si>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</si>
  <si>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</si>
  <si>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</si>
  <si>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</si>
  <si>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</si>
  <si>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</si>
  <si>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</si>
  <si>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</si>
  <si>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</si>
  <si>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</si>
  <si>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</si>
  <si>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</si>
  <si>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</si>
  <si>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</si>
  <si>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</si>
  <si>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</si>
  <si>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</si>
  <si>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</si>
  <si>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</si>
  <si>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</si>
  <si>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</si>
  <si>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</si>
  <si>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</si>
  <si>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</si>
  <si>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</si>
  <si>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</si>
  <si>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</si>
  <si>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</si>
  <si>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</si>
  <si>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</si>
  <si>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</si>
  <si>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</si>
  <si>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</si>
  <si>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</si>
  <si>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</si>
  <si>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</si>
  <si>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</si>
  <si>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</si>
  <si>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</si>
  <si>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</si>
  <si>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</si>
  <si>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</si>
  <si>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</si>
  <si>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</si>
  <si>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</si>
  <si>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</si>
  <si>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</si>
  <si>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</si>
  <si>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</si>
  <si>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</si>
  <si>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</si>
  <si>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</si>
  <si>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</si>
  <si>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</si>
  <si>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</si>
  <si>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</si>
  <si>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</si>
  <si>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</si>
  <si>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</si>
  <si>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</si>
  <si>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</si>
  <si>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</si>
  <si>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</si>
  <si>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</si>
  <si>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</si>
  <si>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</si>
  <si>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</si>
  <si>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</si>
  <si>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</si>
  <si>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</si>
  <si>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</si>
  <si>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</si>
  <si>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</si>
  <si>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</si>
  <si>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</si>
  <si>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</si>
  <si>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</si>
  <si>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</si>
  <si>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</si>
  <si>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</si>
  <si>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</si>
  <si>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</si>
  <si>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</si>
  <si>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</si>
  <si>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</si>
  <si>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</si>
  <si>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</si>
  <si>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</si>
  <si>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</si>
  <si>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</si>
  <si>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</si>
  <si>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</si>
  <si>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</si>
  <si>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</si>
  <si>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</si>
  <si>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</si>
  <si>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</si>
  <si>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</si>
  <si>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</si>
  <si>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</si>
  <si>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</si>
  <si>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</si>
  <si>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</si>
  <si>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</si>
  <si>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</si>
  <si>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</si>
  <si>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</si>
  <si>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</si>
  <si>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</si>
  <si>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</si>
  <si>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</si>
  <si>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</si>
  <si>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</si>
  <si>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</si>
  <si>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</si>
  <si>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</si>
  <si>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</si>
  <si>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</si>
  <si>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</si>
  <si>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</si>
  <si>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</si>
  <si>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</si>
  <si>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</si>
  <si>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</si>
  <si>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</si>
  <si>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</si>
  <si>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</si>
  <si>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</si>
  <si>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</si>
  <si>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</si>
  <si>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</si>
  <si>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</si>
  <si>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</si>
  <si>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</si>
  <si>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</si>
  <si>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</si>
  <si>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</si>
  <si>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</si>
  <si>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</si>
  <si>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</si>
  <si>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</si>
  <si>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</si>
  <si>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</si>
  <si>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</si>
  <si>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</si>
  <si>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</si>
  <si>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</si>
  <si>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</si>
  <si>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</si>
  <si>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</si>
  <si>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</si>
  <si>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</si>
  <si>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</si>
  <si>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</si>
  <si>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</si>
  <si>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</si>
  <si>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</si>
  <si>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</si>
  <si>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</si>
  <si>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</si>
  <si>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</si>
  <si>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</si>
  <si>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</si>
  <si>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</si>
  <si>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</si>
  <si>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</si>
  <si>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</si>
  <si>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</si>
  <si>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</si>
  <si>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</si>
  <si>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</si>
  <si>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</si>
  <si>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</si>
  <si>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</si>
  <si>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</si>
  <si>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</si>
  <si>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</si>
  <si>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</si>
  <si>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</si>
  <si>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</si>
  <si>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</si>
  <si>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</si>
  <si>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</si>
  <si>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</si>
  <si>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</si>
  <si>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</si>
  <si>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</si>
  <si>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</si>
  <si>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</si>
  <si>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</si>
  <si>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</si>
  <si>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</si>
  <si>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</si>
  <si>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</si>
  <si>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</si>
  <si>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</si>
  <si>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</si>
  <si>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</si>
  <si>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</si>
  <si>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</si>
  <si>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</si>
  <si>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</si>
  <si>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</si>
  <si>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</si>
  <si>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</si>
  <si>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</si>
  <si>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</si>
  <si>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</si>
  <si>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</si>
  <si>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</si>
  <si>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</si>
  <si>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</si>
  <si>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</si>
  <si>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</si>
  <si>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</si>
  <si>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</si>
  <si>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</si>
  <si>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</si>
  <si>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</si>
  <si>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</si>
  <si>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</si>
  <si>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</si>
  <si>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</si>
  <si>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</si>
  <si>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</si>
  <si>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</si>
  <si>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</si>
  <si>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</si>
  <si>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</si>
  <si>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</si>
  <si>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</si>
  <si>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</si>
  <si>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</si>
  <si>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</si>
  <si>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</si>
  <si>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</si>
  <si>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</si>
  <si>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</si>
  <si>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</si>
  <si>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</si>
  <si>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</si>
  <si>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</si>
  <si>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</si>
  <si>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</si>
  <si>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</si>
  <si>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</si>
  <si>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</si>
  <si>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</si>
  <si>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</si>
  <si>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</si>
  <si>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</si>
  <si>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</si>
  <si>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</si>
  <si>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</si>
  <si>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</si>
  <si>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</si>
  <si>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</si>
  <si>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</si>
  <si>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</si>
  <si>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</si>
  <si>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</si>
  <si>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</si>
  <si>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</si>
  <si>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</si>
  <si>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</si>
  <si>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</si>
  <si>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</si>
  <si>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</si>
  <si>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</si>
  <si>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</si>
  <si>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</si>
  <si>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</si>
  <si>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</si>
  <si>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</si>
  <si>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</si>
  <si>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</si>
  <si>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</si>
  <si>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</si>
  <si>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</si>
  <si>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</si>
  <si>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</si>
  <si>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</si>
  <si>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</si>
  <si>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</si>
  <si>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</si>
  <si>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</si>
  <si>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</si>
  <si>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</si>
  <si>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</si>
  <si>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</si>
  <si>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</si>
  <si>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</si>
  <si>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</si>
  <si>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</si>
  <si>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</si>
  <si>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</si>
  <si>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</si>
  <si>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</si>
  <si>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</si>
  <si>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</si>
  <si>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</si>
  <si>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</si>
  <si>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</si>
  <si>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</si>
  <si>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</si>
  <si>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</si>
  <si>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</si>
  <si>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</si>
  <si>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</si>
  <si>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</si>
  <si>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</si>
  <si>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</si>
  <si>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</si>
  <si>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</si>
  <si>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</si>
  <si>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</si>
  <si>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</si>
  <si>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</si>
  <si>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</si>
  <si>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</si>
  <si>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</si>
  <si>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</si>
  <si>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</si>
  <si>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</si>
  <si>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</si>
  <si>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</si>
  <si>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</si>
  <si>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</si>
  <si>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</si>
  <si>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</si>
  <si>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</si>
  <si>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</si>
  <si>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</si>
  <si>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</si>
  <si>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</si>
  <si>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</si>
  <si>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</si>
  <si>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</si>
  <si>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</si>
  <si>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</si>
  <si>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</si>
  <si>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</si>
  <si>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</si>
  <si>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</si>
  <si>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</si>
  <si>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</si>
  <si>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</si>
  <si>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</si>
  <si>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</si>
  <si>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</si>
  <si>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</si>
  <si>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</si>
  <si>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</si>
  <si>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</si>
  <si>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</si>
  <si>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</si>
  <si>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</si>
  <si>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</si>
  <si>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</si>
  <si>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</si>
  <si>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</si>
  <si>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</si>
  <si>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</si>
  <si>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</si>
  <si>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</si>
  <si>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</si>
  <si>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</si>
  <si>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</si>
  <si>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</si>
  <si>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</si>
  <si>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</si>
  <si>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</si>
  <si>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</si>
  <si>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</si>
  <si>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</si>
  <si>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</si>
  <si>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</si>
  <si>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</si>
  <si>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</si>
  <si>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</si>
  <si>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</si>
  <si>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</si>
  <si>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</si>
  <si>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</si>
  <si>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</si>
  <si>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</si>
  <si>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</si>
  <si>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</si>
  <si>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</si>
  <si>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</si>
  <si>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</si>
  <si>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</si>
  <si>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</si>
  <si>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</si>
  <si>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</si>
  <si>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</si>
  <si>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</si>
  <si>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</si>
  <si>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</si>
  <si>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</si>
  <si>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</si>
  <si>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</si>
  <si>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</si>
  <si>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</si>
  <si>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</si>
  <si>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</si>
  <si>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</si>
  <si>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</si>
  <si>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</si>
  <si>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</si>
  <si>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</si>
  <si>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</si>
  <si>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</si>
  <si>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</si>
  <si>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</si>
  <si>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</si>
  <si>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</si>
  <si>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</si>
  <si>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</si>
  <si>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</si>
  <si>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</si>
  <si>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</si>
  <si>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</si>
  <si>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</si>
  <si>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</si>
  <si>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</si>
  <si>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</si>
  <si>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</si>
  <si>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</si>
  <si>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</si>
  <si>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</si>
  <si>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</si>
  <si>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</si>
  <si>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</si>
  <si>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</si>
  <si>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</si>
  <si>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</si>
  <si>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</si>
  <si>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</si>
  <si>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</si>
  <si>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</si>
  <si>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</si>
  <si>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</si>
  <si>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</si>
  <si>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</si>
  <si>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</si>
  <si>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</si>
  <si>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</si>
  <si>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</si>
  <si>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</si>
  <si>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</si>
  <si>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</si>
  <si>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</si>
  <si>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</si>
  <si>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</si>
  <si>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</si>
  <si>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</si>
  <si>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</si>
  <si>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</si>
  <si>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</si>
  <si>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</si>
  <si>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</si>
  <si>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</si>
  <si>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</si>
  <si>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</si>
  <si>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</si>
  <si>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</si>
  <si>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</si>
  <si>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</si>
  <si>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</si>
  <si>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</si>
  <si>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</si>
  <si>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</si>
  <si>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</si>
  <si>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</si>
  <si>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</si>
  <si>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</si>
  <si>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</si>
  <si>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</si>
  <si>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</si>
  <si>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</si>
  <si>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</si>
  <si>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</si>
  <si>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</si>
  <si>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</si>
  <si>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</si>
  <si>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</si>
  <si>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</si>
  <si>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</si>
  <si>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</si>
  <si>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</si>
  <si>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</si>
  <si>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</si>
  <si>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</si>
  <si>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</si>
  <si>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</si>
  <si>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</si>
  <si>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</si>
  <si>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</si>
  <si>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</si>
  <si>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</si>
  <si>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</si>
  <si>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</si>
  <si>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</si>
  <si>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</si>
  <si>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</si>
  <si>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</si>
  <si>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</si>
  <si>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</si>
  <si>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</si>
  <si>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</si>
  <si>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</si>
  <si>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</si>
  <si>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</si>
  <si>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</si>
  <si>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</si>
  <si>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</si>
  <si>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</si>
  <si>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</si>
  <si>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</si>
  <si>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</si>
  <si>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</si>
  <si>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</si>
  <si>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</si>
  <si>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</si>
  <si>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</si>
  <si>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</si>
  <si>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</si>
  <si>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</si>
  <si>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</si>
  <si>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</si>
  <si>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</si>
  <si>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</si>
  <si>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</si>
  <si>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</si>
  <si>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</si>
  <si>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</si>
  <si>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</si>
  <si>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</si>
  <si>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</si>
  <si>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</si>
  <si>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</si>
  <si>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</si>
  <si>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</si>
  <si>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</si>
  <si>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</si>
  <si>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</si>
  <si>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</si>
  <si>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</si>
  <si>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</si>
  <si>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</si>
  <si>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</si>
  <si>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</si>
  <si>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</si>
  <si>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</si>
  <si>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</si>
  <si>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</si>
  <si>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</si>
  <si>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</si>
  <si>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</si>
  <si>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</si>
  <si>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</si>
  <si>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</si>
  <si>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</si>
  <si>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</si>
  <si>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</si>
  <si>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</si>
  <si>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</si>
  <si>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</si>
  <si>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</si>
  <si>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</si>
  <si>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</si>
  <si>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</si>
  <si>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</si>
  <si>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</si>
  <si>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</si>
  <si>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</si>
  <si>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</si>
  <si>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</si>
  <si>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</si>
  <si>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</si>
  <si>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</si>
  <si>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</si>
  <si>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</si>
  <si>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</si>
  <si>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</si>
  <si>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</si>
  <si>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</si>
  <si>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</si>
  <si>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</si>
  <si>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</si>
  <si>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</si>
  <si>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</si>
  <si>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</si>
  <si>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</si>
  <si>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</si>
  <si>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</si>
  <si>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</si>
  <si>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</si>
  <si>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</si>
  <si>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</si>
  <si>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</si>
  <si>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</si>
  <si>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</si>
  <si>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</si>
  <si>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</si>
  <si>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</si>
  <si>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</si>
  <si>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</si>
  <si>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</si>
  <si>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</si>
  <si>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</si>
  <si>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</si>
  <si>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</si>
  <si>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</si>
  <si>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</si>
  <si>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</si>
  <si>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</si>
  <si>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</si>
  <si>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</si>
  <si>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</si>
  <si>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</si>
  <si>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</si>
  <si>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</si>
  <si>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</si>
  <si>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</si>
  <si>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</si>
  <si>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</si>
  <si>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</si>
  <si>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</si>
  <si>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</si>
  <si>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</si>
  <si>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</si>
  <si>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</si>
  <si>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</si>
  <si>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</si>
  <si>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</si>
  <si>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</si>
  <si>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</si>
  <si>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</si>
  <si>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</si>
  <si>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</si>
  <si>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</si>
  <si>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</si>
  <si>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</si>
  <si>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</si>
  <si>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</si>
  <si>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</si>
  <si>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</si>
  <si>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</si>
  <si>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</si>
  <si>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</si>
  <si>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</si>
  <si>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</si>
  <si>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</si>
  <si>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</si>
  <si>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</si>
  <si>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</si>
  <si>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</si>
  <si>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</si>
  <si>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</si>
  <si>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</si>
  <si>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</si>
  <si>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</si>
  <si>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</si>
  <si>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</si>
  <si>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</si>
  <si>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</si>
  <si>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</si>
  <si>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</si>
  <si>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</si>
  <si>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</si>
  <si>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</si>
  <si>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</si>
  <si>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</si>
  <si>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</si>
  <si>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</si>
  <si>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</si>
  <si>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</si>
  <si>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</si>
  <si>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</si>
  <si>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</si>
  <si>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</si>
  <si>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</si>
  <si>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</si>
  <si>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</si>
  <si>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</si>
  <si>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</si>
  <si>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</si>
  <si>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</si>
  <si>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</si>
  <si>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</si>
  <si>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</si>
  <si>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</si>
  <si>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</si>
  <si>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</si>
  <si>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</si>
  <si>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</si>
  <si>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</si>
  <si>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</si>
  <si>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</si>
  <si>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</si>
  <si>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</si>
  <si>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</si>
  <si>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</si>
  <si>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</si>
  <si>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</si>
  <si>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</si>
  <si>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</si>
  <si>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</si>
  <si>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</si>
  <si>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</si>
  <si>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</si>
  <si>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</si>
  <si>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</si>
  <si>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</si>
  <si>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</si>
  <si>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</si>
  <si>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</si>
  <si>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</si>
  <si>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</si>
  <si>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</si>
  <si>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</si>
  <si>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</si>
  <si>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</si>
  <si>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</si>
  <si>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</si>
  <si>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</si>
  <si>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</si>
  <si>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</si>
  <si>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</si>
  <si>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</si>
  <si>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</si>
  <si>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</si>
  <si>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</si>
  <si>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</si>
  <si>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</si>
  <si>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</si>
  <si>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</si>
  <si>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</si>
  <si>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</si>
  <si>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</si>
  <si>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</si>
  <si>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</si>
  <si>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</si>
  <si>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</si>
  <si>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</si>
  <si>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</si>
  <si>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</si>
  <si>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</si>
  <si>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</si>
  <si>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</si>
  <si>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</si>
  <si>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</si>
  <si>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</si>
  <si>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</si>
  <si>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</si>
  <si>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</si>
  <si>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</si>
  <si>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</si>
  <si>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</si>
  <si>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</si>
  <si>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</si>
  <si>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</si>
  <si>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</si>
  <si>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</si>
  <si>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</si>
  <si>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</si>
  <si>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</si>
  <si>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</si>
  <si>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</si>
  <si>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</si>
  <si>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</si>
  <si>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</si>
  <si>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</si>
  <si>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</si>
  <si>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</si>
  <si>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</si>
  <si>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</si>
  <si>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</si>
  <si>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</si>
  <si>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</si>
  <si>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</si>
  <si>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</si>
  <si>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</si>
  <si>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</si>
  <si>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</si>
  <si>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</si>
  <si>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</si>
  <si>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</si>
  <si>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</si>
  <si>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</si>
  <si>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</si>
  <si>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</si>
  <si>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</si>
  <si>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</si>
  <si>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</si>
  <si>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</si>
  <si>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</si>
  <si>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</si>
  <si>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</si>
  <si>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</si>
  <si>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</si>
  <si>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</si>
  <si>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</si>
  <si>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</si>
  <si>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</si>
  <si>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</si>
  <si>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</si>
  <si>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</si>
  <si>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</si>
  <si>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</si>
  <si>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</si>
  <si>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</si>
  <si>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</si>
  <si>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</si>
  <si>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</si>
  <si>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</si>
  <si>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</si>
  <si>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</si>
  <si>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</si>
  <si>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</si>
  <si>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</si>
  <si>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</si>
  <si>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</si>
  <si>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</si>
  <si>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</si>
  <si>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</si>
  <si>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</si>
  <si>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</si>
  <si>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</si>
  <si>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</si>
  <si>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</si>
  <si>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</si>
  <si>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</si>
  <si>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</si>
  <si>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</si>
  <si>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</si>
  <si>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</si>
  <si>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</si>
  <si>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</si>
  <si>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</si>
  <si>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</si>
  <si>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</si>
  <si>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</si>
  <si>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</si>
  <si>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</si>
  <si>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</si>
  <si>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</si>
  <si>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</si>
  <si>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</si>
  <si>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</si>
  <si>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</si>
  <si>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</si>
  <si>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</si>
  <si>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</si>
  <si>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</si>
  <si>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</si>
  <si>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</si>
  <si>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</si>
  <si>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</si>
  <si>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</si>
  <si>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</si>
  <si>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</si>
  <si>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</si>
  <si>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</si>
  <si>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</si>
  <si>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</si>
  <si>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</si>
  <si>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</si>
  <si>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</si>
  <si>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</si>
  <si>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</si>
  <si>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</si>
  <si>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</si>
  <si>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</si>
  <si>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</si>
  <si>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</si>
  <si>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</si>
  <si>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</si>
  <si>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</si>
  <si>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</si>
  <si>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</si>
  <si>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</si>
  <si>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</si>
  <si>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</si>
  <si>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</si>
  <si>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</si>
  <si>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</si>
  <si>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</si>
  <si>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</si>
  <si>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</si>
  <si>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</si>
  <si>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</si>
  <si>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</si>
  <si>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</si>
  <si>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</si>
  <si>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</si>
  <si>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</si>
  <si>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</si>
  <si>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</si>
  <si>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</si>
  <si>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</si>
  <si>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</si>
  <si>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</si>
  <si>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</si>
  <si>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</si>
  <si>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</si>
  <si>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</si>
  <si>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</si>
  <si>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</si>
  <si>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</si>
  <si>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</si>
  <si>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</si>
  <si>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</si>
  <si>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</si>
  <si>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</si>
  <si>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</si>
  <si>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</si>
  <si>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</si>
  <si>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</si>
  <si>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</si>
  <si>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</si>
  <si>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</si>
  <si>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</si>
  <si>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</si>
  <si>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</si>
  <si>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</si>
  <si>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</si>
  <si>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</si>
  <si>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</si>
  <si>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</si>
  <si>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</si>
  <si>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</si>
  <si>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</si>
  <si>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</si>
  <si>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</si>
  <si>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</si>
  <si>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</si>
  <si>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</si>
  <si>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</si>
  <si>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</si>
  <si>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</si>
  <si>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</si>
  <si>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</si>
  <si>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</si>
  <si>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</si>
  <si>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</si>
  <si>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</si>
  <si>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</si>
  <si>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</si>
  <si>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</si>
  <si>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</si>
  <si>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</si>
  <si>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</si>
  <si>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</si>
  <si>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</si>
  <si>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</si>
  <si>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</si>
  <si>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</si>
  <si>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</si>
  <si>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</si>
  <si>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</si>
  <si>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</si>
  <si>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</si>
  <si>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</si>
  <si>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</si>
  <si>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</si>
  <si>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</si>
  <si>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</si>
  <si>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</si>
  <si>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</si>
  <si>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</si>
  <si>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</si>
  <si>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</si>
  <si>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</si>
  <si>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</si>
  <si>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</si>
  <si>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</si>
  <si>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</si>
  <si>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</si>
  <si>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</si>
  <si>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</si>
  <si>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</si>
  <si>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</si>
  <si>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</si>
  <si>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</si>
  <si>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</si>
  <si>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</si>
  <si>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</si>
  <si>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</si>
  <si>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</si>
  <si>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</si>
  <si>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</si>
  <si>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</si>
  <si>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</si>
  <si>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</si>
  <si>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</si>
  <si>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</si>
  <si>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</si>
  <si>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</si>
  <si>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</si>
  <si>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</si>
  <si>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</si>
  <si>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</si>
  <si>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</si>
  <si>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</si>
  <si>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</si>
  <si>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</si>
  <si>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</si>
  <si>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</si>
  <si>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</si>
  <si>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</si>
  <si>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</si>
  <si>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</si>
  <si>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</si>
  <si>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</si>
  <si>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</si>
  <si>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</si>
  <si>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</si>
  <si>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</si>
  <si>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</si>
  <si>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</si>
  <si>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</si>
  <si>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</si>
  <si>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</si>
  <si>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</si>
  <si>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</si>
  <si>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</si>
  <si>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</si>
  <si>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</si>
  <si>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</si>
  <si>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</si>
  <si>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</si>
  <si>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</si>
  <si>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</si>
  <si>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</si>
  <si>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</si>
  <si>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</si>
  <si>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</si>
  <si>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</si>
  <si>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</si>
  <si>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</si>
  <si>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</si>
  <si>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</si>
  <si>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</si>
  <si>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</si>
  <si>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</si>
  <si>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</si>
  <si>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</si>
  <si>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</si>
  <si>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</si>
  <si>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</si>
  <si>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</si>
  <si>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</si>
  <si>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</si>
  <si>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</si>
  <si>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</si>
  <si>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</si>
  <si>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</si>
  <si>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</si>
  <si>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</si>
  <si>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</si>
  <si>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</si>
  <si>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</si>
  <si>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</si>
  <si>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</si>
  <si>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</si>
  <si>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</si>
  <si>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</si>
  <si>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</si>
  <si>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</si>
  <si>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</si>
  <si>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</si>
  <si>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</si>
  <si>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</si>
  <si>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</si>
  <si>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</si>
  <si>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</si>
  <si>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</si>
  <si>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</si>
  <si>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</si>
  <si>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</si>
  <si>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</si>
  <si>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</si>
  <si>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</si>
  <si>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</si>
  <si>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</si>
  <si>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</si>
  <si>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</si>
  <si>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</si>
  <si>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</si>
  <si>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</si>
  <si>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</si>
  <si>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</si>
  <si>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</si>
  <si>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</si>
  <si>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</si>
  <si>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</si>
  <si>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</si>
  <si>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</si>
  <si>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</si>
  <si>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</si>
  <si>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</si>
  <si>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</si>
  <si>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</si>
  <si>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</si>
  <si>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</si>
  <si>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</si>
  <si>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</si>
  <si>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</si>
  <si>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</si>
  <si>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</si>
  <si>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</si>
  <si>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</si>
  <si>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</si>
  <si>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</si>
  <si>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</si>
  <si>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</si>
  <si>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</si>
  <si>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</si>
  <si>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</si>
  <si>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</si>
  <si>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</si>
  <si>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</si>
  <si>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</si>
  <si>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</si>
  <si>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</si>
  <si>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</si>
  <si>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</si>
  <si>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</si>
  <si>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</si>
  <si>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</si>
  <si>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</si>
  <si>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</si>
  <si>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</si>
  <si>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</si>
  <si>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</si>
  <si>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</si>
  <si>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</si>
  <si>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</si>
  <si>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</si>
  <si>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</si>
  <si>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</si>
  <si>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</si>
  <si>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</si>
  <si>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</si>
  <si>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</si>
  <si>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</si>
  <si>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</si>
  <si>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</si>
  <si>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</si>
  <si>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</si>
  <si>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</si>
  <si>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</si>
  <si>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</si>
  <si>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</si>
  <si>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</si>
  <si>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</si>
  <si>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</si>
  <si>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</si>
  <si>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</si>
  <si>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</si>
  <si>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</si>
  <si>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</si>
  <si>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</si>
  <si>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</si>
  <si>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</si>
  <si>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</si>
  <si>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</si>
  <si>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</si>
  <si>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</si>
  <si>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</si>
  <si>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</si>
  <si>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</si>
  <si>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</si>
  <si>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</si>
  <si>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</si>
  <si>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</si>
  <si>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</si>
  <si>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</si>
  <si>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</si>
  <si>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</si>
  <si>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</si>
  <si>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</si>
  <si>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</si>
  <si>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</si>
  <si>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</si>
  <si>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</si>
  <si>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</si>
  <si>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</si>
  <si>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</si>
  <si>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</si>
  <si>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</si>
  <si>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</si>
  <si>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</si>
  <si>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</si>
  <si>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</si>
  <si>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</si>
  <si>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</si>
  <si>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</si>
  <si>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</si>
  <si>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</si>
  <si>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</si>
  <si>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</si>
  <si>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</si>
  <si>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</si>
  <si>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</si>
  <si>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</si>
  <si>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</si>
  <si>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</si>
  <si>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</si>
  <si>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</si>
  <si>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</si>
  <si>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</si>
  <si>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</si>
  <si>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</si>
  <si>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</si>
  <si>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</si>
  <si>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</si>
  <si>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</si>
  <si>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</si>
  <si>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</si>
  <si>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</si>
  <si>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</si>
  <si>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</si>
  <si>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</si>
  <si>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</si>
  <si>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</si>
  <si>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</si>
  <si>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</si>
  <si>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</si>
  <si>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</si>
  <si>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</si>
  <si>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</si>
  <si>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</si>
  <si>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</si>
  <si>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</si>
  <si>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</si>
  <si>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</si>
  <si>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</si>
  <si>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</si>
  <si>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</si>
  <si>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</si>
  <si>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</si>
  <si>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</si>
  <si>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</si>
  <si>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</si>
  <si>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</si>
  <si>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</si>
  <si>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</si>
  <si>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</si>
  <si>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</si>
  <si>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</si>
  <si>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</si>
  <si>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</si>
  <si>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</si>
  <si>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</si>
  <si>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</si>
  <si>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</si>
  <si>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</si>
  <si>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</si>
  <si>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</si>
  <si>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</si>
  <si>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</si>
  <si>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</si>
  <si>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</si>
  <si>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</si>
  <si>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</si>
  <si>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</si>
  <si>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</si>
  <si>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</si>
  <si>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</si>
  <si>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</si>
  <si>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</si>
  <si>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</si>
  <si>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</si>
  <si>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</si>
  <si>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</si>
  <si>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</si>
  <si>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</si>
  <si>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</si>
  <si>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</si>
  <si>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</si>
  <si>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</si>
  <si>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</si>
  <si>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</si>
  <si>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</si>
  <si>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</si>
  <si>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</si>
  <si>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</si>
  <si>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</si>
  <si>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</si>
  <si>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</si>
  <si>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</si>
  <si>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</si>
  <si>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</si>
  <si>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</si>
  <si>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</si>
  <si>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</si>
  <si>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</si>
  <si>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</si>
  <si>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</si>
  <si>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</si>
  <si>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</si>
  <si>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</si>
  <si>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</si>
  <si>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</si>
  <si>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</si>
  <si>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</si>
  <si>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</si>
  <si>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</si>
  <si>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</si>
  <si>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</si>
  <si>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</si>
  <si>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</si>
  <si>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</si>
  <si>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</si>
  <si>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</si>
  <si>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</si>
  <si>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</si>
  <si>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</si>
  <si>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</si>
  <si>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</si>
  <si>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</si>
  <si>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</si>
  <si>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</si>
  <si>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</si>
  <si>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</si>
  <si>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</si>
  <si>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</si>
  <si>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</si>
  <si>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</si>
  <si>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</si>
  <si>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</si>
  <si>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</si>
  <si>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</si>
  <si>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</si>
  <si>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</si>
  <si>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</si>
  <si>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</si>
  <si>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</si>
  <si>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</si>
  <si>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</si>
  <si>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</si>
  <si>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</si>
  <si>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</si>
  <si>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</si>
  <si>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</si>
  <si>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</si>
  <si>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</si>
  <si>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</si>
  <si>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</si>
  <si>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</si>
  <si>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</si>
  <si>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</si>
  <si>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</si>
  <si>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</si>
  <si>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</si>
  <si>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</si>
  <si>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</si>
  <si>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</si>
  <si>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</si>
  <si>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</si>
  <si>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</si>
  <si>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</si>
  <si>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</si>
  <si>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</si>
  <si>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</si>
  <si>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</si>
  <si>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</si>
  <si>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</si>
  <si>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</si>
  <si>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</si>
  <si>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</si>
  <si>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</si>
  <si>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</si>
  <si>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</si>
  <si>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</si>
  <si>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</si>
  <si>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</si>
  <si>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</si>
  <si>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</si>
  <si>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</si>
  <si>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</si>
  <si>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</si>
  <si>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</si>
  <si>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</si>
  <si>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</si>
  <si>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</si>
  <si>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</si>
  <si>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</si>
  <si>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</si>
  <si>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</si>
  <si>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</si>
  <si>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</si>
  <si>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</si>
  <si>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</si>
  <si>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</si>
  <si>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</si>
  <si>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</si>
  <si>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</si>
  <si>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</si>
  <si>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</si>
  <si>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</si>
  <si>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</si>
  <si>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</si>
  <si>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</si>
  <si>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</si>
  <si>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</si>
  <si>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</si>
  <si>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</si>
  <si>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</si>
  <si>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</si>
  <si>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</si>
  <si>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</si>
  <si>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</si>
  <si>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</si>
  <si>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</si>
  <si>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</si>
  <si>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</si>
  <si>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</si>
  <si>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</si>
  <si>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</si>
  <si>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</si>
  <si>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</si>
  <si>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</si>
  <si>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</si>
  <si>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</si>
  <si>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</si>
  <si>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</si>
  <si>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</si>
  <si>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</si>
  <si>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</si>
  <si>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</si>
  <si>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</si>
  <si>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</si>
  <si>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</si>
  <si>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</si>
  <si>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</si>
  <si>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</si>
  <si>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</si>
  <si>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</si>
  <si>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</si>
  <si>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</si>
  <si>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</si>
  <si>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</si>
  <si>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</si>
  <si>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</si>
  <si>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</si>
  <si>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</si>
  <si>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</si>
  <si>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</si>
  <si>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</si>
  <si>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</si>
  <si>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</si>
  <si>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</si>
  <si>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</si>
  <si>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</si>
  <si>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</si>
  <si>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</si>
  <si>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</si>
  <si>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</si>
  <si>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</si>
  <si>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</si>
  <si>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</si>
  <si>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</si>
  <si>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</si>
  <si>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</si>
  <si>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</si>
  <si>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</si>
  <si>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</si>
  <si>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</si>
  <si>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</si>
  <si>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</si>
  <si>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</si>
  <si>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</si>
  <si>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</si>
  <si>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</si>
  <si>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</si>
  <si>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</si>
  <si>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</si>
  <si>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</si>
  <si>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</si>
  <si>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</si>
  <si>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</si>
  <si>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</si>
  <si>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</si>
  <si>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</si>
  <si>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</si>
  <si>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</si>
  <si>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</si>
  <si>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</si>
  <si>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</si>
  <si>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</si>
  <si>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</si>
  <si>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</si>
  <si>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</si>
  <si>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</si>
  <si>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</si>
  <si>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</si>
  <si>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</si>
  <si>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</si>
  <si>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</si>
  <si>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</si>
  <si>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</si>
  <si>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</si>
  <si>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</si>
  <si>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</si>
  <si>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</si>
  <si>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</si>
  <si>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</si>
  <si>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</si>
  <si>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</si>
  <si>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</si>
  <si>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</si>
  <si>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</si>
  <si>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</si>
  <si>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</si>
  <si>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</si>
  <si>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</si>
  <si>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</si>
  <si>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</si>
  <si>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</si>
  <si>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</si>
  <si>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</si>
  <si>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</si>
  <si>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</si>
  <si>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</si>
  <si>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</si>
  <si>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</si>
  <si>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</si>
  <si>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</si>
  <si>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</si>
  <si>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</si>
  <si>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</si>
  <si>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</si>
  <si>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</si>
  <si>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</si>
  <si>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</si>
  <si>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</si>
  <si>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</si>
  <si>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</si>
  <si>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</si>
  <si>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</si>
  <si>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</si>
  <si>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</si>
  <si>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</si>
  <si>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</si>
  <si>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</si>
  <si>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</si>
  <si>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</si>
  <si>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</si>
  <si>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</si>
  <si>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</si>
  <si>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</si>
  <si>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</si>
  <si>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</si>
  <si>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</si>
  <si>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</si>
  <si>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</si>
  <si>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</si>
  <si>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</si>
  <si>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</si>
  <si>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</si>
  <si>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</si>
  <si>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</si>
  <si>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</si>
  <si>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</si>
  <si>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</si>
  <si>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</si>
  <si>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</si>
  <si>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</si>
  <si>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</si>
  <si>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</si>
  <si>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</si>
  <si>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</si>
  <si>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</si>
  <si>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</si>
  <si>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</si>
  <si>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</si>
  <si>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</si>
  <si>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</si>
  <si>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</si>
  <si>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</si>
  <si>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</si>
  <si>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</si>
  <si>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</si>
  <si>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</si>
  <si>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</si>
  <si>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</si>
  <si>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</si>
  <si>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</si>
  <si>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</si>
  <si>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</si>
  <si>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</si>
  <si>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</si>
  <si>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</si>
  <si>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</si>
  <si>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</si>
  <si>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</si>
  <si>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</si>
  <si>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</si>
  <si>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</si>
  <si>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</si>
  <si>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</si>
  <si>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</si>
  <si>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</si>
  <si>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</si>
  <si>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</si>
  <si>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</si>
  <si>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</si>
  <si>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</si>
  <si>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</si>
  <si>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</si>
  <si>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</si>
  <si>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</si>
  <si>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</si>
  <si>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</si>
  <si>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</si>
  <si>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</si>
  <si>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</si>
  <si>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</si>
  <si>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</si>
  <si>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</si>
  <si>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</si>
  <si>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</si>
  <si>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</si>
  <si>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</si>
  <si>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</si>
  <si>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</si>
  <si>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</si>
  <si>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</si>
  <si>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</si>
  <si>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</si>
  <si>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</si>
  <si>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</si>
  <si>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</si>
  <si>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</si>
  <si>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</si>
  <si>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</si>
  <si>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</si>
  <si>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</si>
  <si>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</si>
  <si>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</si>
  <si>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</si>
  <si>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</si>
  <si>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</si>
  <si>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</si>
  <si>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</si>
  <si>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</si>
  <si>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</si>
  <si>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</si>
  <si>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</si>
  <si>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</si>
  <si>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</si>
  <si>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</si>
  <si>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</si>
  <si>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</si>
  <si>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</si>
  <si>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</si>
  <si>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</si>
  <si>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</si>
  <si>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</si>
  <si>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</si>
  <si>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</si>
  <si>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</si>
  <si>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</si>
  <si>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</si>
  <si>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</si>
  <si>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</si>
  <si>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</si>
  <si>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</si>
  <si>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</si>
  <si>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</si>
  <si>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</si>
  <si>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</si>
  <si>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</si>
  <si>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</si>
  <si>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</si>
  <si>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</si>
  <si>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</si>
  <si>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</si>
  <si>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</si>
  <si>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</si>
  <si>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</si>
  <si>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</si>
  <si>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</si>
  <si>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</si>
  <si>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</si>
  <si>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</si>
  <si>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</si>
  <si>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</si>
  <si>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</si>
  <si>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</si>
  <si>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</si>
  <si>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</si>
  <si>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</si>
  <si>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</si>
  <si>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</si>
  <si>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</si>
  <si>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</si>
  <si>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</si>
  <si>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</si>
  <si>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</si>
  <si>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</si>
  <si>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</si>
  <si>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</si>
  <si>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</si>
  <si>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</si>
  <si>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</si>
  <si>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</si>
  <si>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</si>
  <si>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</si>
  <si>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</si>
  <si>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</si>
  <si>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</si>
  <si>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</si>
  <si>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</si>
  <si>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</si>
  <si>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</si>
  <si>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</si>
  <si>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</si>
  <si>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</si>
  <si>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</si>
  <si>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</si>
  <si>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</si>
  <si>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</si>
  <si>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</si>
  <si>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</si>
  <si>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</si>
  <si>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</si>
  <si>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</si>
  <si>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</si>
  <si>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</si>
  <si>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</si>
  <si>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</si>
  <si>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</si>
  <si>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</si>
  <si>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</si>
  <si>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</si>
  <si>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</si>
  <si>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</si>
  <si>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</si>
  <si>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</si>
  <si>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</si>
  <si>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</si>
  <si>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</si>
  <si>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</si>
  <si>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</si>
  <si>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</si>
  <si>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</si>
  <si>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</si>
  <si>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</si>
  <si>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</si>
  <si>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</si>
  <si>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</si>
  <si>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</si>
  <si>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</si>
  <si>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</si>
  <si>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</si>
  <si>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</si>
  <si>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</si>
  <si>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</si>
  <si>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</si>
  <si>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</si>
  <si>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</si>
  <si>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</si>
  <si>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</si>
  <si>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</si>
  <si>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</si>
  <si>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</si>
  <si>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</si>
  <si>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</si>
  <si>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</si>
  <si>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</si>
  <si>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</si>
  <si>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</si>
  <si>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</si>
  <si>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</si>
  <si>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</si>
  <si>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</si>
  <si>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</si>
  <si>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</si>
  <si>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</si>
  <si>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</si>
  <si>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</si>
  <si>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</si>
  <si>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</si>
  <si>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</si>
  <si>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</si>
  <si>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</si>
  <si>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</si>
  <si>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</si>
  <si>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</si>
  <si>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</si>
  <si>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</si>
  <si>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</si>
  <si>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</si>
  <si>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</si>
  <si>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</si>
  <si>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</si>
  <si>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</si>
  <si>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</si>
  <si>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</si>
  <si>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</si>
  <si>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</si>
  <si>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</si>
  <si>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</si>
  <si>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</si>
  <si>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</si>
  <si>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</si>
  <si>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</si>
  <si>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</si>
  <si>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</si>
  <si>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</si>
  <si>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</si>
  <si>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</si>
  <si>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</si>
  <si>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</si>
  <si>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</si>
  <si>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</si>
  <si>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</si>
  <si>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</si>
  <si>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</si>
  <si>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</si>
  <si>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</si>
  <si>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</si>
  <si>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</si>
  <si>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</si>
  <si>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</si>
  <si>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</si>
  <si>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</si>
  <si>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</si>
  <si>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</si>
  <si>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</si>
  <si>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</si>
  <si>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</si>
  <si>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</si>
  <si>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</si>
  <si>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</si>
  <si>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</si>
  <si>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</si>
  <si>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</si>
  <si>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</si>
  <si>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</si>
  <si>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</si>
  <si>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</si>
  <si>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</si>
  <si>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</si>
  <si>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</si>
  <si>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</si>
  <si>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</si>
  <si>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</si>
  <si>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</si>
  <si>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</si>
  <si>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</si>
  <si>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</si>
  <si>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</si>
  <si>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</si>
  <si>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</si>
  <si>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</si>
  <si>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</si>
  <si>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</si>
  <si>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</si>
  <si>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</si>
  <si>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</si>
  <si>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</si>
  <si>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</si>
  <si>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</si>
  <si>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</si>
  <si>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</si>
  <si>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</si>
  <si>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</si>
  <si>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</si>
  <si>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</si>
  <si>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</si>
  <si>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</si>
  <si>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</si>
  <si>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</si>
  <si>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</si>
  <si>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</si>
  <si>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</si>
  <si>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</si>
  <si>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</si>
  <si>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</si>
  <si>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</si>
  <si>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</si>
  <si>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</si>
  <si>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</si>
  <si>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</si>
  <si>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</si>
  <si>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</si>
  <si>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</si>
  <si>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</si>
  <si>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</si>
  <si>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</si>
  <si>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</si>
  <si>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</si>
  <si>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</si>
  <si>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</si>
  <si>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</si>
  <si>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</si>
  <si>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</si>
  <si>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</si>
  <si>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</si>
  <si>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</si>
  <si>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</si>
  <si>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</si>
  <si>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</si>
  <si>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</si>
  <si>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</si>
  <si>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</si>
  <si>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</si>
  <si>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</si>
  <si>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</si>
  <si>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</si>
  <si>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</si>
  <si>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</si>
  <si>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</si>
  <si>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</si>
  <si>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</si>
  <si>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</si>
  <si>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</si>
  <si>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</si>
  <si>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</si>
  <si>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</si>
  <si>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</si>
  <si>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</si>
  <si>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</si>
  <si>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</si>
  <si>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</si>
  <si>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</si>
  <si>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</si>
  <si>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</si>
  <si>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</si>
  <si>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</si>
  <si>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</si>
  <si>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</si>
  <si>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</si>
  <si>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</si>
  <si>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</si>
  <si>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</si>
  <si>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</si>
  <si>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</si>
  <si>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</si>
  <si>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</si>
  <si>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</si>
  <si>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</si>
  <si>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</si>
  <si>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</si>
  <si>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</si>
  <si>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</si>
  <si>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</si>
  <si>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</si>
  <si>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</si>
  <si>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</si>
  <si>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</si>
  <si>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</si>
  <si>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</si>
  <si>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</si>
  <si>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</si>
  <si>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</si>
  <si>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</si>
  <si>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</si>
  <si>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</si>
  <si>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</si>
  <si>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</si>
  <si>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</si>
  <si>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</si>
  <si>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</si>
  <si>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</si>
  <si>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</si>
  <si>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</si>
  <si>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</si>
  <si>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</si>
  <si>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</si>
  <si>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</si>
  <si>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</si>
  <si>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</si>
  <si>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</si>
  <si>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</si>
  <si>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</si>
  <si>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</si>
  <si>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</si>
  <si>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</si>
  <si>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</si>
  <si>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</si>
  <si>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</si>
  <si>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</si>
  <si>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</si>
  <si>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</si>
  <si>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</si>
  <si>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</si>
  <si>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</si>
  <si>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</si>
  <si>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</si>
  <si>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</si>
  <si>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</si>
  <si>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</si>
  <si>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</si>
  <si>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</si>
  <si>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</si>
  <si>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</si>
  <si>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</si>
  <si>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</si>
  <si>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</si>
  <si>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</si>
  <si>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</si>
  <si>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</si>
  <si>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</si>
  <si>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</si>
  <si>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</si>
  <si>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</si>
  <si>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</si>
  <si>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</si>
  <si>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</si>
  <si>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</si>
  <si>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</si>
  <si>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</si>
  <si>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</si>
  <si>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</si>
  <si>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</si>
  <si>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</si>
  <si>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</si>
  <si>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</si>
  <si>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</si>
  <si>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</si>
  <si>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</si>
  <si>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</si>
  <si>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</si>
  <si>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</si>
  <si>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</si>
  <si>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</si>
  <si>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</si>
  <si>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</si>
  <si>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</si>
  <si>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</si>
  <si>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</si>
  <si>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</si>
  <si>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</si>
  <si>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</si>
  <si>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</si>
  <si>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</si>
  <si>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</si>
  <si>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</si>
  <si>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</si>
  <si>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</si>
  <si>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</si>
  <si>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</si>
  <si>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</si>
  <si>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</si>
  <si>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</si>
  <si>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</si>
  <si>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</si>
  <si>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</si>
  <si>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</si>
  <si>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</si>
  <si>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</si>
  <si>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</si>
  <si>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</si>
  <si>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</si>
  <si>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</si>
  <si>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</si>
  <si>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</si>
  <si>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</si>
  <si>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</si>
  <si>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</si>
  <si>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</si>
  <si>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</si>
  <si>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</si>
  <si>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</si>
  <si>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</si>
  <si>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</si>
  <si>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</si>
  <si>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</si>
  <si>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</si>
  <si>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</si>
  <si>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</si>
  <si>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</si>
  <si>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</si>
  <si>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</si>
  <si>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</si>
  <si>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</si>
  <si>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</si>
  <si>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</si>
  <si>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</si>
  <si>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</si>
  <si>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</si>
  <si>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</si>
  <si>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</si>
  <si>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</si>
  <si>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</si>
  <si>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</si>
  <si>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</si>
  <si>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</si>
  <si>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</si>
  <si>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</si>
  <si>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</si>
  <si>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</si>
  <si>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</si>
  <si>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</si>
  <si>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</si>
  <si>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</si>
  <si>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</si>
  <si>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</si>
  <si>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</si>
  <si>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</si>
  <si>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</si>
  <si>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</si>
  <si>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</si>
  <si>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</si>
  <si>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</si>
  <si>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</si>
  <si>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</si>
  <si>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</si>
  <si>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</si>
  <si>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</si>
  <si>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</si>
  <si>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</si>
  <si>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</si>
  <si>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</si>
  <si>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</si>
  <si>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</si>
  <si>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</si>
  <si>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</si>
  <si>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</si>
  <si>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</si>
  <si>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</si>
  <si>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</si>
  <si>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</si>
  <si>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</si>
  <si>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</si>
  <si>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</si>
  <si>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</si>
  <si>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</si>
  <si>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</si>
  <si>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</si>
  <si>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</si>
  <si>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</si>
  <si>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</si>
  <si>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</si>
  <si>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</si>
  <si>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</si>
  <si>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</si>
  <si>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</si>
  <si>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</si>
  <si>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</si>
  <si>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</si>
  <si>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</si>
  <si>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</si>
  <si>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</si>
  <si>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</si>
  <si>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</si>
  <si>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</si>
  <si>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</si>
  <si>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</si>
  <si>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</si>
  <si>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</si>
  <si>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</si>
  <si>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</si>
  <si>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</si>
  <si>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</si>
  <si>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</si>
  <si>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</si>
  <si>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</si>
  <si>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</si>
  <si>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</si>
  <si>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</si>
  <si>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</si>
  <si>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</si>
  <si>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</si>
  <si>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</si>
  <si>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</si>
  <si>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</si>
  <si>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</si>
  <si>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</si>
  <si>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</si>
  <si>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</si>
  <si>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</si>
  <si>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</si>
  <si>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</si>
  <si>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</si>
  <si>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</si>
  <si>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</si>
  <si>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</si>
  <si>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</si>
  <si>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</si>
  <si>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</si>
  <si>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</si>
  <si>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</si>
  <si>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</si>
  <si>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</si>
  <si>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</si>
  <si>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</si>
  <si>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</si>
  <si>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</si>
  <si>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</si>
  <si>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</si>
  <si>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</si>
  <si>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</si>
  <si>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</si>
  <si>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</si>
  <si>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</si>
  <si>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</si>
  <si>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</si>
  <si>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</si>
  <si>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</si>
  <si>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</si>
  <si>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</si>
  <si>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</si>
  <si>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</si>
  <si>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</si>
  <si>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</si>
  <si>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</si>
  <si>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</si>
  <si>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</si>
  <si>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</si>
  <si>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</si>
  <si>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</si>
  <si>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</si>
  <si>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</si>
  <si>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</si>
  <si>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</si>
  <si>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</si>
  <si>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</si>
  <si>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</si>
  <si>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</si>
  <si>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</si>
  <si>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</si>
  <si>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</si>
  <si>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</si>
  <si>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</si>
  <si>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</si>
  <si>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</si>
  <si>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</si>
  <si>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</si>
  <si>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</si>
  <si>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</si>
  <si>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</si>
  <si>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</si>
  <si>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</si>
  <si>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</si>
  <si>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</si>
  <si>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</si>
  <si>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</si>
  <si>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</si>
  <si>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</si>
  <si>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</si>
  <si>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</si>
  <si>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</si>
  <si>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</si>
  <si>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</si>
  <si>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</si>
  <si>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</si>
  <si>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</si>
  <si>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</si>
  <si>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</si>
  <si>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</si>
  <si>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</si>
  <si>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</si>
  <si>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</si>
  <si>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</si>
  <si>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</si>
  <si>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</si>
  <si>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</si>
  <si>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</si>
  <si>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</si>
  <si>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</si>
  <si>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</si>
  <si>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</si>
  <si>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</si>
  <si>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</si>
  <si>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</si>
  <si>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</si>
  <si>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</si>
  <si>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</si>
  <si>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</si>
  <si>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</si>
  <si>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</si>
  <si>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</si>
  <si>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</si>
  <si>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</si>
  <si>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</si>
  <si>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</si>
  <si>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</si>
  <si>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</si>
  <si>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</si>
  <si>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</si>
  <si>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</si>
  <si>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</si>
  <si>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</si>
  <si>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</si>
  <si>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</si>
  <si>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</si>
  <si>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</si>
  <si>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</si>
  <si>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</si>
  <si>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</si>
  <si>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</si>
  <si>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</si>
  <si>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</si>
  <si>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</si>
  <si>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</si>
  <si>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</si>
  <si>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</si>
  <si>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</si>
  <si>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</si>
  <si>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</si>
  <si>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</si>
  <si>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</si>
  <si>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</si>
  <si>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</si>
  <si>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</si>
  <si>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</si>
  <si>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</si>
  <si>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</si>
  <si>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</si>
  <si>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</si>
  <si>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</si>
  <si>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</si>
  <si>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</si>
  <si>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</si>
  <si>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</si>
  <si>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</si>
  <si>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</si>
  <si>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</si>
  <si>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</si>
  <si>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</si>
  <si>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</si>
  <si>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</si>
  <si>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</si>
  <si>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</si>
  <si>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</si>
  <si>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</si>
  <si>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</si>
  <si>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</si>
  <si>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</si>
  <si>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</si>
  <si>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</si>
  <si>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</si>
  <si>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</si>
  <si>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</si>
  <si>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</si>
  <si>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</si>
  <si>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</si>
  <si>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</si>
  <si>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</si>
  <si>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</si>
  <si>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</si>
  <si>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</si>
  <si>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</si>
  <si>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</si>
  <si>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</si>
  <si>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</si>
  <si>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</si>
  <si>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</si>
  <si>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</si>
  <si>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</si>
  <si>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</si>
  <si>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</si>
  <si>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</si>
  <si>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</si>
  <si>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</si>
  <si>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</si>
  <si>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</si>
  <si>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</si>
  <si>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</si>
  <si>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</si>
  <si>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</si>
  <si>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</si>
  <si>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</si>
  <si>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</si>
  <si>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</si>
  <si>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</si>
  <si>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</si>
  <si>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</si>
  <si>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</si>
  <si>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</si>
  <si>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</si>
  <si>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</si>
  <si>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</si>
  <si>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</si>
  <si>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</si>
  <si>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</si>
  <si>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</si>
  <si>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</si>
  <si>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</si>
  <si>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</si>
  <si>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</si>
  <si>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</si>
  <si>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</si>
  <si>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</si>
  <si>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</si>
  <si>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</si>
  <si>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</si>
  <si>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</si>
  <si>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</si>
  <si>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</si>
  <si>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</si>
  <si>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</si>
  <si>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</si>
  <si>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</si>
  <si>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</si>
  <si>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</si>
  <si>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</si>
  <si>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</si>
  <si>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</si>
  <si>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</si>
  <si>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</si>
  <si>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</si>
  <si>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</si>
  <si>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</si>
  <si>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</si>
  <si>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</si>
  <si>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</si>
  <si>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</si>
  <si>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</si>
  <si>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</si>
  <si>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</si>
  <si>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</si>
  <si>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</si>
  <si>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</si>
  <si>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</si>
  <si>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</si>
  <si>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</si>
  <si>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</si>
  <si>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</si>
  <si>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</si>
  <si>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</si>
  <si>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</si>
  <si>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</si>
  <si>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</si>
  <si>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</si>
  <si>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</si>
  <si>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</si>
  <si>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</si>
  <si>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</si>
  <si>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</si>
  <si>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</si>
  <si>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</si>
  <si>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</si>
  <si>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</si>
  <si>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</si>
  <si>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</si>
  <si>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</si>
  <si>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</si>
  <si>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</si>
  <si>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</si>
  <si>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</si>
  <si>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</si>
  <si>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</si>
  <si>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</si>
  <si>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</si>
  <si>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</si>
  <si>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</si>
  <si>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</si>
  <si>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</si>
  <si>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</si>
  <si>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</si>
  <si>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</si>
  <si>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</si>
  <si>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</si>
  <si>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</si>
  <si>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</si>
  <si>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</si>
  <si>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</si>
  <si>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</si>
  <si>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</si>
  <si>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</si>
  <si>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</si>
  <si>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</si>
  <si>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</si>
  <si>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</si>
  <si>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</si>
  <si>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</si>
  <si>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</si>
  <si>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</si>
  <si>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</si>
  <si>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</si>
  <si>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</si>
  <si>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</si>
  <si>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</si>
  <si>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</si>
  <si>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</si>
  <si>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</si>
  <si>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</si>
  <si>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</si>
  <si>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</si>
  <si>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</si>
  <si>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</si>
  <si>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</si>
  <si>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</si>
  <si>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</si>
  <si>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</si>
  <si>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</si>
  <si>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</si>
  <si>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</si>
  <si>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</si>
  <si>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</si>
  <si>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</si>
  <si>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</si>
  <si>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</si>
  <si>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</si>
  <si>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</si>
  <si>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</si>
  <si>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</si>
  <si>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</si>
  <si>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</si>
  <si>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</si>
  <si>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</si>
  <si>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</si>
  <si>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</si>
  <si>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</si>
  <si>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</si>
  <si>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</si>
  <si>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</si>
  <si>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</si>
  <si>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</si>
  <si>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</si>
  <si>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</si>
  <si>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</si>
  <si>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</si>
  <si>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</si>
  <si>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</si>
  <si>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</si>
  <si>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</si>
  <si>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</si>
  <si>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</si>
  <si>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</si>
  <si>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</si>
  <si>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</si>
  <si>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</si>
  <si>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</si>
  <si>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</si>
  <si>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</si>
  <si>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</si>
  <si>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</si>
  <si>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</si>
  <si>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</si>
  <si>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</si>
  <si>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</si>
  <si>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</si>
  <si>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</si>
  <si>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</si>
  <si>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</si>
  <si>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</si>
  <si>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</si>
  <si>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</si>
  <si>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</si>
  <si>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</si>
  <si>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</si>
  <si>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</si>
  <si>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</si>
  <si>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</si>
  <si>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</si>
  <si>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</si>
  <si>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</si>
  <si>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</si>
  <si>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</si>
  <si>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</si>
  <si>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</si>
  <si>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</si>
  <si>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</si>
  <si>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</si>
  <si>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</si>
  <si>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</si>
  <si>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</si>
  <si>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</si>
  <si>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</si>
  <si>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</si>
  <si>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</si>
  <si>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</si>
  <si>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</si>
  <si>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</si>
  <si>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</si>
  <si>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</si>
  <si>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</si>
  <si>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</si>
  <si>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</si>
  <si>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</si>
  <si>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</si>
  <si>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</si>
  <si>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</si>
  <si>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</si>
  <si>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</si>
  <si>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</si>
  <si>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</si>
  <si>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</si>
  <si>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</si>
  <si>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</si>
  <si>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</si>
  <si>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</si>
  <si>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</si>
  <si>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</si>
  <si>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</si>
  <si>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</si>
  <si>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</si>
  <si>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</si>
  <si>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</si>
  <si>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</si>
  <si>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</si>
  <si>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</si>
  <si>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</si>
  <si>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</si>
  <si>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</si>
  <si>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</si>
  <si>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</si>
  <si>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</si>
  <si>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</si>
  <si>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</si>
  <si>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</si>
  <si>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</si>
  <si>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</si>
  <si>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</si>
  <si>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</si>
  <si>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</si>
  <si>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</si>
  <si>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</si>
  <si>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</si>
  <si>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</si>
  <si>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</si>
  <si>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</si>
  <si>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</si>
  <si>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</si>
  <si>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</si>
  <si>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</si>
  <si>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</si>
  <si>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</si>
  <si>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</si>
  <si>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</si>
  <si>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</si>
  <si>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</si>
  <si>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</si>
  <si>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</si>
  <si>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</si>
  <si>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</si>
  <si>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</si>
  <si>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</si>
  <si>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</si>
  <si>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</si>
  <si>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</si>
  <si>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</si>
  <si>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</si>
  <si>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</si>
  <si>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</si>
  <si>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</si>
  <si>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</si>
  <si>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</si>
  <si>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</si>
  <si>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</si>
  <si>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</si>
  <si>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</si>
  <si>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</si>
  <si>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</si>
  <si>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</si>
  <si>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</si>
  <si>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</si>
  <si>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</si>
  <si>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</si>
  <si>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</si>
  <si>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</si>
  <si>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</si>
  <si>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</si>
  <si>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</si>
  <si>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</si>
  <si>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</si>
  <si>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</si>
  <si>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</si>
  <si>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</si>
  <si>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</si>
  <si>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</si>
  <si>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</si>
  <si>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</si>
  <si>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</si>
  <si>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</si>
  <si>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</si>
  <si>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</si>
  <si>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</si>
  <si>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</si>
  <si>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</si>
  <si>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</si>
  <si>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</si>
  <si>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</si>
  <si>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</si>
  <si>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</si>
  <si>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</si>
  <si>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</si>
  <si>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</si>
  <si>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</si>
  <si>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</si>
  <si>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</si>
  <si>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</si>
  <si>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</si>
  <si>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</si>
  <si>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</si>
  <si>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</si>
  <si>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</si>
  <si>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</si>
  <si>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</si>
  <si>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</si>
  <si>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</si>
  <si>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</si>
  <si>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</si>
  <si>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</si>
  <si>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</si>
  <si>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</si>
  <si>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</si>
  <si>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</si>
  <si>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</si>
  <si>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</si>
  <si>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</si>
  <si>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</si>
  <si>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</si>
  <si>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</si>
  <si>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</si>
  <si>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</si>
  <si>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</si>
  <si>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</si>
  <si>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</si>
  <si>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</si>
  <si>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</si>
  <si>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</si>
  <si>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</si>
  <si>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</si>
  <si>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</si>
  <si>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</si>
  <si>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</si>
  <si>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</si>
  <si>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</si>
  <si>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</si>
  <si>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</si>
  <si>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</si>
  <si>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</si>
  <si>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</si>
  <si>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</si>
  <si>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</si>
  <si>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</si>
  <si>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</si>
  <si>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</si>
  <si>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</si>
  <si>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</si>
  <si>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</si>
  <si>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</si>
  <si>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</si>
  <si>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</si>
  <si>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</si>
  <si>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</si>
  <si>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</si>
  <si>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</si>
  <si>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</si>
  <si>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</si>
  <si>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</si>
  <si>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</si>
  <si>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</si>
  <si>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</si>
  <si>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</si>
  <si>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</si>
  <si>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</si>
  <si>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</si>
  <si>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</si>
  <si>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</si>
  <si>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</si>
  <si>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</si>
  <si>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</si>
  <si>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</si>
  <si>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</si>
  <si>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</si>
  <si>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</si>
  <si>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</si>
  <si>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</si>
  <si>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</si>
  <si>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</si>
  <si>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</si>
  <si>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</si>
  <si>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</si>
  <si>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</si>
  <si>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</si>
  <si>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</si>
  <si>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</si>
  <si>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</si>
  <si>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</si>
  <si>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</si>
  <si>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</si>
  <si>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</si>
  <si>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</si>
  <si>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</si>
  <si>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</si>
  <si>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</si>
  <si>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</si>
  <si>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</si>
  <si>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</si>
  <si>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</si>
  <si>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</si>
  <si>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</si>
  <si>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</si>
  <si>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</si>
  <si>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</si>
  <si>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</si>
  <si>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</si>
  <si>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</si>
  <si>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</si>
  <si>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</si>
  <si>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</si>
  <si>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</si>
  <si>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</si>
  <si>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</si>
  <si>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</si>
  <si>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</si>
  <si>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</si>
  <si>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</si>
  <si>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</si>
  <si>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</si>
  <si>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</si>
  <si>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</si>
  <si>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</si>
  <si>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</si>
  <si>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</si>
  <si>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</si>
  <si>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</si>
  <si>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</si>
  <si>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</si>
  <si>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</si>
  <si>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</si>
  <si>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</si>
  <si>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</si>
  <si>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</si>
  <si>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</si>
  <si>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</si>
  <si>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</si>
  <si>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</si>
  <si>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</si>
  <si>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</si>
  <si>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</si>
  <si>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</si>
  <si>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</si>
  <si>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</si>
  <si>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</si>
  <si>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</si>
  <si>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</si>
  <si>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</si>
  <si>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</si>
  <si>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</si>
  <si>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</si>
  <si>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</si>
  <si>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</si>
  <si>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</si>
  <si>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</si>
  <si>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</si>
  <si>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</si>
  <si>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</si>
  <si>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</si>
  <si>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</si>
  <si>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</si>
  <si>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</si>
  <si>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</si>
  <si>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</si>
  <si>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</si>
  <si>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</si>
  <si>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</si>
  <si>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</si>
  <si>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</si>
  <si>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</si>
  <si>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</si>
  <si>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</si>
  <si>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</si>
  <si>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</si>
  <si>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</si>
  <si>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</si>
  <si>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</si>
  <si>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</si>
  <si>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</si>
  <si>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</si>
  <si>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</si>
  <si>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</si>
  <si>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</si>
  <si>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</si>
  <si>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</si>
  <si>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</si>
  <si>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</si>
  <si>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</si>
  <si>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</si>
  <si>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</si>
  <si>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</si>
  <si>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</si>
  <si>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</si>
  <si>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</si>
  <si>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</si>
  <si>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</si>
  <si>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</si>
  <si>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</si>
  <si>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</si>
  <si>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</si>
  <si>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</si>
  <si>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</si>
  <si>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</si>
  <si>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</si>
  <si>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</si>
  <si>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</si>
  <si>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</si>
  <si>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</si>
  <si>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</si>
  <si>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</si>
  <si>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</si>
  <si>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</si>
  <si>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</si>
  <si>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</si>
  <si>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</si>
  <si>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</si>
  <si>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</si>
  <si>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</si>
  <si>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</si>
  <si>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</si>
  <si>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</si>
  <si>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</si>
  <si>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</si>
  <si>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</si>
  <si>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</si>
  <si>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</si>
  <si>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</si>
  <si>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</si>
  <si>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</si>
  <si>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</si>
  <si>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</si>
  <si>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</si>
  <si>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</si>
  <si>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</si>
  <si>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</si>
  <si>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</si>
  <si>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</si>
  <si>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</si>
  <si>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</si>
  <si>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</si>
  <si>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</si>
  <si>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</si>
  <si>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</si>
  <si>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</si>
  <si>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</si>
  <si>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</si>
  <si>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</si>
  <si>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</si>
  <si>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</si>
  <si>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</si>
  <si>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</si>
  <si>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</si>
  <si>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</si>
  <si>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</si>
  <si>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</si>
  <si>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</si>
  <si>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</si>
  <si>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</si>
  <si>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</si>
  <si>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</si>
  <si>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</si>
  <si>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</si>
  <si>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</si>
  <si>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</si>
  <si>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</si>
  <si>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</si>
  <si>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</si>
  <si>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</si>
  <si>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</si>
  <si>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</si>
  <si>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</si>
  <si>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</si>
  <si>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</si>
  <si>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</si>
  <si>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</si>
  <si>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</si>
  <si>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</si>
  <si>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</si>
  <si>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</si>
  <si>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</si>
  <si>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</si>
  <si>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</si>
  <si>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</si>
  <si>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</si>
  <si>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</si>
  <si>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</si>
  <si>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</si>
  <si>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</si>
  <si>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</si>
  <si>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</si>
  <si>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</si>
  <si>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</si>
  <si>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</si>
  <si>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</si>
  <si>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</si>
  <si>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</si>
  <si>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</si>
  <si>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</si>
  <si>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</si>
  <si>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</si>
  <si>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</si>
  <si>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</si>
  <si>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</si>
  <si>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</si>
  <si>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</si>
  <si>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</si>
  <si>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</si>
  <si>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</si>
  <si>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</si>
  <si>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</si>
  <si>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</si>
  <si>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</si>
  <si>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</si>
  <si>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</si>
  <si>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</si>
  <si>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</si>
  <si>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</si>
  <si>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</si>
  <si>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</si>
  <si>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</si>
  <si>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</si>
  <si>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</si>
  <si>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</si>
  <si>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</si>
  <si>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</si>
  <si>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</si>
  <si>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</si>
  <si>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</si>
  <si>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</si>
  <si>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</si>
  <si>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</si>
  <si>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</si>
  <si>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</si>
  <si>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</si>
  <si>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</si>
  <si>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</si>
  <si>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</si>
  <si>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</si>
  <si>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</si>
  <si>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</si>
  <si>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</si>
  <si>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</si>
  <si>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</si>
  <si>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</si>
  <si>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</si>
  <si>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</si>
  <si>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</si>
  <si>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</si>
  <si>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</si>
  <si>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</si>
  <si>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</si>
  <si>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</si>
  <si>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</si>
  <si>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</si>
  <si>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</si>
  <si>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</si>
  <si>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</si>
  <si>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</si>
  <si>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</si>
  <si>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</si>
  <si>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</si>
  <si>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</si>
  <si>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</si>
  <si>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</si>
  <si>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</si>
  <si>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</si>
  <si>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</si>
  <si>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</si>
  <si>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</si>
  <si>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</si>
  <si>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</si>
  <si>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</si>
  <si>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</si>
  <si>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</si>
  <si>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</si>
  <si>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</si>
  <si>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</si>
  <si>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</si>
  <si>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</si>
  <si>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</si>
  <si>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</si>
  <si>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</si>
  <si>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</si>
  <si>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</si>
  <si>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</si>
  <si>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</si>
  <si>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</si>
  <si>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</si>
  <si>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</si>
  <si>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</si>
  <si>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</si>
  <si>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</si>
  <si>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</si>
  <si>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</si>
  <si>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</si>
  <si>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</si>
  <si>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</si>
  <si>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</si>
  <si>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FIGUROA, NATALIA SOLEDAD Y SANCHEZ. CESAR GUSTAVO POR EL DELITO DE HURTO SIMPLE</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</si>
  <si>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</si>
  <si>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</si>
  <si>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</si>
  <si>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</si>
  <si>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</si>
  <si>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</si>
  <si>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</si>
  <si>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</si>
  <si>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</si>
  <si>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</si>
  <si>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</si>
  <si>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</si>
  <si>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</si>
  <si>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</si>
  <si>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</si>
  <si>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</si>
  <si>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</si>
  <si>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</si>
  <si>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</si>
  <si>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</si>
  <si>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</si>
  <si>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</si>
  <si>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</si>
  <si>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</si>
  <si>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</si>
  <si>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</si>
  <si>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</si>
  <si>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</si>
  <si>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</si>
  <si>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</si>
  <si>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</si>
  <si>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</si>
  <si>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</si>
  <si>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</si>
  <si>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</si>
  <si>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</si>
  <si>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</si>
  <si>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</si>
  <si>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</si>
  <si>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</si>
  <si>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</si>
  <si>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</si>
  <si>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</si>
  <si>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</si>
  <si>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</si>
  <si>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</si>
  <si>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</si>
  <si>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</si>
  <si>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</si>
  <si>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</si>
  <si>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</si>
  <si>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</si>
  <si>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</si>
  <si>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</si>
  <si>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</si>
  <si>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</si>
  <si>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</si>
  <si>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</si>
  <si>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</si>
  <si>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</si>
  <si>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</si>
  <si>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</si>
  <si>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</si>
  <si>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</si>
  <si>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</si>
  <si>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</si>
  <si>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</si>
  <si>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</si>
  <si>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</si>
  <si>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</si>
  <si>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</si>
  <si>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</si>
  <si>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</si>
  <si>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</si>
  <si>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</si>
  <si>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</si>
  <si>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</si>
  <si>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</si>
  <si>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</si>
  <si>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</si>
  <si>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</si>
  <si>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</si>
  <si>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</si>
  <si>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</si>
  <si>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</si>
  <si>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</si>
  <si>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</si>
  <si>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</si>
  <si>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</si>
  <si>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</si>
  <si>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</si>
  <si>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</si>
  <si>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</si>
  <si>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</si>
  <si>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</si>
  <si>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</si>
  <si>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</si>
  <si>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</si>
  <si>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</si>
  <si>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</si>
  <si>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</si>
  <si>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</si>
  <si>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</si>
  <si>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</si>
  <si>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</si>
  <si>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</si>
  <si>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</si>
  <si>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</si>
  <si>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</si>
  <si>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</si>
  <si>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</si>
  <si>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</si>
  <si>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</si>
  <si>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</si>
  <si>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</si>
  <si>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</si>
  <si>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</si>
  <si>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</si>
  <si>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</si>
  <si>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</si>
  <si>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</si>
  <si>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</si>
  <si>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</si>
  <si>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</si>
  <si>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</si>
  <si>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</si>
  <si>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PRESO</t>
  </si>
  <si>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</si>
  <si>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</si>
  <si>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</si>
  <si>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</si>
  <si>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Querellante Dr. Jandula Ezequiel</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</si>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</sst>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3">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14" borderId="2" xfId="0"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0" fontId="2" fillId="10" borderId="0" xfId="0" applyFont="1" applyFill="1" applyAlignment="1">
      <alignment horizontal="center" vertical="center" wrapText="1"/>
    </xf>
    <xf numFmtId="49" fontId="2" fillId="13" borderId="2" xfId="0" applyNumberFormat="1" applyFont="1" applyFill="1" applyBorder="1" applyAlignment="1">
      <alignment horizontal="left" vertical="center"/>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0" fillId="0" borderId="1" xfId="0" applyFill="1" applyBorder="1" applyAlignment="1">
      <alignment horizontal="left" vertical="center" wrapText="1"/>
    </xf>
    <xf numFmtId="0" fontId="0" fillId="13" borderId="0" xfId="0" applyFill="1" applyAlignment="1">
      <alignment horizontal="center"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0" fontId="2" fillId="13" borderId="1" xfId="0" applyFont="1" applyFill="1" applyBorder="1" applyAlignment="1">
      <alignment horizontal="left"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49" fontId="2" fillId="13" borderId="1" xfId="0" applyNumberFormat="1" applyFont="1" applyFill="1" applyBorder="1" applyAlignment="1">
      <alignment horizontal="center" vertical="center" wrapText="1"/>
    </xf>
    <xf numFmtId="0" fontId="2" fillId="13" borderId="0" xfId="0" applyFont="1" applyFill="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0" borderId="1" xfId="0" applyNumberFormat="1" applyFont="1" applyFill="1" applyBorder="1" applyAlignment="1">
      <alignment horizontal="left" vertical="center" wrapText="1"/>
    </xf>
    <xf numFmtId="49" fontId="2" fillId="4" borderId="2" xfId="0" applyNumberFormat="1" applyFont="1" applyFill="1" applyBorder="1" applyAlignment="1">
      <alignment horizontal="left" vertical="center"/>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192"/>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7263360"/>
        <c:axId val="157264896"/>
      </c:barChart>
      <c:catAx>
        <c:axId val="157263360"/>
        <c:scaling>
          <c:orientation val="minMax"/>
        </c:scaling>
        <c:delete val="0"/>
        <c:axPos val="b"/>
        <c:majorTickMark val="none"/>
        <c:minorTickMark val="none"/>
        <c:tickLblPos val="nextTo"/>
        <c:txPr>
          <a:bodyPr/>
          <a:lstStyle/>
          <a:p>
            <a:pPr>
              <a:defRPr lang="es-ES"/>
            </a:pPr>
            <a:endParaRPr lang="es-ES"/>
          </a:p>
        </c:txPr>
        <c:crossAx val="157264896"/>
        <c:crosses val="autoZero"/>
        <c:auto val="1"/>
        <c:lblAlgn val="ctr"/>
        <c:lblOffset val="100"/>
        <c:noMultiLvlLbl val="0"/>
      </c:catAx>
      <c:valAx>
        <c:axId val="1572648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726336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7308800"/>
        <c:axId val="157310336"/>
      </c:barChart>
      <c:catAx>
        <c:axId val="157308800"/>
        <c:scaling>
          <c:orientation val="minMax"/>
        </c:scaling>
        <c:delete val="0"/>
        <c:axPos val="b"/>
        <c:majorTickMark val="none"/>
        <c:minorTickMark val="none"/>
        <c:tickLblPos val="nextTo"/>
        <c:txPr>
          <a:bodyPr/>
          <a:lstStyle/>
          <a:p>
            <a:pPr>
              <a:defRPr lang="es-ES"/>
            </a:pPr>
            <a:endParaRPr lang="es-ES"/>
          </a:p>
        </c:txPr>
        <c:crossAx val="157310336"/>
        <c:crosses val="autoZero"/>
        <c:auto val="1"/>
        <c:lblAlgn val="ctr"/>
        <c:lblOffset val="100"/>
        <c:noMultiLvlLbl val="0"/>
      </c:catAx>
      <c:valAx>
        <c:axId val="15731033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730880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6412544"/>
        <c:axId val="156422528"/>
      </c:barChart>
      <c:catAx>
        <c:axId val="156412544"/>
        <c:scaling>
          <c:orientation val="minMax"/>
        </c:scaling>
        <c:delete val="0"/>
        <c:axPos val="b"/>
        <c:majorTickMark val="none"/>
        <c:minorTickMark val="none"/>
        <c:tickLblPos val="nextTo"/>
        <c:txPr>
          <a:bodyPr/>
          <a:lstStyle/>
          <a:p>
            <a:pPr>
              <a:defRPr lang="es-ES"/>
            </a:pPr>
            <a:endParaRPr lang="es-ES"/>
          </a:p>
        </c:txPr>
        <c:crossAx val="156422528"/>
        <c:crosses val="autoZero"/>
        <c:auto val="1"/>
        <c:lblAlgn val="ctr"/>
        <c:lblOffset val="100"/>
        <c:noMultiLvlLbl val="0"/>
      </c:catAx>
      <c:valAx>
        <c:axId val="156422528"/>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641254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7432832"/>
        <c:axId val="157446912"/>
      </c:barChart>
      <c:catAx>
        <c:axId val="157432832"/>
        <c:scaling>
          <c:orientation val="minMax"/>
        </c:scaling>
        <c:delete val="0"/>
        <c:axPos val="b"/>
        <c:numFmt formatCode="General" sourceLinked="0"/>
        <c:majorTickMark val="none"/>
        <c:minorTickMark val="none"/>
        <c:tickLblPos val="nextTo"/>
        <c:txPr>
          <a:bodyPr/>
          <a:lstStyle/>
          <a:p>
            <a:pPr>
              <a:defRPr lang="es-ES"/>
            </a:pPr>
            <a:endParaRPr lang="es-ES"/>
          </a:p>
        </c:txPr>
        <c:crossAx val="157446912"/>
        <c:crosses val="autoZero"/>
        <c:auto val="1"/>
        <c:lblAlgn val="ctr"/>
        <c:lblOffset val="100"/>
        <c:noMultiLvlLbl val="0"/>
      </c:catAx>
      <c:valAx>
        <c:axId val="15744691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743283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724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2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0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58"/>
                  <c:y val="0.3511126178195200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1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1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17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05"/>
                  <c:y val="0.1493162344699359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5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10</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36"/>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3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1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1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
                  <c:y val="0.1493162344699360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5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30</c:v>
                </c:pt>
                <c:pt idx="4">
                  <c:v>17</c:v>
                </c:pt>
                <c:pt idx="5">
                  <c:v>20</c:v>
                </c:pt>
                <c:pt idx="6">
                  <c:v>2</c:v>
                </c:pt>
                <c:pt idx="7">
                  <c:v>2</c:v>
                </c:pt>
                <c:pt idx="8">
                  <c:v>5</c:v>
                </c:pt>
              </c:numCache>
            </c:numRef>
          </c:val>
          <c:extLst>
            <c:ext xmlns:c16="http://schemas.microsoft.com/office/drawing/2014/chart" uri="{C3380CC4-5D6E-409C-BE32-E72D297353CC}">
              <c16:uniqueId val="{00000000-6E47-4DCE-A3D7-837882514E93}"/>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4.4050439814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4.4050439814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4.405044212966"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4.405044212966"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4.4050445601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4.4050445601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2">
    <i>
      <x/>
    </i>
    <i r="1">
      <x v="12"/>
    </i>
    <i r="2">
      <x v="5"/>
    </i>
    <i>
      <x v="2"/>
    </i>
    <i r="1">
      <x v="15"/>
    </i>
    <i r="2">
      <x v="3"/>
    </i>
    <i>
      <x v="3"/>
    </i>
    <i r="1">
      <x v="2"/>
    </i>
    <i r="2">
      <x v="3"/>
    </i>
    <i>
      <x v="4"/>
    </i>
    <i r="1">
      <x v="18"/>
    </i>
    <i r="2">
      <x v="5"/>
    </i>
    <i>
      <x v="6"/>
    </i>
    <i r="1">
      <x v="17"/>
    </i>
    <i r="2">
      <x v="5"/>
    </i>
    <i>
      <x v="7"/>
    </i>
    <i r="1">
      <x v="4"/>
    </i>
    <i r="2">
      <x v="5"/>
    </i>
    <i>
      <x v="15"/>
    </i>
    <i r="1">
      <x v="7"/>
    </i>
    <i r="2">
      <x v="3"/>
    </i>
    <i t="grand">
      <x/>
    </i>
  </rowItems>
  <colItems count="1">
    <i/>
  </colItems>
  <pageFields count="1">
    <pageField fld="4" item="180"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2"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5">
    <i>
      <x/>
    </i>
    <i r="1">
      <x v="7"/>
    </i>
    <i r="2">
      <x v="5"/>
    </i>
    <i>
      <x v="2"/>
    </i>
    <i r="1">
      <x v="8"/>
    </i>
    <i r="2">
      <x v="3"/>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64">
      <pivotArea dataOnly="0" labelOnly="1" outline="0" fieldPosition="0">
        <references count="1">
          <reference field="4" count="1">
            <x v="85"/>
          </reference>
        </references>
      </pivotArea>
    </format>
    <format dxfId="63">
      <pivotArea type="all" dataOnly="0" outline="0" fieldPosition="0"/>
    </format>
    <format dxfId="62">
      <pivotArea dataOnly="0" labelOnly="1" outline="0" fieldPosition="0">
        <references count="1">
          <reference field="4" count="1">
            <x v="85"/>
          </reference>
        </references>
      </pivotArea>
    </format>
    <format dxfId="61">
      <pivotArea field="6" type="button" dataOnly="0" labelOnly="1" outline="0" axis="axisRow" fieldPosition="0"/>
    </format>
    <format dxfId="60">
      <pivotArea dataOnly="0" labelOnly="1" fieldPosition="0">
        <references count="1">
          <reference field="6" count="3">
            <x v="0"/>
            <x v="2"/>
            <x v="8"/>
          </reference>
        </references>
      </pivotArea>
    </format>
    <format dxfId="59">
      <pivotArea dataOnly="0" labelOnly="1" outline="0" fieldPosition="0">
        <references count="1">
          <reference field="4" count="1">
            <x v="90"/>
          </reference>
        </references>
      </pivotArea>
    </format>
    <format dxfId="58">
      <pivotArea dataOnly="0" labelOnly="1" outline="0" fieldPosition="0">
        <references count="1">
          <reference field="4" count="1">
            <x v="99"/>
          </reference>
        </references>
      </pivotArea>
    </format>
    <format dxfId="57">
      <pivotArea dataOnly="0" labelOnly="1" outline="0" fieldPosition="0">
        <references count="1">
          <reference field="4" count="1">
            <x v="99"/>
          </reference>
        </references>
      </pivotArea>
    </format>
    <format dxfId="56">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72">
      <pivotArea dataOnly="0" labelOnly="1" outline="0" fieldPosition="0">
        <references count="1">
          <reference field="4" count="1">
            <x v="86"/>
          </reference>
        </references>
      </pivotArea>
    </format>
    <format dxfId="71">
      <pivotArea dataOnly="0" labelOnly="1" outline="0" fieldPosition="0">
        <references count="1">
          <reference field="4" count="1">
            <x v="86"/>
          </reference>
        </references>
      </pivotArea>
    </format>
    <format dxfId="70">
      <pivotArea dataOnly="0" labelOnly="1" fieldPosition="0">
        <references count="1">
          <reference field="6" count="3">
            <x v="0"/>
            <x v="2"/>
            <x v="8"/>
          </reference>
        </references>
      </pivotArea>
    </format>
    <format dxfId="69">
      <pivotArea dataOnly="0" labelOnly="1" outline="0" fieldPosition="0">
        <references count="1">
          <reference field="4" count="1">
            <x v="91"/>
          </reference>
        </references>
      </pivotArea>
    </format>
    <format dxfId="68">
      <pivotArea dataOnly="0" labelOnly="1" outline="0" fieldPosition="0">
        <references count="1">
          <reference field="4" count="1">
            <x v="95"/>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100"/>
          </reference>
        </references>
      </pivotArea>
    </format>
    <format dxfId="65">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2"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5">
    <i>
      <x/>
    </i>
    <i r="1">
      <x v="8"/>
    </i>
    <i r="2">
      <x v="5"/>
    </i>
    <i>
      <x v="2"/>
    </i>
    <i r="1">
      <x v="7"/>
    </i>
    <i r="2">
      <x v="3"/>
    </i>
    <i>
      <x v="3"/>
    </i>
    <i r="1">
      <x v="4"/>
    </i>
    <i r="2">
      <x v="3"/>
    </i>
    <i>
      <x v="4"/>
    </i>
    <i r="1">
      <x v="16"/>
    </i>
    <i r="2">
      <x v="5"/>
    </i>
    <i>
      <x v="6"/>
    </i>
    <i r="1">
      <x v="15"/>
    </i>
    <i r="2">
      <x v="3"/>
    </i>
    <i>
      <x v="7"/>
    </i>
    <i r="1">
      <x v="12"/>
    </i>
    <i r="2">
      <x v="5"/>
    </i>
    <i>
      <x v="14"/>
    </i>
    <i r="1">
      <x v="6"/>
    </i>
    <i r="2">
      <x v="3"/>
    </i>
    <i>
      <x v="15"/>
    </i>
    <i r="1">
      <x v="18"/>
    </i>
    <i r="2">
      <x v="3"/>
    </i>
    <i t="grand">
      <x/>
    </i>
  </rowItems>
  <colItems count="1">
    <i/>
  </colItems>
  <pageFields count="1">
    <pageField fld="4" item="179"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7">
    <i>
      <x v="2"/>
    </i>
    <i r="1">
      <x v="17"/>
    </i>
    <i r="2">
      <x v="5"/>
    </i>
    <i>
      <x v="6"/>
    </i>
    <i r="1">
      <x v="4"/>
    </i>
    <i r="2">
      <x v="3"/>
    </i>
    <i t="grand">
      <x/>
    </i>
  </rowItems>
  <colItems count="1">
    <i/>
  </colItems>
  <pageFields count="1">
    <pageField fld="4" item="182"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8"/>
    </i>
    <i r="2">
      <x v="3"/>
    </i>
    <i>
      <x v="2"/>
    </i>
    <i r="1">
      <x v="18"/>
    </i>
    <i r="2">
      <x v="3"/>
    </i>
    <i>
      <x v="3"/>
    </i>
    <i r="1">
      <x v="17"/>
    </i>
    <i r="2">
      <x v="3"/>
    </i>
    <i>
      <x v="4"/>
    </i>
    <i r="1">
      <x v="7"/>
    </i>
    <i r="2">
      <x v="3"/>
    </i>
    <i>
      <x v="6"/>
    </i>
    <i r="1">
      <x v="4"/>
    </i>
    <i r="2">
      <x v="3"/>
    </i>
    <i>
      <x v="7"/>
    </i>
    <i r="1">
      <x v="2"/>
    </i>
    <i r="2">
      <x v="5"/>
    </i>
    <i t="grand">
      <x/>
    </i>
  </rowItems>
  <colItems count="1">
    <i/>
  </colItems>
  <pageFields count="1">
    <pageField fld="4" item="181"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J1068"/>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6">
        <v>1066</v>
      </c>
      <c r="B1" s="237" t="str">
        <f ca="1" xml:space="preserve"> COUNTIF(O:O,"NO") &amp;"                                      -                 "                 &amp; COUNTIF(O:O,"LIMBO")</f>
        <v>70                                      -                 50</v>
      </c>
      <c r="C1" s="237">
        <f ca="1" xml:space="preserve"> COUNTIF(O:O,"SI")</f>
        <v>945</v>
      </c>
      <c r="D1" s="235"/>
      <c r="E1" s="275" t="str">
        <f ca="1" xml:space="preserve"> "Cantidad de audiencias de la fecha:   " &amp; COUNTIF(H:H,TODAY())</f>
        <v>Cantidad de audiencias de la fecha:   0</v>
      </c>
      <c r="F1" s="238"/>
      <c r="G1" s="239"/>
      <c r="H1" s="240"/>
      <c r="I1" s="240"/>
      <c r="J1" s="240" t="s">
        <v>43</v>
      </c>
      <c r="K1" s="239" t="s">
        <v>899</v>
      </c>
      <c r="L1" s="241" t="s">
        <v>3817</v>
      </c>
      <c r="M1" s="103"/>
      <c r="N1" s="104"/>
      <c r="O1" s="104"/>
      <c r="P1" s="105">
        <v>45253</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9"/>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9"/>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9"/>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9"/>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9"/>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9"/>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9"/>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9"/>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SI</v>
      </c>
      <c r="U12" s="72">
        <f t="shared" si="3"/>
        <v>3</v>
      </c>
      <c r="V12" s="7"/>
      <c r="W12" s="7"/>
      <c r="X12" s="7"/>
      <c r="Y12" s="7"/>
      <c r="Z12" s="72"/>
      <c r="AA12" s="72"/>
      <c r="AB12" s="72"/>
      <c r="AC12" s="359"/>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9"/>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9"/>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9"/>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9"/>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59"/>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SI</v>
      </c>
      <c r="U18" s="72">
        <f t="shared" si="3"/>
        <v>3</v>
      </c>
      <c r="V18" s="7"/>
      <c r="W18" s="7"/>
      <c r="X18" s="7"/>
      <c r="Y18" s="7"/>
      <c r="Z18" s="72"/>
      <c r="AA18" s="72"/>
      <c r="AB18" s="72"/>
      <c r="AC18" s="359"/>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SI</v>
      </c>
      <c r="U19" s="72">
        <f t="shared" si="3"/>
        <v>3</v>
      </c>
      <c r="V19" s="7"/>
      <c r="W19" s="7"/>
      <c r="X19" s="7"/>
      <c r="Y19" s="7"/>
      <c r="Z19" s="72"/>
      <c r="AA19" s="72"/>
      <c r="AB19" s="72"/>
      <c r="AC19" s="359"/>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9"/>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59"/>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SI</v>
      </c>
      <c r="U22" s="72">
        <f t="shared" si="3"/>
        <v>3</v>
      </c>
      <c r="V22" s="7"/>
      <c r="W22" s="7"/>
      <c r="X22" s="7"/>
      <c r="Y22" s="7"/>
      <c r="Z22" s="72"/>
      <c r="AA22" s="72"/>
      <c r="AB22" s="72"/>
      <c r="AC22" s="359"/>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9"/>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9"/>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9"/>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9"/>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SI</v>
      </c>
      <c r="U27" s="72">
        <f t="shared" si="3"/>
        <v>3</v>
      </c>
      <c r="V27" s="7"/>
      <c r="W27" s="7"/>
      <c r="X27" s="7"/>
      <c r="Y27" s="7"/>
      <c r="Z27" s="72"/>
      <c r="AA27" s="72"/>
      <c r="AB27" s="72"/>
      <c r="AC27" s="359"/>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9"/>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9"/>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9"/>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SI</v>
      </c>
      <c r="U31" s="72">
        <f t="shared" si="3"/>
        <v>3</v>
      </c>
      <c r="V31" s="7"/>
      <c r="W31" s="7"/>
      <c r="X31" s="7"/>
      <c r="Y31" s="7"/>
      <c r="Z31" s="72"/>
      <c r="AA31" s="72"/>
      <c r="AB31" s="72"/>
      <c r="AC31" s="359"/>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9"/>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9"/>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9"/>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9"/>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9"/>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SI</v>
      </c>
      <c r="U37" s="72">
        <f t="shared" si="3"/>
        <v>3</v>
      </c>
      <c r="V37" s="7"/>
      <c r="W37" s="7"/>
      <c r="X37" s="7"/>
      <c r="Y37" s="7"/>
      <c r="Z37" s="72"/>
      <c r="AA37" s="72"/>
      <c r="AB37" s="72"/>
      <c r="AC37" s="359"/>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59"/>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9"/>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9"/>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59"/>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9"/>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SI</v>
      </c>
      <c r="U43" s="72">
        <f t="shared" si="3"/>
        <v>3</v>
      </c>
      <c r="V43" s="7"/>
      <c r="W43" s="7"/>
      <c r="X43" s="7"/>
      <c r="Y43" s="7"/>
      <c r="Z43" s="72"/>
      <c r="AA43" s="72"/>
      <c r="AB43" s="72"/>
      <c r="AC43" s="359"/>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9"/>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SI</v>
      </c>
      <c r="U45" s="72">
        <f t="shared" si="3"/>
        <v>3</v>
      </c>
      <c r="V45" s="7"/>
      <c r="W45" s="7"/>
      <c r="X45" s="7"/>
      <c r="Y45" s="7"/>
      <c r="Z45" s="72"/>
      <c r="AA45" s="72"/>
      <c r="AB45" s="72"/>
      <c r="AC45" s="359"/>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59"/>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59"/>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9"/>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9"/>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SI</v>
      </c>
      <c r="U50" s="72">
        <f t="shared" si="3"/>
        <v>3</v>
      </c>
      <c r="V50" s="7"/>
      <c r="W50" s="7"/>
      <c r="X50" s="7"/>
      <c r="Y50" s="7"/>
      <c r="Z50" s="72"/>
      <c r="AA50" s="72"/>
      <c r="AB50" s="72"/>
      <c r="AC50" s="359"/>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59"/>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9"/>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9"/>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9"/>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SI</v>
      </c>
      <c r="U55" s="72">
        <f t="shared" si="3"/>
        <v>3</v>
      </c>
      <c r="V55" s="7"/>
      <c r="W55" s="7"/>
      <c r="X55" s="7"/>
      <c r="Y55" s="7"/>
      <c r="Z55" s="72"/>
      <c r="AA55" s="72"/>
      <c r="AB55" s="72"/>
      <c r="AC55" s="359"/>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9"/>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9"/>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59"/>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9"/>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9"/>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9"/>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9"/>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9"/>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9"/>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9"/>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59"/>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9"/>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9"/>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9"/>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SI</v>
      </c>
      <c r="U70" s="72">
        <f t="shared" si="7"/>
        <v>3</v>
      </c>
      <c r="V70" s="7"/>
      <c r="W70" s="7"/>
      <c r="X70" s="7"/>
      <c r="Y70" s="7"/>
      <c r="Z70" s="72"/>
      <c r="AA70" s="72"/>
      <c r="AB70" s="72"/>
      <c r="AC70" s="359"/>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59"/>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9"/>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59"/>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9"/>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9"/>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9"/>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SI</v>
      </c>
      <c r="U77" s="72">
        <f t="shared" si="7"/>
        <v>3</v>
      </c>
      <c r="V77" s="7"/>
      <c r="W77" s="7"/>
      <c r="X77" s="7"/>
      <c r="Y77" s="7"/>
      <c r="Z77" s="72"/>
      <c r="AA77" s="72"/>
      <c r="AB77" s="72"/>
      <c r="AC77" s="359"/>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9"/>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9"/>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9"/>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SI</v>
      </c>
      <c r="U81" s="72">
        <f t="shared" si="7"/>
        <v>3</v>
      </c>
      <c r="V81" s="7"/>
      <c r="W81" s="7"/>
      <c r="X81" s="7"/>
      <c r="Y81" s="7"/>
      <c r="Z81" s="72"/>
      <c r="AA81" s="72"/>
      <c r="AB81" s="72"/>
      <c r="AC81" s="359"/>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9"/>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9"/>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59"/>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9"/>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59"/>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9"/>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9"/>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SI</v>
      </c>
      <c r="U89" s="72">
        <f t="shared" si="7"/>
        <v>3</v>
      </c>
      <c r="V89" s="7"/>
      <c r="W89" s="7"/>
      <c r="X89" s="7"/>
      <c r="Y89" s="7"/>
      <c r="Z89" s="72"/>
      <c r="AA89" s="72"/>
      <c r="AB89" s="72"/>
      <c r="AC89" s="359"/>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9"/>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9"/>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59"/>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SI</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9"/>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9"/>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9"/>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59"/>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9"/>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59"/>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9"/>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SI</v>
      </c>
      <c r="U102" s="72">
        <f t="shared" si="7"/>
        <v>4</v>
      </c>
      <c r="V102" s="7"/>
      <c r="W102" s="7"/>
      <c r="X102" s="7"/>
      <c r="Y102" s="7"/>
      <c r="Z102" s="72"/>
      <c r="AA102" s="72"/>
      <c r="AB102" s="72"/>
      <c r="AC102" s="359"/>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9"/>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9"/>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59"/>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9"/>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9"/>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SI</v>
      </c>
      <c r="U108" s="72">
        <f t="shared" si="7"/>
        <v>4</v>
      </c>
      <c r="V108" s="7"/>
      <c r="W108" s="7"/>
      <c r="X108" s="7"/>
      <c r="Y108" s="7"/>
      <c r="Z108" s="72"/>
      <c r="AA108" s="72"/>
      <c r="AB108" s="72"/>
      <c r="AC108" s="359"/>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9"/>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9"/>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59"/>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9"/>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9"/>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9"/>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SI</v>
      </c>
      <c r="U115" s="72">
        <f t="shared" si="7"/>
        <v>4</v>
      </c>
      <c r="V115" s="7"/>
      <c r="W115" s="7"/>
      <c r="X115" s="7"/>
      <c r="Y115" s="7"/>
      <c r="Z115" s="72"/>
      <c r="AA115" s="72"/>
      <c r="AB115" s="72"/>
      <c r="AC115" s="359"/>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9"/>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9"/>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SI</v>
      </c>
      <c r="U118" s="72">
        <f t="shared" si="7"/>
        <v>4</v>
      </c>
      <c r="V118" s="7"/>
      <c r="W118" s="7"/>
      <c r="X118" s="7"/>
      <c r="Y118" s="7"/>
      <c r="Z118" s="72"/>
      <c r="AA118" s="72"/>
      <c r="AB118" s="72"/>
      <c r="AC118" s="359"/>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9"/>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9"/>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9"/>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9"/>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9"/>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SI</v>
      </c>
      <c r="U124" s="72">
        <f t="shared" si="7"/>
        <v>4</v>
      </c>
      <c r="V124" s="7"/>
      <c r="W124" s="7"/>
      <c r="X124" s="7"/>
      <c r="Y124" s="7"/>
      <c r="Z124" s="72"/>
      <c r="AA124" s="72"/>
      <c r="AB124" s="72"/>
      <c r="AC124" s="359"/>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9"/>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9"/>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59"/>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9"/>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9"/>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59"/>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9"/>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9"/>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SI</v>
      </c>
      <c r="U133" s="72">
        <f t="shared" si="11"/>
        <v>4</v>
      </c>
      <c r="V133" s="7"/>
      <c r="W133" s="7"/>
      <c r="X133" s="7"/>
      <c r="Y133" s="7"/>
      <c r="Z133" s="72"/>
      <c r="AA133" s="72"/>
      <c r="AB133" s="72"/>
      <c r="AC133" s="359"/>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9"/>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59"/>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9"/>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9"/>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9"/>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59"/>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59"/>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9"/>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9"/>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9"/>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SI</v>
      </c>
      <c r="U144" s="72">
        <f t="shared" si="11"/>
        <v>4</v>
      </c>
      <c r="V144" s="7"/>
      <c r="W144" s="7"/>
      <c r="X144" s="7"/>
      <c r="Y144" s="7"/>
      <c r="Z144" s="72"/>
      <c r="AA144" s="72"/>
      <c r="AB144" s="72"/>
      <c r="AC144" s="359"/>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SI</v>
      </c>
      <c r="U145" s="72">
        <f t="shared" si="11"/>
        <v>4</v>
      </c>
      <c r="V145" s="7"/>
      <c r="W145" s="7"/>
      <c r="X145" s="7"/>
      <c r="Y145" s="7"/>
      <c r="Z145" s="72"/>
      <c r="AA145" s="72"/>
      <c r="AB145" s="72"/>
      <c r="AC145" s="359"/>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9"/>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59"/>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SI</v>
      </c>
      <c r="U148" s="72">
        <f t="shared" si="11"/>
        <v>4</v>
      </c>
      <c r="V148" s="7"/>
      <c r="W148" s="7"/>
      <c r="X148" s="7"/>
      <c r="Y148" s="7"/>
      <c r="Z148" s="72"/>
      <c r="AA148" s="72"/>
      <c r="AB148" s="72"/>
      <c r="AC148" s="359"/>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9"/>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9"/>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9"/>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SI</v>
      </c>
      <c r="U152" s="72">
        <f t="shared" si="11"/>
        <v>4</v>
      </c>
      <c r="V152" s="7"/>
      <c r="W152" s="7"/>
      <c r="X152" s="7"/>
      <c r="Y152" s="7"/>
      <c r="Z152" s="72"/>
      <c r="AA152" s="72"/>
      <c r="AB152" s="72"/>
      <c r="AC152" s="359"/>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9"/>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9"/>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9"/>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SI</v>
      </c>
      <c r="U156" s="72">
        <f t="shared" si="11"/>
        <v>5</v>
      </c>
      <c r="V156" s="7"/>
      <c r="W156" s="7"/>
      <c r="X156" s="7"/>
      <c r="Y156" s="7"/>
      <c r="Z156" s="72"/>
      <c r="AA156" s="72"/>
      <c r="AB156" s="72"/>
      <c r="AC156" s="359"/>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59"/>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9"/>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9"/>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9"/>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59"/>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9"/>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9"/>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9"/>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SI</v>
      </c>
      <c r="U165" s="72">
        <f t="shared" si="11"/>
        <v>5</v>
      </c>
      <c r="V165" s="7"/>
      <c r="W165" s="7"/>
      <c r="X165" s="7"/>
      <c r="Y165" s="7"/>
      <c r="Z165" s="72"/>
      <c r="AA165" s="72"/>
      <c r="AB165" s="72"/>
      <c r="AC165" s="359"/>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59"/>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9"/>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SI</v>
      </c>
      <c r="U168" s="72">
        <f t="shared" si="11"/>
        <v>5</v>
      </c>
      <c r="V168" s="7"/>
      <c r="W168" s="7"/>
      <c r="X168" s="7"/>
      <c r="Y168" s="7"/>
      <c r="Z168" s="72"/>
      <c r="AA168" s="72"/>
      <c r="AB168" s="72"/>
      <c r="AC168" s="359"/>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59"/>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59"/>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SI</v>
      </c>
      <c r="U171" s="72">
        <f t="shared" si="11"/>
        <v>5</v>
      </c>
      <c r="V171" s="7"/>
      <c r="W171" s="7"/>
      <c r="X171" s="7"/>
      <c r="Y171" s="7"/>
      <c r="Z171" s="72"/>
      <c r="AA171" s="72"/>
      <c r="AB171" s="72"/>
      <c r="AC171" s="359"/>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9"/>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9"/>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59"/>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9"/>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9"/>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59"/>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9"/>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9"/>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SI</v>
      </c>
      <c r="U180" s="72">
        <f t="shared" si="11"/>
        <v>5</v>
      </c>
      <c r="V180" s="7"/>
      <c r="W180" s="7"/>
      <c r="X180" s="7"/>
      <c r="Y180" s="7"/>
      <c r="Z180" s="72"/>
      <c r="AA180" s="72"/>
      <c r="AB180" s="72"/>
      <c r="AC180" s="359"/>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9"/>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9"/>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9"/>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9"/>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9"/>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59"/>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59"/>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9"/>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9"/>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59"/>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59"/>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9"/>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SI</v>
      </c>
      <c r="U193" s="72">
        <f t="shared" si="11"/>
        <v>5</v>
      </c>
      <c r="V193" s="7"/>
      <c r="W193" s="7"/>
      <c r="X193" s="7"/>
      <c r="Y193" s="7"/>
      <c r="Z193" s="72"/>
      <c r="AA193" s="72"/>
      <c r="AB193" s="72"/>
      <c r="AC193" s="359"/>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9"/>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SI</v>
      </c>
      <c r="U195" s="72">
        <f t="shared" ref="U195:U203" si="15">IF(H195="",0,MONTH(H195))</f>
        <v>5</v>
      </c>
      <c r="V195" s="7"/>
      <c r="W195" s="7"/>
      <c r="X195" s="7"/>
      <c r="Y195" s="7"/>
      <c r="Z195" s="72"/>
      <c r="AA195" s="72"/>
      <c r="AB195" s="72"/>
      <c r="AC195" s="359"/>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59"/>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59"/>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9"/>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SI</v>
      </c>
      <c r="U199" s="72">
        <f t="shared" si="15"/>
        <v>6</v>
      </c>
      <c r="V199" s="7"/>
      <c r="W199" s="7"/>
      <c r="X199" s="7" t="s">
        <v>995</v>
      </c>
      <c r="Y199" s="7"/>
      <c r="Z199" s="72"/>
      <c r="AA199" s="72"/>
      <c r="AB199" s="72"/>
      <c r="AC199" s="359"/>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59"/>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9"/>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9"/>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9"/>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SI</v>
      </c>
      <c r="U204" s="72"/>
      <c r="V204" s="7"/>
      <c r="W204" s="15" t="s">
        <v>1244</v>
      </c>
      <c r="X204" s="7"/>
      <c r="Y204" s="7"/>
      <c r="Z204" s="72"/>
      <c r="AA204" s="72"/>
      <c r="AB204" s="72"/>
      <c r="AC204" s="359"/>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1"/>
      <c r="AB205" s="72"/>
      <c r="AC205" s="359"/>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1"/>
      <c r="AB206" s="72"/>
      <c r="AC206" s="359"/>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1"/>
      <c r="AB207" s="72"/>
      <c r="AC207" s="359"/>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1"/>
      <c r="AB208" s="72"/>
      <c r="AC208" s="359"/>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1"/>
      <c r="AB209" s="72"/>
      <c r="AC209" s="359"/>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9"/>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59"/>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9"/>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9"/>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SI</v>
      </c>
      <c r="U214" s="72">
        <f t="shared" si="16"/>
        <v>6</v>
      </c>
      <c r="V214" s="7"/>
      <c r="W214" s="15" t="s">
        <v>1134</v>
      </c>
      <c r="X214" s="7"/>
      <c r="Y214" s="7"/>
      <c r="Z214" s="72"/>
      <c r="AA214" s="72"/>
      <c r="AB214" s="72"/>
      <c r="AC214" s="359"/>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9"/>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9"/>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9"/>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59"/>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59"/>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59"/>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59"/>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9"/>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SI</v>
      </c>
      <c r="U223" s="77"/>
      <c r="V223" s="67"/>
      <c r="W223" s="74" t="s">
        <v>1003</v>
      </c>
      <c r="X223" s="67"/>
      <c r="Y223" s="67"/>
      <c r="Z223" s="123"/>
      <c r="AA223" s="72"/>
      <c r="AB223" s="72"/>
      <c r="AC223" s="359"/>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59"/>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9"/>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9"/>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59"/>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9"/>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9"/>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SI</v>
      </c>
      <c r="U237" s="77"/>
      <c r="V237" s="67"/>
      <c r="W237" s="74">
        <v>0.375</v>
      </c>
      <c r="X237" s="67" t="s">
        <v>1102</v>
      </c>
      <c r="Y237" s="67"/>
      <c r="Z237" s="123"/>
      <c r="AA237" s="284"/>
      <c r="AB237" s="332"/>
      <c r="AC237" s="359"/>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2"/>
      <c r="AC238" s="359"/>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2"/>
      <c r="AC239" s="359"/>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2"/>
      <c r="AC240" s="359"/>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2"/>
      <c r="AC241" s="359"/>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2"/>
      <c r="AC242" s="359"/>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2"/>
      <c r="AC243" s="359"/>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2"/>
      <c r="AC244" s="359"/>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2"/>
      <c r="AC245" s="359"/>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2" t="s">
        <v>1172</v>
      </c>
      <c r="AC246" s="359"/>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SI</v>
      </c>
      <c r="U247" s="77"/>
      <c r="V247" s="67"/>
      <c r="W247" s="67" t="s">
        <v>1278</v>
      </c>
      <c r="X247" s="67" t="s">
        <v>1279</v>
      </c>
      <c r="Y247" s="67"/>
      <c r="Z247" s="284" t="s">
        <v>1042</v>
      </c>
      <c r="AA247" s="284" t="s">
        <v>1171</v>
      </c>
      <c r="AB247" s="332" t="s">
        <v>1174</v>
      </c>
      <c r="AC247" s="359"/>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2" t="s">
        <v>1172</v>
      </c>
      <c r="AC248" s="359"/>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SI</v>
      </c>
      <c r="U249" s="77"/>
      <c r="V249" s="67"/>
      <c r="W249" s="67" t="s">
        <v>1296</v>
      </c>
      <c r="X249" s="67"/>
      <c r="Y249" s="67"/>
      <c r="Z249" s="284" t="s">
        <v>743</v>
      </c>
      <c r="AA249" s="72"/>
      <c r="AB249" s="284" t="s">
        <v>1175</v>
      </c>
      <c r="AC249" s="359"/>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59"/>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59"/>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59"/>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59"/>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59"/>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59"/>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59"/>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59"/>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59"/>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59"/>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59"/>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59"/>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59"/>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59"/>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3" t="s">
        <v>770</v>
      </c>
      <c r="AA264" s="123" t="s">
        <v>1168</v>
      </c>
      <c r="AB264" s="284" t="s">
        <v>1175</v>
      </c>
      <c r="AC264" s="359"/>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SI</v>
      </c>
      <c r="U265" s="77"/>
      <c r="V265" s="67"/>
      <c r="W265" s="67" t="s">
        <v>1371</v>
      </c>
      <c r="X265" s="67" t="s">
        <v>1376</v>
      </c>
      <c r="Y265" s="67"/>
      <c r="Z265" s="123" t="s">
        <v>1041</v>
      </c>
      <c r="AA265" s="123" t="s">
        <v>1170</v>
      </c>
      <c r="AB265" s="284" t="s">
        <v>1173</v>
      </c>
      <c r="AC265" s="359"/>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59"/>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59"/>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59"/>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59"/>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SI</v>
      </c>
      <c r="U270" s="77"/>
      <c r="V270" s="67"/>
      <c r="W270" s="67" t="s">
        <v>1228</v>
      </c>
      <c r="X270" s="67"/>
      <c r="Y270" s="67"/>
      <c r="Z270" s="123" t="s">
        <v>1041</v>
      </c>
      <c r="AA270" s="123" t="s">
        <v>743</v>
      </c>
      <c r="AB270" s="123" t="s">
        <v>1173</v>
      </c>
      <c r="AC270" s="359"/>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59"/>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59"/>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59"/>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59"/>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9"/>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SI</v>
      </c>
      <c r="U276" s="69"/>
      <c r="V276" s="69"/>
      <c r="W276" s="69" t="s">
        <v>1395</v>
      </c>
      <c r="X276" s="67" t="s">
        <v>1389</v>
      </c>
      <c r="Y276" s="67"/>
      <c r="Z276" s="123" t="s">
        <v>1042</v>
      </c>
      <c r="AA276" s="123" t="s">
        <v>743</v>
      </c>
      <c r="AB276" s="284" t="s">
        <v>1174</v>
      </c>
      <c r="AC276" s="359"/>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59"/>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59"/>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SI</v>
      </c>
      <c r="U279" s="77"/>
      <c r="V279" s="67"/>
      <c r="W279" s="67" t="s">
        <v>1230</v>
      </c>
      <c r="X279" s="67"/>
      <c r="Y279" s="67"/>
      <c r="Z279" s="123" t="s">
        <v>743</v>
      </c>
      <c r="AA279" s="123" t="s">
        <v>1168</v>
      </c>
      <c r="AB279" s="284" t="s">
        <v>1175</v>
      </c>
      <c r="AC279" s="359"/>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59"/>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59"/>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59"/>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59"/>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SI</v>
      </c>
      <c r="U284" s="77"/>
      <c r="V284" s="67"/>
      <c r="W284" s="67" t="s">
        <v>1243</v>
      </c>
      <c r="X284" s="67"/>
      <c r="Y284" s="67"/>
      <c r="Z284" s="123" t="s">
        <v>743</v>
      </c>
      <c r="AA284" s="123" t="s">
        <v>1168</v>
      </c>
      <c r="AB284" s="284" t="s">
        <v>1175</v>
      </c>
      <c r="AC284" s="359"/>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59"/>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59"/>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59"/>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59"/>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59"/>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SI</v>
      </c>
      <c r="U290" s="72"/>
      <c r="V290" s="7"/>
      <c r="W290" s="7" t="s">
        <v>1509</v>
      </c>
      <c r="X290" s="7"/>
      <c r="Y290" s="7"/>
      <c r="Z290" s="284" t="s">
        <v>770</v>
      </c>
      <c r="AA290" s="123" t="s">
        <v>1170</v>
      </c>
      <c r="AB290" s="284" t="s">
        <v>1173</v>
      </c>
      <c r="AC290" s="359"/>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59"/>
    </row>
    <row r="292" spans="1:29" ht="38.25" x14ac:dyDescent="0.2">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59"/>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59"/>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59"/>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59"/>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59"/>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59"/>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SI</v>
      </c>
      <c r="U298" s="77"/>
      <c r="V298" s="67"/>
      <c r="W298" s="67" t="s">
        <v>1464</v>
      </c>
      <c r="X298" s="67" t="s">
        <v>1538</v>
      </c>
      <c r="Y298" s="67"/>
      <c r="Z298" s="123" t="s">
        <v>748</v>
      </c>
      <c r="AA298" s="123" t="s">
        <v>1168</v>
      </c>
      <c r="AB298" s="123" t="s">
        <v>1176</v>
      </c>
      <c r="AC298" s="359"/>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59"/>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59"/>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59"/>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59"/>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59"/>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59"/>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59"/>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SI</v>
      </c>
      <c r="U306" s="77"/>
      <c r="V306" s="67"/>
      <c r="W306" s="67" t="s">
        <v>1237</v>
      </c>
      <c r="X306" s="67" t="s">
        <v>1505</v>
      </c>
      <c r="Y306" s="67"/>
      <c r="Z306" s="284" t="s">
        <v>1041</v>
      </c>
      <c r="AA306" s="123" t="s">
        <v>743</v>
      </c>
      <c r="AB306" s="123" t="s">
        <v>1176</v>
      </c>
      <c r="AC306" s="359"/>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59"/>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59"/>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59"/>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59"/>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59"/>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1658</v>
      </c>
      <c r="Y312" s="67"/>
      <c r="Z312" s="284" t="s">
        <v>359</v>
      </c>
      <c r="AA312" s="123" t="s">
        <v>743</v>
      </c>
      <c r="AB312" s="123" t="s">
        <v>1175</v>
      </c>
      <c r="AC312" s="359"/>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SI</v>
      </c>
      <c r="U313" s="77"/>
      <c r="V313" s="67"/>
      <c r="W313" s="67" t="s">
        <v>1340</v>
      </c>
      <c r="X313" s="67"/>
      <c r="Y313" s="67"/>
      <c r="Z313" s="123" t="s">
        <v>743</v>
      </c>
      <c r="AA313" s="123" t="s">
        <v>743</v>
      </c>
      <c r="AB313" s="123" t="s">
        <v>1173</v>
      </c>
      <c r="AC313" s="359"/>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59"/>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59"/>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59"/>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59"/>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1651</v>
      </c>
      <c r="Y318" s="67"/>
      <c r="Z318" s="123" t="s">
        <v>1042</v>
      </c>
      <c r="AA318" s="123" t="s">
        <v>1170</v>
      </c>
      <c r="AB318" s="123" t="s">
        <v>1173</v>
      </c>
      <c r="AC318" s="359"/>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59"/>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59"/>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59"/>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SI</v>
      </c>
      <c r="U322" s="77"/>
      <c r="V322" s="67"/>
      <c r="W322" s="67" t="s">
        <v>1737</v>
      </c>
      <c r="X322" s="155" t="s">
        <v>1310</v>
      </c>
      <c r="Y322" s="67"/>
      <c r="Z322" s="123" t="s">
        <v>1042</v>
      </c>
      <c r="AA322" s="77"/>
      <c r="AB322" s="77"/>
      <c r="AC322" s="359"/>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59"/>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NO</v>
      </c>
      <c r="U324" s="77"/>
      <c r="V324" s="67"/>
      <c r="W324" s="67" t="s">
        <v>1240</v>
      </c>
      <c r="X324" s="67" t="s">
        <v>1718</v>
      </c>
      <c r="Y324" s="67"/>
      <c r="Z324" s="123" t="s">
        <v>743</v>
      </c>
      <c r="AA324" s="77"/>
      <c r="AB324" s="77"/>
      <c r="AC324" s="359"/>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59"/>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59"/>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59"/>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59"/>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59"/>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59"/>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59"/>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SI</v>
      </c>
      <c r="U332" s="77"/>
      <c r="V332" s="67"/>
      <c r="W332" s="67" t="s">
        <v>1752</v>
      </c>
      <c r="X332" s="67"/>
      <c r="Y332" s="67"/>
      <c r="Z332" s="123" t="s">
        <v>1042</v>
      </c>
      <c r="AA332" s="77"/>
      <c r="AB332" s="77"/>
      <c r="AC332" s="359"/>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59"/>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59"/>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59"/>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1764</v>
      </c>
      <c r="Y336" s="67"/>
      <c r="Z336" s="123" t="s">
        <v>1042</v>
      </c>
      <c r="AA336" s="77"/>
      <c r="AB336" s="123" t="s">
        <v>1747</v>
      </c>
      <c r="AC336" s="359"/>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59"/>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9"/>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SI</v>
      </c>
      <c r="U339" s="77"/>
      <c r="V339" s="67"/>
      <c r="W339" s="74">
        <v>0.5083333333333333</v>
      </c>
      <c r="X339" s="67" t="s">
        <v>1777</v>
      </c>
      <c r="Y339" s="67"/>
      <c r="Z339" s="123" t="s">
        <v>1042</v>
      </c>
      <c r="AA339" s="77"/>
      <c r="AB339" s="123" t="s">
        <v>1749</v>
      </c>
      <c r="AC339" s="359"/>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59"/>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SI</v>
      </c>
      <c r="U341" s="77"/>
      <c r="V341" s="67"/>
      <c r="W341" s="67" t="s">
        <v>1773</v>
      </c>
      <c r="X341" s="67" t="s">
        <v>1775</v>
      </c>
      <c r="Y341" s="67"/>
      <c r="Z341" s="123" t="s">
        <v>743</v>
      </c>
      <c r="AA341" s="77"/>
      <c r="AB341" s="77"/>
      <c r="AC341" s="359"/>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59"/>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59"/>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SI</v>
      </c>
      <c r="U344" s="77"/>
      <c r="V344" s="67"/>
      <c r="W344" s="67" t="s">
        <v>1449</v>
      </c>
      <c r="X344" s="67"/>
      <c r="Y344" s="67"/>
      <c r="Z344" s="123" t="s">
        <v>743</v>
      </c>
      <c r="AA344" s="77"/>
      <c r="AB344" s="77"/>
      <c r="AC344" s="359"/>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59"/>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59"/>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59"/>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59"/>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SI</v>
      </c>
      <c r="U349" s="77"/>
      <c r="V349" s="67"/>
      <c r="W349" s="74">
        <v>0.42569444444444443</v>
      </c>
      <c r="X349" s="155"/>
      <c r="Y349" s="67"/>
      <c r="Z349" s="123" t="s">
        <v>748</v>
      </c>
      <c r="AA349" s="77"/>
      <c r="AB349" s="77"/>
      <c r="AC349" s="359"/>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1830</v>
      </c>
      <c r="Y350" s="67"/>
      <c r="Z350" s="123" t="s">
        <v>743</v>
      </c>
      <c r="AA350" s="77"/>
      <c r="AB350" s="77"/>
      <c r="AC350" s="359"/>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59"/>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59"/>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59"/>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59"/>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59"/>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59"/>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1839</v>
      </c>
      <c r="Y357" s="67"/>
      <c r="Z357" s="123" t="s">
        <v>770</v>
      </c>
      <c r="AA357" s="77"/>
      <c r="AB357" s="77"/>
      <c r="AC357" s="359"/>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8" t="s">
        <v>1844</v>
      </c>
      <c r="Y358" s="67"/>
      <c r="Z358" s="123" t="s">
        <v>1846</v>
      </c>
      <c r="AA358" s="77"/>
      <c r="AB358" s="77"/>
      <c r="AC358" s="359"/>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59"/>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59"/>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59"/>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59"/>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59"/>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59"/>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59"/>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1870</v>
      </c>
      <c r="AA366" s="123"/>
      <c r="AB366" s="77"/>
      <c r="AC366" s="359"/>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59"/>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4"/>
      <c r="AB368" s="77"/>
      <c r="AC368" s="359"/>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59"/>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59"/>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59"/>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59"/>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59"/>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59"/>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1896</v>
      </c>
      <c r="Y375" s="67"/>
      <c r="Z375" s="123" t="s">
        <v>770</v>
      </c>
      <c r="AA375" s="77"/>
      <c r="AB375" s="77"/>
      <c r="AC375" s="359"/>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59"/>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59"/>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59"/>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59"/>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59"/>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59"/>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NO</v>
      </c>
      <c r="U382" s="77"/>
      <c r="V382" s="67"/>
      <c r="W382" s="67" t="s">
        <v>1920</v>
      </c>
      <c r="X382" s="67" t="s">
        <v>1922</v>
      </c>
      <c r="Y382" s="67"/>
      <c r="Z382" s="123" t="s">
        <v>1042</v>
      </c>
      <c r="AA382" s="77"/>
      <c r="AB382" s="77"/>
      <c r="AC382" s="359"/>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59"/>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59"/>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SI</v>
      </c>
      <c r="U385" s="77"/>
      <c r="V385" s="67"/>
      <c r="W385" s="74">
        <v>0.34791666666666665</v>
      </c>
      <c r="X385" s="67"/>
      <c r="Y385" s="67"/>
      <c r="Z385" s="123" t="s">
        <v>770</v>
      </c>
      <c r="AA385" s="123" t="s">
        <v>1170</v>
      </c>
      <c r="AB385" s="284" t="s">
        <v>1173</v>
      </c>
      <c r="AC385" s="359"/>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59"/>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59"/>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59"/>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SI</v>
      </c>
      <c r="U389" s="77"/>
      <c r="V389" s="67"/>
      <c r="W389" s="74">
        <v>0.39027777777777778</v>
      </c>
      <c r="X389" s="67" t="s">
        <v>1973</v>
      </c>
      <c r="Y389" s="67"/>
      <c r="Z389" s="123" t="s">
        <v>743</v>
      </c>
      <c r="AA389" s="123" t="s">
        <v>743</v>
      </c>
      <c r="AB389" s="123" t="s">
        <v>1176</v>
      </c>
      <c r="AC389" s="359"/>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59"/>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59"/>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59"/>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59"/>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1983</v>
      </c>
      <c r="Y394" s="67"/>
      <c r="Z394" s="123" t="s">
        <v>743</v>
      </c>
      <c r="AA394" s="123" t="s">
        <v>743</v>
      </c>
      <c r="AB394" s="123" t="s">
        <v>1176</v>
      </c>
      <c r="AC394" s="359"/>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59"/>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59"/>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59"/>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59"/>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59"/>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2025</v>
      </c>
      <c r="Y400" s="67"/>
      <c r="Z400" s="123" t="s">
        <v>1042</v>
      </c>
      <c r="AA400" s="123" t="s">
        <v>1170</v>
      </c>
      <c r="AB400" s="123" t="s">
        <v>1172</v>
      </c>
      <c r="AC400" s="359"/>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59"/>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SI</v>
      </c>
      <c r="U402" s="77"/>
      <c r="V402" s="67"/>
      <c r="W402" s="74">
        <v>0.37986111111111115</v>
      </c>
      <c r="X402" s="67"/>
      <c r="Y402" s="67"/>
      <c r="Z402" s="123" t="s">
        <v>743</v>
      </c>
      <c r="AA402" s="123" t="s">
        <v>1168</v>
      </c>
      <c r="AB402" s="123" t="s">
        <v>1176</v>
      </c>
      <c r="AC402" s="359"/>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59"/>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59"/>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59"/>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68" t="s">
        <v>2060</v>
      </c>
      <c r="Y406" s="67"/>
      <c r="Z406" s="123" t="s">
        <v>748</v>
      </c>
      <c r="AA406" s="123" t="s">
        <v>1170</v>
      </c>
      <c r="AB406" s="123" t="s">
        <v>1174</v>
      </c>
      <c r="AC406" s="359"/>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59"/>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59"/>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59"/>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SI</v>
      </c>
      <c r="U410" s="77"/>
      <c r="V410" s="67"/>
      <c r="W410" s="74">
        <v>0.48125000000000001</v>
      </c>
      <c r="X410" s="67"/>
      <c r="Y410" s="67"/>
      <c r="Z410" s="123" t="s">
        <v>748</v>
      </c>
      <c r="AA410" s="123" t="s">
        <v>1168</v>
      </c>
      <c r="AB410" s="123" t="s">
        <v>1174</v>
      </c>
      <c r="AC410" s="359"/>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59"/>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59"/>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SI</v>
      </c>
      <c r="U413" s="77"/>
      <c r="V413" s="67"/>
      <c r="W413" s="67" t="s">
        <v>2074</v>
      </c>
      <c r="X413" s="67" t="s">
        <v>2075</v>
      </c>
      <c r="Y413" s="67"/>
      <c r="Z413" s="123" t="s">
        <v>1041</v>
      </c>
      <c r="AA413" s="123" t="s">
        <v>1168</v>
      </c>
      <c r="AB413" s="123" t="s">
        <v>1172</v>
      </c>
      <c r="AC413" s="359"/>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59"/>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59"/>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59"/>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59"/>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59"/>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59"/>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59"/>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59"/>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59"/>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59"/>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59"/>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59"/>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59"/>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59"/>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SI</v>
      </c>
      <c r="U428" s="77"/>
      <c r="V428" s="67"/>
      <c r="W428" s="67"/>
      <c r="X428" s="67"/>
      <c r="Y428" s="67"/>
      <c r="Z428" s="123" t="s">
        <v>770</v>
      </c>
      <c r="AA428" s="123" t="s">
        <v>1168</v>
      </c>
      <c r="AB428" s="123" t="s">
        <v>1174</v>
      </c>
      <c r="AC428" s="359"/>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59"/>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59"/>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59"/>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59"/>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SI</v>
      </c>
      <c r="U433" s="77"/>
      <c r="V433" s="67"/>
      <c r="W433" s="74">
        <v>0.36041666666666666</v>
      </c>
      <c r="X433" s="67" t="s">
        <v>2154</v>
      </c>
      <c r="Y433" s="67"/>
      <c r="Z433" s="123" t="s">
        <v>1041</v>
      </c>
      <c r="AA433" s="123" t="s">
        <v>743</v>
      </c>
      <c r="AB433" s="123" t="s">
        <v>1174</v>
      </c>
      <c r="AC433" s="359"/>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59"/>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2024</v>
      </c>
      <c r="Y435" s="67"/>
      <c r="Z435" s="123" t="s">
        <v>770</v>
      </c>
      <c r="AA435" s="123" t="s">
        <v>1170</v>
      </c>
      <c r="AB435" s="123" t="s">
        <v>1173</v>
      </c>
      <c r="AC435" s="359"/>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59"/>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59"/>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SI</v>
      </c>
      <c r="U438" s="77"/>
      <c r="V438" s="67"/>
      <c r="W438" s="74">
        <v>0.43888888888888888</v>
      </c>
      <c r="X438" s="67"/>
      <c r="Y438" s="67"/>
      <c r="Z438" s="123" t="s">
        <v>748</v>
      </c>
      <c r="AA438" s="123" t="s">
        <v>743</v>
      </c>
      <c r="AB438" s="123" t="s">
        <v>1174</v>
      </c>
      <c r="AC438" s="359"/>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59"/>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59"/>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2168</v>
      </c>
      <c r="Y441" s="155"/>
      <c r="Z441" s="123" t="s">
        <v>1041</v>
      </c>
      <c r="AA441" s="123" t="s">
        <v>1168</v>
      </c>
      <c r="AB441" s="123" t="s">
        <v>1172</v>
      </c>
      <c r="AC441" s="359"/>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59"/>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2181</v>
      </c>
      <c r="Y443" s="67"/>
      <c r="Z443" s="123" t="s">
        <v>748</v>
      </c>
      <c r="AA443" s="123" t="s">
        <v>1170</v>
      </c>
      <c r="AB443" s="123" t="s">
        <v>1174</v>
      </c>
      <c r="AC443" s="359"/>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59"/>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SI</v>
      </c>
      <c r="U445" s="77"/>
      <c r="V445" s="67"/>
      <c r="W445" s="74">
        <v>0.38125000000000003</v>
      </c>
      <c r="X445" s="67"/>
      <c r="Y445" s="67"/>
      <c r="Z445" s="123" t="s">
        <v>770</v>
      </c>
      <c r="AA445" s="123" t="s">
        <v>1170</v>
      </c>
      <c r="AB445" s="123" t="s">
        <v>1175</v>
      </c>
      <c r="AC445" s="359"/>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59"/>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59"/>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59"/>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2204</v>
      </c>
      <c r="Y449" s="67"/>
      <c r="Z449" s="123" t="s">
        <v>743</v>
      </c>
      <c r="AA449" s="123" t="s">
        <v>1168</v>
      </c>
      <c r="AB449" s="123" t="s">
        <v>1176</v>
      </c>
      <c r="AC449" s="359"/>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59"/>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SI</v>
      </c>
      <c r="U451" s="77"/>
      <c r="V451" s="67"/>
      <c r="W451" s="74">
        <v>0.39444444444444443</v>
      </c>
      <c r="X451" s="67"/>
      <c r="Y451" s="67"/>
      <c r="Z451" s="123" t="s">
        <v>1041</v>
      </c>
      <c r="AA451" s="123" t="s">
        <v>743</v>
      </c>
      <c r="AB451" s="123" t="s">
        <v>1173</v>
      </c>
      <c r="AC451" s="359"/>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59"/>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59"/>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59"/>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59"/>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59"/>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59"/>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59"/>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59"/>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59"/>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59"/>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59"/>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SI</v>
      </c>
      <c r="U463" s="77"/>
      <c r="V463" s="67"/>
      <c r="W463" s="74">
        <v>0.36249999999999999</v>
      </c>
      <c r="X463" s="67"/>
      <c r="Y463" s="67"/>
      <c r="Z463" s="123" t="s">
        <v>743</v>
      </c>
      <c r="AA463" s="123" t="s">
        <v>743</v>
      </c>
      <c r="AB463" s="123" t="s">
        <v>1172</v>
      </c>
      <c r="AC463" s="359"/>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59"/>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59"/>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59"/>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59"/>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59"/>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59"/>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59"/>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SI</v>
      </c>
      <c r="U471" s="77"/>
      <c r="V471" s="67"/>
      <c r="W471" s="67"/>
      <c r="X471" s="67" t="s">
        <v>2294</v>
      </c>
      <c r="Y471" s="67"/>
      <c r="Z471" s="123" t="s">
        <v>1042</v>
      </c>
      <c r="AA471" s="123" t="s">
        <v>743</v>
      </c>
      <c r="AB471" s="123" t="s">
        <v>1172</v>
      </c>
      <c r="AC471" s="359"/>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59"/>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59"/>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SI</v>
      </c>
      <c r="U475" s="77"/>
      <c r="V475" s="67"/>
      <c r="W475" s="74">
        <v>0.3576388888888889</v>
      </c>
      <c r="X475" s="67"/>
      <c r="Y475" s="67"/>
      <c r="Z475" s="123" t="s">
        <v>1042</v>
      </c>
      <c r="AA475" s="123" t="s">
        <v>1170</v>
      </c>
      <c r="AB475" s="123" t="s">
        <v>1172</v>
      </c>
      <c r="AC475" s="359"/>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59"/>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59"/>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59"/>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59"/>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59"/>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59"/>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59"/>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2341</v>
      </c>
      <c r="Y483" s="67"/>
      <c r="Z483" s="123" t="s">
        <v>1041</v>
      </c>
      <c r="AA483" s="123" t="s">
        <v>743</v>
      </c>
      <c r="AB483" s="123" t="s">
        <v>1172</v>
      </c>
      <c r="AC483" s="359"/>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2257</v>
      </c>
      <c r="Y484" s="67"/>
      <c r="Z484" s="123" t="s">
        <v>1042</v>
      </c>
      <c r="AA484" s="123" t="s">
        <v>743</v>
      </c>
      <c r="AB484" s="123" t="s">
        <v>1174</v>
      </c>
      <c r="AC484" s="359"/>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59"/>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2361</v>
      </c>
      <c r="Y486" s="67"/>
      <c r="Z486" s="123" t="s">
        <v>743</v>
      </c>
      <c r="AA486" s="123" t="s">
        <v>2364</v>
      </c>
      <c r="AB486" s="123" t="s">
        <v>1175</v>
      </c>
      <c r="AC486" s="359"/>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59"/>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SI</v>
      </c>
      <c r="U488" s="77"/>
      <c r="V488" s="67"/>
      <c r="W488" s="74">
        <v>0.42222222222222222</v>
      </c>
      <c r="X488" s="67"/>
      <c r="Y488" s="67"/>
      <c r="Z488" s="123" t="s">
        <v>1041</v>
      </c>
      <c r="AA488" s="123" t="s">
        <v>1168</v>
      </c>
      <c r="AB488" s="123" t="s">
        <v>1172</v>
      </c>
      <c r="AC488" s="359"/>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59"/>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59"/>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59"/>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2383</v>
      </c>
      <c r="Y492" s="67"/>
      <c r="Z492" s="123" t="s">
        <v>770</v>
      </c>
      <c r="AA492" s="123" t="s">
        <v>1170</v>
      </c>
      <c r="AB492" s="123" t="s">
        <v>1172</v>
      </c>
      <c r="AC492" s="359"/>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SI</v>
      </c>
      <c r="U493" s="77"/>
      <c r="V493" s="67"/>
      <c r="W493" s="67" t="s">
        <v>1242</v>
      </c>
      <c r="X493" s="67" t="s">
        <v>2380</v>
      </c>
      <c r="Y493" s="67"/>
      <c r="Z493" s="123" t="s">
        <v>1041</v>
      </c>
      <c r="AA493" s="123" t="s">
        <v>743</v>
      </c>
      <c r="AB493" s="123" t="s">
        <v>1175</v>
      </c>
      <c r="AC493" s="359"/>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59"/>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59"/>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59"/>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59"/>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59"/>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59"/>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59"/>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2409</v>
      </c>
      <c r="Y501" s="67"/>
      <c r="Z501" s="123" t="s">
        <v>770</v>
      </c>
      <c r="AA501" s="123" t="s">
        <v>1168</v>
      </c>
      <c r="AB501" s="123" t="s">
        <v>1173</v>
      </c>
      <c r="AC501" s="359"/>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59"/>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59"/>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8" t="s">
        <v>2426</v>
      </c>
      <c r="Y504" s="68"/>
      <c r="Z504" s="335" t="s">
        <v>748</v>
      </c>
      <c r="AA504" s="123" t="s">
        <v>1170</v>
      </c>
      <c r="AB504" s="123" t="s">
        <v>1176</v>
      </c>
      <c r="AC504" s="359"/>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59"/>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SI</v>
      </c>
      <c r="U506" s="77"/>
      <c r="V506" s="67"/>
      <c r="W506" s="67"/>
      <c r="X506" s="67"/>
      <c r="Y506" s="67"/>
      <c r="Z506" s="123" t="s">
        <v>770</v>
      </c>
      <c r="AA506" s="123" t="s">
        <v>743</v>
      </c>
      <c r="AB506" s="123" t="s">
        <v>1173</v>
      </c>
      <c r="AC506" s="359"/>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59"/>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59"/>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59"/>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59"/>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SI</v>
      </c>
      <c r="U511" s="77"/>
      <c r="V511" s="67"/>
      <c r="W511" s="74">
        <v>0.37847222222222227</v>
      </c>
      <c r="X511" s="67"/>
      <c r="Y511" s="67"/>
      <c r="Z511" s="123" t="s">
        <v>770</v>
      </c>
      <c r="AA511" s="123" t="s">
        <v>743</v>
      </c>
      <c r="AB511" s="123" t="s">
        <v>1173</v>
      </c>
      <c r="AC511" s="359"/>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59"/>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59"/>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2692</v>
      </c>
      <c r="Y514" s="67"/>
      <c r="Z514" s="123" t="s">
        <v>1041</v>
      </c>
      <c r="AA514" s="123" t="s">
        <v>1170</v>
      </c>
      <c r="AB514" s="123" t="s">
        <v>1174</v>
      </c>
      <c r="AC514" s="359"/>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59"/>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59"/>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59"/>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59"/>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SI</v>
      </c>
      <c r="U519" s="77"/>
      <c r="V519" s="67"/>
      <c r="W519" s="74">
        <v>0.34722222222222227</v>
      </c>
      <c r="X519" s="67"/>
      <c r="Y519" s="67"/>
      <c r="Z519" s="123" t="s">
        <v>1042</v>
      </c>
      <c r="AA519" s="123" t="s">
        <v>1168</v>
      </c>
      <c r="AB519" s="123" t="s">
        <v>1175</v>
      </c>
      <c r="AC519" s="359"/>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59"/>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59"/>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59"/>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59"/>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SI</v>
      </c>
      <c r="U524" s="77"/>
      <c r="V524" s="67"/>
      <c r="W524" s="74">
        <v>0.38750000000000001</v>
      </c>
      <c r="X524" s="155"/>
      <c r="Y524" s="67"/>
      <c r="Z524" s="123" t="s">
        <v>1042</v>
      </c>
      <c r="AA524" s="123" t="s">
        <v>1168</v>
      </c>
      <c r="AB524" s="123" t="s">
        <v>1176</v>
      </c>
      <c r="AC524" s="359"/>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59"/>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2512</v>
      </c>
      <c r="Y526" s="67"/>
      <c r="Z526" s="123" t="s">
        <v>743</v>
      </c>
      <c r="AA526" s="123" t="s">
        <v>1168</v>
      </c>
      <c r="AB526" s="123" t="s">
        <v>1173</v>
      </c>
      <c r="AC526" s="359"/>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59"/>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59"/>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59"/>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59"/>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SI</v>
      </c>
      <c r="U532" s="77"/>
      <c r="V532" s="67"/>
      <c r="W532" s="74">
        <v>0.39652777777777781</v>
      </c>
      <c r="X532" s="67" t="s">
        <v>2519</v>
      </c>
      <c r="Y532" s="67"/>
      <c r="Z532" s="123" t="s">
        <v>1042</v>
      </c>
      <c r="AA532" s="123" t="s">
        <v>1170</v>
      </c>
      <c r="AB532" s="123" t="s">
        <v>1173</v>
      </c>
      <c r="AC532" s="359"/>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59"/>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59"/>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59"/>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SI</v>
      </c>
      <c r="U536" s="77"/>
      <c r="V536" s="67"/>
      <c r="W536" s="74">
        <v>0.35902777777777778</v>
      </c>
      <c r="X536" s="233" t="s">
        <v>2554</v>
      </c>
      <c r="Y536" s="67"/>
      <c r="Z536" s="123" t="s">
        <v>770</v>
      </c>
      <c r="AA536" s="123" t="s">
        <v>743</v>
      </c>
      <c r="AB536" s="123" t="s">
        <v>1173</v>
      </c>
      <c r="AC536" s="359"/>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59"/>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59"/>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59"/>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59"/>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2567</v>
      </c>
      <c r="Y541" s="67"/>
      <c r="Z541" s="123" t="s">
        <v>1041</v>
      </c>
      <c r="AA541" s="123" t="s">
        <v>1168</v>
      </c>
      <c r="AB541" s="123" t="s">
        <v>1173</v>
      </c>
      <c r="AC541" s="359"/>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59"/>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59"/>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59"/>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SI</v>
      </c>
      <c r="U545" s="77"/>
      <c r="V545" s="67"/>
      <c r="W545" s="74">
        <v>0.38194444444444442</v>
      </c>
      <c r="X545" s="67"/>
      <c r="Y545" s="67"/>
      <c r="Z545" s="123" t="s">
        <v>1041</v>
      </c>
      <c r="AA545" s="123" t="s">
        <v>1170</v>
      </c>
      <c r="AB545" s="123" t="s">
        <v>1175</v>
      </c>
      <c r="AC545" s="359"/>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59"/>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59"/>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59"/>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59"/>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SI</v>
      </c>
      <c r="U550" s="77"/>
      <c r="V550" s="67"/>
      <c r="W550" s="67" t="s">
        <v>1744</v>
      </c>
      <c r="X550" s="67" t="s">
        <v>2568</v>
      </c>
      <c r="Y550" s="67"/>
      <c r="Z550" s="123" t="s">
        <v>1042</v>
      </c>
      <c r="AA550" s="123" t="s">
        <v>743</v>
      </c>
      <c r="AB550" s="123" t="s">
        <v>1173</v>
      </c>
      <c r="AC550" s="359"/>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59"/>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59"/>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59"/>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59"/>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59"/>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59"/>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NO</v>
      </c>
      <c r="U557" s="77"/>
      <c r="V557" s="67"/>
      <c r="W557" s="67" t="s">
        <v>1371</v>
      </c>
      <c r="X557" s="67"/>
      <c r="Y557" s="67"/>
      <c r="Z557" s="123" t="s">
        <v>743</v>
      </c>
      <c r="AA557" s="123" t="s">
        <v>1168</v>
      </c>
      <c r="AB557" s="123" t="s">
        <v>1174</v>
      </c>
      <c r="AC557" s="359"/>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59"/>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59"/>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2650</v>
      </c>
      <c r="Y560" s="67"/>
      <c r="Z560" s="123" t="s">
        <v>1042</v>
      </c>
      <c r="AA560" s="123" t="s">
        <v>743</v>
      </c>
      <c r="AB560" s="123" t="s">
        <v>1174</v>
      </c>
      <c r="AC560" s="359"/>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SI</v>
      </c>
      <c r="U561" s="77"/>
      <c r="V561" s="67"/>
      <c r="W561" s="67" t="s">
        <v>1496</v>
      </c>
      <c r="X561" s="67"/>
      <c r="Y561" s="67"/>
      <c r="Z561" s="123" t="s">
        <v>748</v>
      </c>
      <c r="AA561" s="123" t="s">
        <v>1170</v>
      </c>
      <c r="AB561" s="123" t="s">
        <v>1175</v>
      </c>
      <c r="AC561" s="359"/>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59"/>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59"/>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SI</v>
      </c>
      <c r="U564" s="77"/>
      <c r="V564" s="67"/>
      <c r="W564" s="74">
        <v>0.37777777777777777</v>
      </c>
      <c r="X564" s="234" t="s">
        <v>2660</v>
      </c>
      <c r="Y564" s="67"/>
      <c r="Z564" s="123" t="s">
        <v>1041</v>
      </c>
      <c r="AA564" s="123" t="s">
        <v>1170</v>
      </c>
      <c r="AB564" s="123" t="s">
        <v>1174</v>
      </c>
      <c r="AC564" s="359"/>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59"/>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59"/>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59"/>
    </row>
    <row r="568" spans="1:29" ht="38.25" x14ac:dyDescent="0.2">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6">
        <v>0.39444444444444443</v>
      </c>
      <c r="T568" s="72" t="str">
        <f t="shared" si="35"/>
        <v>NO</v>
      </c>
      <c r="U568" s="269"/>
      <c r="V568" s="267"/>
      <c r="W568" s="366">
        <v>0.4152777777777778</v>
      </c>
      <c r="X568" s="267" t="s">
        <v>1505</v>
      </c>
      <c r="Y568" s="267"/>
      <c r="Z568" s="336" t="s">
        <v>770</v>
      </c>
      <c r="AA568" s="123" t="s">
        <v>1168</v>
      </c>
      <c r="AB568" s="336" t="s">
        <v>1173</v>
      </c>
      <c r="AC568" s="359"/>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7" t="s">
        <v>1041</v>
      </c>
      <c r="AA569" s="337" t="s">
        <v>1168</v>
      </c>
      <c r="AB569" s="337" t="s">
        <v>1175</v>
      </c>
      <c r="AC569" s="359"/>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59"/>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SI</v>
      </c>
      <c r="U571" s="77"/>
      <c r="V571" s="67"/>
      <c r="W571" s="67" t="s">
        <v>1498</v>
      </c>
      <c r="X571" s="67" t="s">
        <v>2379</v>
      </c>
      <c r="Y571" s="67"/>
      <c r="Z571" s="123" t="s">
        <v>1041</v>
      </c>
      <c r="AA571" s="123" t="s">
        <v>1170</v>
      </c>
      <c r="AB571" s="123" t="s">
        <v>1172</v>
      </c>
      <c r="AC571" s="359"/>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59"/>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59"/>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59"/>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59"/>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59"/>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2707</v>
      </c>
      <c r="X577" s="67"/>
      <c r="Y577" s="67"/>
      <c r="Z577" s="123" t="s">
        <v>770</v>
      </c>
      <c r="AA577" s="123" t="s">
        <v>743</v>
      </c>
      <c r="AB577" s="123" t="s">
        <v>1175</v>
      </c>
      <c r="AC577" s="359"/>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59"/>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59"/>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59"/>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SI</v>
      </c>
      <c r="U581" s="77"/>
      <c r="V581" s="67"/>
      <c r="W581" s="67" t="s">
        <v>2614</v>
      </c>
      <c r="X581" s="67"/>
      <c r="Y581" s="67"/>
      <c r="Z581" s="123" t="s">
        <v>748</v>
      </c>
      <c r="AA581" s="123" t="s">
        <v>1168</v>
      </c>
      <c r="AB581" s="123" t="s">
        <v>1176</v>
      </c>
      <c r="AC581" s="359"/>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59"/>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SI</v>
      </c>
      <c r="U583" s="77"/>
      <c r="V583" s="67"/>
      <c r="W583" s="74">
        <v>0.36388888888888887</v>
      </c>
      <c r="X583" s="67"/>
      <c r="Y583" s="67"/>
      <c r="Z583" s="123" t="s">
        <v>743</v>
      </c>
      <c r="AA583" s="123" t="s">
        <v>1170</v>
      </c>
      <c r="AB583" s="123" t="s">
        <v>1176</v>
      </c>
      <c r="AC583" s="359"/>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59"/>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59"/>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2744</v>
      </c>
      <c r="Y586" s="67"/>
      <c r="Z586" s="123" t="s">
        <v>748</v>
      </c>
      <c r="AA586" s="123" t="s">
        <v>1170</v>
      </c>
      <c r="AB586" s="123" t="s">
        <v>1172</v>
      </c>
      <c r="AC586" s="359"/>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59"/>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59"/>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SI</v>
      </c>
      <c r="U589" s="77"/>
      <c r="V589" s="67"/>
      <c r="W589" s="74">
        <v>0.54513888888888895</v>
      </c>
      <c r="X589" s="229" t="s">
        <v>2789</v>
      </c>
      <c r="Y589" s="67"/>
      <c r="Z589" s="123" t="s">
        <v>770</v>
      </c>
      <c r="AA589" s="123" t="s">
        <v>1170</v>
      </c>
      <c r="AB589" s="123" t="s">
        <v>1175</v>
      </c>
      <c r="AC589" s="359"/>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69" t="s">
        <v>2791</v>
      </c>
      <c r="Y590" s="67"/>
      <c r="Z590" s="123" t="s">
        <v>1041</v>
      </c>
      <c r="AA590" s="123" t="s">
        <v>743</v>
      </c>
      <c r="AB590" s="123" t="s">
        <v>1173</v>
      </c>
      <c r="AC590" s="359"/>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59"/>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59"/>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59"/>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2379</v>
      </c>
      <c r="Y594" s="67"/>
      <c r="Z594" s="123" t="s">
        <v>770</v>
      </c>
      <c r="AA594" s="123" t="s">
        <v>1168</v>
      </c>
      <c r="AB594" s="123" t="s">
        <v>1173</v>
      </c>
      <c r="AC594" s="359"/>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SI</v>
      </c>
      <c r="U595" s="77"/>
      <c r="V595" s="67"/>
      <c r="W595" s="67" t="s">
        <v>1125</v>
      </c>
      <c r="X595" s="67"/>
      <c r="Y595" s="67"/>
      <c r="Z595" s="123" t="s">
        <v>1041</v>
      </c>
      <c r="AA595" s="123" t="s">
        <v>1170</v>
      </c>
      <c r="AB595" s="123" t="s">
        <v>1172</v>
      </c>
      <c r="AC595" s="359"/>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59"/>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59"/>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59"/>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59"/>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59"/>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2860</v>
      </c>
      <c r="Y601" s="67"/>
      <c r="Z601" s="123" t="s">
        <v>1042</v>
      </c>
      <c r="AA601" s="123" t="s">
        <v>1168</v>
      </c>
      <c r="AB601" s="123" t="s">
        <v>1176</v>
      </c>
      <c r="AC601" s="359"/>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59"/>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59"/>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59"/>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SI</v>
      </c>
      <c r="U605" s="77"/>
      <c r="V605" s="67"/>
      <c r="W605" s="74">
        <v>0.54513888888888895</v>
      </c>
      <c r="X605" s="67"/>
      <c r="Y605" s="67"/>
      <c r="Z605" s="123" t="s">
        <v>1041</v>
      </c>
      <c r="AA605" s="123" t="s">
        <v>2849</v>
      </c>
      <c r="AB605" s="123" t="s">
        <v>1176</v>
      </c>
      <c r="AC605" s="359"/>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59"/>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59"/>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59"/>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SI</v>
      </c>
      <c r="U609" s="86"/>
      <c r="V609" s="83"/>
      <c r="W609" s="74">
        <v>0.37986111111111115</v>
      </c>
      <c r="X609" s="67"/>
      <c r="Y609" s="67"/>
      <c r="Z609" s="123" t="s">
        <v>743</v>
      </c>
      <c r="AA609" s="123" t="s">
        <v>1168</v>
      </c>
      <c r="AB609" s="123" t="s">
        <v>1176</v>
      </c>
      <c r="AC609" s="359"/>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59"/>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59"/>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59"/>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59"/>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59"/>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59"/>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59"/>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2893</v>
      </c>
      <c r="Y617" s="67"/>
      <c r="Z617" s="123" t="s">
        <v>748</v>
      </c>
      <c r="AA617" s="123" t="s">
        <v>2849</v>
      </c>
      <c r="AB617" s="123" t="s">
        <v>1176</v>
      </c>
      <c r="AC617" s="359"/>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59"/>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59"/>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SI</v>
      </c>
      <c r="U620" s="77"/>
      <c r="V620" s="67"/>
      <c r="W620" s="67" t="s">
        <v>2955</v>
      </c>
      <c r="X620" s="67" t="s">
        <v>2379</v>
      </c>
      <c r="Y620" s="67"/>
      <c r="Z620" s="123" t="s">
        <v>1041</v>
      </c>
      <c r="AA620" s="123" t="s">
        <v>1170</v>
      </c>
      <c r="AB620" s="123" t="s">
        <v>1174</v>
      </c>
      <c r="AC620" s="359"/>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59"/>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2957</v>
      </c>
      <c r="Y622" s="67"/>
      <c r="Z622" s="284" t="s">
        <v>2892</v>
      </c>
      <c r="AA622" s="123" t="s">
        <v>1168</v>
      </c>
      <c r="AB622" s="123" t="s">
        <v>1173</v>
      </c>
      <c r="AC622" s="359"/>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59"/>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59"/>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59"/>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59"/>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59"/>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59"/>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2978</v>
      </c>
      <c r="Y629" s="67"/>
      <c r="Z629" s="284" t="s">
        <v>1042</v>
      </c>
      <c r="AA629" s="123" t="s">
        <v>1168</v>
      </c>
      <c r="AB629" s="123" t="s">
        <v>1173</v>
      </c>
      <c r="AC629" s="359"/>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59"/>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SI</v>
      </c>
      <c r="U631" s="77"/>
      <c r="V631" s="67"/>
      <c r="W631" s="67" t="s">
        <v>686</v>
      </c>
      <c r="X631" s="67" t="s">
        <v>2985</v>
      </c>
      <c r="Y631" s="67"/>
      <c r="Z631" s="123" t="s">
        <v>743</v>
      </c>
      <c r="AA631" s="123" t="s">
        <v>2849</v>
      </c>
      <c r="AB631" s="123" t="s">
        <v>1174</v>
      </c>
      <c r="AC631" s="359"/>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59"/>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59"/>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59"/>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59"/>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NO</v>
      </c>
      <c r="U636" s="77"/>
      <c r="V636" s="67"/>
      <c r="W636" s="67" t="s">
        <v>1017</v>
      </c>
      <c r="X636" s="67"/>
      <c r="Y636" s="67"/>
      <c r="Z636" s="123" t="s">
        <v>1041</v>
      </c>
      <c r="AA636" s="123" t="s">
        <v>1170</v>
      </c>
      <c r="AB636" s="123" t="s">
        <v>1176</v>
      </c>
      <c r="AC636" s="359"/>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59"/>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SI</v>
      </c>
      <c r="U638" s="86"/>
      <c r="V638" s="83"/>
      <c r="W638" s="74">
        <v>0.37222222222222223</v>
      </c>
      <c r="X638" s="67"/>
      <c r="Y638" s="67"/>
      <c r="Z638" s="123" t="s">
        <v>770</v>
      </c>
      <c r="AA638" s="123" t="s">
        <v>2849</v>
      </c>
      <c r="AB638" s="123" t="s">
        <v>1172</v>
      </c>
      <c r="AC638" s="359"/>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59"/>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59"/>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59"/>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59"/>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59"/>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59"/>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3071</v>
      </c>
      <c r="Y645" s="67"/>
      <c r="Z645" s="123" t="s">
        <v>2864</v>
      </c>
      <c r="AA645" s="123" t="s">
        <v>2849</v>
      </c>
      <c r="AB645" s="123" t="s">
        <v>1174</v>
      </c>
      <c r="AC645" s="359"/>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SI</v>
      </c>
      <c r="U646" s="86"/>
      <c r="V646" s="83"/>
      <c r="W646" s="74">
        <v>0.42499999999999999</v>
      </c>
      <c r="X646" s="67" t="s">
        <v>3070</v>
      </c>
      <c r="Y646" s="67"/>
      <c r="Z646" s="123" t="s">
        <v>748</v>
      </c>
      <c r="AA646" s="123" t="s">
        <v>1168</v>
      </c>
      <c r="AB646" s="123" t="s">
        <v>1176</v>
      </c>
      <c r="AC646" s="359"/>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t="shared" ca="1" si="37"/>
        <v>SI</v>
      </c>
      <c r="P647" s="67" t="str">
        <f t="shared" si="40"/>
        <v>DIANOSOL</v>
      </c>
      <c r="Q647" s="67" t="s">
        <v>904</v>
      </c>
      <c r="R647" s="67" t="str">
        <f>VLOOKUP($Q647,Resultados!$A$1:$B$49,2,FALSE)</f>
        <v>Juicio Abreviado</v>
      </c>
      <c r="S647" s="67" t="s">
        <v>1229</v>
      </c>
      <c r="T647" s="77" t="str">
        <f t="shared" si="39"/>
        <v>NO</v>
      </c>
      <c r="U647" s="77"/>
      <c r="V647" s="67"/>
      <c r="W647" s="67" t="s">
        <v>2682</v>
      </c>
      <c r="X647" s="67"/>
      <c r="Y647" s="67"/>
      <c r="Z647" s="123" t="s">
        <v>2892</v>
      </c>
      <c r="AA647" s="123" t="s">
        <v>1170</v>
      </c>
      <c r="AB647" s="123" t="s">
        <v>1173</v>
      </c>
      <c r="AC647" s="363"/>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59"/>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3078</v>
      </c>
      <c r="Y649" s="67"/>
      <c r="Z649" s="339" t="s">
        <v>1041</v>
      </c>
      <c r="AA649" s="123" t="s">
        <v>1168</v>
      </c>
      <c r="AB649" s="123" t="s">
        <v>1174</v>
      </c>
      <c r="AC649" s="359"/>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39" t="s">
        <v>2892</v>
      </c>
      <c r="AA650" s="123" t="s">
        <v>1168</v>
      </c>
      <c r="AB650" s="123" t="s">
        <v>1176</v>
      </c>
      <c r="AC650" s="359"/>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39" t="s">
        <v>2864</v>
      </c>
      <c r="AA651" s="123" t="s">
        <v>1170</v>
      </c>
      <c r="AB651" s="123" t="s">
        <v>1173</v>
      </c>
      <c r="AC651" s="359"/>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39" t="s">
        <v>1042</v>
      </c>
      <c r="AA652" s="123" t="s">
        <v>1168</v>
      </c>
      <c r="AB652" s="123" t="s">
        <v>1172</v>
      </c>
      <c r="AC652" s="359"/>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39" t="s">
        <v>770</v>
      </c>
      <c r="AA653" s="123" t="s">
        <v>2849</v>
      </c>
      <c r="AB653" s="123" t="s">
        <v>1174</v>
      </c>
      <c r="AC653" s="359"/>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SI</v>
      </c>
      <c r="U654" s="77"/>
      <c r="V654" s="67"/>
      <c r="W654" s="67" t="s">
        <v>75</v>
      </c>
      <c r="X654" s="67"/>
      <c r="Y654" s="67"/>
      <c r="Z654" s="339" t="s">
        <v>2864</v>
      </c>
      <c r="AA654" s="123" t="s">
        <v>1170</v>
      </c>
      <c r="AB654" s="123" t="s">
        <v>1176</v>
      </c>
      <c r="AC654" s="359"/>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39" t="s">
        <v>1041</v>
      </c>
      <c r="AA655" s="123" t="s">
        <v>2849</v>
      </c>
      <c r="AB655" s="123" t="s">
        <v>1173</v>
      </c>
      <c r="AC655" s="359"/>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39" t="s">
        <v>770</v>
      </c>
      <c r="AA656" s="123" t="s">
        <v>1170</v>
      </c>
      <c r="AB656" s="123" t="s">
        <v>1172</v>
      </c>
      <c r="AC656" s="359"/>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t="shared" ca="1" si="41"/>
        <v>SI</v>
      </c>
      <c r="P657" s="67" t="str">
        <f t="shared" si="40"/>
        <v>DIANOSOL</v>
      </c>
      <c r="Q657" s="67" t="s">
        <v>151</v>
      </c>
      <c r="R657" s="67" t="str">
        <f>VLOOKUP($Q657,Resultados!$A$1:$B$49,2,FALSE)</f>
        <v>Prisión Preventiva</v>
      </c>
      <c r="S657" s="67" t="s">
        <v>3093</v>
      </c>
      <c r="T657" s="77" t="str">
        <f t="shared" si="39"/>
        <v>NO</v>
      </c>
      <c r="U657" s="77"/>
      <c r="V657" s="67"/>
      <c r="W657" s="74">
        <v>0.48194444444444445</v>
      </c>
      <c r="X657" s="67"/>
      <c r="Y657" s="67"/>
      <c r="Z657" s="339" t="s">
        <v>2864</v>
      </c>
      <c r="AA657" s="123" t="s">
        <v>2849</v>
      </c>
      <c r="AB657" s="123" t="s">
        <v>1174</v>
      </c>
      <c r="AC657" s="359"/>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3117</v>
      </c>
      <c r="Y658" s="67"/>
      <c r="Z658" s="339" t="s">
        <v>1041</v>
      </c>
      <c r="AA658" s="123" t="s">
        <v>1168</v>
      </c>
      <c r="AB658" s="123" t="s">
        <v>1176</v>
      </c>
      <c r="AC658" s="359"/>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3122</v>
      </c>
      <c r="Y659" s="67"/>
      <c r="Z659" s="339" t="s">
        <v>2864</v>
      </c>
      <c r="AA659" s="123" t="s">
        <v>1170</v>
      </c>
      <c r="AB659" s="123" t="s">
        <v>1173</v>
      </c>
      <c r="AC659" s="359"/>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3124</v>
      </c>
      <c r="Y660" s="67"/>
      <c r="Z660" s="339" t="s">
        <v>2892</v>
      </c>
      <c r="AA660" s="123" t="s">
        <v>2849</v>
      </c>
      <c r="AB660" s="123" t="s">
        <v>1174</v>
      </c>
      <c r="AC660" s="359"/>
    </row>
    <row r="661" spans="1:29" ht="39.950000000000003" customHeight="1" x14ac:dyDescent="0.2">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SI</v>
      </c>
      <c r="U661" s="86"/>
      <c r="V661" s="83"/>
      <c r="W661" s="74">
        <v>0.37291666666666662</v>
      </c>
      <c r="X661" s="67"/>
      <c r="Y661" s="67"/>
      <c r="Z661" s="339" t="s">
        <v>748</v>
      </c>
      <c r="AA661" s="123" t="s">
        <v>1170</v>
      </c>
      <c r="AB661" s="123" t="s">
        <v>1176</v>
      </c>
      <c r="AC661" s="359"/>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39" t="s">
        <v>770</v>
      </c>
      <c r="AA662" s="123" t="s">
        <v>1168</v>
      </c>
      <c r="AB662" s="123" t="s">
        <v>1172</v>
      </c>
      <c r="AC662" s="359"/>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3120</v>
      </c>
      <c r="Y663" s="67"/>
      <c r="Z663" s="339" t="s">
        <v>1041</v>
      </c>
      <c r="AA663" s="67" t="s">
        <v>3059</v>
      </c>
      <c r="AB663" s="123" t="s">
        <v>1174</v>
      </c>
      <c r="AC663" s="359"/>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t="shared" ca="1" si="41"/>
        <v>SI</v>
      </c>
      <c r="P664" s="67" t="str">
        <f t="shared" si="40"/>
        <v>DIANOSOL</v>
      </c>
      <c r="Q664" s="67" t="s">
        <v>151</v>
      </c>
      <c r="R664" s="67" t="s">
        <v>151</v>
      </c>
      <c r="S664" s="67" t="s">
        <v>3131</v>
      </c>
      <c r="T664" s="77" t="str">
        <f t="shared" si="42"/>
        <v>NO</v>
      </c>
      <c r="U664" s="77"/>
      <c r="V664" s="67"/>
      <c r="W664" s="67" t="s">
        <v>76</v>
      </c>
      <c r="X664" s="7" t="s">
        <v>3132</v>
      </c>
      <c r="Y664" s="67"/>
      <c r="Z664" s="348" t="s">
        <v>2892</v>
      </c>
      <c r="AA664" s="348" t="s">
        <v>1170</v>
      </c>
      <c r="AB664" s="339" t="s">
        <v>1173</v>
      </c>
      <c r="AC664" s="359"/>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8" t="s">
        <v>1042</v>
      </c>
      <c r="AA665" s="348" t="s">
        <v>2849</v>
      </c>
      <c r="AB665" s="339" t="s">
        <v>1172</v>
      </c>
      <c r="AC665" s="359"/>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8" t="s">
        <v>1041</v>
      </c>
      <c r="AA666" s="348" t="s">
        <v>1170</v>
      </c>
      <c r="AB666" s="339" t="s">
        <v>1173</v>
      </c>
      <c r="AC666" s="359"/>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t="shared" ca="1" si="41"/>
        <v>SI</v>
      </c>
      <c r="P667" s="67" t="str">
        <f t="shared" si="40"/>
        <v>DIANOSOL</v>
      </c>
      <c r="Q667" s="67" t="s">
        <v>151</v>
      </c>
      <c r="R667" s="67" t="str">
        <f>VLOOKUP($Q667,Resultados!$A$1:$B$49,2,FALSE)</f>
        <v>Prisión Preventiva</v>
      </c>
      <c r="S667" s="67" t="s">
        <v>3134</v>
      </c>
      <c r="T667" s="77" t="str">
        <f t="shared" si="42"/>
        <v>NO</v>
      </c>
      <c r="U667" s="77"/>
      <c r="V667" s="67"/>
      <c r="W667" s="67" t="s">
        <v>1018</v>
      </c>
      <c r="X667" s="67"/>
      <c r="Y667" s="67"/>
      <c r="Z667" s="348" t="s">
        <v>748</v>
      </c>
      <c r="AA667" s="348" t="s">
        <v>1168</v>
      </c>
      <c r="AB667" s="339" t="s">
        <v>1174</v>
      </c>
      <c r="AC667" s="359"/>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3140</v>
      </c>
      <c r="Y668" s="67"/>
      <c r="Z668" s="348" t="s">
        <v>770</v>
      </c>
      <c r="AA668" s="348" t="s">
        <v>2849</v>
      </c>
      <c r="AB668" s="339" t="s">
        <v>1176</v>
      </c>
      <c r="AC668" s="359"/>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t="shared" ca="1" si="41"/>
        <v>SI</v>
      </c>
      <c r="P669" s="67" t="str">
        <f t="shared" si="40"/>
        <v>DIANOSOL</v>
      </c>
      <c r="Q669" s="67" t="s">
        <v>151</v>
      </c>
      <c r="R669" s="67" t="str">
        <f>VLOOKUP($Q669,Resultados!$A$1:$B$49,2,FALSE)</f>
        <v>Prisión Preventiva</v>
      </c>
      <c r="S669" s="67" t="s">
        <v>3138</v>
      </c>
      <c r="T669" s="77" t="str">
        <f t="shared" si="42"/>
        <v>NO</v>
      </c>
      <c r="U669" s="77"/>
      <c r="V669" s="67"/>
      <c r="W669" s="67" t="s">
        <v>1800</v>
      </c>
      <c r="X669" s="67" t="s">
        <v>2903</v>
      </c>
      <c r="Y669" s="67"/>
      <c r="Z669" s="348" t="s">
        <v>1042</v>
      </c>
      <c r="AA669" s="348" t="s">
        <v>1168</v>
      </c>
      <c r="AB669" s="339" t="s">
        <v>1176</v>
      </c>
      <c r="AC669" s="359"/>
    </row>
    <row r="670" spans="1:29" ht="39.950000000000003" customHeight="1" x14ac:dyDescent="0.2">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8" t="s">
        <v>2864</v>
      </c>
      <c r="AA670" s="348" t="s">
        <v>1170</v>
      </c>
      <c r="AB670" s="339" t="s">
        <v>1172</v>
      </c>
      <c r="AC670" s="359"/>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t="shared" ca="1" si="41"/>
        <v>SI</v>
      </c>
      <c r="P671" s="67" t="str">
        <f t="shared" si="40"/>
        <v>DIANOSOL</v>
      </c>
      <c r="Q671" s="67" t="s">
        <v>151</v>
      </c>
      <c r="R671" s="67" t="str">
        <f>VLOOKUP($Q671,Resultados!$A$1:$B$49,2,FALSE)</f>
        <v>Prisión Preventiva</v>
      </c>
      <c r="S671" s="67" t="s">
        <v>3152</v>
      </c>
      <c r="T671" s="77" t="str">
        <f t="shared" si="42"/>
        <v>NO</v>
      </c>
      <c r="U671" s="77"/>
      <c r="V671" s="67"/>
      <c r="W671" s="67" t="s">
        <v>3153</v>
      </c>
      <c r="X671" s="67" t="s">
        <v>3154</v>
      </c>
      <c r="Y671" s="67"/>
      <c r="Z671" s="348" t="s">
        <v>2892</v>
      </c>
      <c r="AA671" s="348" t="s">
        <v>1168</v>
      </c>
      <c r="AB671" s="339" t="s">
        <v>1174</v>
      </c>
      <c r="AC671" s="363"/>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t="shared" ca="1" si="41"/>
        <v>SI</v>
      </c>
      <c r="P672" s="67" t="str">
        <f t="shared" si="40"/>
        <v>DIANOSOL</v>
      </c>
      <c r="Q672" s="67" t="s">
        <v>151</v>
      </c>
      <c r="R672" s="67" t="str">
        <f>VLOOKUP($Q672,Resultados!$A$1:$B$49,2,FALSE)</f>
        <v>Prisión Preventiva</v>
      </c>
      <c r="S672" s="67" t="s">
        <v>3157</v>
      </c>
      <c r="T672" s="77" t="str">
        <f t="shared" si="42"/>
        <v>NO</v>
      </c>
      <c r="U672" s="77"/>
      <c r="V672" s="67"/>
      <c r="W672" s="67" t="s">
        <v>1040</v>
      </c>
      <c r="X672" s="67" t="s">
        <v>2981</v>
      </c>
      <c r="Y672" s="67"/>
      <c r="Z672" s="348" t="s">
        <v>743</v>
      </c>
      <c r="AA672" s="348" t="s">
        <v>2849</v>
      </c>
      <c r="AB672" s="339" t="s">
        <v>3110</v>
      </c>
      <c r="AC672" s="359"/>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8" t="s">
        <v>1042</v>
      </c>
      <c r="AA673" s="123" t="s">
        <v>1168</v>
      </c>
      <c r="AB673" s="123" t="s">
        <v>1172</v>
      </c>
      <c r="AC673" s="359"/>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3190</v>
      </c>
      <c r="Y674" s="67"/>
      <c r="Z674" s="348" t="s">
        <v>748</v>
      </c>
      <c r="AA674" s="123" t="s">
        <v>1170</v>
      </c>
      <c r="AB674" s="123" t="s">
        <v>1174</v>
      </c>
      <c r="AC674" s="359"/>
    </row>
    <row r="675" spans="1:29" ht="39.950000000000003" customHeight="1" x14ac:dyDescent="0.2">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t="shared" ca="1" si="41"/>
        <v>SI</v>
      </c>
      <c r="P675" s="67" t="str">
        <f t="shared" si="40"/>
        <v>DIANOSOL</v>
      </c>
      <c r="Q675" s="67" t="s">
        <v>904</v>
      </c>
      <c r="R675" s="67" t="str">
        <f>VLOOKUP($Q675,Resultados!$A$1:$B$49,2,FALSE)</f>
        <v>Juicio Abreviado</v>
      </c>
      <c r="S675" s="67" t="s">
        <v>1291</v>
      </c>
      <c r="T675" s="77" t="str">
        <f t="shared" si="42"/>
        <v>SI</v>
      </c>
      <c r="U675" s="77"/>
      <c r="V675" s="67"/>
      <c r="W675" s="67" t="s">
        <v>76</v>
      </c>
      <c r="X675" s="67" t="s">
        <v>2568</v>
      </c>
      <c r="Y675" s="67"/>
      <c r="Z675" s="348" t="s">
        <v>743</v>
      </c>
      <c r="AA675" s="123" t="s">
        <v>1170</v>
      </c>
      <c r="AB675" s="123" t="s">
        <v>1176</v>
      </c>
      <c r="AC675" s="359"/>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t="shared" ca="1" si="41"/>
        <v>SI</v>
      </c>
      <c r="P676" s="67" t="str">
        <f t="shared" si="40"/>
        <v>DIANOSOL</v>
      </c>
      <c r="Q676" s="67" t="s">
        <v>151</v>
      </c>
      <c r="R676" s="67" t="s">
        <v>151</v>
      </c>
      <c r="S676" s="67" t="s">
        <v>3131</v>
      </c>
      <c r="T676" s="77" t="str">
        <f t="shared" si="42"/>
        <v>NO</v>
      </c>
      <c r="U676" s="77"/>
      <c r="V676" s="67"/>
      <c r="W676" s="67" t="s">
        <v>3194</v>
      </c>
      <c r="X676" s="67" t="s">
        <v>2379</v>
      </c>
      <c r="Y676" s="67"/>
      <c r="Z676" s="348" t="s">
        <v>770</v>
      </c>
      <c r="AA676" s="123" t="s">
        <v>2849</v>
      </c>
      <c r="AB676" s="123" t="s">
        <v>1173</v>
      </c>
      <c r="AC676" s="359"/>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t="shared" ca="1" si="41"/>
        <v>SI</v>
      </c>
      <c r="P677" s="67" t="str">
        <f t="shared" si="40"/>
        <v>DIANOSOL</v>
      </c>
      <c r="Q677" s="67" t="s">
        <v>904</v>
      </c>
      <c r="R677" s="67" t="str">
        <f>VLOOKUP($Q677,Resultados!$A$1:$B$49,2,FALSE)</f>
        <v>Juicio Abreviado</v>
      </c>
      <c r="S677" s="67" t="s">
        <v>2901</v>
      </c>
      <c r="T677" s="77" t="str">
        <f t="shared" si="42"/>
        <v>NO</v>
      </c>
      <c r="U677" s="77"/>
      <c r="V677" s="67"/>
      <c r="W677" s="67" t="s">
        <v>1535</v>
      </c>
      <c r="X677" s="67" t="s">
        <v>2981</v>
      </c>
      <c r="Y677" s="67"/>
      <c r="Z677" s="348" t="s">
        <v>1042</v>
      </c>
      <c r="AA677" s="123" t="s">
        <v>2849</v>
      </c>
      <c r="AB677" s="123" t="s">
        <v>1173</v>
      </c>
      <c r="AC677" s="359"/>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8" t="s">
        <v>1041</v>
      </c>
      <c r="AA678" s="123" t="s">
        <v>1168</v>
      </c>
      <c r="AB678" s="123" t="s">
        <v>1172</v>
      </c>
      <c r="AC678" s="359"/>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3195</v>
      </c>
      <c r="T679" s="77" t="str">
        <f t="shared" si="42"/>
        <v>NO</v>
      </c>
      <c r="U679" s="77"/>
      <c r="V679" s="67"/>
      <c r="W679" s="67" t="s">
        <v>77</v>
      </c>
      <c r="X679" s="67" t="s">
        <v>3192</v>
      </c>
      <c r="Y679" s="67"/>
      <c r="Z679" s="348" t="s">
        <v>2864</v>
      </c>
      <c r="AA679" s="123" t="s">
        <v>1170</v>
      </c>
      <c r="AB679" s="123" t="s">
        <v>1174</v>
      </c>
      <c r="AC679" s="359"/>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3192</v>
      </c>
      <c r="Y680" s="67"/>
      <c r="Z680" s="348" t="s">
        <v>2892</v>
      </c>
      <c r="AA680" s="123" t="s">
        <v>1168</v>
      </c>
      <c r="AB680" s="123" t="s">
        <v>1176</v>
      </c>
      <c r="AC680" s="359"/>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59"/>
    </row>
    <row r="682" spans="1:29" ht="39.950000000000003" customHeight="1" x14ac:dyDescent="0.2">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3225</v>
      </c>
      <c r="Y682" s="67"/>
      <c r="Z682" s="123" t="s">
        <v>2892</v>
      </c>
      <c r="AA682" s="123" t="s">
        <v>1168</v>
      </c>
      <c r="AB682" s="123" t="s">
        <v>1176</v>
      </c>
      <c r="AC682" s="359"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59"/>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2849</v>
      </c>
      <c r="AB684" s="123" t="s">
        <v>1172</v>
      </c>
      <c r="AC684" s="359"/>
    </row>
    <row r="685" spans="1:29" ht="39.950000000000003" customHeight="1" x14ac:dyDescent="0.2">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t="shared" ca="1" si="41"/>
        <v>SI</v>
      </c>
      <c r="P685" s="67" t="str">
        <f t="shared" si="40"/>
        <v>DIANOSOL</v>
      </c>
      <c r="Q685" s="67" t="s">
        <v>902</v>
      </c>
      <c r="R685" s="67" t="str">
        <f>VLOOKUP($Q685,Resultados!$A$1:$B$49,2,FALSE)</f>
        <v>Libertad</v>
      </c>
      <c r="S685" s="67" t="s">
        <v>1577</v>
      </c>
      <c r="T685" s="77" t="str">
        <f t="shared" si="42"/>
        <v>SI</v>
      </c>
      <c r="U685" s="77"/>
      <c r="V685" s="67"/>
      <c r="W685" s="67" t="s">
        <v>1130</v>
      </c>
      <c r="X685" s="67"/>
      <c r="Y685" s="67"/>
      <c r="Z685" s="123" t="s">
        <v>2892</v>
      </c>
      <c r="AA685" s="123" t="s">
        <v>2849</v>
      </c>
      <c r="AB685" s="123" t="s">
        <v>1174</v>
      </c>
      <c r="AC685" s="359"/>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3208</v>
      </c>
      <c r="X686" s="67" t="s">
        <v>2945</v>
      </c>
      <c r="Y686" s="67"/>
      <c r="Z686" s="123" t="s">
        <v>2864</v>
      </c>
      <c r="AA686" s="123" t="s">
        <v>1170</v>
      </c>
      <c r="AB686" s="123" t="s">
        <v>1176</v>
      </c>
      <c r="AC686" s="359"/>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3234</v>
      </c>
      <c r="Y687" s="67"/>
      <c r="Z687" s="339" t="s">
        <v>1041</v>
      </c>
      <c r="AA687" s="123" t="s">
        <v>1168</v>
      </c>
      <c r="AB687" s="123" t="s">
        <v>1172</v>
      </c>
      <c r="AC687" s="359"/>
    </row>
    <row r="688" spans="1:29" ht="39.950000000000003" customHeight="1" x14ac:dyDescent="0.2">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39" t="s">
        <v>1173</v>
      </c>
      <c r="AC688" s="359"/>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3250</v>
      </c>
      <c r="X689" s="67" t="s">
        <v>3251</v>
      </c>
      <c r="Y689" s="67"/>
      <c r="Z689" s="123" t="s">
        <v>770</v>
      </c>
      <c r="AA689" s="123" t="s">
        <v>3224</v>
      </c>
      <c r="AB689" s="339" t="s">
        <v>1172</v>
      </c>
      <c r="AC689" s="359"/>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3236</v>
      </c>
      <c r="Y690" s="67"/>
      <c r="Z690" s="123" t="s">
        <v>2864</v>
      </c>
      <c r="AA690" s="123" t="s">
        <v>2849</v>
      </c>
      <c r="AB690" s="339" t="s">
        <v>1174</v>
      </c>
      <c r="AC690" s="359"/>
    </row>
    <row r="691" spans="1:29" ht="39.950000000000003" customHeight="1" x14ac:dyDescent="0.2">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3243</v>
      </c>
      <c r="Y691" s="67"/>
      <c r="Z691" s="123" t="s">
        <v>1042</v>
      </c>
      <c r="AA691" s="123" t="s">
        <v>1168</v>
      </c>
      <c r="AB691" s="339" t="s">
        <v>1176</v>
      </c>
      <c r="AC691" s="359"/>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39" t="s">
        <v>1173</v>
      </c>
      <c r="AC692" s="359"/>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2901</v>
      </c>
      <c r="X693" s="67"/>
      <c r="Y693" s="67"/>
      <c r="Z693" s="123" t="s">
        <v>2892</v>
      </c>
      <c r="AA693" s="123" t="s">
        <v>1168</v>
      </c>
      <c r="AB693" s="339" t="s">
        <v>1172</v>
      </c>
      <c r="AC693" s="359"/>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SI</v>
      </c>
      <c r="U694" s="77"/>
      <c r="V694" s="67"/>
      <c r="W694" s="67" t="s">
        <v>2901</v>
      </c>
      <c r="X694" s="67" t="s">
        <v>2945</v>
      </c>
      <c r="Y694" s="67"/>
      <c r="Z694" s="123" t="s">
        <v>770</v>
      </c>
      <c r="AA694" s="123" t="s">
        <v>2849</v>
      </c>
      <c r="AB694" s="339" t="s">
        <v>1174</v>
      </c>
      <c r="AC694" s="359"/>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3240</v>
      </c>
      <c r="X695" s="67" t="s">
        <v>3241</v>
      </c>
      <c r="Y695" s="67"/>
      <c r="Z695" s="123" t="s">
        <v>748</v>
      </c>
      <c r="AA695" s="123" t="s">
        <v>1170</v>
      </c>
      <c r="AB695" s="339" t="s">
        <v>1176</v>
      </c>
      <c r="AC695" s="359"/>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3238</v>
      </c>
      <c r="T696" s="77" t="str">
        <f t="shared" si="43"/>
        <v>NO</v>
      </c>
      <c r="U696" s="77"/>
      <c r="V696" s="67"/>
      <c r="W696" s="67" t="s">
        <v>1240</v>
      </c>
      <c r="X696" s="67" t="s">
        <v>3239</v>
      </c>
      <c r="Y696" s="67"/>
      <c r="Z696" s="123" t="s">
        <v>748</v>
      </c>
      <c r="AA696" s="123" t="s">
        <v>2849</v>
      </c>
      <c r="AB696" s="339" t="s">
        <v>1173</v>
      </c>
      <c r="AC696" s="359"/>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3253</v>
      </c>
      <c r="Y697" s="67"/>
      <c r="Z697" s="123" t="s">
        <v>2892</v>
      </c>
      <c r="AA697" s="123" t="s">
        <v>1168</v>
      </c>
      <c r="AB697" s="123" t="s">
        <v>1172</v>
      </c>
      <c r="AC697" s="359"/>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t="shared" ca="1" si="41"/>
        <v>SI</v>
      </c>
      <c r="P698" s="67" t="str">
        <f t="shared" si="40"/>
        <v>DIANOSOL</v>
      </c>
      <c r="Q698" s="67" t="s">
        <v>904</v>
      </c>
      <c r="R698" s="67" t="str">
        <f>VLOOKUP($Q698,Resultados!$A$1:$B$49,2,FALSE)</f>
        <v>Juicio Abreviado</v>
      </c>
      <c r="S698" s="67" t="s">
        <v>1065</v>
      </c>
      <c r="T698" s="77" t="str">
        <f t="shared" si="43"/>
        <v>SI</v>
      </c>
      <c r="U698" s="77"/>
      <c r="V698" s="67"/>
      <c r="W698" s="67" t="s">
        <v>1608</v>
      </c>
      <c r="X698" s="67" t="s">
        <v>3258</v>
      </c>
      <c r="Y698" s="67"/>
      <c r="Z698" s="123" t="s">
        <v>2864</v>
      </c>
      <c r="AA698" s="123" t="s">
        <v>2849</v>
      </c>
      <c r="AB698" s="123" t="s">
        <v>1174</v>
      </c>
      <c r="AC698" s="359"/>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3255</v>
      </c>
      <c r="X699" s="67" t="s">
        <v>3256</v>
      </c>
      <c r="Y699" s="67"/>
      <c r="Z699" s="123" t="s">
        <v>1041</v>
      </c>
      <c r="AA699" s="123" t="s">
        <v>1170</v>
      </c>
      <c r="AB699" s="123" t="s">
        <v>1176</v>
      </c>
      <c r="AC699" s="359"/>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59"/>
    </row>
    <row r="701" spans="1:29" ht="51" x14ac:dyDescent="0.2">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59"/>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59"/>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3192</v>
      </c>
      <c r="Y703" s="67"/>
      <c r="Z703" s="123" t="s">
        <v>2864</v>
      </c>
      <c r="AA703" s="123" t="s">
        <v>1168</v>
      </c>
      <c r="AB703" s="123" t="s">
        <v>1176</v>
      </c>
      <c r="AC703" s="359"/>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3270</v>
      </c>
      <c r="T704" s="77" t="str">
        <f t="shared" si="43"/>
        <v>NO</v>
      </c>
      <c r="U704" s="77"/>
      <c r="V704" s="67"/>
      <c r="W704" s="67" t="s">
        <v>1273</v>
      </c>
      <c r="X704" s="67" t="s">
        <v>3271</v>
      </c>
      <c r="Y704" s="67"/>
      <c r="Z704" s="123" t="s">
        <v>770</v>
      </c>
      <c r="AA704" s="123" t="s">
        <v>2849</v>
      </c>
      <c r="AB704" s="123" t="s">
        <v>1173</v>
      </c>
      <c r="AC704" s="359"/>
    </row>
    <row r="705" spans="1:29" ht="51" x14ac:dyDescent="0.2">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3192</v>
      </c>
      <c r="Y705" s="67"/>
      <c r="Z705" s="123" t="s">
        <v>2892</v>
      </c>
      <c r="AA705" s="123" t="s">
        <v>1170</v>
      </c>
      <c r="AB705" s="123" t="s">
        <v>1172</v>
      </c>
      <c r="AC705" s="359"/>
    </row>
    <row r="706" spans="1:29" ht="89.25" x14ac:dyDescent="0.2">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t="shared" ca="1" si="41"/>
        <v>SI</v>
      </c>
      <c r="P706" s="67" t="str">
        <f t="shared" si="40"/>
        <v>DIANOSOL</v>
      </c>
      <c r="Q706" s="67" t="s">
        <v>905</v>
      </c>
      <c r="R706" s="67" t="str">
        <f>VLOOKUP($Q706,Resultados!$A$1:$B$49,2,FALSE)</f>
        <v>Juicio Abreviado</v>
      </c>
      <c r="S706" s="67" t="s">
        <v>3273</v>
      </c>
      <c r="T706" s="77" t="str">
        <f t="shared" si="43"/>
        <v>NO</v>
      </c>
      <c r="U706" s="77"/>
      <c r="V706" s="67"/>
      <c r="W706" s="67" t="s">
        <v>3274</v>
      </c>
      <c r="X706" s="67" t="s">
        <v>3275</v>
      </c>
      <c r="Y706" s="67"/>
      <c r="Z706" s="123" t="s">
        <v>748</v>
      </c>
      <c r="AA706" s="339" t="s">
        <v>2849</v>
      </c>
      <c r="AB706" s="123" t="s">
        <v>1174</v>
      </c>
      <c r="AC706" s="359"/>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3284</v>
      </c>
      <c r="T707" s="86" t="str">
        <f t="shared" si="43"/>
        <v>NO</v>
      </c>
      <c r="U707" s="86"/>
      <c r="V707" s="83"/>
      <c r="W707" s="67" t="s">
        <v>3131</v>
      </c>
      <c r="X707" s="67" t="s">
        <v>3311</v>
      </c>
      <c r="Y707" s="67"/>
      <c r="Z707" s="123" t="s">
        <v>2864</v>
      </c>
      <c r="AA707" s="123" t="s">
        <v>2849</v>
      </c>
      <c r="AB707" s="123" t="s">
        <v>1176</v>
      </c>
      <c r="AC707" s="359"/>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3288</v>
      </c>
      <c r="Y708" s="67"/>
      <c r="Z708" s="123" t="s">
        <v>770</v>
      </c>
      <c r="AA708" s="123" t="s">
        <v>2849</v>
      </c>
      <c r="AB708" s="123" t="s">
        <v>1173</v>
      </c>
      <c r="AC708" s="359"/>
    </row>
    <row r="709" spans="1:29" ht="63.75" x14ac:dyDescent="0.2">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t="shared" ca="1" si="41"/>
        <v>SI</v>
      </c>
      <c r="P709" s="83" t="str">
        <f t="shared" si="44"/>
        <v>DIANOSOL</v>
      </c>
      <c r="Q709" s="67" t="s">
        <v>905</v>
      </c>
      <c r="R709" s="67" t="str">
        <f>VLOOKUP($Q709,Resultados!$A$1:$B$49,2,FALSE)</f>
        <v>Juicio Abreviado</v>
      </c>
      <c r="S709" s="67" t="s">
        <v>1428</v>
      </c>
      <c r="T709" s="86" t="str">
        <f t="shared" si="43"/>
        <v>SI</v>
      </c>
      <c r="U709" s="86"/>
      <c r="V709" s="83"/>
      <c r="W709" s="67" t="s">
        <v>1496</v>
      </c>
      <c r="X709" s="67" t="s">
        <v>3287</v>
      </c>
      <c r="Y709" s="67"/>
      <c r="Z709" s="123" t="s">
        <v>748</v>
      </c>
      <c r="AA709" s="123" t="s">
        <v>1170</v>
      </c>
      <c r="AB709" s="123" t="s">
        <v>1172</v>
      </c>
      <c r="AC709" s="359"/>
    </row>
    <row r="710" spans="1:29" ht="76.5" x14ac:dyDescent="0.2">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3285</v>
      </c>
      <c r="Y710" s="67"/>
      <c r="Z710" s="123" t="s">
        <v>2892</v>
      </c>
      <c r="AA710" s="123" t="s">
        <v>2849</v>
      </c>
      <c r="AB710" s="123" t="s">
        <v>1174</v>
      </c>
      <c r="AC710" s="359"/>
    </row>
    <row r="711" spans="1:29" ht="51" x14ac:dyDescent="0.2">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59"/>
    </row>
    <row r="712" spans="1:29" ht="63.75" x14ac:dyDescent="0.2">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3281</v>
      </c>
      <c r="Y712" s="67"/>
      <c r="Z712" s="123" t="s">
        <v>748</v>
      </c>
      <c r="AA712" s="123" t="s">
        <v>1170</v>
      </c>
      <c r="AB712" s="123" t="s">
        <v>1172</v>
      </c>
      <c r="AC712" s="359"/>
    </row>
    <row r="713" spans="1:29" ht="63.75" x14ac:dyDescent="0.2">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59"/>
    </row>
    <row r="714" spans="1:29" ht="51" x14ac:dyDescent="0.2">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3290</v>
      </c>
      <c r="Y714" s="67"/>
      <c r="Z714" s="123" t="s">
        <v>2864</v>
      </c>
      <c r="AA714" s="123" t="s">
        <v>1168</v>
      </c>
      <c r="AB714" s="123" t="s">
        <v>1176</v>
      </c>
      <c r="AC714" s="359"/>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t="shared" ca="1" si="41"/>
        <v>SI</v>
      </c>
      <c r="P715" s="83" t="str">
        <f t="shared" si="44"/>
        <v>DIANOSOL</v>
      </c>
      <c r="Q715" s="67" t="s">
        <v>904</v>
      </c>
      <c r="R715" s="67" t="str">
        <f>VLOOKUP($Q715,Resultados!$A$1:$B$49,2,FALSE)</f>
        <v>Juicio Abreviado</v>
      </c>
      <c r="S715" s="67" t="s">
        <v>3291</v>
      </c>
      <c r="T715" s="86" t="str">
        <f t="shared" si="43"/>
        <v>NO</v>
      </c>
      <c r="U715" s="86"/>
      <c r="V715" s="83"/>
      <c r="W715" s="67" t="s">
        <v>3292</v>
      </c>
      <c r="X715" s="67" t="s">
        <v>3293</v>
      </c>
      <c r="Y715" s="67"/>
      <c r="Z715" s="123" t="s">
        <v>2892</v>
      </c>
      <c r="AA715" s="67"/>
      <c r="AB715" s="123" t="s">
        <v>1173</v>
      </c>
      <c r="AC715" s="359"/>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3297</v>
      </c>
      <c r="AC716" s="359"/>
    </row>
    <row r="717" spans="1:29" ht="89.25" x14ac:dyDescent="0.2">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59"/>
    </row>
    <row r="718" spans="1:29" ht="63.75" x14ac:dyDescent="0.2">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3345</v>
      </c>
      <c r="Y718" s="67"/>
      <c r="Z718" s="123" t="s">
        <v>770</v>
      </c>
      <c r="AA718" s="123" t="s">
        <v>1168</v>
      </c>
      <c r="AB718" s="123" t="s">
        <v>3296</v>
      </c>
      <c r="AC718" s="359"/>
    </row>
    <row r="719" spans="1:29" ht="51" x14ac:dyDescent="0.2">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t="shared" ca="1" si="45"/>
        <v>SI</v>
      </c>
      <c r="P719" s="83" t="str">
        <f t="shared" si="44"/>
        <v>DIANOSOL</v>
      </c>
      <c r="Q719" s="67" t="s">
        <v>905</v>
      </c>
      <c r="R719" s="67" t="s">
        <v>100</v>
      </c>
      <c r="S719" s="67" t="s">
        <v>3350</v>
      </c>
      <c r="T719" s="86" t="str">
        <f t="shared" si="43"/>
        <v>NO</v>
      </c>
      <c r="U719" s="86"/>
      <c r="V719" s="83"/>
      <c r="W719" s="67" t="s">
        <v>3351</v>
      </c>
      <c r="X719" s="233"/>
      <c r="Y719" s="67"/>
      <c r="Z719" s="123" t="s">
        <v>2892</v>
      </c>
      <c r="AA719" s="123" t="s">
        <v>2849</v>
      </c>
      <c r="AB719" s="123" t="s">
        <v>1174</v>
      </c>
      <c r="AC719" s="359"/>
    </row>
    <row r="720" spans="1:29" ht="51" x14ac:dyDescent="0.2">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59"/>
    </row>
    <row r="721" spans="1:29" ht="51" x14ac:dyDescent="0.2">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39" t="s">
        <v>1170</v>
      </c>
      <c r="AB721" s="123" t="s">
        <v>1173</v>
      </c>
      <c r="AC721" s="359"/>
    </row>
    <row r="722" spans="1:29" ht="76.5" x14ac:dyDescent="0.2">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t="shared" ca="1" si="45"/>
        <v>SI</v>
      </c>
      <c r="P722" s="83" t="str">
        <f t="shared" si="44"/>
        <v>DIANOSOL</v>
      </c>
      <c r="Q722" s="67" t="s">
        <v>904</v>
      </c>
      <c r="R722" s="67" t="str">
        <f>VLOOKUP($Q722,Resultados!$A$1:$B$49,2,FALSE)</f>
        <v>Juicio Abreviado</v>
      </c>
      <c r="S722" s="67" t="s">
        <v>3347</v>
      </c>
      <c r="T722" s="86" t="str">
        <f t="shared" si="43"/>
        <v>NO</v>
      </c>
      <c r="U722" s="86"/>
      <c r="V722" s="83"/>
      <c r="W722" s="67" t="s">
        <v>1637</v>
      </c>
      <c r="X722" s="273" t="s">
        <v>3349</v>
      </c>
      <c r="Y722" s="67"/>
      <c r="Z722" s="123" t="s">
        <v>2892</v>
      </c>
      <c r="AA722" s="123" t="s">
        <v>2849</v>
      </c>
      <c r="AB722" s="123" t="s">
        <v>1172</v>
      </c>
      <c r="AC722" s="359"/>
    </row>
    <row r="723" spans="1:29" ht="63.75" x14ac:dyDescent="0.2">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3354</v>
      </c>
      <c r="X723" s="370" t="s">
        <v>3355</v>
      </c>
      <c r="Y723" s="67"/>
      <c r="Z723" s="123" t="s">
        <v>770</v>
      </c>
      <c r="AA723" s="123" t="s">
        <v>1170</v>
      </c>
      <c r="AB723" s="123" t="s">
        <v>3296</v>
      </c>
      <c r="AC723" s="359"/>
    </row>
    <row r="724" spans="1:29" ht="63.75" x14ac:dyDescent="0.2">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t="shared" ca="1" si="45"/>
        <v>SI</v>
      </c>
      <c r="P724" s="83" t="str">
        <f t="shared" si="44"/>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t="shared" ca="1" si="45"/>
        <v>SI</v>
      </c>
      <c r="P725" s="67" t="str">
        <f t="shared" si="44"/>
        <v>DIANOSOL</v>
      </c>
      <c r="Q725" s="67" t="s">
        <v>151</v>
      </c>
      <c r="R725" s="67" t="s">
        <v>151</v>
      </c>
      <c r="S725" s="67" t="s">
        <v>1186</v>
      </c>
      <c r="T725" s="77" t="str">
        <f t="shared" ref="T725:T788" si="46">IF(G725=$J$1,"SI","NO")</f>
        <v>NO</v>
      </c>
      <c r="U725" s="77"/>
      <c r="V725" s="67"/>
      <c r="W725" s="67" t="s">
        <v>3402</v>
      </c>
      <c r="X725" s="67" t="s">
        <v>3403</v>
      </c>
      <c r="Y725" s="67"/>
      <c r="Z725" s="339" t="s">
        <v>770</v>
      </c>
      <c r="AA725" s="123" t="s">
        <v>2849</v>
      </c>
      <c r="AB725" s="77" t="s">
        <v>3360</v>
      </c>
      <c r="AC725" s="359"/>
    </row>
    <row r="726" spans="1:29" ht="39.950000000000003" customHeight="1" x14ac:dyDescent="0.2">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t="shared" ca="1" si="45"/>
        <v>SI</v>
      </c>
      <c r="P726" s="67" t="str">
        <f t="shared" si="44"/>
        <v>DIANOSOL</v>
      </c>
      <c r="Q726" s="67" t="s">
        <v>905</v>
      </c>
      <c r="R726" s="67" t="str">
        <f>VLOOKUP($Q726,Resultados!$A$1:$B$49,2,FALSE)</f>
        <v>Juicio Abreviado</v>
      </c>
      <c r="S726" s="67" t="s">
        <v>1209</v>
      </c>
      <c r="T726" s="77" t="str">
        <f t="shared" si="46"/>
        <v>SI</v>
      </c>
      <c r="U726" s="77"/>
      <c r="V726" s="67"/>
      <c r="W726" s="67" t="s">
        <v>2564</v>
      </c>
      <c r="X726" s="67" t="s">
        <v>3406</v>
      </c>
      <c r="Y726" s="67"/>
      <c r="Z726" s="339" t="s">
        <v>3358</v>
      </c>
      <c r="AA726" s="123" t="s">
        <v>1168</v>
      </c>
      <c r="AB726" s="123" t="s">
        <v>1172</v>
      </c>
      <c r="AC726" s="359"/>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39" t="s">
        <v>2892</v>
      </c>
      <c r="AA727" s="123" t="s">
        <v>2849</v>
      </c>
      <c r="AB727" s="123" t="s">
        <v>3296</v>
      </c>
      <c r="AC727" s="359"/>
    </row>
    <row r="728" spans="1:29" ht="39.950000000000003" customHeight="1" x14ac:dyDescent="0.2">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39" t="s">
        <v>2864</v>
      </c>
      <c r="AA728" s="339" t="s">
        <v>1170</v>
      </c>
      <c r="AB728" s="123" t="s">
        <v>1174</v>
      </c>
      <c r="AC728" s="359"/>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t="shared" ca="1" si="45"/>
        <v>SI</v>
      </c>
      <c r="P729" s="67" t="str">
        <f t="shared" si="44"/>
        <v>DIANOSOL</v>
      </c>
      <c r="Q729" s="67" t="s">
        <v>904</v>
      </c>
      <c r="R729" s="67" t="str">
        <f>VLOOKUP($Q729,Resultados!$A$1:$B$49,2,FALSE)</f>
        <v>Juicio Abreviado</v>
      </c>
      <c r="S729" s="67" t="s">
        <v>3397</v>
      </c>
      <c r="T729" s="77" t="str">
        <f t="shared" si="46"/>
        <v>NO</v>
      </c>
      <c r="U729" s="77"/>
      <c r="V729" s="67"/>
      <c r="W729" s="67" t="s">
        <v>1132</v>
      </c>
      <c r="X729" s="67" t="s">
        <v>2153</v>
      </c>
      <c r="Y729" s="67"/>
      <c r="Z729" s="339" t="s">
        <v>2864</v>
      </c>
      <c r="AA729" s="123" t="s">
        <v>1170</v>
      </c>
      <c r="AB729" s="123" t="s">
        <v>3360</v>
      </c>
      <c r="AC729" s="359"/>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3399</v>
      </c>
      <c r="X730" s="67" t="s">
        <v>3192</v>
      </c>
      <c r="Y730" s="67"/>
      <c r="Z730" s="339" t="s">
        <v>2892</v>
      </c>
      <c r="AA730" s="123" t="s">
        <v>2849</v>
      </c>
      <c r="AB730" s="123" t="s">
        <v>1172</v>
      </c>
      <c r="AC730" s="359"/>
    </row>
    <row r="731" spans="1:29" ht="39.950000000000003" customHeight="1" x14ac:dyDescent="0.2">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3400</v>
      </c>
      <c r="Y731" s="67"/>
      <c r="Z731" s="339" t="s">
        <v>3359</v>
      </c>
      <c r="AA731" s="123" t="s">
        <v>1168</v>
      </c>
      <c r="AB731" s="123" t="s">
        <v>1174</v>
      </c>
      <c r="AC731" s="359"/>
    </row>
    <row r="732" spans="1:29" ht="39.950000000000003" customHeight="1" x14ac:dyDescent="0.2">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39" t="s">
        <v>3407</v>
      </c>
      <c r="AA732" s="339" t="s">
        <v>1170</v>
      </c>
      <c r="AB732" s="339" t="s">
        <v>3360</v>
      </c>
      <c r="AC732" s="359"/>
    </row>
    <row r="733" spans="1:29" ht="39.950000000000003" customHeight="1" x14ac:dyDescent="0.2">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3426</v>
      </c>
      <c r="Y733" s="67"/>
      <c r="Z733" s="339" t="s">
        <v>748</v>
      </c>
      <c r="AA733" s="339" t="s">
        <v>1170</v>
      </c>
      <c r="AB733" s="339" t="s">
        <v>1176</v>
      </c>
      <c r="AC733" s="359"/>
    </row>
    <row r="734" spans="1:29" ht="39.950000000000003" customHeight="1" x14ac:dyDescent="0.2">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3131</v>
      </c>
      <c r="X734" s="67"/>
      <c r="Y734" s="67"/>
      <c r="Z734" s="339" t="s">
        <v>2864</v>
      </c>
      <c r="AA734" s="339" t="s">
        <v>1168</v>
      </c>
      <c r="AB734" s="339" t="s">
        <v>1173</v>
      </c>
      <c r="AC734" s="359"/>
    </row>
    <row r="735" spans="1:29" ht="39.950000000000003" customHeight="1" x14ac:dyDescent="0.2">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3425</v>
      </c>
      <c r="Y735" s="67"/>
      <c r="Z735" s="339" t="s">
        <v>2892</v>
      </c>
      <c r="AA735" s="339" t="s">
        <v>1168</v>
      </c>
      <c r="AB735" s="339" t="s">
        <v>1172</v>
      </c>
      <c r="AC735" s="359"/>
    </row>
    <row r="736" spans="1:29" ht="39.950000000000003" customHeight="1" x14ac:dyDescent="0.2">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39" t="s">
        <v>3407</v>
      </c>
      <c r="AA736" s="339" t="s">
        <v>2849</v>
      </c>
      <c r="AB736" s="339" t="s">
        <v>3296</v>
      </c>
      <c r="AC736" s="359"/>
    </row>
    <row r="737" spans="1:29" ht="39.950000000000003" customHeight="1" x14ac:dyDescent="0.2">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3148</v>
      </c>
      <c r="X737" s="67" t="s">
        <v>3430</v>
      </c>
      <c r="Y737" s="67"/>
      <c r="Z737" s="339" t="s">
        <v>2864</v>
      </c>
      <c r="AA737" s="339" t="s">
        <v>1170</v>
      </c>
      <c r="AB737" s="339" t="s">
        <v>1174</v>
      </c>
      <c r="AC737" s="359"/>
    </row>
    <row r="738" spans="1:29" ht="39.950000000000003" customHeight="1" x14ac:dyDescent="0.2">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3208</v>
      </c>
      <c r="X738" s="67" t="s">
        <v>2568</v>
      </c>
      <c r="Y738" s="67"/>
      <c r="Z738" s="339" t="s">
        <v>770</v>
      </c>
      <c r="AA738" s="339" t="s">
        <v>2849</v>
      </c>
      <c r="AB738" s="339" t="s">
        <v>3360</v>
      </c>
      <c r="AC738" s="359"/>
    </row>
    <row r="739" spans="1:29" ht="39.950000000000003" customHeight="1" x14ac:dyDescent="0.2">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t="shared" ca="1" si="45"/>
        <v>SI</v>
      </c>
      <c r="P739" s="67" t="str">
        <f t="shared" si="44"/>
        <v>DIANOSOL</v>
      </c>
      <c r="Q739" s="67" t="s">
        <v>905</v>
      </c>
      <c r="R739" s="67" t="str">
        <f>VLOOKUP($Q739,Resultados!$A$1:$B$49,2,FALSE)</f>
        <v>Juicio Abreviado</v>
      </c>
      <c r="S739" s="67" t="s">
        <v>3432</v>
      </c>
      <c r="T739" s="77" t="str">
        <f t="shared" si="46"/>
        <v>NO</v>
      </c>
      <c r="U739" s="77"/>
      <c r="V739" s="67"/>
      <c r="W739" s="67" t="s">
        <v>1206</v>
      </c>
      <c r="X739" s="67" t="s">
        <v>2568</v>
      </c>
      <c r="Y739" s="67"/>
      <c r="Z739" s="339" t="s">
        <v>770</v>
      </c>
      <c r="AA739" s="123" t="s">
        <v>3343</v>
      </c>
      <c r="AB739" s="123" t="s">
        <v>1176</v>
      </c>
      <c r="AC739" s="359"/>
    </row>
    <row r="740" spans="1:29" ht="39.950000000000003" customHeight="1" x14ac:dyDescent="0.2">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3470</v>
      </c>
      <c r="Y740" s="67"/>
      <c r="Z740" s="362" t="s">
        <v>3407</v>
      </c>
      <c r="AA740" s="362" t="s">
        <v>1168</v>
      </c>
      <c r="AB740" s="362" t="s">
        <v>1173</v>
      </c>
      <c r="AC740" s="363"/>
    </row>
    <row r="741" spans="1:29" ht="39.950000000000003" customHeight="1" x14ac:dyDescent="0.2">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2" t="s">
        <v>2864</v>
      </c>
      <c r="AA741" s="362" t="s">
        <v>1170</v>
      </c>
      <c r="AB741" s="362" t="s">
        <v>1172</v>
      </c>
      <c r="AC741" s="363"/>
    </row>
    <row r="742" spans="1:29" ht="39.950000000000003" customHeight="1" x14ac:dyDescent="0.2">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3471</v>
      </c>
      <c r="Y742" s="67"/>
      <c r="Z742" s="362" t="s">
        <v>2892</v>
      </c>
      <c r="AA742" s="362" t="s">
        <v>2849</v>
      </c>
      <c r="AB742" s="362" t="s">
        <v>3296</v>
      </c>
      <c r="AC742" s="363"/>
    </row>
    <row r="743" spans="1:29" ht="39.950000000000003" customHeight="1" x14ac:dyDescent="0.2">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t="shared" ca="1" si="45"/>
        <v>SI</v>
      </c>
      <c r="P743" s="83" t="str">
        <f t="shared" si="44"/>
        <v>DIANOSOL</v>
      </c>
      <c r="Q743" s="67" t="s">
        <v>151</v>
      </c>
      <c r="R743" s="67" t="s">
        <v>151</v>
      </c>
      <c r="S743" s="67" t="s">
        <v>2707</v>
      </c>
      <c r="T743" s="86" t="str">
        <f t="shared" si="46"/>
        <v>NO</v>
      </c>
      <c r="U743" s="86"/>
      <c r="V743" s="83"/>
      <c r="W743" s="67" t="s">
        <v>1005</v>
      </c>
      <c r="X743" s="67" t="s">
        <v>3078</v>
      </c>
      <c r="Y743" s="67"/>
      <c r="Z743" s="362" t="s">
        <v>748</v>
      </c>
      <c r="AA743" s="362" t="s">
        <v>1168</v>
      </c>
      <c r="AB743" s="362" t="s">
        <v>1174</v>
      </c>
      <c r="AC743" s="363"/>
    </row>
    <row r="744" spans="1:29" ht="39.950000000000003" customHeight="1" x14ac:dyDescent="0.2">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2" t="s">
        <v>770</v>
      </c>
      <c r="AA744" s="362" t="s">
        <v>1170</v>
      </c>
      <c r="AB744" s="362" t="s">
        <v>3360</v>
      </c>
      <c r="AC744" s="363"/>
    </row>
    <row r="745" spans="1:29" ht="39.950000000000003" customHeight="1" x14ac:dyDescent="0.2">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t="shared" ca="1" si="45"/>
        <v>SI</v>
      </c>
      <c r="P745" s="83" t="str">
        <f t="shared" si="44"/>
        <v>DIANOSOL</v>
      </c>
      <c r="Q745" s="67" t="s">
        <v>904</v>
      </c>
      <c r="R745" s="67" t="str">
        <f>VLOOKUP($Q745,Resultados!$A$1:$B$49,2,FALSE)</f>
        <v>Juicio Abreviado</v>
      </c>
      <c r="S745" s="67" t="s">
        <v>3475</v>
      </c>
      <c r="T745" s="86" t="str">
        <f t="shared" si="46"/>
        <v>NO</v>
      </c>
      <c r="U745" s="86"/>
      <c r="V745" s="83"/>
      <c r="W745" s="67" t="s">
        <v>3476</v>
      </c>
      <c r="X745" s="67" t="s">
        <v>3477</v>
      </c>
      <c r="Y745" s="67"/>
      <c r="Z745" s="362" t="s">
        <v>3407</v>
      </c>
      <c r="AA745" s="362" t="s">
        <v>2849</v>
      </c>
      <c r="AB745" s="362" t="s">
        <v>1176</v>
      </c>
      <c r="AC745" s="363"/>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t="shared" ca="1" si="45"/>
        <v>SI</v>
      </c>
      <c r="P746" s="83" t="str">
        <f t="shared" si="44"/>
        <v>DIANOSOL</v>
      </c>
      <c r="Q746" s="67" t="s">
        <v>151</v>
      </c>
      <c r="R746" s="67" t="s">
        <v>151</v>
      </c>
      <c r="S746" s="67" t="s">
        <v>3478</v>
      </c>
      <c r="T746" s="86" t="str">
        <f t="shared" si="46"/>
        <v>NO</v>
      </c>
      <c r="U746" s="86"/>
      <c r="V746" s="83"/>
      <c r="W746" s="67" t="s">
        <v>3479</v>
      </c>
      <c r="X746" s="67"/>
      <c r="Y746" s="67"/>
      <c r="Z746" s="362" t="s">
        <v>2864</v>
      </c>
      <c r="AA746" s="362" t="s">
        <v>1170</v>
      </c>
      <c r="AB746" s="362" t="s">
        <v>1173</v>
      </c>
      <c r="AC746" s="363"/>
    </row>
    <row r="747" spans="1:29" ht="39.950000000000003" customHeight="1" x14ac:dyDescent="0.2">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3471</v>
      </c>
      <c r="Y747" s="67"/>
      <c r="Z747" s="123" t="s">
        <v>3467</v>
      </c>
      <c r="AA747" s="339" t="s">
        <v>1168</v>
      </c>
      <c r="AB747" s="123" t="s">
        <v>1172</v>
      </c>
      <c r="AC747" s="363"/>
    </row>
    <row r="748" spans="1:29" ht="39.950000000000003" customHeight="1" x14ac:dyDescent="0.2">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t="shared" ca="1" si="45"/>
        <v>SI</v>
      </c>
      <c r="P748" s="67" t="str">
        <f t="shared" si="44"/>
        <v>DIANOSOL</v>
      </c>
      <c r="Q748" s="67" t="s">
        <v>151</v>
      </c>
      <c r="R748" s="67" t="s">
        <v>151</v>
      </c>
      <c r="S748" s="67" t="s">
        <v>1295</v>
      </c>
      <c r="T748" s="77" t="str">
        <f t="shared" si="46"/>
        <v>NO</v>
      </c>
      <c r="U748" s="77"/>
      <c r="V748" s="67"/>
      <c r="W748" s="67" t="s">
        <v>1498</v>
      </c>
      <c r="X748" s="67" t="s">
        <v>3498</v>
      </c>
      <c r="Y748" s="67"/>
      <c r="Z748" s="123" t="s">
        <v>1041</v>
      </c>
      <c r="AA748" s="339" t="s">
        <v>1170</v>
      </c>
      <c r="AB748" s="123" t="s">
        <v>3296</v>
      </c>
      <c r="AC748" s="363"/>
    </row>
    <row r="749" spans="1:29" ht="39.950000000000003" customHeight="1" x14ac:dyDescent="0.2">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3501</v>
      </c>
      <c r="Y749" s="67"/>
      <c r="Z749" s="123" t="s">
        <v>748</v>
      </c>
      <c r="AA749" s="123" t="s">
        <v>3343</v>
      </c>
      <c r="AB749" s="123" t="s">
        <v>1174</v>
      </c>
      <c r="AC749" s="363"/>
    </row>
    <row r="750" spans="1:29" ht="39.950000000000003" customHeight="1" x14ac:dyDescent="0.2">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39" t="s">
        <v>1168</v>
      </c>
      <c r="AB750" s="123" t="s">
        <v>3360</v>
      </c>
      <c r="AC750" s="363"/>
    </row>
    <row r="751" spans="1:29" ht="39.950000000000003" customHeight="1" x14ac:dyDescent="0.2">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SI</v>
      </c>
      <c r="U751" s="77"/>
      <c r="V751" s="67"/>
      <c r="W751" s="67" t="s">
        <v>1131</v>
      </c>
      <c r="X751" s="67" t="s">
        <v>3500</v>
      </c>
      <c r="Y751" s="67"/>
      <c r="Z751" s="123" t="s">
        <v>3407</v>
      </c>
      <c r="AA751" s="339" t="s">
        <v>2849</v>
      </c>
      <c r="AB751" s="123" t="s">
        <v>1176</v>
      </c>
      <c r="AC751" s="363"/>
    </row>
    <row r="752" spans="1:29" ht="39.950000000000003" customHeight="1" x14ac:dyDescent="0.2">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3499</v>
      </c>
      <c r="Y752" s="67"/>
      <c r="Z752" s="123" t="s">
        <v>748</v>
      </c>
      <c r="AA752" s="339" t="s">
        <v>1170</v>
      </c>
      <c r="AB752" s="123" t="s">
        <v>1173</v>
      </c>
      <c r="AC752" s="363"/>
    </row>
    <row r="753" spans="1:29" ht="39.950000000000003" customHeight="1" x14ac:dyDescent="0.2">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3501</v>
      </c>
      <c r="Y753" s="67"/>
      <c r="Z753" s="123" t="s">
        <v>3407</v>
      </c>
      <c r="AA753" s="339" t="s">
        <v>2849</v>
      </c>
      <c r="AB753" s="123" t="s">
        <v>1172</v>
      </c>
      <c r="AC753" s="363"/>
    </row>
    <row r="754" spans="1:29" ht="39.950000000000003" customHeight="1" x14ac:dyDescent="0.2">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t="shared" ca="1" si="45"/>
        <v>SI</v>
      </c>
      <c r="P754" s="67" t="str">
        <f t="shared" si="44"/>
        <v>DIANOSOL</v>
      </c>
      <c r="Q754" s="67" t="s">
        <v>899</v>
      </c>
      <c r="R754" s="67" t="str">
        <f>VLOOKUP($Q754,Resultados!$A$1:$B$49,2,FALSE)</f>
        <v>Libertad</v>
      </c>
      <c r="S754" s="67" t="s">
        <v>3504</v>
      </c>
      <c r="T754" s="77" t="str">
        <f t="shared" si="46"/>
        <v>NO</v>
      </c>
      <c r="U754" s="77"/>
      <c r="V754" s="67"/>
      <c r="W754" s="67" t="s">
        <v>3505</v>
      </c>
      <c r="X754" s="67" t="s">
        <v>3192</v>
      </c>
      <c r="Y754" s="67"/>
      <c r="Z754" s="123" t="s">
        <v>3407</v>
      </c>
      <c r="AA754" s="123" t="s">
        <v>1168</v>
      </c>
      <c r="AB754" s="123" t="s">
        <v>3296</v>
      </c>
      <c r="AC754" s="363"/>
    </row>
    <row r="755" spans="1:29" ht="39.950000000000003" customHeight="1" x14ac:dyDescent="0.2">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3519</v>
      </c>
      <c r="Y755" s="67"/>
      <c r="Z755" s="123" t="s">
        <v>2864</v>
      </c>
      <c r="AA755" s="339" t="s">
        <v>1168</v>
      </c>
      <c r="AB755" s="123" t="s">
        <v>1176</v>
      </c>
      <c r="AC755" s="363"/>
    </row>
    <row r="756" spans="1:29" ht="39.950000000000003" customHeight="1" x14ac:dyDescent="0.2">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3521</v>
      </c>
      <c r="Y756" s="67"/>
      <c r="Z756" s="123" t="s">
        <v>3407</v>
      </c>
      <c r="AA756" s="339" t="s">
        <v>2849</v>
      </c>
      <c r="AB756" s="123" t="s">
        <v>3360</v>
      </c>
      <c r="AC756" s="363"/>
    </row>
    <row r="757" spans="1:29" ht="39.950000000000003" customHeight="1" x14ac:dyDescent="0.2">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3526</v>
      </c>
      <c r="Y757" s="67"/>
      <c r="Z757" s="123" t="s">
        <v>3467</v>
      </c>
      <c r="AA757" s="339" t="s">
        <v>1170</v>
      </c>
      <c r="AB757" s="123" t="s">
        <v>1174</v>
      </c>
      <c r="AC757" s="363"/>
    </row>
    <row r="758" spans="1:29" ht="39.950000000000003" customHeight="1" x14ac:dyDescent="0.2">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3523</v>
      </c>
      <c r="Y758" s="67"/>
      <c r="Z758" s="123" t="s">
        <v>2864</v>
      </c>
      <c r="AA758" s="339" t="s">
        <v>1168</v>
      </c>
      <c r="AB758" s="123" t="s">
        <v>1173</v>
      </c>
      <c r="AC758" s="363"/>
    </row>
    <row r="759" spans="1:29" ht="39.950000000000003" customHeight="1" x14ac:dyDescent="0.2">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t="shared" ca="1" si="45"/>
        <v>SI</v>
      </c>
      <c r="P759" s="83" t="str">
        <f t="shared" si="44"/>
        <v>DIANOSOL</v>
      </c>
      <c r="Q759" s="67" t="s">
        <v>911</v>
      </c>
      <c r="R759" s="67" t="str">
        <f>VLOOKUP($Q759,Resultados!$A$1:$B$49,2,FALSE)</f>
        <v>Suspendida</v>
      </c>
      <c r="S759" s="67" t="s">
        <v>1008</v>
      </c>
      <c r="T759" s="86" t="str">
        <f t="shared" si="46"/>
        <v>NO</v>
      </c>
      <c r="U759" s="86"/>
      <c r="V759" s="83"/>
      <c r="W759" s="67" t="s">
        <v>2074</v>
      </c>
      <c r="X759" s="67"/>
      <c r="Y759" s="67"/>
      <c r="Z759" s="123" t="s">
        <v>748</v>
      </c>
      <c r="AA759" s="339" t="s">
        <v>1170</v>
      </c>
      <c r="AB759" s="123" t="s">
        <v>1172</v>
      </c>
      <c r="AC759" s="363"/>
    </row>
    <row r="760" spans="1:29" ht="39.950000000000003" customHeight="1" x14ac:dyDescent="0.2">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39" t="s">
        <v>2849</v>
      </c>
      <c r="AB760" s="123" t="s">
        <v>3296</v>
      </c>
      <c r="AC760" s="363"/>
    </row>
    <row r="761" spans="1:29" ht="39.950000000000003" customHeight="1" x14ac:dyDescent="0.2">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3528</v>
      </c>
      <c r="Y761" s="67"/>
      <c r="Z761" s="123" t="s">
        <v>3407</v>
      </c>
      <c r="AA761" s="123" t="s">
        <v>3343</v>
      </c>
      <c r="AB761" s="123" t="s">
        <v>1174</v>
      </c>
      <c r="AC761" s="363" t="s">
        <v>1799</v>
      </c>
    </row>
    <row r="762" spans="1:29" ht="39.950000000000003" customHeight="1" x14ac:dyDescent="0.2">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t="shared" ca="1" si="45"/>
        <v>SI</v>
      </c>
      <c r="P762" s="83" t="str">
        <f t="shared" si="44"/>
        <v>DIANOSOL</v>
      </c>
      <c r="Q762" s="67" t="s">
        <v>905</v>
      </c>
      <c r="R762" s="67" t="str">
        <f>VLOOKUP($Q762,Resultados!$A$1:$B$49,2,FALSE)</f>
        <v>Juicio Abreviado</v>
      </c>
      <c r="S762" s="67" t="s">
        <v>3402</v>
      </c>
      <c r="T762" s="86" t="str">
        <f t="shared" si="46"/>
        <v>NO</v>
      </c>
      <c r="U762" s="86"/>
      <c r="V762" s="83"/>
      <c r="W762" s="67" t="s">
        <v>3277</v>
      </c>
      <c r="X762" s="67" t="s">
        <v>3078</v>
      </c>
      <c r="Y762" s="67"/>
      <c r="Z762" s="123" t="s">
        <v>748</v>
      </c>
      <c r="AA762" s="67"/>
      <c r="AB762" s="123" t="s">
        <v>3360</v>
      </c>
      <c r="AC762" s="363"/>
    </row>
    <row r="763" spans="1:29" ht="39.950000000000003" customHeight="1" x14ac:dyDescent="0.2">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3550</v>
      </c>
      <c r="Y763" s="67"/>
      <c r="Z763" s="123" t="s">
        <v>748</v>
      </c>
      <c r="AA763" s="339" t="s">
        <v>1170</v>
      </c>
      <c r="AB763" s="123" t="s">
        <v>1176</v>
      </c>
      <c r="AC763" s="363"/>
    </row>
    <row r="764" spans="1:29" ht="39.950000000000003" customHeight="1" x14ac:dyDescent="0.2">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3558</v>
      </c>
      <c r="Y764" s="67"/>
      <c r="Z764" s="123" t="s">
        <v>3467</v>
      </c>
      <c r="AA764" s="123"/>
      <c r="AB764" s="123" t="s">
        <v>1173</v>
      </c>
      <c r="AC764" s="363" t="s">
        <v>1799</v>
      </c>
    </row>
    <row r="765" spans="1:29" ht="39.950000000000003" customHeight="1" x14ac:dyDescent="0.2">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3556</v>
      </c>
      <c r="Y765" s="67"/>
      <c r="Z765" s="123" t="s">
        <v>2864</v>
      </c>
      <c r="AA765" s="339" t="s">
        <v>2849</v>
      </c>
      <c r="AB765" s="123" t="s">
        <v>1172</v>
      </c>
      <c r="AC765" s="363"/>
    </row>
    <row r="766" spans="1:29" ht="39.950000000000003" customHeight="1" x14ac:dyDescent="0.2">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t="shared" ca="1" si="45"/>
        <v>SI</v>
      </c>
      <c r="P766" s="67" t="str">
        <f t="shared" si="44"/>
        <v>DIANOSOL</v>
      </c>
      <c r="Q766" s="67" t="s">
        <v>904</v>
      </c>
      <c r="R766" s="67" t="str">
        <f>VLOOKUP($Q766,Resultados!$A$1:$B$49,2,FALSE)</f>
        <v>Juicio Abreviado</v>
      </c>
      <c r="S766" s="67" t="s">
        <v>3552</v>
      </c>
      <c r="T766" s="77" t="str">
        <f t="shared" si="46"/>
        <v>NO</v>
      </c>
      <c r="U766" s="77"/>
      <c r="V766" s="67"/>
      <c r="W766" s="67" t="s">
        <v>3553</v>
      </c>
      <c r="X766" s="67" t="s">
        <v>3554</v>
      </c>
      <c r="Y766" s="67"/>
      <c r="Z766" s="123" t="s">
        <v>3407</v>
      </c>
      <c r="AA766" s="123" t="s">
        <v>3417</v>
      </c>
      <c r="AB766" s="123" t="s">
        <v>3296</v>
      </c>
      <c r="AC766" s="363"/>
    </row>
    <row r="767" spans="1:29" ht="39.950000000000003" customHeight="1" x14ac:dyDescent="0.2">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3566</v>
      </c>
      <c r="X767" s="229" t="s">
        <v>3568</v>
      </c>
      <c r="Y767" s="67"/>
      <c r="Z767" s="123" t="s">
        <v>748</v>
      </c>
      <c r="AA767" s="123" t="s">
        <v>1170</v>
      </c>
      <c r="AB767" s="123" t="s">
        <v>3360</v>
      </c>
      <c r="AC767" s="363"/>
    </row>
    <row r="768" spans="1:29" ht="39.950000000000003" customHeight="1" x14ac:dyDescent="0.2">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t="shared" ca="1" si="45"/>
        <v>SI</v>
      </c>
      <c r="P768" s="67" t="str">
        <f t="shared" si="44"/>
        <v>DIANOSOL</v>
      </c>
      <c r="Q768" s="67" t="s">
        <v>904</v>
      </c>
      <c r="R768" s="67" t="str">
        <f>VLOOKUP($Q768,Resultados!$A$1:$B$49,2,FALSE)</f>
        <v>Juicio Abreviado</v>
      </c>
      <c r="S768" s="67" t="s">
        <v>3560</v>
      </c>
      <c r="T768" s="77" t="str">
        <f t="shared" si="46"/>
        <v>NO</v>
      </c>
      <c r="U768" s="77"/>
      <c r="V768" s="67"/>
      <c r="W768" s="67" t="s">
        <v>77</v>
      </c>
      <c r="X768" s="67" t="s">
        <v>3561</v>
      </c>
      <c r="Y768" s="67"/>
      <c r="Z768" s="123" t="s">
        <v>3467</v>
      </c>
      <c r="AA768" s="339" t="s">
        <v>1168</v>
      </c>
      <c r="AB768" s="123" t="s">
        <v>1176</v>
      </c>
      <c r="AC768" s="363"/>
    </row>
    <row r="769" spans="1:29" ht="39.950000000000003" customHeight="1" x14ac:dyDescent="0.2">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t="shared" ca="1" si="45"/>
        <v>SI</v>
      </c>
      <c r="P769" s="67" t="str">
        <f t="shared" si="44"/>
        <v>DIANOSOL</v>
      </c>
      <c r="Q769" s="67" t="s">
        <v>151</v>
      </c>
      <c r="R769" s="67" t="str">
        <f>VLOOKUP($Q769,Resultados!$A$1:$B$49,2,FALSE)</f>
        <v>Prisión Preventiva</v>
      </c>
      <c r="S769" s="67" t="s">
        <v>3131</v>
      </c>
      <c r="T769" s="77" t="str">
        <f t="shared" si="46"/>
        <v>NO</v>
      </c>
      <c r="U769" s="77"/>
      <c r="V769" s="67"/>
      <c r="W769" s="67" t="s">
        <v>1134</v>
      </c>
      <c r="X769" s="67" t="s">
        <v>3584</v>
      </c>
      <c r="Y769" s="67"/>
      <c r="Z769" s="123" t="s">
        <v>3467</v>
      </c>
      <c r="AA769" s="339" t="s">
        <v>1168</v>
      </c>
      <c r="AB769" s="123" t="s">
        <v>1173</v>
      </c>
      <c r="AC769" s="363"/>
    </row>
    <row r="770" spans="1:29" ht="39.950000000000003" customHeight="1" x14ac:dyDescent="0.2">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39" t="s">
        <v>2849</v>
      </c>
      <c r="AB770" s="123" t="s">
        <v>1172</v>
      </c>
      <c r="AC770" s="363"/>
    </row>
    <row r="771" spans="1:29" ht="39.950000000000003" customHeight="1" x14ac:dyDescent="0.2">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NO</v>
      </c>
      <c r="U771" s="86"/>
      <c r="V771" s="83"/>
      <c r="W771" s="67" t="s">
        <v>1230</v>
      </c>
      <c r="X771" s="67" t="s">
        <v>2568</v>
      </c>
      <c r="Y771" s="67"/>
      <c r="Z771" s="123" t="s">
        <v>2864</v>
      </c>
      <c r="AA771" s="123" t="s">
        <v>3417</v>
      </c>
      <c r="AB771" s="123" t="s">
        <v>3296</v>
      </c>
      <c r="AC771" s="363"/>
    </row>
    <row r="772" spans="1:29" ht="39.950000000000003" customHeight="1" x14ac:dyDescent="0.2">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3578</v>
      </c>
      <c r="X772" s="67" t="s">
        <v>3579</v>
      </c>
      <c r="Y772" s="67"/>
      <c r="Z772" s="123" t="s">
        <v>3407</v>
      </c>
      <c r="AA772" s="339" t="s">
        <v>2849</v>
      </c>
      <c r="AB772" s="123" t="s">
        <v>2888</v>
      </c>
      <c r="AC772" s="363"/>
    </row>
    <row r="773" spans="1:29" ht="39.950000000000003" customHeight="1" x14ac:dyDescent="0.2">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3360</v>
      </c>
      <c r="AC773" s="363"/>
    </row>
    <row r="774" spans="1:29" ht="39.950000000000003" customHeight="1" x14ac:dyDescent="0.2">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3407</v>
      </c>
      <c r="AA774" s="339" t="s">
        <v>1168</v>
      </c>
      <c r="AB774" s="123" t="s">
        <v>1176</v>
      </c>
      <c r="AC774" s="363"/>
    </row>
    <row r="775" spans="1:29" ht="39.950000000000003" customHeight="1" x14ac:dyDescent="0.2">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3467</v>
      </c>
      <c r="AA775" s="123" t="s">
        <v>3417</v>
      </c>
      <c r="AB775" s="123" t="s">
        <v>1173</v>
      </c>
      <c r="AC775" s="363"/>
    </row>
    <row r="776" spans="1:29" ht="39.950000000000003" customHeight="1" x14ac:dyDescent="0.2">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t="shared" ca="1" si="45"/>
        <v>SI</v>
      </c>
      <c r="P776" s="83" t="str">
        <f t="shared" si="47"/>
        <v>DIANOSOL</v>
      </c>
      <c r="Q776" s="67" t="s">
        <v>905</v>
      </c>
      <c r="R776" s="67" t="str">
        <f>VLOOKUP($Q776,Resultados!$A$1:$B$49,2,FALSE)</f>
        <v>Juicio Abreviado</v>
      </c>
      <c r="S776" s="67" t="s">
        <v>3274</v>
      </c>
      <c r="T776" s="86" t="str">
        <f t="shared" si="46"/>
        <v>NO</v>
      </c>
      <c r="U776" s="86"/>
      <c r="V776" s="83"/>
      <c r="W776" s="67" t="s">
        <v>3581</v>
      </c>
      <c r="X776" s="67" t="s">
        <v>2568</v>
      </c>
      <c r="Y776" s="67"/>
      <c r="Z776" s="123" t="s">
        <v>2864</v>
      </c>
      <c r="AA776" s="123" t="s">
        <v>1170</v>
      </c>
      <c r="AB776" s="123" t="s">
        <v>1172</v>
      </c>
      <c r="AC776" s="363"/>
    </row>
    <row r="777" spans="1:29" ht="39.950000000000003" customHeight="1" x14ac:dyDescent="0.2">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t="shared" ca="1" si="45"/>
        <v>SI</v>
      </c>
      <c r="P777" s="83" t="str">
        <f t="shared" si="47"/>
        <v>DIANOSOL</v>
      </c>
      <c r="Q777" s="67" t="s">
        <v>905</v>
      </c>
      <c r="R777" s="67" t="str">
        <f>VLOOKUP($Q777,Resultados!$A$1:$B$49,2,FALSE)</f>
        <v>Juicio Abreviado</v>
      </c>
      <c r="S777" s="67" t="s">
        <v>1008</v>
      </c>
      <c r="T777" s="86" t="str">
        <f t="shared" si="46"/>
        <v>NO</v>
      </c>
      <c r="U777" s="86"/>
      <c r="V777" s="83"/>
      <c r="W777" s="67" t="s">
        <v>1395</v>
      </c>
      <c r="X777" s="67" t="s">
        <v>2568</v>
      </c>
      <c r="Y777" s="67"/>
      <c r="Z777" s="123" t="s">
        <v>3407</v>
      </c>
      <c r="AA777" s="123" t="s">
        <v>1168</v>
      </c>
      <c r="AB777" s="123" t="s">
        <v>3296</v>
      </c>
      <c r="AC777" s="363"/>
    </row>
    <row r="778" spans="1:29" ht="39.950000000000003" customHeight="1" x14ac:dyDescent="0.2">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3599</v>
      </c>
      <c r="Y778" s="67"/>
      <c r="Z778" s="123" t="s">
        <v>3467</v>
      </c>
      <c r="AA778" s="123" t="s">
        <v>2849</v>
      </c>
      <c r="AB778" s="123" t="s">
        <v>1174</v>
      </c>
      <c r="AC778" s="363"/>
    </row>
    <row r="779" spans="1:29" ht="39.950000000000003" customHeight="1" x14ac:dyDescent="0.2">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t="shared" ca="1" si="45"/>
        <v>SI</v>
      </c>
      <c r="P779" s="83" t="str">
        <f t="shared" si="47"/>
        <v>DIANOSOL</v>
      </c>
      <c r="Q779" s="67" t="s">
        <v>911</v>
      </c>
      <c r="R779" s="67" t="str">
        <f>VLOOKUP($Q779,Resultados!$A$1:$B$49,2,FALSE)</f>
        <v>Suspendida</v>
      </c>
      <c r="S779" s="67" t="s">
        <v>3604</v>
      </c>
      <c r="T779" s="86" t="str">
        <f t="shared" si="46"/>
        <v>NO</v>
      </c>
      <c r="U779" s="86"/>
      <c r="V779" s="83"/>
      <c r="W779" s="67" t="s">
        <v>989</v>
      </c>
      <c r="X779" s="67" t="s">
        <v>2153</v>
      </c>
      <c r="Y779" s="67"/>
      <c r="Z779" s="123" t="s">
        <v>748</v>
      </c>
      <c r="AA779" s="123" t="s">
        <v>3417</v>
      </c>
      <c r="AB779" s="123" t="s">
        <v>3360</v>
      </c>
      <c r="AC779" s="363"/>
    </row>
    <row r="780" spans="1:29" ht="39.950000000000003" customHeight="1" x14ac:dyDescent="0.2">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3591</v>
      </c>
      <c r="Y780" s="67"/>
      <c r="Z780" s="123" t="s">
        <v>2864</v>
      </c>
      <c r="AA780" s="123" t="s">
        <v>3576</v>
      </c>
      <c r="AB780" s="123" t="s">
        <v>1173</v>
      </c>
      <c r="AC780" s="363"/>
    </row>
    <row r="781" spans="1:29" ht="39.950000000000003" customHeight="1" x14ac:dyDescent="0.2">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3602</v>
      </c>
      <c r="X781" s="67"/>
      <c r="Y781" s="67"/>
      <c r="Z781" s="123" t="s">
        <v>3585</v>
      </c>
      <c r="AA781" s="123" t="s">
        <v>1170</v>
      </c>
      <c r="AB781" s="123" t="s">
        <v>1172</v>
      </c>
      <c r="AC781" s="363"/>
    </row>
    <row r="782" spans="1:29" ht="39.950000000000003" customHeight="1" x14ac:dyDescent="0.2">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3418</v>
      </c>
      <c r="AB782" s="123" t="s">
        <v>3296</v>
      </c>
      <c r="AC782" s="363"/>
    </row>
    <row r="783" spans="1:29" ht="39.950000000000003" customHeight="1" x14ac:dyDescent="0.2">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3"/>
    </row>
    <row r="784" spans="1:29" ht="39.950000000000003" customHeight="1" x14ac:dyDescent="0.2">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t="shared" ca="1" si="48"/>
        <v>SI</v>
      </c>
      <c r="P784" s="83" t="str">
        <f t="shared" si="47"/>
        <v>DIANOSOL</v>
      </c>
      <c r="Q784" s="67" t="s">
        <v>899</v>
      </c>
      <c r="R784" s="67" t="str">
        <f>VLOOKUP($Q784,Resultados!$A$1:$B$49,2,FALSE)</f>
        <v>Libertad</v>
      </c>
      <c r="S784" s="67" t="s">
        <v>2809</v>
      </c>
      <c r="T784" s="86" t="str">
        <f t="shared" si="46"/>
        <v>NO</v>
      </c>
      <c r="U784" s="86"/>
      <c r="V784" s="83"/>
      <c r="W784" s="67" t="s">
        <v>1122</v>
      </c>
      <c r="X784" s="67"/>
      <c r="Y784" s="67"/>
      <c r="Z784" s="123" t="s">
        <v>770</v>
      </c>
      <c r="AA784" s="123"/>
      <c r="AB784" s="123" t="s">
        <v>3360</v>
      </c>
      <c r="AC784" s="363" t="s">
        <v>1799</v>
      </c>
    </row>
    <row r="785" spans="1:29" ht="39.950000000000003" customHeight="1" x14ac:dyDescent="0.2">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3192</v>
      </c>
      <c r="Y785" s="67"/>
      <c r="Z785" s="123" t="s">
        <v>3407</v>
      </c>
      <c r="AA785" s="123" t="s">
        <v>2892</v>
      </c>
      <c r="AB785" s="123" t="s">
        <v>1173</v>
      </c>
      <c r="AC785" s="363"/>
    </row>
    <row r="786" spans="1:29" ht="39.950000000000003" customHeight="1" x14ac:dyDescent="0.2">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3192</v>
      </c>
      <c r="Y786" s="67"/>
      <c r="Z786" s="123" t="s">
        <v>748</v>
      </c>
      <c r="AA786" s="123"/>
      <c r="AB786" s="123" t="s">
        <v>1172</v>
      </c>
      <c r="AC786" s="363" t="s">
        <v>1799</v>
      </c>
    </row>
    <row r="787" spans="1:29" ht="39.950000000000003" customHeight="1" x14ac:dyDescent="0.2">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3644</v>
      </c>
      <c r="X787" s="67" t="s">
        <v>3253</v>
      </c>
      <c r="Y787" s="67"/>
      <c r="Z787" s="123" t="s">
        <v>2864</v>
      </c>
      <c r="AA787" s="123"/>
      <c r="AB787" s="123" t="s">
        <v>3296</v>
      </c>
      <c r="AC787" s="363" t="s">
        <v>1799</v>
      </c>
    </row>
    <row r="788" spans="1:29" ht="39.950000000000003" customHeight="1" x14ac:dyDescent="0.2">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3"/>
    </row>
    <row r="789" spans="1:29" ht="39.950000000000003" customHeight="1" x14ac:dyDescent="0.2">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t="shared" ca="1" si="48"/>
        <v>SI</v>
      </c>
      <c r="P789" s="67" t="str">
        <f t="shared" si="47"/>
        <v>DIANOSOL</v>
      </c>
      <c r="Q789" s="67" t="s">
        <v>904</v>
      </c>
      <c r="R789" s="67" t="str">
        <f>VLOOKUP($Q789,Resultados!$A$1:$B$49,2,FALSE)</f>
        <v>Juicio Abreviado</v>
      </c>
      <c r="S789" s="67" t="s">
        <v>1583</v>
      </c>
      <c r="T789" s="77" t="str">
        <f t="shared" ref="T789:T852" si="49">IF(G789=$J$1,"SI","NO")</f>
        <v>NO</v>
      </c>
      <c r="U789" s="77"/>
      <c r="V789" s="67"/>
      <c r="W789" s="67" t="s">
        <v>3131</v>
      </c>
      <c r="X789" s="67"/>
      <c r="Y789" s="67"/>
      <c r="Z789" s="123" t="s">
        <v>748</v>
      </c>
      <c r="AA789" s="123"/>
      <c r="AB789" s="123" t="s">
        <v>3360</v>
      </c>
      <c r="AC789" s="363"/>
    </row>
    <row r="790" spans="1:29" ht="39.950000000000003" customHeight="1" x14ac:dyDescent="0.2">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3"/>
    </row>
    <row r="791" spans="1:29" ht="39.950000000000003" customHeight="1" x14ac:dyDescent="0.2">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3668</v>
      </c>
      <c r="X791" s="67" t="s">
        <v>3192</v>
      </c>
      <c r="Y791" s="67"/>
      <c r="Z791" s="123" t="s">
        <v>2864</v>
      </c>
      <c r="AA791" s="123" t="s">
        <v>2849</v>
      </c>
      <c r="AB791" s="123" t="s">
        <v>1173</v>
      </c>
      <c r="AC791" s="363"/>
    </row>
    <row r="792" spans="1:29" ht="39.950000000000003" customHeight="1" x14ac:dyDescent="0.2">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3664</v>
      </c>
      <c r="Y792" s="67"/>
      <c r="Z792" s="123" t="s">
        <v>748</v>
      </c>
      <c r="AA792" s="123"/>
      <c r="AB792" s="123" t="s">
        <v>1172</v>
      </c>
      <c r="AC792" s="363"/>
    </row>
    <row r="793" spans="1:29" ht="39.950000000000003" customHeight="1" x14ac:dyDescent="0.2">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3407</v>
      </c>
      <c r="AA793" s="123" t="s">
        <v>3417</v>
      </c>
      <c r="AB793" s="123" t="s">
        <v>3296</v>
      </c>
      <c r="AC793" s="363"/>
    </row>
    <row r="794" spans="1:29" ht="39.950000000000003" customHeight="1" x14ac:dyDescent="0.2">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t="shared" ca="1" si="48"/>
        <v>SI</v>
      </c>
      <c r="P794" s="67" t="str">
        <f t="shared" si="47"/>
        <v>DIANOSOL</v>
      </c>
      <c r="Q794" s="67" t="s">
        <v>909</v>
      </c>
      <c r="R794" s="67" t="s">
        <v>909</v>
      </c>
      <c r="S794" s="67" t="s">
        <v>3669</v>
      </c>
      <c r="T794" s="77" t="str">
        <f t="shared" si="49"/>
        <v>NO</v>
      </c>
      <c r="U794" s="77"/>
      <c r="V794" s="67"/>
      <c r="W794" s="67" t="s">
        <v>2343</v>
      </c>
      <c r="X794" s="67" t="s">
        <v>2568</v>
      </c>
      <c r="Y794" s="67"/>
      <c r="Z794" s="123" t="s">
        <v>770</v>
      </c>
      <c r="AA794" s="123" t="s">
        <v>1170</v>
      </c>
      <c r="AB794" s="123" t="s">
        <v>1174</v>
      </c>
      <c r="AC794" s="363"/>
    </row>
    <row r="795" spans="1:29" ht="39.950000000000003" customHeight="1" x14ac:dyDescent="0.2">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3666</v>
      </c>
      <c r="X795" s="67" t="s">
        <v>2568</v>
      </c>
      <c r="Y795" s="67"/>
      <c r="Z795" s="123" t="s">
        <v>2864</v>
      </c>
      <c r="AA795" s="123" t="s">
        <v>3418</v>
      </c>
      <c r="AB795" s="123" t="s">
        <v>3360</v>
      </c>
      <c r="AC795" s="363"/>
    </row>
    <row r="796" spans="1:29" ht="39.950000000000003" customHeight="1" x14ac:dyDescent="0.2">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3418</v>
      </c>
      <c r="AB796" s="123" t="s">
        <v>1173</v>
      </c>
      <c r="AC796" s="363"/>
    </row>
    <row r="797" spans="1:29" ht="39.950000000000003" customHeight="1" x14ac:dyDescent="0.2">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3674</v>
      </c>
      <c r="Y797" s="67"/>
      <c r="Z797" s="123" t="s">
        <v>2864</v>
      </c>
      <c r="AA797" s="123" t="s">
        <v>1170</v>
      </c>
      <c r="AB797" s="123" t="s">
        <v>1172</v>
      </c>
      <c r="AC797" s="363" t="s">
        <v>1799</v>
      </c>
    </row>
    <row r="798" spans="1:29" ht="39.950000000000003" customHeight="1" x14ac:dyDescent="0.2">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3134</v>
      </c>
      <c r="T798" s="86" t="str">
        <f t="shared" si="49"/>
        <v>NO</v>
      </c>
      <c r="U798" s="86"/>
      <c r="V798" s="83"/>
      <c r="W798" s="67" t="s">
        <v>1015</v>
      </c>
      <c r="X798" s="67"/>
      <c r="Y798" s="67"/>
      <c r="Z798" s="123" t="s">
        <v>770</v>
      </c>
      <c r="AA798" s="123" t="s">
        <v>2892</v>
      </c>
      <c r="AB798" s="123" t="s">
        <v>3296</v>
      </c>
      <c r="AC798" s="363"/>
    </row>
    <row r="799" spans="1:29" ht="39.950000000000003" customHeight="1" x14ac:dyDescent="0.2">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3680</v>
      </c>
      <c r="Y799" s="67"/>
      <c r="Z799" s="123" t="s">
        <v>3407</v>
      </c>
      <c r="AA799" s="123" t="s">
        <v>3417</v>
      </c>
      <c r="AB799" s="123" t="s">
        <v>1174</v>
      </c>
      <c r="AC799" s="363"/>
    </row>
    <row r="800" spans="1:29" ht="39.950000000000003" customHeight="1" x14ac:dyDescent="0.2">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3677</v>
      </c>
      <c r="T800" s="86" t="str">
        <f t="shared" si="49"/>
        <v>NO</v>
      </c>
      <c r="U800" s="86"/>
      <c r="V800" s="83"/>
      <c r="W800" s="67" t="s">
        <v>1233</v>
      </c>
      <c r="X800" s="67"/>
      <c r="Y800" s="67"/>
      <c r="Z800" s="123" t="s">
        <v>743</v>
      </c>
      <c r="AA800" s="339" t="s">
        <v>1168</v>
      </c>
      <c r="AB800" s="123" t="s">
        <v>3360</v>
      </c>
      <c r="AC800" s="363"/>
    </row>
    <row r="801" spans="1:29" ht="39.950000000000003" customHeight="1" x14ac:dyDescent="0.2">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3706</v>
      </c>
      <c r="Y801" s="67"/>
      <c r="Z801" s="123" t="s">
        <v>3407</v>
      </c>
      <c r="AA801" s="123" t="s">
        <v>3343</v>
      </c>
      <c r="AB801" s="123" t="s">
        <v>1176</v>
      </c>
      <c r="AC801" s="363"/>
    </row>
    <row r="802" spans="1:29" ht="39.950000000000003" customHeight="1" x14ac:dyDescent="0.2">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3347</v>
      </c>
      <c r="X802" s="67" t="s">
        <v>3704</v>
      </c>
      <c r="Y802" s="67"/>
      <c r="Z802" s="123" t="s">
        <v>2864</v>
      </c>
      <c r="AA802" s="123" t="s">
        <v>2892</v>
      </c>
      <c r="AB802" s="123" t="s">
        <v>1173</v>
      </c>
      <c r="AC802" s="363" t="s">
        <v>1799</v>
      </c>
    </row>
    <row r="803" spans="1:29" ht="39.950000000000003" customHeight="1" x14ac:dyDescent="0.2">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3676</v>
      </c>
      <c r="Y803" s="67"/>
      <c r="Z803" s="123" t="s">
        <v>770</v>
      </c>
      <c r="AA803" s="123" t="s">
        <v>2849</v>
      </c>
      <c r="AB803" s="123" t="s">
        <v>1172</v>
      </c>
      <c r="AC803" s="363"/>
    </row>
    <row r="804" spans="1:29" ht="39.950000000000003" customHeight="1" x14ac:dyDescent="0.2">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t="shared" ca="1" si="48"/>
        <v>SI</v>
      </c>
      <c r="P804" s="83" t="str">
        <f t="shared" si="47"/>
        <v>DIANOSOL</v>
      </c>
      <c r="Q804" s="67" t="s">
        <v>913</v>
      </c>
      <c r="R804" s="67" t="str">
        <f>VLOOKUP($Q804,Resultados!$A$1:$B$49,2,FALSE)</f>
        <v>Prision domiciliaria</v>
      </c>
      <c r="S804" s="67" t="s">
        <v>3148</v>
      </c>
      <c r="T804" s="86" t="str">
        <f t="shared" si="49"/>
        <v>NO</v>
      </c>
      <c r="U804" s="86"/>
      <c r="V804" s="83"/>
      <c r="W804" s="67" t="s">
        <v>1803</v>
      </c>
      <c r="X804" s="229" t="s">
        <v>3702</v>
      </c>
      <c r="Y804" s="67"/>
      <c r="Z804" s="123" t="s">
        <v>748</v>
      </c>
      <c r="AA804" s="123" t="s">
        <v>3417</v>
      </c>
      <c r="AB804" s="123" t="s">
        <v>3296</v>
      </c>
      <c r="AC804" s="363"/>
    </row>
    <row r="805" spans="1:29" ht="39.950000000000003" customHeight="1" x14ac:dyDescent="0.2">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3699</v>
      </c>
      <c r="X805" s="273" t="s">
        <v>3701</v>
      </c>
      <c r="Y805" s="67"/>
      <c r="Z805" s="339" t="s">
        <v>2864</v>
      </c>
      <c r="AA805" s="123" t="s">
        <v>1168</v>
      </c>
      <c r="AB805" s="123" t="s">
        <v>1174</v>
      </c>
      <c r="AC805" s="363"/>
    </row>
    <row r="806" spans="1:29" ht="39.950000000000003" customHeight="1" x14ac:dyDescent="0.2">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3134</v>
      </c>
      <c r="T806" s="86" t="str">
        <f t="shared" si="49"/>
        <v>NO</v>
      </c>
      <c r="U806" s="86"/>
      <c r="V806" s="83"/>
      <c r="W806" s="67" t="s">
        <v>1586</v>
      </c>
      <c r="X806" s="67" t="s">
        <v>1764</v>
      </c>
      <c r="Y806" s="67"/>
      <c r="Z806" s="123" t="s">
        <v>3407</v>
      </c>
      <c r="AA806" s="123" t="s">
        <v>1170</v>
      </c>
      <c r="AB806" s="123" t="s">
        <v>3360</v>
      </c>
      <c r="AC806" s="363" t="s">
        <v>1799</v>
      </c>
    </row>
    <row r="807" spans="1:29" ht="39.950000000000003" customHeight="1" x14ac:dyDescent="0.2">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3714</v>
      </c>
      <c r="Y807" s="67"/>
      <c r="Z807" s="123" t="s">
        <v>1042</v>
      </c>
      <c r="AA807" s="123" t="s">
        <v>2892</v>
      </c>
      <c r="AB807" s="123" t="s">
        <v>1176</v>
      </c>
      <c r="AC807" s="363"/>
    </row>
    <row r="808" spans="1:29" ht="39.950000000000003" customHeight="1" x14ac:dyDescent="0.2">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3418</v>
      </c>
      <c r="AB808" s="123" t="s">
        <v>1173</v>
      </c>
      <c r="AC808" s="363" t="s">
        <v>1799</v>
      </c>
    </row>
    <row r="809" spans="1:29" ht="39.950000000000003" customHeight="1" x14ac:dyDescent="0.2">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3"/>
    </row>
    <row r="810" spans="1:29" ht="39.950000000000003" customHeight="1" x14ac:dyDescent="0.2">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3296</v>
      </c>
      <c r="AC810" s="363"/>
    </row>
    <row r="811" spans="1:29" ht="39.950000000000003" customHeight="1" x14ac:dyDescent="0.2">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3407</v>
      </c>
      <c r="AA811" s="123" t="s">
        <v>2892</v>
      </c>
      <c r="AB811" s="123" t="s">
        <v>1174</v>
      </c>
      <c r="AC811" s="363"/>
    </row>
    <row r="812" spans="1:29" ht="39.950000000000003" customHeight="1" x14ac:dyDescent="0.2">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t="shared" ca="1" si="48"/>
        <v>SI</v>
      </c>
      <c r="P812" s="83" t="str">
        <f t="shared" si="47"/>
        <v>DIANOSOL</v>
      </c>
      <c r="Q812" s="67" t="s">
        <v>905</v>
      </c>
      <c r="R812" s="67" t="str">
        <f>VLOOKUP($Q812,Resultados!$A$1:$B$49,2,FALSE)</f>
        <v>Juicio Abreviado</v>
      </c>
      <c r="S812" s="67" t="s">
        <v>1034</v>
      </c>
      <c r="T812" s="86" t="str">
        <f t="shared" si="49"/>
        <v>NO</v>
      </c>
      <c r="U812" s="86"/>
      <c r="V812" s="83"/>
      <c r="W812" s="67" t="s">
        <v>2901</v>
      </c>
      <c r="X812" s="67" t="s">
        <v>3717</v>
      </c>
      <c r="Y812" s="67"/>
      <c r="Z812" s="123" t="s">
        <v>770</v>
      </c>
      <c r="AA812" s="123" t="s">
        <v>2849</v>
      </c>
      <c r="AB812" s="123" t="s">
        <v>3360</v>
      </c>
      <c r="AC812" s="363"/>
    </row>
    <row r="813" spans="1:29" ht="39.950000000000003" customHeight="1" x14ac:dyDescent="0.2">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t="shared" ca="1" si="48"/>
        <v>SI</v>
      </c>
      <c r="P813" s="67" t="str">
        <f t="shared" si="47"/>
        <v>DIANOSOL</v>
      </c>
      <c r="Q813" s="67" t="s">
        <v>905</v>
      </c>
      <c r="R813" s="67" t="str">
        <f>VLOOKUP($Q813,Resultados!$A$1:$B$49,2,FALSE)</f>
        <v>Juicio Abreviado</v>
      </c>
      <c r="S813" s="67" t="s">
        <v>3726</v>
      </c>
      <c r="T813" s="77" t="str">
        <f t="shared" si="49"/>
        <v>NO</v>
      </c>
      <c r="U813" s="77"/>
      <c r="V813" s="67"/>
      <c r="W813" s="67" t="s">
        <v>3727</v>
      </c>
      <c r="X813" s="67"/>
      <c r="Y813" s="67"/>
      <c r="Z813" s="123" t="s">
        <v>770</v>
      </c>
      <c r="AA813" s="123" t="s">
        <v>2849</v>
      </c>
      <c r="AB813" s="123" t="s">
        <v>1176</v>
      </c>
      <c r="AC813" s="363"/>
    </row>
    <row r="814" spans="1:29" ht="39.950000000000003" customHeight="1" x14ac:dyDescent="0.2">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t="shared" ca="1" si="48"/>
        <v>SI</v>
      </c>
      <c r="P814" s="67" t="str">
        <f t="shared" si="47"/>
        <v>DIANOSOL</v>
      </c>
      <c r="Q814" s="67" t="s">
        <v>905</v>
      </c>
      <c r="R814" s="67" t="str">
        <f>VLOOKUP($Q814,Resultados!$A$1:$B$49,2,FALSE)</f>
        <v>Juicio Abreviado</v>
      </c>
      <c r="S814" s="67" t="s">
        <v>3724</v>
      </c>
      <c r="T814" s="77" t="str">
        <f t="shared" si="49"/>
        <v>NO</v>
      </c>
      <c r="U814" s="77"/>
      <c r="V814" s="67"/>
      <c r="W814" s="67" t="s">
        <v>3347</v>
      </c>
      <c r="X814" s="67" t="s">
        <v>3717</v>
      </c>
      <c r="Y814" s="67"/>
      <c r="Z814" s="123" t="s">
        <v>1041</v>
      </c>
      <c r="AA814" s="123" t="s">
        <v>3418</v>
      </c>
      <c r="AB814" s="123" t="s">
        <v>1173</v>
      </c>
      <c r="AC814" s="363"/>
    </row>
    <row r="815" spans="1:29" ht="39.950000000000003" customHeight="1" x14ac:dyDescent="0.2">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3745</v>
      </c>
      <c r="Y815" s="67"/>
      <c r="Z815" s="339" t="s">
        <v>2864</v>
      </c>
      <c r="AA815" s="123" t="s">
        <v>3417</v>
      </c>
      <c r="AB815" s="339" t="s">
        <v>1172</v>
      </c>
      <c r="AC815" s="363"/>
    </row>
    <row r="816" spans="1:29" ht="39.950000000000003" customHeight="1" x14ac:dyDescent="0.2">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3742</v>
      </c>
      <c r="Y816" s="67"/>
      <c r="Z816" s="339" t="s">
        <v>3407</v>
      </c>
      <c r="AA816" s="123" t="s">
        <v>3417</v>
      </c>
      <c r="AB816" s="339" t="s">
        <v>3296</v>
      </c>
      <c r="AC816" s="363"/>
    </row>
    <row r="817" spans="1:29" ht="39.950000000000003" customHeight="1" x14ac:dyDescent="0.2">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3743</v>
      </c>
      <c r="Y817" s="67"/>
      <c r="Z817" s="339" t="s">
        <v>1041</v>
      </c>
      <c r="AA817" s="123" t="s">
        <v>3418</v>
      </c>
      <c r="AB817" s="339" t="s">
        <v>1174</v>
      </c>
      <c r="AC817" s="363"/>
    </row>
    <row r="818" spans="1:29" ht="39.950000000000003" customHeight="1" x14ac:dyDescent="0.2">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39" t="s">
        <v>1042</v>
      </c>
      <c r="AA818" s="123" t="s">
        <v>1170</v>
      </c>
      <c r="AB818" s="339" t="s">
        <v>3360</v>
      </c>
      <c r="AC818" s="363"/>
    </row>
    <row r="819" spans="1:29" ht="39.950000000000003" customHeight="1" x14ac:dyDescent="0.2">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39" t="s">
        <v>743</v>
      </c>
      <c r="AA819" s="123" t="s">
        <v>2892</v>
      </c>
      <c r="AB819" s="339" t="s">
        <v>1176</v>
      </c>
      <c r="AC819" s="363"/>
    </row>
    <row r="820" spans="1:29" ht="39.950000000000003" customHeight="1" x14ac:dyDescent="0.2">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3706</v>
      </c>
      <c r="Y820" s="67"/>
      <c r="Z820" s="339" t="s">
        <v>3407</v>
      </c>
      <c r="AA820" s="123" t="s">
        <v>3418</v>
      </c>
      <c r="AB820" s="339" t="s">
        <v>1173</v>
      </c>
      <c r="AC820" s="363"/>
    </row>
    <row r="821" spans="1:29" ht="39.950000000000003" customHeight="1" x14ac:dyDescent="0.2">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t="shared" ca="1" si="48"/>
        <v>SI</v>
      </c>
      <c r="P821" s="83" t="str">
        <f t="shared" si="47"/>
        <v>DIANOSOL</v>
      </c>
      <c r="Q821" s="67" t="s">
        <v>904</v>
      </c>
      <c r="R821" s="67" t="str">
        <f>VLOOKUP($Q821,Resultados!$A$1:$B$49,2,FALSE)</f>
        <v>Juicio Abreviado</v>
      </c>
      <c r="S821" s="67" t="s">
        <v>3775</v>
      </c>
      <c r="T821" s="86" t="str">
        <f t="shared" si="49"/>
        <v>NO</v>
      </c>
      <c r="U821" s="86"/>
      <c r="V821" s="83"/>
      <c r="W821" s="67" t="s">
        <v>3208</v>
      </c>
      <c r="X821" s="229" t="s">
        <v>3778</v>
      </c>
      <c r="Y821" s="67"/>
      <c r="Z821" s="339" t="s">
        <v>770</v>
      </c>
      <c r="AA821" s="123" t="s">
        <v>2849</v>
      </c>
      <c r="AB821" s="339" t="s">
        <v>1172</v>
      </c>
      <c r="AC821" s="363"/>
    </row>
    <row r="822" spans="1:29" ht="39.950000000000003" customHeight="1" x14ac:dyDescent="0.2">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t="shared" ca="1" si="48"/>
        <v>SI</v>
      </c>
      <c r="P822" s="83" t="str">
        <f t="shared" si="47"/>
        <v>DIANOSOL</v>
      </c>
      <c r="Q822" s="67" t="s">
        <v>905</v>
      </c>
      <c r="R822" s="67" t="str">
        <f>VLOOKUP($Q822,Resultados!$A$1:$B$49,2,FALSE)</f>
        <v>Juicio Abreviado</v>
      </c>
      <c r="S822" s="67" t="s">
        <v>3669</v>
      </c>
      <c r="T822" s="86" t="str">
        <f t="shared" si="49"/>
        <v>NO</v>
      </c>
      <c r="U822" s="86"/>
      <c r="V822" s="83"/>
      <c r="W822" s="67" t="s">
        <v>3274</v>
      </c>
      <c r="X822" s="67"/>
      <c r="Y822" s="67"/>
      <c r="Z822" s="339" t="s">
        <v>3407</v>
      </c>
      <c r="AA822" s="123" t="s">
        <v>2892</v>
      </c>
      <c r="AB822" s="339" t="s">
        <v>3296</v>
      </c>
      <c r="AC822" s="363"/>
    </row>
    <row r="823" spans="1:29" ht="39.950000000000003" customHeight="1" x14ac:dyDescent="0.2">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39" t="s">
        <v>770</v>
      </c>
      <c r="AA823" s="123" t="s">
        <v>2849</v>
      </c>
      <c r="AB823" s="339" t="s">
        <v>1174</v>
      </c>
      <c r="AC823" s="363"/>
    </row>
    <row r="824" spans="1:29" ht="39.950000000000003" customHeight="1" x14ac:dyDescent="0.2">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t="shared" ca="1" si="48"/>
        <v>SI</v>
      </c>
      <c r="P824" s="83" t="str">
        <f t="shared" si="47"/>
        <v>DIANOSOL</v>
      </c>
      <c r="Q824" s="67" t="s">
        <v>905</v>
      </c>
      <c r="R824" s="67" t="str">
        <f>VLOOKUP($Q824,Resultados!$A$1:$B$49,2,FALSE)</f>
        <v>Juicio Abreviado</v>
      </c>
      <c r="S824" s="67" t="s">
        <v>1127</v>
      </c>
      <c r="T824" s="86" t="str">
        <f t="shared" si="49"/>
        <v>SI</v>
      </c>
      <c r="U824" s="86"/>
      <c r="V824" s="83"/>
      <c r="W824" s="67" t="s">
        <v>1784</v>
      </c>
      <c r="X824" s="67"/>
      <c r="Y824" s="67"/>
      <c r="Z824" s="339" t="s">
        <v>2864</v>
      </c>
      <c r="AA824" s="123" t="s">
        <v>2892</v>
      </c>
      <c r="AB824" s="339" t="s">
        <v>3360</v>
      </c>
      <c r="AC824" s="363" t="s">
        <v>1799</v>
      </c>
    </row>
    <row r="825" spans="1:29" ht="39.950000000000003" customHeight="1" x14ac:dyDescent="0.2">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2" t="s">
        <v>3407</v>
      </c>
      <c r="AA825" s="362" t="s">
        <v>2849</v>
      </c>
      <c r="AB825" s="362" t="s">
        <v>1176</v>
      </c>
      <c r="AC825" s="363"/>
    </row>
    <row r="826" spans="1:29" ht="39.950000000000003" customHeight="1" x14ac:dyDescent="0.2">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3816</v>
      </c>
      <c r="Y826" s="67"/>
      <c r="Z826" s="362" t="s">
        <v>743</v>
      </c>
      <c r="AA826" s="362" t="s">
        <v>1170</v>
      </c>
      <c r="AB826" s="362" t="s">
        <v>1173</v>
      </c>
      <c r="AC826" s="363"/>
    </row>
    <row r="827" spans="1:29" ht="39.950000000000003" customHeight="1" x14ac:dyDescent="0.2">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t="shared" ca="1" si="48"/>
        <v>SI</v>
      </c>
      <c r="P827" s="83" t="str">
        <f t="shared" si="47"/>
        <v>DIANOSOL</v>
      </c>
      <c r="Q827" s="67" t="s">
        <v>151</v>
      </c>
      <c r="R827" s="67" t="str">
        <f>VLOOKUP($Q827,Resultados!$A$1:$B$49,2,FALSE)</f>
        <v>Prisión Preventiva</v>
      </c>
      <c r="S827" s="67" t="s">
        <v>1391</v>
      </c>
      <c r="T827" s="86" t="str">
        <f t="shared" si="49"/>
        <v>NO</v>
      </c>
      <c r="U827" s="86"/>
      <c r="V827" s="83"/>
      <c r="W827" s="67" t="s">
        <v>1298</v>
      </c>
      <c r="X827" s="67" t="s">
        <v>3706</v>
      </c>
      <c r="Y827" s="67"/>
      <c r="Z827" s="362" t="s">
        <v>3407</v>
      </c>
      <c r="AA827" s="362" t="s">
        <v>3418</v>
      </c>
      <c r="AB827" s="362" t="s">
        <v>1172</v>
      </c>
      <c r="AC827" s="363"/>
    </row>
    <row r="828" spans="1:29" ht="39.950000000000003" customHeight="1" x14ac:dyDescent="0.2">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2" t="s">
        <v>748</v>
      </c>
      <c r="AA828" s="362" t="s">
        <v>3417</v>
      </c>
      <c r="AB828" s="362" t="s">
        <v>3296</v>
      </c>
      <c r="AC828" s="363"/>
    </row>
    <row r="829" spans="1:29" ht="39.950000000000003" customHeight="1" x14ac:dyDescent="0.2">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2" t="s">
        <v>770</v>
      </c>
      <c r="AA829" s="362" t="s">
        <v>1170</v>
      </c>
      <c r="AB829" s="362" t="s">
        <v>1174</v>
      </c>
      <c r="AC829" s="375"/>
    </row>
    <row r="830" spans="1:29" ht="39.950000000000003" customHeight="1" x14ac:dyDescent="0.2">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t="shared" ca="1" si="48"/>
        <v>SI</v>
      </c>
      <c r="P830" s="83" t="str">
        <f t="shared" si="47"/>
        <v>DIANOSOL</v>
      </c>
      <c r="Q830" s="67" t="s">
        <v>902</v>
      </c>
      <c r="R830" s="67" t="str">
        <f>VLOOKUP($Q830,Resultados!$A$1:$B$49,2,FALSE)</f>
        <v>Libertad</v>
      </c>
      <c r="S830" s="67" t="s">
        <v>3808</v>
      </c>
      <c r="T830" s="86" t="str">
        <f t="shared" si="49"/>
        <v>NO</v>
      </c>
      <c r="U830" s="86"/>
      <c r="V830" s="83"/>
      <c r="W830" s="67" t="s">
        <v>3666</v>
      </c>
      <c r="X830" s="67" t="s">
        <v>3810</v>
      </c>
      <c r="Y830" s="67"/>
      <c r="Z830" s="362" t="s">
        <v>3359</v>
      </c>
      <c r="AA830" s="362" t="s">
        <v>2892</v>
      </c>
      <c r="AB830" s="362" t="s">
        <v>3360</v>
      </c>
      <c r="AC830" s="375"/>
    </row>
    <row r="831" spans="1:29" ht="39.950000000000003" customHeight="1" x14ac:dyDescent="0.2">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t="shared" ca="1" si="48"/>
        <v>SI</v>
      </c>
      <c r="P831" s="83" t="str">
        <f t="shared" si="47"/>
        <v>DIANOSOL</v>
      </c>
      <c r="Q831" s="67" t="s">
        <v>904</v>
      </c>
      <c r="R831" s="67" t="str">
        <f>VLOOKUP($Q831,Resultados!$A$1:$B$49,2,FALSE)</f>
        <v>Juicio Abreviado</v>
      </c>
      <c r="S831" s="67" t="s">
        <v>3806</v>
      </c>
      <c r="T831" s="86" t="str">
        <f t="shared" si="49"/>
        <v>NO</v>
      </c>
      <c r="U831" s="86"/>
      <c r="V831" s="83"/>
      <c r="W831" s="67" t="s">
        <v>3157</v>
      </c>
      <c r="X831" s="67"/>
      <c r="Y831" s="67"/>
      <c r="Z831" s="362" t="s">
        <v>770</v>
      </c>
      <c r="AA831" s="362" t="s">
        <v>3417</v>
      </c>
      <c r="AB831" s="362" t="s">
        <v>1176</v>
      </c>
      <c r="AC831" s="375"/>
    </row>
    <row r="832" spans="1:29" ht="39.950000000000003" customHeight="1" x14ac:dyDescent="0.2">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3837</v>
      </c>
      <c r="Y832" s="67"/>
      <c r="Z832" s="348" t="s">
        <v>3407</v>
      </c>
      <c r="AA832" s="348" t="s">
        <v>1168</v>
      </c>
      <c r="AB832" s="348" t="s">
        <v>1173</v>
      </c>
      <c r="AC832" s="375"/>
    </row>
    <row r="833" spans="1:29" ht="39.950000000000003" customHeight="1" x14ac:dyDescent="0.2">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8" t="s">
        <v>770</v>
      </c>
      <c r="AA833" s="348" t="s">
        <v>2892</v>
      </c>
      <c r="AB833" s="348" t="s">
        <v>1172</v>
      </c>
      <c r="AC833" s="375"/>
    </row>
    <row r="834" spans="1:29" ht="39.950000000000003" customHeight="1" x14ac:dyDescent="0.2">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3677</v>
      </c>
      <c r="T834" s="86" t="str">
        <f t="shared" si="49"/>
        <v>NO</v>
      </c>
      <c r="U834" s="86"/>
      <c r="V834" s="83"/>
      <c r="W834" s="67" t="s">
        <v>3131</v>
      </c>
      <c r="X834" s="67"/>
      <c r="Y834" s="67"/>
      <c r="Z834" s="348" t="s">
        <v>1042</v>
      </c>
      <c r="AA834" s="348" t="s">
        <v>2849</v>
      </c>
      <c r="AB834" s="348" t="s">
        <v>3296</v>
      </c>
      <c r="AC834" s="375"/>
    </row>
    <row r="835" spans="1:29" ht="39.950000000000003" customHeight="1" x14ac:dyDescent="0.2">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8" t="s">
        <v>743</v>
      </c>
      <c r="AA835" s="348" t="s">
        <v>2892</v>
      </c>
      <c r="AB835" s="348" t="s">
        <v>1174</v>
      </c>
      <c r="AC835" s="375"/>
    </row>
    <row r="836" spans="1:29" ht="39.950000000000003" customHeight="1" x14ac:dyDescent="0.2">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3835</v>
      </c>
      <c r="Y836" s="67"/>
      <c r="Z836" s="348" t="s">
        <v>1041</v>
      </c>
      <c r="AA836" s="348" t="s">
        <v>3417</v>
      </c>
      <c r="AB836" s="348" t="s">
        <v>1176</v>
      </c>
      <c r="AC836" s="375"/>
    </row>
    <row r="837" spans="1:29" ht="39.950000000000003" customHeight="1" x14ac:dyDescent="0.2">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3236</v>
      </c>
      <c r="Y837" s="67"/>
      <c r="Z837" s="348" t="s">
        <v>743</v>
      </c>
      <c r="AA837" s="348" t="s">
        <v>3417</v>
      </c>
      <c r="AB837" s="348" t="s">
        <v>3360</v>
      </c>
      <c r="AC837" s="375"/>
    </row>
    <row r="838" spans="1:29" ht="39.950000000000003" customHeight="1" x14ac:dyDescent="0.2">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3838</v>
      </c>
      <c r="Y838" s="67"/>
      <c r="Z838" s="348" t="s">
        <v>3407</v>
      </c>
      <c r="AA838" s="348" t="s">
        <v>1170</v>
      </c>
      <c r="AB838" s="348" t="s">
        <v>1173</v>
      </c>
      <c r="AC838" s="375" t="s">
        <v>1799</v>
      </c>
    </row>
    <row r="839" spans="1:29" ht="39.950000000000003" customHeight="1" x14ac:dyDescent="0.2">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3208</v>
      </c>
      <c r="X839" s="67" t="s">
        <v>2568</v>
      </c>
      <c r="Y839" s="67"/>
      <c r="Z839" s="348" t="s">
        <v>770</v>
      </c>
      <c r="AA839" s="348" t="s">
        <v>2849</v>
      </c>
      <c r="AB839" s="348" t="s">
        <v>1172</v>
      </c>
      <c r="AC839" s="375"/>
    </row>
    <row r="840" spans="1:29" ht="39.950000000000003" customHeight="1" x14ac:dyDescent="0.2">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3152</v>
      </c>
      <c r="X840" s="67" t="s">
        <v>3840</v>
      </c>
      <c r="Y840" s="67"/>
      <c r="Z840" s="348" t="s">
        <v>3407</v>
      </c>
      <c r="AA840" s="348" t="s">
        <v>1170</v>
      </c>
      <c r="AB840" s="348" t="s">
        <v>3296</v>
      </c>
      <c r="AC840" s="375"/>
    </row>
    <row r="841" spans="1:29" ht="39.950000000000003" customHeight="1" x14ac:dyDescent="0.2">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3877</v>
      </c>
      <c r="Y841" s="67"/>
      <c r="Z841" s="67"/>
      <c r="AA841" s="123" t="s">
        <v>3418</v>
      </c>
      <c r="AB841" s="123" t="s">
        <v>1174</v>
      </c>
      <c r="AC841" s="375"/>
    </row>
    <row r="842" spans="1:29" ht="39.950000000000003" customHeight="1" x14ac:dyDescent="0.2">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3134</v>
      </c>
      <c r="T842" s="86" t="str">
        <f t="shared" si="49"/>
        <v>NO</v>
      </c>
      <c r="U842" s="86"/>
      <c r="V842" s="83"/>
      <c r="W842" s="67" t="s">
        <v>1611</v>
      </c>
      <c r="X842" s="67" t="s">
        <v>3875</v>
      </c>
      <c r="Y842" s="67"/>
      <c r="Z842" s="67"/>
      <c r="AA842" s="123" t="s">
        <v>2892</v>
      </c>
      <c r="AB842" s="123" t="s">
        <v>3360</v>
      </c>
      <c r="AC842" s="375"/>
    </row>
    <row r="843" spans="1:29" ht="39.950000000000003" customHeight="1" x14ac:dyDescent="0.2">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t="shared" ca="1" si="48"/>
        <v>SI</v>
      </c>
      <c r="P843" s="83" t="str">
        <f t="shared" si="50"/>
        <v>DIANOSOL</v>
      </c>
      <c r="Q843" s="67" t="s">
        <v>899</v>
      </c>
      <c r="R843" s="67" t="str">
        <f>VLOOKUP($Q843,Resultados!$A$1:$B$49,2,FALSE)</f>
        <v>Libertad</v>
      </c>
      <c r="S843" s="67" t="s">
        <v>2678</v>
      </c>
      <c r="T843" s="86" t="str">
        <f t="shared" si="49"/>
        <v>NO</v>
      </c>
      <c r="U843" s="86"/>
      <c r="V843" s="83"/>
      <c r="W843" s="67" t="s">
        <v>679</v>
      </c>
      <c r="X843" s="67" t="s">
        <v>3882</v>
      </c>
      <c r="Y843" s="67"/>
      <c r="Z843" s="67"/>
      <c r="AA843" s="123" t="s">
        <v>2849</v>
      </c>
      <c r="AB843" s="123" t="s">
        <v>1176</v>
      </c>
      <c r="AC843" s="375"/>
    </row>
    <row r="844" spans="1:29" ht="39.950000000000003" customHeight="1" x14ac:dyDescent="0.2">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3879</v>
      </c>
      <c r="Y844" s="67"/>
      <c r="Z844" s="67"/>
      <c r="AA844" s="123" t="s">
        <v>1170</v>
      </c>
      <c r="AB844" s="123" t="s">
        <v>1173</v>
      </c>
      <c r="AC844" s="375"/>
    </row>
    <row r="845" spans="1:29" ht="39.950000000000003" customHeight="1" x14ac:dyDescent="0.2">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3872</v>
      </c>
      <c r="Y845" s="67"/>
      <c r="Z845" s="67"/>
      <c r="AA845" s="123" t="s">
        <v>3417</v>
      </c>
      <c r="AB845" s="123" t="s">
        <v>3296</v>
      </c>
      <c r="AC845" s="375" t="s">
        <v>1799</v>
      </c>
    </row>
    <row r="846" spans="1:29" ht="39.950000000000003" customHeight="1" x14ac:dyDescent="0.2">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3869</v>
      </c>
      <c r="Y846" s="67"/>
      <c r="Z846" s="67"/>
      <c r="AA846" s="123" t="s">
        <v>2892</v>
      </c>
      <c r="AB846" s="123" t="s">
        <v>1174</v>
      </c>
      <c r="AC846" s="375"/>
    </row>
    <row r="847" spans="1:29" ht="39.950000000000003" customHeight="1" x14ac:dyDescent="0.2">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3871</v>
      </c>
      <c r="Y847" s="67"/>
      <c r="Z847" s="67"/>
      <c r="AA847" s="123" t="s">
        <v>3417</v>
      </c>
      <c r="AB847" s="123" t="s">
        <v>1172</v>
      </c>
      <c r="AC847" s="375"/>
    </row>
    <row r="848" spans="1:29" ht="39.950000000000003" customHeight="1" x14ac:dyDescent="0.2">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3874</v>
      </c>
      <c r="Y848" s="67"/>
      <c r="Z848" s="67"/>
      <c r="AA848" s="123" t="s">
        <v>3418</v>
      </c>
      <c r="AB848" s="123" t="s">
        <v>3360</v>
      </c>
      <c r="AC848" s="375"/>
    </row>
    <row r="849" spans="1:29" ht="39.950000000000003" customHeight="1" x14ac:dyDescent="0.2">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3407</v>
      </c>
      <c r="Z849" s="123" t="s">
        <v>1176</v>
      </c>
      <c r="AA849" s="123" t="s">
        <v>3418</v>
      </c>
      <c r="AB849" s="67"/>
      <c r="AC849" s="375"/>
    </row>
    <row r="850" spans="1:29" ht="39.950000000000003" customHeight="1" x14ac:dyDescent="0.2">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3921</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3922</v>
      </c>
      <c r="Y850" s="123" t="s">
        <v>748</v>
      </c>
      <c r="Z850" s="123" t="s">
        <v>1173</v>
      </c>
      <c r="AA850" s="123" t="s">
        <v>2892</v>
      </c>
      <c r="AB850" s="67"/>
      <c r="AC850" s="375"/>
    </row>
    <row r="851" spans="1:29" ht="39.950000000000003" customHeight="1" x14ac:dyDescent="0.2">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3923</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3924</v>
      </c>
      <c r="Y851" s="123" t="s">
        <v>1041</v>
      </c>
      <c r="Z851" s="123" t="s">
        <v>3296</v>
      </c>
      <c r="AA851" s="123" t="s">
        <v>2849</v>
      </c>
      <c r="AB851" s="67"/>
      <c r="AC851" s="375"/>
    </row>
    <row r="852" spans="1:29" ht="39.950000000000003" customHeight="1" x14ac:dyDescent="0.2">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t="shared" ca="1" si="51"/>
        <v>SI</v>
      </c>
      <c r="P852" s="83" t="str">
        <f t="shared" si="50"/>
        <v>DIANOSOL</v>
      </c>
      <c r="Q852" s="67" t="s">
        <v>904</v>
      </c>
      <c r="R852" s="67" t="s">
        <v>100</v>
      </c>
      <c r="S852" s="67" t="s">
        <v>1295</v>
      </c>
      <c r="T852" s="86" t="str">
        <f t="shared" si="49"/>
        <v>NO</v>
      </c>
      <c r="U852" s="86"/>
      <c r="V852" s="83"/>
      <c r="W852" s="67" t="s">
        <v>1457</v>
      </c>
      <c r="X852" s="67" t="s">
        <v>3929</v>
      </c>
      <c r="Y852" s="123" t="s">
        <v>770</v>
      </c>
      <c r="Z852" s="123" t="s">
        <v>1172</v>
      </c>
      <c r="AA852" s="123" t="s">
        <v>3682</v>
      </c>
      <c r="AB852" s="67"/>
      <c r="AC852" s="375"/>
    </row>
    <row r="853" spans="1:29" ht="39.950000000000003" customHeight="1" x14ac:dyDescent="0.2">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3925</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3192</v>
      </c>
      <c r="Y853" s="123" t="s">
        <v>3407</v>
      </c>
      <c r="Z853" s="123" t="s">
        <v>3360</v>
      </c>
      <c r="AA853" s="123" t="s">
        <v>3418</v>
      </c>
      <c r="AB853" s="67"/>
      <c r="AC853" s="375"/>
    </row>
    <row r="854" spans="1:29" ht="39.950000000000003" customHeight="1" x14ac:dyDescent="0.2">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3236</v>
      </c>
      <c r="Y854" s="123" t="s">
        <v>770</v>
      </c>
      <c r="Z854" s="123" t="s">
        <v>1174</v>
      </c>
      <c r="AA854" s="123" t="s">
        <v>1170</v>
      </c>
      <c r="AB854" s="67"/>
      <c r="AC854" s="375"/>
    </row>
    <row r="855" spans="1:29" ht="39.950000000000003" customHeight="1" x14ac:dyDescent="0.2">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3926</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3560</v>
      </c>
      <c r="X855" s="67" t="s">
        <v>3927</v>
      </c>
      <c r="Y855" s="123" t="s">
        <v>743</v>
      </c>
      <c r="Z855" s="123" t="s">
        <v>1176</v>
      </c>
      <c r="AA855" s="123" t="s">
        <v>3417</v>
      </c>
      <c r="AB855" s="67"/>
      <c r="AC855" s="375"/>
    </row>
    <row r="856" spans="1:29" ht="39.950000000000003" customHeight="1" x14ac:dyDescent="0.2">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3192</v>
      </c>
      <c r="Y856" s="123" t="s">
        <v>748</v>
      </c>
      <c r="Z856" s="123" t="s">
        <v>1173</v>
      </c>
      <c r="AA856" s="123" t="s">
        <v>1170</v>
      </c>
      <c r="AB856" s="67"/>
      <c r="AC856" s="375"/>
    </row>
    <row r="857" spans="1:29" ht="39.950000000000003" customHeight="1" x14ac:dyDescent="0.2">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3954</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39" t="s">
        <v>743</v>
      </c>
      <c r="AA857" s="339" t="s">
        <v>3418</v>
      </c>
      <c r="AB857" s="339" t="s">
        <v>3296</v>
      </c>
      <c r="AC857" s="375"/>
    </row>
    <row r="858" spans="1:29" ht="39.950000000000003" customHeight="1" x14ac:dyDescent="0.2">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3951</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3952</v>
      </c>
      <c r="Y858" s="67"/>
      <c r="Z858" s="339" t="s">
        <v>748</v>
      </c>
      <c r="AA858" s="339" t="s">
        <v>2892</v>
      </c>
      <c r="AB858" s="339" t="s">
        <v>3916</v>
      </c>
      <c r="AC858" s="375"/>
    </row>
    <row r="859" spans="1:29" ht="39.950000000000003" customHeight="1" x14ac:dyDescent="0.2">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3958</v>
      </c>
      <c r="O859" s="83" t="str">
        <f t="shared" ca="1" si="51"/>
        <v>SI</v>
      </c>
      <c r="P859" s="83" t="str">
        <f t="shared" si="50"/>
        <v>DIANOSOL</v>
      </c>
      <c r="Q859" s="67" t="s">
        <v>905</v>
      </c>
      <c r="R859" s="67" t="str">
        <f>VLOOKUP($Q859,Resultados!$A$1:$B$49,2,FALSE)</f>
        <v>Juicio Abreviado</v>
      </c>
      <c r="S859" s="67" t="s">
        <v>1014</v>
      </c>
      <c r="T859" s="86" t="str">
        <f t="shared" si="52"/>
        <v>NO</v>
      </c>
      <c r="U859" s="86"/>
      <c r="V859" s="83"/>
      <c r="W859" s="67" t="s">
        <v>1128</v>
      </c>
      <c r="X859" s="67"/>
      <c r="Y859" s="67"/>
      <c r="Z859" s="339" t="s">
        <v>770</v>
      </c>
      <c r="AA859" s="339" t="s">
        <v>1170</v>
      </c>
      <c r="AB859" s="339" t="s">
        <v>3360</v>
      </c>
      <c r="AC859" s="375"/>
    </row>
    <row r="860" spans="1:29" ht="39.950000000000003" customHeight="1" x14ac:dyDescent="0.2">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3950</v>
      </c>
      <c r="O860" s="67" t="str">
        <f t="shared" ca="1" si="51"/>
        <v>SI</v>
      </c>
      <c r="P860" s="67" t="str">
        <f t="shared" si="50"/>
        <v>DIANOSOL</v>
      </c>
      <c r="Q860" s="67" t="s">
        <v>912</v>
      </c>
      <c r="R860" s="67" t="str">
        <f>VLOOKUP($Q860,Resultados!$A$1:$B$49,2,FALSE)</f>
        <v>Suspendida</v>
      </c>
      <c r="S860" s="74">
        <v>0.3527777777777778</v>
      </c>
      <c r="T860" s="77" t="str">
        <f t="shared" si="52"/>
        <v>NO</v>
      </c>
      <c r="U860" s="77"/>
      <c r="V860" s="67"/>
      <c r="W860" s="74">
        <v>0.37083333333333335</v>
      </c>
      <c r="X860" s="229" t="s">
        <v>3955</v>
      </c>
      <c r="Y860" s="67"/>
      <c r="Z860" s="339" t="s">
        <v>3931</v>
      </c>
      <c r="AA860" s="339" t="s">
        <v>3417</v>
      </c>
      <c r="AB860" s="339" t="s">
        <v>1176</v>
      </c>
      <c r="AC860" s="375"/>
    </row>
    <row r="861" spans="1:29" ht="39.950000000000003" customHeight="1" x14ac:dyDescent="0.2">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3948</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3949</v>
      </c>
      <c r="Y861" s="67"/>
      <c r="Z861" s="339" t="s">
        <v>3407</v>
      </c>
      <c r="AA861" s="339" t="s">
        <v>2849</v>
      </c>
      <c r="AB861" s="339" t="s">
        <v>1173</v>
      </c>
      <c r="AC861" s="375"/>
    </row>
    <row r="862" spans="1:29" ht="39.950000000000003" customHeight="1" x14ac:dyDescent="0.2">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3946</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3947</v>
      </c>
      <c r="Y862" s="67"/>
      <c r="Z862" s="339" t="s">
        <v>748</v>
      </c>
      <c r="AA862" s="339" t="s">
        <v>3417</v>
      </c>
      <c r="AB862" s="339" t="s">
        <v>3296</v>
      </c>
      <c r="AC862" s="375"/>
    </row>
    <row r="863" spans="1:29" ht="39.950000000000003" customHeight="1" x14ac:dyDescent="0.2">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3956</v>
      </c>
      <c r="M863" s="7" t="s">
        <v>695</v>
      </c>
      <c r="N863" s="67" t="s">
        <v>3957</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39" t="s">
        <v>770</v>
      </c>
      <c r="AA863" s="339" t="s">
        <v>1168</v>
      </c>
      <c r="AB863" s="339" t="s">
        <v>3916</v>
      </c>
      <c r="AC863" s="375"/>
    </row>
    <row r="864" spans="1:29" ht="39.950000000000003" customHeight="1" x14ac:dyDescent="0.2">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3945</v>
      </c>
      <c r="O864" s="83" t="str">
        <f t="shared" ca="1" si="51"/>
        <v>SI</v>
      </c>
      <c r="P864" s="83" t="str">
        <f t="shared" si="50"/>
        <v>DIANOSOL</v>
      </c>
      <c r="Q864" s="67" t="s">
        <v>905</v>
      </c>
      <c r="R864" s="67" t="str">
        <f>VLOOKUP($Q864,Resultados!$A$1:$B$49,2,FALSE)</f>
        <v>Juicio Abreviado</v>
      </c>
      <c r="S864" s="67" t="s">
        <v>3578</v>
      </c>
      <c r="T864" s="86" t="str">
        <f t="shared" si="52"/>
        <v>NO</v>
      </c>
      <c r="U864" s="86"/>
      <c r="V864" s="83"/>
      <c r="W864" s="67" t="s">
        <v>1694</v>
      </c>
      <c r="X864" s="229" t="s">
        <v>3953</v>
      </c>
      <c r="Y864" s="67"/>
      <c r="Z864" s="339" t="s">
        <v>748</v>
      </c>
      <c r="AA864" s="339" t="s">
        <v>1170</v>
      </c>
      <c r="AB864" s="339" t="s">
        <v>3360</v>
      </c>
      <c r="AC864" s="375"/>
    </row>
    <row r="865" spans="1:29" ht="39.950000000000003" customHeight="1" x14ac:dyDescent="0.2">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3944</v>
      </c>
      <c r="O865" s="214" t="str">
        <f t="shared" ca="1" si="51"/>
        <v>SI</v>
      </c>
      <c r="P865" s="214" t="str">
        <f t="shared" si="50"/>
        <v>DIANOSOL</v>
      </c>
      <c r="Q865" s="67" t="s">
        <v>905</v>
      </c>
      <c r="R865" s="67" t="str">
        <f>VLOOKUP($Q865,Resultados!$A$1:$B$49,2,FALSE)</f>
        <v>Juicio Abreviado</v>
      </c>
      <c r="S865" s="67" t="s">
        <v>3604</v>
      </c>
      <c r="T865" s="281" t="str">
        <f t="shared" si="52"/>
        <v>NO</v>
      </c>
      <c r="U865" s="281"/>
      <c r="V865" s="214"/>
      <c r="W865" s="67" t="s">
        <v>3478</v>
      </c>
      <c r="X865" s="229" t="s">
        <v>3943</v>
      </c>
      <c r="Y865" s="67"/>
      <c r="Z865" s="339" t="s">
        <v>748</v>
      </c>
      <c r="AA865" s="339" t="s">
        <v>2849</v>
      </c>
      <c r="AB865" s="339" t="s">
        <v>1176</v>
      </c>
      <c r="AC865" s="375"/>
    </row>
    <row r="866" spans="1:29" ht="39.950000000000003" customHeight="1" x14ac:dyDescent="0.2">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3983</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3418</v>
      </c>
      <c r="AB866" s="67" t="s">
        <v>1173</v>
      </c>
      <c r="AC866" s="375"/>
    </row>
    <row r="867" spans="1:29" ht="39.950000000000003" customHeight="1" x14ac:dyDescent="0.2">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3978</v>
      </c>
      <c r="Y867" s="67"/>
      <c r="Z867" s="123" t="s">
        <v>743</v>
      </c>
      <c r="AA867" s="123" t="s">
        <v>2849</v>
      </c>
      <c r="AB867" s="67" t="s">
        <v>3296</v>
      </c>
      <c r="AC867" s="375"/>
    </row>
    <row r="868" spans="1:29" ht="39.950000000000003" customHeight="1" x14ac:dyDescent="0.2">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3980</v>
      </c>
      <c r="O868" s="83" t="str">
        <f t="shared" ca="1" si="51"/>
        <v>SI</v>
      </c>
      <c r="P868" s="83" t="str">
        <f t="shared" si="50"/>
        <v>DIANOSOL</v>
      </c>
      <c r="Q868" s="67" t="s">
        <v>904</v>
      </c>
      <c r="R868" s="67" t="str">
        <f>VLOOKUP($Q868,Resultados!$A$1:$B$49,2,FALSE)</f>
        <v>Juicio Abreviado</v>
      </c>
      <c r="S868" s="67" t="s">
        <v>3131</v>
      </c>
      <c r="T868" s="86" t="str">
        <f t="shared" si="52"/>
        <v>NO</v>
      </c>
      <c r="U868" s="86"/>
      <c r="V868" s="83"/>
      <c r="W868" s="67" t="s">
        <v>989</v>
      </c>
      <c r="X868" s="67" t="s">
        <v>3981</v>
      </c>
      <c r="Y868" s="67"/>
      <c r="Z868" s="123" t="s">
        <v>748</v>
      </c>
      <c r="AA868" s="123" t="s">
        <v>3417</v>
      </c>
      <c r="AB868" s="67" t="s">
        <v>3916</v>
      </c>
      <c r="AC868" s="375"/>
    </row>
    <row r="869" spans="1:29" ht="39.950000000000003" customHeight="1" x14ac:dyDescent="0.2">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3982</v>
      </c>
      <c r="O869" s="83" t="str">
        <f t="shared" ca="1" si="51"/>
        <v>SI</v>
      </c>
      <c r="P869" s="83" t="str">
        <f t="shared" si="50"/>
        <v>DIANOSOL</v>
      </c>
      <c r="Q869" s="67" t="s">
        <v>905</v>
      </c>
      <c r="R869" s="67" t="str">
        <f>VLOOKUP($Q869,Resultados!$A$1:$B$49,2,FALSE)</f>
        <v>Juicio Abreviado</v>
      </c>
      <c r="S869" s="67" t="s">
        <v>1015</v>
      </c>
      <c r="T869" s="86" t="str">
        <f t="shared" si="52"/>
        <v>NO</v>
      </c>
      <c r="U869" s="86"/>
      <c r="V869" s="83"/>
      <c r="W869" s="67" t="s">
        <v>1608</v>
      </c>
      <c r="X869" s="67" t="s">
        <v>2568</v>
      </c>
      <c r="Y869" s="67"/>
      <c r="Z869" s="123" t="s">
        <v>3931</v>
      </c>
      <c r="AA869" s="123" t="s">
        <v>3418</v>
      </c>
      <c r="AB869" s="67" t="s">
        <v>1176</v>
      </c>
      <c r="AC869" s="375"/>
    </row>
    <row r="870" spans="1:29" ht="39.950000000000003" customHeight="1" x14ac:dyDescent="0.2">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3979</v>
      </c>
      <c r="O870" s="83" t="str">
        <f t="shared" ca="1" si="51"/>
        <v>SI</v>
      </c>
      <c r="P870" s="83" t="str">
        <f t="shared" si="50"/>
        <v>DIANOSOL</v>
      </c>
      <c r="Q870" s="67" t="s">
        <v>904</v>
      </c>
      <c r="R870" s="67" t="str">
        <f>VLOOKUP($Q870,Resultados!$A$1:$B$49,2,FALSE)</f>
        <v>Juicio Abreviado</v>
      </c>
      <c r="S870" s="67" t="s">
        <v>1186</v>
      </c>
      <c r="T870" s="86" t="str">
        <f t="shared" si="52"/>
        <v>SI</v>
      </c>
      <c r="U870" s="86"/>
      <c r="V870" s="83"/>
      <c r="W870" s="67" t="s">
        <v>1390</v>
      </c>
      <c r="X870" s="67" t="s">
        <v>2568</v>
      </c>
      <c r="Y870" s="67"/>
      <c r="Z870" s="123" t="s">
        <v>3407</v>
      </c>
      <c r="AA870" s="67"/>
      <c r="AB870" s="67" t="s">
        <v>3360</v>
      </c>
      <c r="AC870" s="375"/>
    </row>
    <row r="871" spans="1:29" ht="39.950000000000003" customHeight="1" x14ac:dyDescent="0.2">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3407</v>
      </c>
      <c r="AA871" s="123" t="s">
        <v>1168</v>
      </c>
      <c r="AB871" s="67" t="s">
        <v>1173</v>
      </c>
      <c r="AC871" s="375"/>
    </row>
    <row r="872" spans="1:29" ht="39.950000000000003" customHeight="1" x14ac:dyDescent="0.2">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3397</v>
      </c>
      <c r="X872" s="67" t="s">
        <v>2251</v>
      </c>
      <c r="Y872" s="67"/>
      <c r="Z872" s="123" t="s">
        <v>748</v>
      </c>
      <c r="AA872" s="123" t="s">
        <v>2892</v>
      </c>
      <c r="AB872" s="67" t="s">
        <v>3296</v>
      </c>
      <c r="AC872" s="375"/>
    </row>
    <row r="873" spans="1:29" ht="39.950000000000003" customHeight="1" x14ac:dyDescent="0.2">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4041</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4042</v>
      </c>
      <c r="Y873" s="67"/>
      <c r="Z873" s="123" t="s">
        <v>748</v>
      </c>
      <c r="AA873" s="123" t="s">
        <v>1170</v>
      </c>
      <c r="AB873" s="67" t="s">
        <v>1174</v>
      </c>
      <c r="AC873" s="375"/>
    </row>
    <row r="874" spans="1:29" ht="39.950000000000003" customHeight="1" x14ac:dyDescent="0.2">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4043</v>
      </c>
      <c r="Y874" s="67"/>
      <c r="Z874" s="123" t="s">
        <v>3931</v>
      </c>
      <c r="AA874" s="123" t="s">
        <v>2849</v>
      </c>
      <c r="AB874" s="67" t="s">
        <v>3360</v>
      </c>
      <c r="AC874" s="375"/>
    </row>
    <row r="875" spans="1:29" ht="39.950000000000003" customHeight="1" x14ac:dyDescent="0.2">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4044</v>
      </c>
      <c r="O875" s="67" t="str">
        <f t="shared" ca="1" si="51"/>
        <v>SI</v>
      </c>
      <c r="P875" s="67" t="str">
        <f t="shared" si="50"/>
        <v>DIANOSOL</v>
      </c>
      <c r="Q875" s="67" t="s">
        <v>904</v>
      </c>
      <c r="R875" s="67" t="str">
        <f>VLOOKUP($Q875,Resultados!$A$1:$B$49,2,FALSE)</f>
        <v>Juicio Abreviado</v>
      </c>
      <c r="S875" s="67" t="s">
        <v>686</v>
      </c>
      <c r="T875" s="77" t="str">
        <f t="shared" si="52"/>
        <v>NO</v>
      </c>
      <c r="U875" s="77"/>
      <c r="V875" s="67"/>
      <c r="W875" s="67" t="s">
        <v>1065</v>
      </c>
      <c r="X875" s="67" t="s">
        <v>2568</v>
      </c>
      <c r="Y875" s="67"/>
      <c r="Z875" s="123" t="s">
        <v>4045</v>
      </c>
      <c r="AA875" s="123" t="s">
        <v>3417</v>
      </c>
      <c r="AB875" s="67" t="s">
        <v>1173</v>
      </c>
      <c r="AC875" s="375"/>
    </row>
    <row r="876" spans="1:29" ht="39.950000000000003" customHeight="1" x14ac:dyDescent="0.2">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3236</v>
      </c>
      <c r="Y876" s="67"/>
      <c r="Z876" s="123" t="s">
        <v>748</v>
      </c>
      <c r="AA876" s="123" t="s">
        <v>3418</v>
      </c>
      <c r="AB876" s="67" t="s">
        <v>3296</v>
      </c>
      <c r="AC876" s="375"/>
    </row>
    <row r="877" spans="1:29" ht="39.950000000000003" customHeight="1" x14ac:dyDescent="0.2">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4046</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3418</v>
      </c>
      <c r="AB877" s="67" t="s">
        <v>1174</v>
      </c>
      <c r="AC877" s="375"/>
    </row>
    <row r="878" spans="1:29" ht="39.950000000000003" customHeight="1" x14ac:dyDescent="0.2">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t="shared" ca="1" si="51"/>
        <v>SI</v>
      </c>
      <c r="P878" s="83" t="str">
        <f t="shared" si="50"/>
        <v>DIANOSOL</v>
      </c>
      <c r="Q878" s="67" t="s">
        <v>899</v>
      </c>
      <c r="R878" s="67" t="str">
        <f>VLOOKUP($Q878,Resultados!$A$1:$B$49,2,FALSE)</f>
        <v>Libertad</v>
      </c>
      <c r="S878" s="67" t="s">
        <v>4047</v>
      </c>
      <c r="T878" s="86" t="str">
        <f t="shared" si="52"/>
        <v>NO</v>
      </c>
      <c r="U878" s="86"/>
      <c r="V878" s="83"/>
      <c r="W878" s="67" t="s">
        <v>4048</v>
      </c>
      <c r="X878" s="67"/>
      <c r="Y878" s="67"/>
      <c r="Z878" s="123" t="s">
        <v>748</v>
      </c>
      <c r="AA878" s="123" t="s">
        <v>2849</v>
      </c>
      <c r="AB878" s="67" t="s">
        <v>3360</v>
      </c>
      <c r="AC878" s="375"/>
    </row>
    <row r="879" spans="1:29" ht="39.950000000000003" customHeight="1" x14ac:dyDescent="0.2">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t="shared" ca="1" si="51"/>
        <v>SI</v>
      </c>
      <c r="P879" s="83" t="str">
        <f t="shared" si="50"/>
        <v>DIANOSOL</v>
      </c>
      <c r="Q879" s="67" t="s">
        <v>905</v>
      </c>
      <c r="R879" s="67" t="str">
        <f>VLOOKUP($Q879,Resultados!$A$1:$B$49,2,FALSE)</f>
        <v>Juicio Abreviado</v>
      </c>
      <c r="S879" s="67" t="s">
        <v>4049</v>
      </c>
      <c r="T879" s="86" t="str">
        <f t="shared" si="52"/>
        <v>NO</v>
      </c>
      <c r="U879" s="86"/>
      <c r="V879" s="83"/>
      <c r="W879" s="67" t="s">
        <v>1773</v>
      </c>
      <c r="X879" s="67" t="s">
        <v>2568</v>
      </c>
      <c r="Y879" s="67"/>
      <c r="Z879" s="123" t="s">
        <v>3407</v>
      </c>
      <c r="AA879" s="123" t="s">
        <v>1170</v>
      </c>
      <c r="AB879" s="67" t="s">
        <v>1173</v>
      </c>
      <c r="AC879" s="375"/>
    </row>
    <row r="880" spans="1:29" ht="39.950000000000003" customHeight="1" x14ac:dyDescent="0.2">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3240</v>
      </c>
      <c r="X880" s="67" t="s">
        <v>4050</v>
      </c>
      <c r="Y880" s="67"/>
      <c r="Z880" s="123" t="s">
        <v>770</v>
      </c>
      <c r="AA880" s="123" t="s">
        <v>2892</v>
      </c>
      <c r="AB880" s="67" t="s">
        <v>3296</v>
      </c>
      <c r="AC880" s="375"/>
    </row>
    <row r="881" spans="1:29" ht="39.950000000000003" customHeight="1" x14ac:dyDescent="0.2">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4053</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3552</v>
      </c>
      <c r="X881" s="67" t="s">
        <v>4054</v>
      </c>
      <c r="Y881" s="67"/>
      <c r="Z881" s="67"/>
      <c r="AA881" s="123" t="s">
        <v>2892</v>
      </c>
      <c r="AB881" s="67" t="s">
        <v>1174</v>
      </c>
      <c r="AC881" s="375"/>
    </row>
    <row r="882" spans="1:29" ht="39.950000000000003" customHeight="1" x14ac:dyDescent="0.2">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4055</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5" t="s">
        <v>1799</v>
      </c>
    </row>
    <row r="883" spans="1:29" ht="39.950000000000003" customHeight="1" x14ac:dyDescent="0.2">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4057</v>
      </c>
      <c r="Y883" s="67"/>
      <c r="Z883" s="67"/>
      <c r="AA883" s="123" t="s">
        <v>3418</v>
      </c>
      <c r="AB883" s="67" t="s">
        <v>1173</v>
      </c>
      <c r="AC883" s="375"/>
    </row>
    <row r="884" spans="1:29" ht="39.950000000000003" customHeight="1" x14ac:dyDescent="0.2">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4058</v>
      </c>
      <c r="O884" s="67" t="str">
        <f t="shared" ca="1" si="51"/>
        <v>SI</v>
      </c>
      <c r="P884" s="67" t="str">
        <f t="shared" si="50"/>
        <v>DIANOSOL</v>
      </c>
      <c r="Q884" s="67" t="s">
        <v>904</v>
      </c>
      <c r="R884" s="67" t="s">
        <v>100</v>
      </c>
      <c r="S884" s="67" t="s">
        <v>1124</v>
      </c>
      <c r="T884" s="77" t="str">
        <f t="shared" si="52"/>
        <v>NO</v>
      </c>
      <c r="U884" s="77"/>
      <c r="V884" s="67"/>
      <c r="W884" s="67" t="s">
        <v>1395</v>
      </c>
      <c r="X884" s="67" t="s">
        <v>3192</v>
      </c>
      <c r="Y884" s="67"/>
      <c r="Z884" s="67"/>
      <c r="AA884" s="123" t="s">
        <v>1170</v>
      </c>
      <c r="AB884" s="67" t="s">
        <v>1172</v>
      </c>
      <c r="AC884" s="375"/>
    </row>
    <row r="885" spans="1:29" ht="39.950000000000003" customHeight="1" x14ac:dyDescent="0.2">
      <c r="A885" s="67">
        <v>883</v>
      </c>
      <c r="B885" s="69"/>
      <c r="C885" s="74">
        <v>0.34375</v>
      </c>
      <c r="D885" s="67" t="s">
        <v>4023</v>
      </c>
      <c r="E885" s="68" t="s">
        <v>3620</v>
      </c>
      <c r="F885" s="67">
        <v>3</v>
      </c>
      <c r="G885" s="67" t="s">
        <v>283</v>
      </c>
      <c r="H885" s="69">
        <v>45243</v>
      </c>
      <c r="I885" s="69" t="s">
        <v>1086</v>
      </c>
      <c r="J885" s="69" t="s">
        <v>1219</v>
      </c>
      <c r="K885" s="67">
        <f>IFERROR(VLOOKUP(J885,Jueces!$A$1:$B$11,2,FALSE),"")</f>
        <v>1</v>
      </c>
      <c r="L885" s="67" t="s">
        <v>812</v>
      </c>
      <c r="M885" s="67" t="s">
        <v>694</v>
      </c>
      <c r="N885" s="67" t="s">
        <v>4218</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3296</v>
      </c>
      <c r="AC885" s="375"/>
    </row>
    <row r="886" spans="1:29" ht="39.950000000000003" customHeight="1" x14ac:dyDescent="0.2">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4051</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4052</v>
      </c>
      <c r="Y886" s="67"/>
      <c r="Z886" s="67"/>
      <c r="AA886" s="123" t="s">
        <v>2892</v>
      </c>
      <c r="AB886" s="67" t="s">
        <v>1174</v>
      </c>
      <c r="AC886" s="375"/>
    </row>
    <row r="887" spans="1:29" ht="39.950000000000003" customHeight="1" x14ac:dyDescent="0.2">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4056</v>
      </c>
      <c r="O887" s="67" t="str">
        <f t="shared" ca="1" si="51"/>
        <v>SI</v>
      </c>
      <c r="P887" s="67" t="str">
        <f t="shared" si="50"/>
        <v>DIANOSOL</v>
      </c>
      <c r="Q887" s="67" t="s">
        <v>904</v>
      </c>
      <c r="R887" s="67" t="str">
        <f>VLOOKUP($Q887,Resultados!$A$1:$B$49,2,FALSE)</f>
        <v>Juicio Abreviado</v>
      </c>
      <c r="S887" s="67" t="s">
        <v>2955</v>
      </c>
      <c r="T887" s="77" t="str">
        <f t="shared" si="52"/>
        <v>NO</v>
      </c>
      <c r="U887" s="77"/>
      <c r="V887" s="67"/>
      <c r="W887" s="67" t="s">
        <v>3399</v>
      </c>
      <c r="X887" s="67" t="s">
        <v>2568</v>
      </c>
      <c r="Y887" s="67"/>
      <c r="Z887" s="67"/>
      <c r="AA887" s="123" t="s">
        <v>1170</v>
      </c>
      <c r="AB887" s="67" t="s">
        <v>1176</v>
      </c>
      <c r="AC887" s="375" t="s">
        <v>1799</v>
      </c>
    </row>
    <row r="888" spans="1:29" ht="39.950000000000003" customHeight="1" x14ac:dyDescent="0.2">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5"/>
    </row>
    <row r="889" spans="1:29" ht="39.950000000000003" customHeight="1" x14ac:dyDescent="0.2">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4103</v>
      </c>
      <c r="O889" s="83" t="str">
        <f t="shared" ca="1" si="51"/>
        <v>SI</v>
      </c>
      <c r="P889" s="83" t="str">
        <f t="shared" si="50"/>
        <v>DIANOSOL</v>
      </c>
      <c r="Q889" s="67" t="s">
        <v>151</v>
      </c>
      <c r="R889" s="67" t="str">
        <f>VLOOKUP($Q889,Resultados!$A$1:$B$49,2,FALSE)</f>
        <v>Prisión Preventiva</v>
      </c>
      <c r="S889" s="67" t="s">
        <v>3131</v>
      </c>
      <c r="T889" s="86" t="str">
        <f t="shared" si="52"/>
        <v>NO</v>
      </c>
      <c r="U889" s="86"/>
      <c r="V889" s="83"/>
      <c r="W889" s="67" t="s">
        <v>1302</v>
      </c>
      <c r="X889" s="67" t="s">
        <v>4104</v>
      </c>
      <c r="Y889" s="67"/>
      <c r="Z889" s="123" t="s">
        <v>748</v>
      </c>
      <c r="AA889" s="123" t="s">
        <v>3418</v>
      </c>
      <c r="AB889" s="123" t="s">
        <v>3296</v>
      </c>
      <c r="AC889" s="375"/>
    </row>
    <row r="890" spans="1:29" ht="39.950000000000003" customHeight="1" x14ac:dyDescent="0.2">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4101</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3407</v>
      </c>
      <c r="AA890" s="123" t="s">
        <v>3418</v>
      </c>
      <c r="AB890" s="123" t="s">
        <v>1174</v>
      </c>
      <c r="AC890" s="375"/>
    </row>
    <row r="891" spans="1:29" ht="39.950000000000003" customHeight="1" x14ac:dyDescent="0.2">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3284</v>
      </c>
      <c r="T891" s="86" t="str">
        <f t="shared" si="52"/>
        <v>NO</v>
      </c>
      <c r="U891" s="86"/>
      <c r="V891" s="83"/>
      <c r="W891" s="67" t="s">
        <v>2058</v>
      </c>
      <c r="X891" s="67" t="s">
        <v>4100</v>
      </c>
      <c r="Y891" s="67"/>
      <c r="Z891" s="123" t="s">
        <v>1041</v>
      </c>
      <c r="AA891" s="123" t="s">
        <v>2892</v>
      </c>
      <c r="AB891" s="123" t="s">
        <v>3360</v>
      </c>
      <c r="AC891" s="375"/>
    </row>
    <row r="892" spans="1:29" ht="39.950000000000003" customHeight="1" x14ac:dyDescent="0.2">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4102</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3192</v>
      </c>
      <c r="Y892" s="67"/>
      <c r="Z892" s="123" t="s">
        <v>3407</v>
      </c>
      <c r="AA892" s="123" t="s">
        <v>2849</v>
      </c>
      <c r="AB892" s="123" t="s">
        <v>1176</v>
      </c>
      <c r="AC892" s="375"/>
    </row>
    <row r="893" spans="1:29" ht="39.950000000000003" customHeight="1" x14ac:dyDescent="0.2">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4109</v>
      </c>
      <c r="O893" s="83" t="str">
        <f t="shared" ca="1" si="51"/>
        <v>SI</v>
      </c>
      <c r="P893" s="83" t="str">
        <f t="shared" si="50"/>
        <v>DIANOSOL</v>
      </c>
      <c r="Q893" s="67" t="s">
        <v>904</v>
      </c>
      <c r="R893" s="67" t="str">
        <f>VLOOKUP($Q893,Resultados!$A$1:$B$49,2,FALSE)</f>
        <v>Juicio Abreviado</v>
      </c>
      <c r="S893" s="67" t="s">
        <v>1608</v>
      </c>
      <c r="T893" s="86" t="str">
        <f t="shared" si="52"/>
        <v>NO</v>
      </c>
      <c r="U893" s="86"/>
      <c r="V893" s="83"/>
      <c r="W893" s="67" t="s">
        <v>3208</v>
      </c>
      <c r="X893" s="67" t="s">
        <v>3192</v>
      </c>
      <c r="Y893" s="67"/>
      <c r="Z893" s="123" t="s">
        <v>770</v>
      </c>
      <c r="AA893" s="123" t="s">
        <v>2849</v>
      </c>
      <c r="AB893" s="123" t="s">
        <v>1173</v>
      </c>
      <c r="AC893" s="375"/>
    </row>
    <row r="894" spans="1:29" ht="39.950000000000003" customHeight="1" x14ac:dyDescent="0.2">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4105</v>
      </c>
      <c r="T894" s="86" t="str">
        <f t="shared" si="52"/>
        <v>NO</v>
      </c>
      <c r="U894" s="86"/>
      <c r="V894" s="83"/>
      <c r="W894" s="67" t="s">
        <v>3668</v>
      </c>
      <c r="X894" s="67" t="s">
        <v>3192</v>
      </c>
      <c r="Y894" s="67"/>
      <c r="Z894" s="123" t="s">
        <v>748</v>
      </c>
      <c r="AA894" s="123" t="s">
        <v>1170</v>
      </c>
      <c r="AB894" s="123" t="s">
        <v>1172</v>
      </c>
      <c r="AC894" s="375"/>
    </row>
    <row r="895" spans="1:29" ht="39.950000000000003" customHeight="1" x14ac:dyDescent="0.2">
      <c r="A895" s="375">
        <v>1002</v>
      </c>
      <c r="B895" s="397">
        <v>45240</v>
      </c>
      <c r="C895" s="398">
        <v>0.5131944444444444</v>
      </c>
      <c r="D895" s="360" t="s">
        <v>2579</v>
      </c>
      <c r="E895" s="68" t="s">
        <v>4014</v>
      </c>
      <c r="F895" s="375">
        <v>6</v>
      </c>
      <c r="G895" s="375" t="s">
        <v>29</v>
      </c>
      <c r="H895" s="397">
        <v>45244</v>
      </c>
      <c r="I895" s="69" t="s">
        <v>1086</v>
      </c>
      <c r="J895" s="397" t="s">
        <v>1220</v>
      </c>
      <c r="K895" s="67" t="s">
        <v>4040</v>
      </c>
      <c r="L895" s="67" t="s">
        <v>790</v>
      </c>
      <c r="M895" s="67" t="s">
        <v>2123</v>
      </c>
      <c r="N895" s="67" t="s">
        <v>4106</v>
      </c>
      <c r="O895" s="83" t="str">
        <f t="shared" ca="1" si="51"/>
        <v>SI</v>
      </c>
      <c r="P895" s="83" t="str">
        <f t="shared" si="50"/>
        <v>DIANOSOL</v>
      </c>
      <c r="Q895" s="67" t="s">
        <v>904</v>
      </c>
      <c r="R895" s="67" t="str">
        <f>VLOOKUP($Q895,Resultados!$A$1:$B$49,2,FALSE)</f>
        <v>Juicio Abreviado</v>
      </c>
      <c r="S895" s="67" t="s">
        <v>3402</v>
      </c>
      <c r="T895" s="86" t="str">
        <f t="shared" si="52"/>
        <v>NO</v>
      </c>
      <c r="U895" s="86"/>
      <c r="V895" s="80"/>
      <c r="W895" s="67" t="s">
        <v>4107</v>
      </c>
      <c r="X895" s="67" t="s">
        <v>4108</v>
      </c>
      <c r="Y895" s="375"/>
      <c r="Z895" s="123" t="s">
        <v>743</v>
      </c>
      <c r="AA895" s="123"/>
      <c r="AB895" s="123" t="s">
        <v>3296</v>
      </c>
      <c r="AC895" s="375" t="s">
        <v>1799</v>
      </c>
    </row>
    <row r="896" spans="1:29" ht="63.75" x14ac:dyDescent="0.2">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4111</v>
      </c>
      <c r="O896" s="81" t="str">
        <f t="shared" ca="1" si="51"/>
        <v>SI</v>
      </c>
      <c r="P896" s="81" t="str">
        <f t="shared" si="50"/>
        <v>DIANOSOL</v>
      </c>
      <c r="Q896" s="7" t="s">
        <v>904</v>
      </c>
      <c r="R896" s="7" t="str">
        <f>VLOOKUP($Q896,Resultados!$A$1:$B$49,2,FALSE)</f>
        <v>Juicio Abreviado</v>
      </c>
      <c r="S896" s="7" t="s">
        <v>1186</v>
      </c>
      <c r="T896" s="387" t="str">
        <f t="shared" si="52"/>
        <v>NO</v>
      </c>
      <c r="U896" s="387"/>
      <c r="V896" s="81"/>
      <c r="W896" s="7" t="s">
        <v>2254</v>
      </c>
      <c r="X896" s="7" t="s">
        <v>2568</v>
      </c>
      <c r="Y896" s="7"/>
      <c r="Z896" s="7" t="s">
        <v>3407</v>
      </c>
      <c r="AA896" s="284" t="s">
        <v>2849</v>
      </c>
      <c r="AB896" s="7" t="s">
        <v>1174</v>
      </c>
      <c r="AC896" s="363"/>
    </row>
    <row r="897" spans="1:29" ht="39.950000000000003" customHeight="1" x14ac:dyDescent="0.2">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4118</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4119</v>
      </c>
      <c r="Y897" s="67"/>
      <c r="Z897" s="67" t="s">
        <v>1042</v>
      </c>
      <c r="AA897" s="67"/>
      <c r="AB897" s="67" t="s">
        <v>3360</v>
      </c>
      <c r="AC897" s="375"/>
    </row>
    <row r="898" spans="1:29" ht="39.950000000000003" customHeight="1" x14ac:dyDescent="0.2">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4112</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4113</v>
      </c>
      <c r="Y898" s="67"/>
      <c r="Z898" s="67" t="s">
        <v>1041</v>
      </c>
      <c r="AA898" s="123" t="s">
        <v>2892</v>
      </c>
      <c r="AB898" s="67" t="s">
        <v>1176</v>
      </c>
      <c r="AC898" s="375"/>
    </row>
    <row r="899" spans="1:29" ht="39.950000000000003" customHeight="1" x14ac:dyDescent="0.2">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4117</v>
      </c>
      <c r="Y899" s="67"/>
      <c r="Z899" s="67" t="s">
        <v>743</v>
      </c>
      <c r="AA899" s="123" t="s">
        <v>2892</v>
      </c>
      <c r="AB899" s="67" t="s">
        <v>1173</v>
      </c>
      <c r="AC899" s="375"/>
    </row>
    <row r="900" spans="1:29" ht="39.950000000000003" customHeight="1" x14ac:dyDescent="0.2">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4115</v>
      </c>
      <c r="N900" s="67" t="s">
        <v>4116</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4114</v>
      </c>
      <c r="Y900" s="67"/>
      <c r="Z900" s="67" t="s">
        <v>743</v>
      </c>
      <c r="AA900" s="123" t="s">
        <v>3418</v>
      </c>
      <c r="AB900" s="123" t="s">
        <v>1172</v>
      </c>
      <c r="AC900" s="375"/>
    </row>
    <row r="901" spans="1:29" ht="39.950000000000003" customHeight="1" x14ac:dyDescent="0.2">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3407</v>
      </c>
      <c r="AA901" s="123" t="s">
        <v>2849</v>
      </c>
      <c r="AB901" s="123" t="s">
        <v>3296</v>
      </c>
      <c r="AC901" s="375"/>
    </row>
    <row r="902" spans="1:29" ht="39.950000000000003" customHeight="1" x14ac:dyDescent="0.2">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t="shared" ca="1" si="51"/>
        <v>SI</v>
      </c>
      <c r="P902" s="83" t="str">
        <f t="shared" si="53"/>
        <v>DIANOSOL</v>
      </c>
      <c r="Q902" s="67" t="s">
        <v>905</v>
      </c>
      <c r="R902" s="67" t="str">
        <f>VLOOKUP($Q902,Resultados!$A$1:$B$49,2,FALSE)</f>
        <v>Juicio Abreviado</v>
      </c>
      <c r="S902" s="67" t="s">
        <v>1426</v>
      </c>
      <c r="T902" s="86" t="str">
        <f t="shared" si="52"/>
        <v>NO</v>
      </c>
      <c r="U902" s="86"/>
      <c r="V902" s="83"/>
      <c r="W902" s="67" t="s">
        <v>1128</v>
      </c>
      <c r="X902" s="67" t="s">
        <v>3477</v>
      </c>
      <c r="Y902" s="67"/>
      <c r="Z902" s="123" t="s">
        <v>1041</v>
      </c>
      <c r="AA902" s="123" t="s">
        <v>2892</v>
      </c>
      <c r="AB902" s="123" t="s">
        <v>3360</v>
      </c>
      <c r="AC902" s="375"/>
    </row>
    <row r="903" spans="1:29" ht="39.950000000000003" customHeight="1" x14ac:dyDescent="0.2">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4124</v>
      </c>
      <c r="O903" s="83" t="str">
        <f t="shared" ca="1" si="51"/>
        <v>SI</v>
      </c>
      <c r="P903" s="83" t="str">
        <f t="shared" si="53"/>
        <v>DIANOSOL</v>
      </c>
      <c r="Q903" s="67" t="s">
        <v>151</v>
      </c>
      <c r="R903" s="67" t="str">
        <f>VLOOKUP($Q903,Resultados!$A$1:$B$49,2,FALSE)</f>
        <v>Prisión Preventiva</v>
      </c>
      <c r="S903" s="67" t="s">
        <v>2254</v>
      </c>
      <c r="T903" s="86" t="str">
        <f t="shared" si="52"/>
        <v>NO</v>
      </c>
      <c r="U903" s="86"/>
      <c r="V903" s="83"/>
      <c r="W903" s="67" t="s">
        <v>3273</v>
      </c>
      <c r="X903" s="67" t="s">
        <v>4125</v>
      </c>
      <c r="Y903" s="67"/>
      <c r="Z903" s="123" t="s">
        <v>3407</v>
      </c>
      <c r="AA903" s="123" t="s">
        <v>1170</v>
      </c>
      <c r="AB903" s="123" t="s">
        <v>1176</v>
      </c>
      <c r="AC903" s="375"/>
    </row>
    <row r="904" spans="1:29" ht="39.950000000000003" customHeight="1" x14ac:dyDescent="0.2">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4126</v>
      </c>
      <c r="O904" s="83" t="str">
        <f t="shared" ca="1" si="51"/>
        <v>SI</v>
      </c>
      <c r="P904" s="83" t="str">
        <f t="shared" si="53"/>
        <v>DIANOSOL</v>
      </c>
      <c r="Q904" s="67" t="s">
        <v>912</v>
      </c>
      <c r="R904" s="67" t="str">
        <f>VLOOKUP($Q904,Resultados!$A$1:$B$49,2,FALSE)</f>
        <v>Suspendida</v>
      </c>
      <c r="S904" s="67"/>
      <c r="T904" s="86" t="str">
        <f t="shared" si="52"/>
        <v>NO</v>
      </c>
      <c r="U904" s="86"/>
      <c r="V904" s="83"/>
      <c r="W904" s="67"/>
      <c r="X904" s="67"/>
      <c r="Y904" s="67"/>
      <c r="Z904" s="123" t="s">
        <v>743</v>
      </c>
      <c r="AA904" s="123" t="s">
        <v>3418</v>
      </c>
      <c r="AB904" s="123" t="s">
        <v>1173</v>
      </c>
      <c r="AC904" s="375"/>
    </row>
    <row r="905" spans="1:29" ht="39.950000000000003" customHeight="1" x14ac:dyDescent="0.2">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t="shared" ca="1" si="51"/>
        <v>SI</v>
      </c>
      <c r="P905" s="83" t="str">
        <f t="shared" si="53"/>
        <v>DIANOSOL</v>
      </c>
      <c r="Q905" s="67" t="s">
        <v>1900</v>
      </c>
      <c r="R905" s="67" t="str">
        <f>VLOOKUP($Q905,Resultados!$A$1:$B$49,2,FALSE)</f>
        <v>Sobreseimiento</v>
      </c>
      <c r="S905" s="67" t="s">
        <v>1565</v>
      </c>
      <c r="T905" s="86" t="str">
        <f t="shared" si="52"/>
        <v>NO</v>
      </c>
      <c r="U905" s="86"/>
      <c r="V905" s="83"/>
      <c r="W905" s="67" t="s">
        <v>1065</v>
      </c>
      <c r="X905" s="67" t="s">
        <v>4120</v>
      </c>
      <c r="Y905" s="67"/>
      <c r="Z905" s="123" t="s">
        <v>748</v>
      </c>
      <c r="AA905" s="123" t="s">
        <v>2849</v>
      </c>
      <c r="AB905" s="123" t="s">
        <v>1174</v>
      </c>
      <c r="AC905" s="375"/>
    </row>
    <row r="906" spans="1:29" ht="39.950000000000003" customHeight="1" x14ac:dyDescent="0.2">
      <c r="A906" s="67">
        <v>894</v>
      </c>
      <c r="B906" s="69">
        <v>45226</v>
      </c>
      <c r="C906" s="74">
        <v>0.33333333333333331</v>
      </c>
      <c r="D906" s="67" t="s">
        <v>2296</v>
      </c>
      <c r="E906" s="400" t="s">
        <v>3648</v>
      </c>
      <c r="F906" s="67">
        <v>7</v>
      </c>
      <c r="G906" s="67" t="s">
        <v>283</v>
      </c>
      <c r="H906" s="69">
        <v>45246</v>
      </c>
      <c r="I906" s="69" t="s">
        <v>1086</v>
      </c>
      <c r="J906" s="69" t="s">
        <v>1730</v>
      </c>
      <c r="K906" s="67" t="s">
        <v>3821</v>
      </c>
      <c r="L906" s="67" t="s">
        <v>796</v>
      </c>
      <c r="M906" s="67" t="s">
        <v>3709</v>
      </c>
      <c r="N906" s="67" t="s">
        <v>4129</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3192</v>
      </c>
      <c r="Y906" s="67"/>
      <c r="Z906" s="123" t="s">
        <v>743</v>
      </c>
      <c r="AA906" s="123" t="s">
        <v>1170</v>
      </c>
      <c r="AB906" s="123" t="s">
        <v>1172</v>
      </c>
      <c r="AC906" s="375"/>
    </row>
    <row r="907" spans="1:29" ht="39.950000000000003" customHeight="1" x14ac:dyDescent="0.2">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4123</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3399</v>
      </c>
      <c r="X907" s="67" t="s">
        <v>3192</v>
      </c>
      <c r="Y907" s="67"/>
      <c r="Z907" s="123" t="s">
        <v>748</v>
      </c>
      <c r="AA907" s="123" t="s">
        <v>2849</v>
      </c>
      <c r="AB907" s="123" t="s">
        <v>3296</v>
      </c>
      <c r="AC907" s="375"/>
    </row>
    <row r="908" spans="1:29" ht="39.950000000000003" customHeight="1" x14ac:dyDescent="0.2">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4127</v>
      </c>
      <c r="O908" s="83" t="str">
        <f t="shared" ca="1" si="51"/>
        <v>SI</v>
      </c>
      <c r="P908" s="83" t="str">
        <f t="shared" si="53"/>
        <v>DIANOSOL</v>
      </c>
      <c r="Q908" s="67" t="s">
        <v>904</v>
      </c>
      <c r="R908" s="67" t="str">
        <f>VLOOKUP($Q908,Resultados!$A$1:$B$49,2,FALSE)</f>
        <v>Juicio Abreviado</v>
      </c>
      <c r="S908" s="67" t="s">
        <v>3238</v>
      </c>
      <c r="T908" s="86" t="str">
        <f t="shared" si="52"/>
        <v>NO</v>
      </c>
      <c r="U908" s="86"/>
      <c r="V908" s="83"/>
      <c r="W908" s="67" t="s">
        <v>3724</v>
      </c>
      <c r="X908" s="67" t="s">
        <v>4128</v>
      </c>
      <c r="Y908" s="67"/>
      <c r="Z908" s="123" t="s">
        <v>3407</v>
      </c>
      <c r="AA908" s="123" t="s">
        <v>3418</v>
      </c>
      <c r="AB908" s="123" t="s">
        <v>1174</v>
      </c>
      <c r="AC908" s="375"/>
    </row>
    <row r="909" spans="1:29" ht="39.950000000000003" customHeight="1" x14ac:dyDescent="0.2">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4121</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4122</v>
      </c>
      <c r="Y909" s="67"/>
      <c r="Z909" s="123" t="s">
        <v>1042</v>
      </c>
      <c r="AA909" s="123" t="s">
        <v>2892</v>
      </c>
      <c r="AB909" s="123" t="s">
        <v>3360</v>
      </c>
      <c r="AC909" s="375"/>
    </row>
    <row r="910" spans="1:29" ht="39.950000000000003" customHeight="1" x14ac:dyDescent="0.2">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1"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4130</v>
      </c>
      <c r="X910" s="67" t="s">
        <v>3192</v>
      </c>
      <c r="Y910" s="67"/>
      <c r="Z910" s="123" t="s">
        <v>3407</v>
      </c>
      <c r="AA910" s="123" t="s">
        <v>2849</v>
      </c>
      <c r="AB910" s="123" t="s">
        <v>1176</v>
      </c>
      <c r="AC910" s="375"/>
    </row>
    <row r="911" spans="1:29" ht="39.950000000000003" customHeight="1" x14ac:dyDescent="0.2">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4131</v>
      </c>
      <c r="O911" s="83" t="str">
        <f t="shared" ca="1" si="54"/>
        <v>SI</v>
      </c>
      <c r="P911" s="83" t="str">
        <f t="shared" si="53"/>
        <v>DIANOSOL</v>
      </c>
      <c r="Q911" s="67" t="s">
        <v>151</v>
      </c>
      <c r="R911" s="67" t="str">
        <f>VLOOKUP($Q911,Resultados!$A$1:$B$49,2,FALSE)</f>
        <v>Prisión Preventiva</v>
      </c>
      <c r="S911" s="67" t="s">
        <v>3157</v>
      </c>
      <c r="T911" s="86" t="str">
        <f t="shared" si="52"/>
        <v>NO</v>
      </c>
      <c r="U911" s="86"/>
      <c r="V911" s="83"/>
      <c r="W911" s="67" t="s">
        <v>2208</v>
      </c>
      <c r="X911" s="67" t="s">
        <v>2568</v>
      </c>
      <c r="Y911" s="67"/>
      <c r="Z911" s="123" t="s">
        <v>748</v>
      </c>
      <c r="AA911" s="123" t="s">
        <v>1170</v>
      </c>
      <c r="AB911" s="123" t="s">
        <v>1173</v>
      </c>
      <c r="AC911" s="375"/>
    </row>
    <row r="912" spans="1:29" ht="102" x14ac:dyDescent="0.2">
      <c r="A912" s="67">
        <v>909</v>
      </c>
      <c r="B912" s="69">
        <v>45230</v>
      </c>
      <c r="C912" s="74">
        <v>0.44861111111111113</v>
      </c>
      <c r="D912" s="67" t="s">
        <v>3721</v>
      </c>
      <c r="E912" s="68" t="s">
        <v>4230</v>
      </c>
      <c r="F912" s="67">
        <v>3</v>
      </c>
      <c r="G912" s="67" t="s">
        <v>3361</v>
      </c>
      <c r="H912" s="69">
        <v>45251</v>
      </c>
      <c r="I912" s="69" t="s">
        <v>73</v>
      </c>
      <c r="J912" s="69" t="s">
        <v>78</v>
      </c>
      <c r="K912" s="67">
        <f>IFERROR(VLOOKUP(J912,Jueces!$A$1:$B$11,2,FALSE),"")</f>
        <v>8</v>
      </c>
      <c r="L912" s="67" t="s">
        <v>2428</v>
      </c>
      <c r="M912" s="7" t="s">
        <v>1027</v>
      </c>
      <c r="N912" s="67" t="s">
        <v>4228</v>
      </c>
      <c r="O912" s="83" t="str">
        <f t="shared" ca="1" si="54"/>
        <v>SI</v>
      </c>
      <c r="P912" s="83" t="str">
        <f t="shared" si="53"/>
        <v>DIANOSOL</v>
      </c>
      <c r="Q912" s="67" t="s">
        <v>905</v>
      </c>
      <c r="R912" s="67" t="str">
        <f>VLOOKUP($Q912,Resultados!$A$1:$B$49,2,FALSE)</f>
        <v>Juicio Abreviado</v>
      </c>
      <c r="S912" s="67" t="s">
        <v>1371</v>
      </c>
      <c r="T912" s="86" t="str">
        <f t="shared" si="52"/>
        <v>NO</v>
      </c>
      <c r="U912" s="86"/>
      <c r="V912" s="83"/>
      <c r="W912" s="67" t="s">
        <v>3291</v>
      </c>
      <c r="X912" s="229" t="s">
        <v>4229</v>
      </c>
      <c r="Y912" s="67"/>
      <c r="Z912" s="362" t="s">
        <v>748</v>
      </c>
      <c r="AA912" s="362" t="s">
        <v>1170</v>
      </c>
      <c r="AB912" s="362" t="s">
        <v>1172</v>
      </c>
      <c r="AC912" s="375"/>
    </row>
    <row r="913" spans="1:29" ht="127.5" x14ac:dyDescent="0.2">
      <c r="A913" s="67">
        <v>925</v>
      </c>
      <c r="B913" s="69">
        <v>45230</v>
      </c>
      <c r="C913" s="74">
        <v>0.53125</v>
      </c>
      <c r="D913" s="67" t="s">
        <v>3969</v>
      </c>
      <c r="E913" s="68" t="s">
        <v>3761</v>
      </c>
      <c r="F913" s="67">
        <v>2</v>
      </c>
      <c r="G913" s="67" t="s">
        <v>2785</v>
      </c>
      <c r="H913" s="69">
        <v>45251</v>
      </c>
      <c r="I913" s="69" t="s">
        <v>73</v>
      </c>
      <c r="J913" s="69" t="s">
        <v>31</v>
      </c>
      <c r="K913" s="67">
        <f>IFERROR(VLOOKUP(J913,Jueces!$A$1:$B$11,2,FALSE),"")</f>
        <v>2</v>
      </c>
      <c r="L913" s="67" t="s">
        <v>192</v>
      </c>
      <c r="M913" s="380" t="s">
        <v>3433</v>
      </c>
      <c r="N913" s="67" t="s">
        <v>4194</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7" t="s">
        <v>4195</v>
      </c>
      <c r="Y913" s="67"/>
      <c r="Z913" s="362" t="s">
        <v>1042</v>
      </c>
      <c r="AA913" s="362" t="s">
        <v>3418</v>
      </c>
      <c r="AB913" s="362" t="s">
        <v>3296</v>
      </c>
      <c r="AC913" s="375"/>
    </row>
    <row r="914" spans="1:29" ht="89.25" x14ac:dyDescent="0.2">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4222</v>
      </c>
      <c r="O914" s="83" t="str">
        <f t="shared" ca="1" si="54"/>
        <v>SI</v>
      </c>
      <c r="P914" s="83" t="str">
        <f t="shared" si="53"/>
        <v>DIANOSOL</v>
      </c>
      <c r="Q914" s="67" t="s">
        <v>905</v>
      </c>
      <c r="R914" s="67" t="str">
        <f>VLOOKUP($Q914,Resultados!$A$1:$B$49,2,FALSE)</f>
        <v>Juicio Abreviado</v>
      </c>
      <c r="S914" s="67" t="s">
        <v>1230</v>
      </c>
      <c r="T914" s="86" t="str">
        <f t="shared" si="52"/>
        <v>NO</v>
      </c>
      <c r="U914" s="86"/>
      <c r="V914" s="83"/>
      <c r="W914" s="67" t="s">
        <v>1192</v>
      </c>
      <c r="X914" s="229" t="s">
        <v>4223</v>
      </c>
      <c r="Y914" s="67"/>
      <c r="Z914" s="362" t="s">
        <v>770</v>
      </c>
      <c r="AA914" s="362" t="s">
        <v>2892</v>
      </c>
      <c r="AB914" s="362" t="s">
        <v>1174</v>
      </c>
      <c r="AC914" s="375"/>
    </row>
    <row r="915" spans="1:29" ht="76.5" x14ac:dyDescent="0.2">
      <c r="A915" s="67">
        <v>944</v>
      </c>
      <c r="B915" s="69">
        <v>45233</v>
      </c>
      <c r="C915" s="74">
        <v>0.52777777777777779</v>
      </c>
      <c r="D915" s="67" t="s">
        <v>3845</v>
      </c>
      <c r="E915" s="68" t="s">
        <v>3846</v>
      </c>
      <c r="F915" s="67">
        <v>3</v>
      </c>
      <c r="G915" s="67" t="s">
        <v>2835</v>
      </c>
      <c r="H915" s="69">
        <v>45251</v>
      </c>
      <c r="I915" s="69" t="s">
        <v>73</v>
      </c>
      <c r="J915" s="69" t="s">
        <v>1730</v>
      </c>
      <c r="K915" s="67" t="s">
        <v>3933</v>
      </c>
      <c r="L915" s="67" t="s">
        <v>809</v>
      </c>
      <c r="M915" s="67" t="s">
        <v>695</v>
      </c>
      <c r="N915" s="67" t="s">
        <v>4191</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2" t="s">
        <v>1041</v>
      </c>
      <c r="AA915" s="362" t="s">
        <v>2849</v>
      </c>
      <c r="AB915" s="362" t="s">
        <v>3360</v>
      </c>
      <c r="AC915" s="375"/>
    </row>
    <row r="916" spans="1:29" ht="89.25" x14ac:dyDescent="0.2">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4192</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2" t="s">
        <v>3407</v>
      </c>
      <c r="AA916" s="362" t="s">
        <v>2892</v>
      </c>
      <c r="AB916" s="362" t="s">
        <v>1176</v>
      </c>
      <c r="AC916" s="375"/>
    </row>
    <row r="917" spans="1:29" ht="51" x14ac:dyDescent="0.2">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4224</v>
      </c>
      <c r="O917" s="83" t="str">
        <f t="shared" ca="1" si="54"/>
        <v>SI</v>
      </c>
      <c r="P917" s="83" t="str">
        <f t="shared" si="53"/>
        <v>DIANOSOL</v>
      </c>
      <c r="Q917" s="67" t="s">
        <v>151</v>
      </c>
      <c r="R917" s="67" t="str">
        <f>VLOOKUP($Q917,Resultados!$A$1:$B$49,2,FALSE)</f>
        <v>Prisión Preventiva</v>
      </c>
      <c r="S917" s="67" t="s">
        <v>1608</v>
      </c>
      <c r="T917" s="86" t="str">
        <f t="shared" ref="T917:T980" si="55">IF(G917=$J$1,"SI","NO")</f>
        <v>NO</v>
      </c>
      <c r="U917" s="86"/>
      <c r="V917" s="83"/>
      <c r="W917" s="67" t="s">
        <v>1302</v>
      </c>
      <c r="X917" s="67" t="s">
        <v>4225</v>
      </c>
      <c r="Y917" s="67"/>
      <c r="Z917" s="362" t="s">
        <v>748</v>
      </c>
      <c r="AA917" s="362" t="s">
        <v>3418</v>
      </c>
      <c r="AB917" s="362" t="s">
        <v>1173</v>
      </c>
      <c r="AC917" s="375"/>
    </row>
    <row r="918" spans="1:29" ht="63.75" x14ac:dyDescent="0.2">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4193</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7"/>
      <c r="Y918" s="67"/>
      <c r="Z918" s="362" t="s">
        <v>743</v>
      </c>
      <c r="AA918" s="362" t="s">
        <v>2849</v>
      </c>
      <c r="AB918" s="362" t="s">
        <v>1172</v>
      </c>
      <c r="AC918" s="375"/>
    </row>
    <row r="919" spans="1:29" ht="76.5" x14ac:dyDescent="0.2">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4226</v>
      </c>
      <c r="O919" s="83" t="str">
        <f t="shared" ca="1" si="54"/>
        <v>SI</v>
      </c>
      <c r="P919" s="83" t="str">
        <f t="shared" si="53"/>
        <v>DIANOSOL</v>
      </c>
      <c r="Q919" s="67" t="s">
        <v>904</v>
      </c>
      <c r="R919" s="67" t="str">
        <f>VLOOKUP($Q919,Resultados!$A$1:$B$49,2,FALSE)</f>
        <v>Juicio Abreviado</v>
      </c>
      <c r="S919" s="67" t="s">
        <v>1228</v>
      </c>
      <c r="T919" s="86" t="str">
        <f t="shared" si="55"/>
        <v>NO</v>
      </c>
      <c r="U919" s="86"/>
      <c r="V919" s="83"/>
      <c r="W919" s="67" t="s">
        <v>3578</v>
      </c>
      <c r="X919" s="229" t="s">
        <v>4227</v>
      </c>
      <c r="Y919" s="67"/>
      <c r="Z919" s="362" t="s">
        <v>3407</v>
      </c>
      <c r="AA919" s="362" t="s">
        <v>1170</v>
      </c>
      <c r="AB919" s="362" t="s">
        <v>3296</v>
      </c>
      <c r="AC919" s="375"/>
    </row>
    <row r="920" spans="1:29" ht="140.25" x14ac:dyDescent="0.2">
      <c r="A920" s="375">
        <v>988</v>
      </c>
      <c r="B920" s="397"/>
      <c r="C920" s="375"/>
      <c r="D920" s="360" t="s">
        <v>3987</v>
      </c>
      <c r="E920" s="68" t="s">
        <v>3986</v>
      </c>
      <c r="F920" s="375">
        <v>1</v>
      </c>
      <c r="G920" s="375" t="s">
        <v>2770</v>
      </c>
      <c r="H920" s="397">
        <v>45251</v>
      </c>
      <c r="I920" s="69" t="s">
        <v>1086</v>
      </c>
      <c r="J920" s="397" t="s">
        <v>1219</v>
      </c>
      <c r="K920" s="375">
        <f>IFERROR(VLOOKUP(J920,Jueces!$A$1:$B$11,2,FALSE),"")</f>
        <v>1</v>
      </c>
      <c r="L920" s="67" t="s">
        <v>3118</v>
      </c>
      <c r="M920" s="67" t="s">
        <v>1874</v>
      </c>
      <c r="N920" s="67" t="s">
        <v>4221</v>
      </c>
      <c r="O920" s="67" t="str">
        <f t="shared" ca="1" si="54"/>
        <v>SI</v>
      </c>
      <c r="P920" s="67" t="str">
        <f t="shared" si="53"/>
        <v>DIANOSOL</v>
      </c>
      <c r="Q920" s="67" t="s">
        <v>911</v>
      </c>
      <c r="R920" s="67" t="str">
        <f>VLOOKUP($Q920,Resultados!$A$1:$B$49,2,FALSE)</f>
        <v>Suspendida</v>
      </c>
      <c r="S920" s="67"/>
      <c r="T920" s="77" t="str">
        <f t="shared" si="55"/>
        <v>NO</v>
      </c>
      <c r="U920" s="77"/>
      <c r="V920" s="375"/>
      <c r="W920" s="375"/>
      <c r="X920" s="375"/>
      <c r="Y920" s="375"/>
      <c r="Z920" s="362" t="s">
        <v>770</v>
      </c>
      <c r="AA920" s="419"/>
      <c r="AB920" s="362" t="s">
        <v>1174</v>
      </c>
      <c r="AC920" s="375" t="s">
        <v>1799</v>
      </c>
    </row>
    <row r="921" spans="1:29" ht="39.950000000000003" customHeight="1" x14ac:dyDescent="0.2">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4236</v>
      </c>
      <c r="O921" s="83" t="str">
        <f t="shared" ca="1" si="54"/>
        <v>SI</v>
      </c>
      <c r="P921" s="83" t="str">
        <f t="shared" si="53"/>
        <v>DIANOSOL</v>
      </c>
      <c r="Q921" s="67" t="s">
        <v>151</v>
      </c>
      <c r="R921" s="67" t="str">
        <f>VLOOKUP($Q921,Resultados!$A$1:$B$49,2,FALSE)</f>
        <v>Prisión Preventiva</v>
      </c>
      <c r="S921" s="67" t="s">
        <v>1015</v>
      </c>
      <c r="T921" s="86" t="str">
        <f t="shared" si="55"/>
        <v>NO</v>
      </c>
      <c r="U921" s="86"/>
      <c r="V921" s="83"/>
      <c r="W921" s="67" t="s">
        <v>1005</v>
      </c>
      <c r="X921" s="67" t="s">
        <v>4237</v>
      </c>
      <c r="Y921" s="67"/>
      <c r="Z921" s="123" t="s">
        <v>1042</v>
      </c>
      <c r="AA921" s="123" t="s">
        <v>3418</v>
      </c>
      <c r="AB921" s="123" t="s">
        <v>3360</v>
      </c>
      <c r="AC921" s="375"/>
    </row>
    <row r="922" spans="1:29" ht="39.950000000000003" customHeight="1" x14ac:dyDescent="0.2">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4239</v>
      </c>
      <c r="O922" s="83" t="str">
        <f t="shared" ca="1" si="54"/>
        <v>SI</v>
      </c>
      <c r="P922" s="83" t="str">
        <f t="shared" si="53"/>
        <v>DIANOSOL</v>
      </c>
      <c r="Q922" s="67" t="s">
        <v>899</v>
      </c>
      <c r="R922" s="67" t="str">
        <f>VLOOKUP($Q922,Resultados!$A$1:$B$49,2,FALSE)</f>
        <v>Libertad</v>
      </c>
      <c r="S922" s="67" t="s">
        <v>1236</v>
      </c>
      <c r="T922" s="86" t="str">
        <f t="shared" si="55"/>
        <v>NO</v>
      </c>
      <c r="U922" s="86"/>
      <c r="V922" s="83"/>
      <c r="W922" s="67" t="s">
        <v>1132</v>
      </c>
      <c r="X922" s="233" t="s">
        <v>4240</v>
      </c>
      <c r="Y922" s="67"/>
      <c r="Z922" s="123" t="s">
        <v>770</v>
      </c>
      <c r="AA922" s="123" t="s">
        <v>3417</v>
      </c>
      <c r="AB922" s="123" t="s">
        <v>1173</v>
      </c>
      <c r="AC922" s="375" t="s">
        <v>1799</v>
      </c>
    </row>
    <row r="923" spans="1:29" ht="39.950000000000003" customHeight="1" x14ac:dyDescent="0.2">
      <c r="A923" s="67">
        <v>952</v>
      </c>
      <c r="B923" s="69">
        <v>45236</v>
      </c>
      <c r="C923" s="74">
        <v>0.35833333333333334</v>
      </c>
      <c r="D923" s="67" t="s">
        <v>3862</v>
      </c>
      <c r="E923" s="68" t="s">
        <v>4187</v>
      </c>
      <c r="F923" s="67">
        <v>3</v>
      </c>
      <c r="G923" s="67" t="s">
        <v>568</v>
      </c>
      <c r="H923" s="69">
        <v>45252</v>
      </c>
      <c r="I923" s="69" t="s">
        <v>73</v>
      </c>
      <c r="J923" s="69" t="s">
        <v>33</v>
      </c>
      <c r="K923" s="67">
        <f>IFERROR(VLOOKUP(J923,Jueces!$A$1:$B$11,2,FALSE),"")</f>
        <v>4</v>
      </c>
      <c r="L923" s="67" t="s">
        <v>2235</v>
      </c>
      <c r="M923" s="67" t="s">
        <v>695</v>
      </c>
      <c r="N923" s="67" t="s">
        <v>2259</v>
      </c>
      <c r="O923" s="83" t="str">
        <f t="shared" ca="1" si="54"/>
        <v>SI</v>
      </c>
      <c r="P923" s="83" t="str">
        <f t="shared" si="53"/>
        <v>DIANOSOL</v>
      </c>
      <c r="Q923" s="67" t="s">
        <v>899</v>
      </c>
      <c r="R923" s="67" t="str">
        <f>VLOOKUP($Q923,Resultados!$A$1:$B$49,2,FALSE)</f>
        <v>Libertad</v>
      </c>
      <c r="S923" s="67" t="s">
        <v>1332</v>
      </c>
      <c r="T923" s="86" t="str">
        <f t="shared" si="55"/>
        <v>NO</v>
      </c>
      <c r="U923" s="86"/>
      <c r="V923" s="83"/>
      <c r="W923" s="67" t="s">
        <v>2707</v>
      </c>
      <c r="X923" s="155" t="s">
        <v>4233</v>
      </c>
      <c r="Y923" s="67"/>
      <c r="Z923" s="123" t="s">
        <v>748</v>
      </c>
      <c r="AA923" s="123" t="s">
        <v>1168</v>
      </c>
      <c r="AB923" s="123" t="s">
        <v>1172</v>
      </c>
      <c r="AC923" s="375"/>
    </row>
    <row r="924" spans="1:29" ht="39.950000000000003" customHeight="1" x14ac:dyDescent="0.2">
      <c r="A924" s="375">
        <v>973</v>
      </c>
      <c r="B924" s="397">
        <v>45236</v>
      </c>
      <c r="C924" s="398">
        <v>0.51111111111111118</v>
      </c>
      <c r="D924" s="360" t="s">
        <v>1884</v>
      </c>
      <c r="E924" s="68" t="s">
        <v>3920</v>
      </c>
      <c r="F924" s="375">
        <v>7</v>
      </c>
      <c r="G924" s="375" t="s">
        <v>43</v>
      </c>
      <c r="H924" s="397">
        <v>45252</v>
      </c>
      <c r="I924" s="69" t="s">
        <v>73</v>
      </c>
      <c r="J924" s="397" t="s">
        <v>31</v>
      </c>
      <c r="K924" s="375">
        <f>IFERROR(VLOOKUP(J924,Jueces!$A$1:$B$11,2,FALSE),"")</f>
        <v>2</v>
      </c>
      <c r="L924" s="67" t="s">
        <v>813</v>
      </c>
      <c r="M924" s="380" t="s">
        <v>700</v>
      </c>
      <c r="N924" s="67" t="s">
        <v>4234</v>
      </c>
      <c r="O924" s="83" t="str">
        <f t="shared" ca="1" si="54"/>
        <v>SI</v>
      </c>
      <c r="P924" s="83" t="str">
        <f t="shared" si="53"/>
        <v>DIANOSOL</v>
      </c>
      <c r="Q924" s="67" t="s">
        <v>904</v>
      </c>
      <c r="R924" s="67" t="str">
        <f>VLOOKUP($Q924,Resultados!$A$1:$B$49,2,FALSE)</f>
        <v>Juicio Abreviado</v>
      </c>
      <c r="S924" s="67" t="s">
        <v>1235</v>
      </c>
      <c r="T924" s="86" t="str">
        <f t="shared" si="55"/>
        <v>SI</v>
      </c>
      <c r="U924" s="86"/>
      <c r="V924" s="80"/>
      <c r="W924" s="67" t="s">
        <v>3397</v>
      </c>
      <c r="X924" s="67" t="s">
        <v>4235</v>
      </c>
      <c r="Y924" s="375"/>
      <c r="Z924" s="123" t="s">
        <v>3407</v>
      </c>
      <c r="AA924" s="123" t="s">
        <v>2892</v>
      </c>
      <c r="AB924" s="123" t="s">
        <v>1176</v>
      </c>
      <c r="AC924" s="375" t="s">
        <v>1799</v>
      </c>
    </row>
    <row r="925" spans="1:29" ht="39.950000000000003" customHeight="1" x14ac:dyDescent="0.2">
      <c r="A925" s="375">
        <v>987</v>
      </c>
      <c r="B925" s="397">
        <v>45239</v>
      </c>
      <c r="C925" s="398">
        <v>0.45277777777777778</v>
      </c>
      <c r="D925" s="67" t="s">
        <v>3976</v>
      </c>
      <c r="E925" s="68" t="s">
        <v>3977</v>
      </c>
      <c r="F925" s="375">
        <v>4</v>
      </c>
      <c r="G925" s="375" t="s">
        <v>1441</v>
      </c>
      <c r="H925" s="397">
        <v>45252</v>
      </c>
      <c r="I925" s="69" t="s">
        <v>73</v>
      </c>
      <c r="J925" s="397" t="s">
        <v>1730</v>
      </c>
      <c r="K925" s="67" t="s">
        <v>4184</v>
      </c>
      <c r="L925" s="67" t="s">
        <v>806</v>
      </c>
      <c r="M925" s="7" t="s">
        <v>1992</v>
      </c>
      <c r="N925" s="67" t="s">
        <v>4231</v>
      </c>
      <c r="O925" s="83" t="str">
        <f t="shared" ca="1" si="54"/>
        <v>SI</v>
      </c>
      <c r="P925" s="83" t="str">
        <f t="shared" si="53"/>
        <v>DIANOSOL</v>
      </c>
      <c r="Q925" s="67" t="s">
        <v>904</v>
      </c>
      <c r="R925" s="67" t="str">
        <f>VLOOKUP($Q925,Resultados!$A$1:$B$49,2,FALSE)</f>
        <v>Juicio Abreviado</v>
      </c>
      <c r="S925" s="67" t="s">
        <v>679</v>
      </c>
      <c r="T925" s="86" t="str">
        <f t="shared" si="55"/>
        <v>NO</v>
      </c>
      <c r="U925" s="86"/>
      <c r="V925" s="80"/>
      <c r="W925" s="67" t="s">
        <v>1008</v>
      </c>
      <c r="X925" s="67" t="s">
        <v>4232</v>
      </c>
      <c r="Y925" s="375"/>
      <c r="Z925" s="123" t="s">
        <v>1041</v>
      </c>
      <c r="AA925" s="123" t="s">
        <v>1170</v>
      </c>
      <c r="AB925" s="123" t="s">
        <v>3296</v>
      </c>
      <c r="AC925" s="375"/>
    </row>
    <row r="926" spans="1:29" ht="39.950000000000003" customHeight="1" x14ac:dyDescent="0.2">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4241</v>
      </c>
      <c r="O926" s="83" t="str">
        <f t="shared" ca="1" si="54"/>
        <v>SI</v>
      </c>
      <c r="P926" s="83" t="str">
        <f t="shared" si="53"/>
        <v>DIANOSOL</v>
      </c>
      <c r="Q926" s="67" t="s">
        <v>905</v>
      </c>
      <c r="R926" s="67" t="str">
        <f>VLOOKUP($Q926,Resultados!$A$1:$B$49,2,FALSE)</f>
        <v>Juicio Abreviado</v>
      </c>
      <c r="S926" s="67" t="s">
        <v>1018</v>
      </c>
      <c r="T926" s="86" t="str">
        <f t="shared" si="55"/>
        <v>NO</v>
      </c>
      <c r="U926" s="86"/>
      <c r="V926" s="83"/>
      <c r="W926" s="67" t="s">
        <v>1509</v>
      </c>
      <c r="X926" s="67" t="s">
        <v>4242</v>
      </c>
      <c r="Y926" s="67"/>
      <c r="Z926" s="123" t="s">
        <v>4196</v>
      </c>
      <c r="AA926" s="123" t="s">
        <v>1170</v>
      </c>
      <c r="AB926" s="123" t="s">
        <v>3916</v>
      </c>
      <c r="AC926" s="375"/>
    </row>
    <row r="927" spans="1:29" ht="39.950000000000003" customHeight="1" x14ac:dyDescent="0.2">
      <c r="A927" s="375">
        <v>979</v>
      </c>
      <c r="B927" s="397">
        <v>45219</v>
      </c>
      <c r="C927" s="398">
        <v>0.33333333333333331</v>
      </c>
      <c r="D927" s="360" t="s">
        <v>3941</v>
      </c>
      <c r="E927" s="68" t="s">
        <v>3942</v>
      </c>
      <c r="F927" s="375">
        <v>1</v>
      </c>
      <c r="G927" s="375" t="s">
        <v>2770</v>
      </c>
      <c r="H927" s="397">
        <v>45252</v>
      </c>
      <c r="I927" s="69" t="s">
        <v>1086</v>
      </c>
      <c r="J927" s="397" t="s">
        <v>35</v>
      </c>
      <c r="K927" s="375">
        <f>IFERROR(VLOOKUP(J927,Jueces!$A$1:$B$11,2,FALSE),"")</f>
        <v>3</v>
      </c>
      <c r="L927" s="67" t="s">
        <v>813</v>
      </c>
      <c r="M927" s="67" t="s">
        <v>1385</v>
      </c>
      <c r="N927" s="67" t="s">
        <v>4238</v>
      </c>
      <c r="O927" s="83" t="str">
        <f t="shared" ca="1" si="54"/>
        <v>SI</v>
      </c>
      <c r="P927" s="83" t="str">
        <f t="shared" si="53"/>
        <v>DIANOSOL</v>
      </c>
      <c r="Q927" s="67" t="s">
        <v>911</v>
      </c>
      <c r="R927" s="67" t="str">
        <f>VLOOKUP($Q927,Resultados!$A$1:$B$49,2,FALSE)</f>
        <v>Suspendida</v>
      </c>
      <c r="S927" s="67" t="s">
        <v>1129</v>
      </c>
      <c r="T927" s="86" t="str">
        <f t="shared" si="55"/>
        <v>NO</v>
      </c>
      <c r="U927" s="86"/>
      <c r="V927" s="80"/>
      <c r="W927" s="398">
        <v>0.3840277777777778</v>
      </c>
      <c r="X927" s="375"/>
      <c r="Y927" s="375"/>
      <c r="Z927" s="123" t="s">
        <v>770</v>
      </c>
      <c r="AA927" s="123" t="s">
        <v>2892</v>
      </c>
      <c r="AB927" s="123" t="s">
        <v>3360</v>
      </c>
      <c r="AC927" s="375" t="s">
        <v>1799</v>
      </c>
    </row>
    <row r="928" spans="1:29" ht="39.950000000000003" customHeight="1" x14ac:dyDescent="0.2">
      <c r="A928" s="375">
        <v>1021</v>
      </c>
      <c r="B928" s="397">
        <v>45210</v>
      </c>
      <c r="C928" s="398">
        <v>0.3840277777777778</v>
      </c>
      <c r="D928" s="375" t="s">
        <v>3382</v>
      </c>
      <c r="E928" s="420" t="s">
        <v>3383</v>
      </c>
      <c r="F928" s="375">
        <v>1</v>
      </c>
      <c r="G928" s="375" t="s">
        <v>3833</v>
      </c>
      <c r="H928" s="397">
        <v>45252</v>
      </c>
      <c r="I928" s="69" t="s">
        <v>1086</v>
      </c>
      <c r="J928" s="397" t="s">
        <v>1219</v>
      </c>
      <c r="K928" s="67" t="s">
        <v>3821</v>
      </c>
      <c r="L928" s="67" t="s">
        <v>829</v>
      </c>
      <c r="M928" s="67" t="s">
        <v>1178</v>
      </c>
      <c r="N928" s="67" t="s">
        <v>4243</v>
      </c>
      <c r="O928" s="83" t="str">
        <f t="shared" ca="1" si="54"/>
        <v>SI</v>
      </c>
      <c r="P928" s="83" t="str">
        <f t="shared" si="53"/>
        <v>DIANOSOL</v>
      </c>
      <c r="Q928" s="67" t="s">
        <v>151</v>
      </c>
      <c r="R928" s="67" t="str">
        <f>VLOOKUP($Q928,Resultados!$A$1:$B$49,2,FALSE)</f>
        <v>Prisión Preventiva</v>
      </c>
      <c r="S928" s="67" t="s">
        <v>1130</v>
      </c>
      <c r="T928" s="86" t="str">
        <f t="shared" si="55"/>
        <v>NO</v>
      </c>
      <c r="U928" s="86"/>
      <c r="V928" s="80"/>
      <c r="W928" s="67" t="s">
        <v>3270</v>
      </c>
      <c r="X928" s="229" t="s">
        <v>4244</v>
      </c>
      <c r="Y928" s="375"/>
      <c r="Z928" s="123" t="s">
        <v>748</v>
      </c>
      <c r="AA928" s="123" t="s">
        <v>3417</v>
      </c>
      <c r="AB928" s="123" t="s">
        <v>1176</v>
      </c>
      <c r="AC928" s="375"/>
    </row>
    <row r="929" spans="1:29" ht="39.950000000000003" customHeight="1" x14ac:dyDescent="0.2">
      <c r="A929" s="67">
        <v>954</v>
      </c>
      <c r="B929" s="69">
        <v>45236</v>
      </c>
      <c r="C929" s="74">
        <v>0.40138888888888885</v>
      </c>
      <c r="D929" s="360" t="s">
        <v>3865</v>
      </c>
      <c r="E929" s="68" t="s">
        <v>3959</v>
      </c>
      <c r="F929" s="67">
        <v>4</v>
      </c>
      <c r="G929" s="67" t="s">
        <v>3362</v>
      </c>
      <c r="H929" s="69">
        <v>45252</v>
      </c>
      <c r="I929" s="69" t="s">
        <v>1209</v>
      </c>
      <c r="J929" s="69" t="s">
        <v>31</v>
      </c>
      <c r="K929" s="67">
        <f>IFERROR(VLOOKUP(J929,Jueces!$A$1:$B$11,2,FALSE),"")</f>
        <v>2</v>
      </c>
      <c r="L929" s="67" t="s">
        <v>811</v>
      </c>
      <c r="M929" s="67" t="s">
        <v>3797</v>
      </c>
      <c r="N929" s="67" t="s">
        <v>4245</v>
      </c>
      <c r="O929" s="83" t="str">
        <f t="shared" ca="1" si="54"/>
        <v>SI</v>
      </c>
      <c r="P929" s="83" t="str">
        <f t="shared" si="53"/>
        <v>DIANOSOL</v>
      </c>
      <c r="Q929" s="67" t="s">
        <v>902</v>
      </c>
      <c r="R929" s="67" t="str">
        <f>VLOOKUP($Q929,Resultados!$A$1:$B$49,2,FALSE)</f>
        <v>Libertad</v>
      </c>
      <c r="S929" s="67" t="s">
        <v>1805</v>
      </c>
      <c r="T929" s="86" t="str">
        <f t="shared" si="55"/>
        <v>NO</v>
      </c>
      <c r="U929" s="86"/>
      <c r="V929" s="83"/>
      <c r="W929" s="67" t="s">
        <v>3208</v>
      </c>
      <c r="X929" s="7" t="s">
        <v>1310</v>
      </c>
      <c r="Y929" s="67"/>
      <c r="Z929" s="123" t="s">
        <v>3407</v>
      </c>
      <c r="AA929" s="123" t="s">
        <v>3417</v>
      </c>
      <c r="AB929" s="123" t="s">
        <v>1173</v>
      </c>
      <c r="AC929" s="375" t="s">
        <v>1799</v>
      </c>
    </row>
    <row r="930" spans="1:29" ht="39.950000000000003" customHeight="1" x14ac:dyDescent="0.2">
      <c r="A930" s="67">
        <v>965</v>
      </c>
      <c r="B930" s="69">
        <v>45237</v>
      </c>
      <c r="C930" s="74">
        <v>0.3840277777777778</v>
      </c>
      <c r="D930" s="67" t="s">
        <v>3899</v>
      </c>
      <c r="E930" s="68" t="s">
        <v>3900</v>
      </c>
      <c r="F930" s="67">
        <v>3</v>
      </c>
      <c r="G930" s="67" t="s">
        <v>1440</v>
      </c>
      <c r="H930" s="69">
        <v>45252</v>
      </c>
      <c r="I930" s="69" t="s">
        <v>1209</v>
      </c>
      <c r="J930" s="69" t="s">
        <v>1219</v>
      </c>
      <c r="K930" s="67" t="s">
        <v>3933</v>
      </c>
      <c r="L930" s="67" t="s">
        <v>2088</v>
      </c>
      <c r="M930" s="380" t="s">
        <v>3915</v>
      </c>
      <c r="N930" s="67" t="s">
        <v>4246</v>
      </c>
      <c r="O930" s="214" t="str">
        <f t="shared" ca="1" si="54"/>
        <v>SI</v>
      </c>
      <c r="P930" s="214" t="str">
        <f t="shared" si="53"/>
        <v>DIANOSOL</v>
      </c>
      <c r="Q930" s="67" t="s">
        <v>905</v>
      </c>
      <c r="R930" s="67" t="str">
        <f>VLOOKUP($Q930,Resultados!$A$1:$B$49,2,FALSE)</f>
        <v>Juicio Abreviado</v>
      </c>
      <c r="S930" s="67" t="s">
        <v>1464</v>
      </c>
      <c r="T930" s="281" t="str">
        <f t="shared" si="55"/>
        <v>NO</v>
      </c>
      <c r="U930" s="281"/>
      <c r="V930" s="214"/>
      <c r="W930" s="67" t="s">
        <v>3208</v>
      </c>
      <c r="X930" s="273" t="s">
        <v>4247</v>
      </c>
      <c r="Y930" s="67"/>
      <c r="Z930" s="123" t="s">
        <v>770</v>
      </c>
      <c r="AA930" s="123" t="s">
        <v>3418</v>
      </c>
      <c r="AB930" s="123" t="s">
        <v>1172</v>
      </c>
      <c r="AC930" s="375"/>
    </row>
    <row r="931" spans="1:29" ht="39.950000000000003" customHeight="1" x14ac:dyDescent="0.2">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4249</v>
      </c>
      <c r="O931" s="83" t="str">
        <f t="shared" ca="1" si="54"/>
        <v>SI</v>
      </c>
      <c r="P931" s="83" t="str">
        <f t="shared" si="53"/>
        <v>DIANOSOL</v>
      </c>
      <c r="Q931" s="67" t="s">
        <v>904</v>
      </c>
      <c r="R931" s="67" t="str">
        <f>VLOOKUP($Q931,Resultados!$A$1:$B$49,2,FALSE)</f>
        <v>Juicio Abreviado</v>
      </c>
      <c r="S931" s="67" t="s">
        <v>3347</v>
      </c>
      <c r="T931" s="86" t="str">
        <f t="shared" si="55"/>
        <v>NO</v>
      </c>
      <c r="U931" s="86"/>
      <c r="V931" s="83"/>
      <c r="W931" s="67" t="s">
        <v>4248</v>
      </c>
      <c r="X931" s="273" t="s">
        <v>4250</v>
      </c>
      <c r="Y931" s="67"/>
      <c r="Z931" s="123" t="s">
        <v>748</v>
      </c>
      <c r="AA931" s="123" t="s">
        <v>1170</v>
      </c>
      <c r="AB931" s="123" t="s">
        <v>3296</v>
      </c>
      <c r="AC931" s="375" t="s">
        <v>1799</v>
      </c>
    </row>
    <row r="932" spans="1:29" ht="39.950000000000003" customHeight="1" x14ac:dyDescent="0.2">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4327</v>
      </c>
      <c r="O932" s="83" t="str">
        <f t="shared" ca="1" si="54"/>
        <v>SI</v>
      </c>
      <c r="P932" s="83" t="str">
        <f t="shared" si="53"/>
        <v>DIASOL</v>
      </c>
      <c r="Q932" s="67" t="s">
        <v>151</v>
      </c>
      <c r="R932" s="67" t="str">
        <f>VLOOKUP($Q932,Resultados!$A$1:$B$49,2,FALSE)</f>
        <v>Prisión Preventiva</v>
      </c>
      <c r="S932" s="67" t="s">
        <v>1531</v>
      </c>
      <c r="T932" s="86" t="str">
        <f t="shared" si="55"/>
        <v>NO</v>
      </c>
      <c r="U932" s="86"/>
      <c r="V932" s="83"/>
      <c r="W932" s="67" t="s">
        <v>76</v>
      </c>
      <c r="X932" s="67" t="s">
        <v>3253</v>
      </c>
      <c r="Y932" s="67"/>
      <c r="Z932" s="123" t="s">
        <v>770</v>
      </c>
      <c r="AA932" s="123" t="s">
        <v>3418</v>
      </c>
      <c r="AB932" s="67" t="s">
        <v>1174</v>
      </c>
      <c r="AC932" s="375"/>
    </row>
    <row r="933" spans="1:29" ht="39.950000000000003" customHeight="1" x14ac:dyDescent="0.2">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4323</v>
      </c>
      <c r="O933" s="83" t="str">
        <f t="shared" ca="1" si="54"/>
        <v>SI</v>
      </c>
      <c r="P933" s="83" t="str">
        <f t="shared" si="53"/>
        <v>DIASOL</v>
      </c>
      <c r="Q933" s="67" t="s">
        <v>899</v>
      </c>
      <c r="R933" s="67" t="str">
        <f>VLOOKUP($Q933,Resultados!$A$1:$B$49,2,FALSE)</f>
        <v>Libertad</v>
      </c>
      <c r="S933" s="67" t="s">
        <v>1428</v>
      </c>
      <c r="T933" s="86" t="str">
        <f t="shared" si="55"/>
        <v>NO</v>
      </c>
      <c r="U933" s="86"/>
      <c r="V933" s="83"/>
      <c r="W933" s="67" t="s">
        <v>2074</v>
      </c>
      <c r="X933" s="67" t="s">
        <v>4324</v>
      </c>
      <c r="Y933" s="67"/>
      <c r="Z933" s="123" t="s">
        <v>748</v>
      </c>
      <c r="AA933" s="123" t="s">
        <v>2892</v>
      </c>
      <c r="AB933" s="67" t="s">
        <v>3360</v>
      </c>
      <c r="AC933" s="375"/>
    </row>
    <row r="934" spans="1:29" ht="39.950000000000003" customHeight="1" x14ac:dyDescent="0.2">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t="shared" ca="1" si="54"/>
        <v>SI</v>
      </c>
      <c r="P934" s="83" t="str">
        <f t="shared" si="53"/>
        <v>DIASOL</v>
      </c>
      <c r="Q934" s="67" t="s">
        <v>151</v>
      </c>
      <c r="R934" s="67" t="str">
        <f>VLOOKUP($Q934,Resultados!$A$1:$B$49,2,FALSE)</f>
        <v>Prisión Preventiva</v>
      </c>
      <c r="S934" s="67" t="s">
        <v>1340</v>
      </c>
      <c r="T934" s="86" t="str">
        <f t="shared" si="55"/>
        <v>NO</v>
      </c>
      <c r="U934" s="86"/>
      <c r="V934" s="83"/>
      <c r="W934" s="67" t="s">
        <v>1129</v>
      </c>
      <c r="X934" s="67" t="s">
        <v>2981</v>
      </c>
      <c r="Y934" s="67"/>
      <c r="Z934" s="123" t="s">
        <v>1042</v>
      </c>
      <c r="AA934" s="123" t="s">
        <v>3417</v>
      </c>
      <c r="AB934" s="67" t="s">
        <v>1173</v>
      </c>
      <c r="AC934" s="375"/>
    </row>
    <row r="935" spans="1:29" ht="39.950000000000003" customHeight="1" x14ac:dyDescent="0.2">
      <c r="A935" s="67">
        <v>958</v>
      </c>
      <c r="B935" s="69">
        <v>45236</v>
      </c>
      <c r="C935" s="74">
        <v>0.51597222222222217</v>
      </c>
      <c r="D935" s="67" t="s">
        <v>3888</v>
      </c>
      <c r="E935" s="68" t="s">
        <v>3962</v>
      </c>
      <c r="F935" s="67">
        <v>4</v>
      </c>
      <c r="G935" s="67" t="s">
        <v>1442</v>
      </c>
      <c r="H935" s="69">
        <v>45253</v>
      </c>
      <c r="I935" s="69" t="s">
        <v>73</v>
      </c>
      <c r="J935" s="69" t="s">
        <v>35</v>
      </c>
      <c r="K935" s="67">
        <f>IFERROR(VLOOKUP(J935,Jueces!$A$1:$B$11,2,FALSE),"")</f>
        <v>3</v>
      </c>
      <c r="L935" s="67" t="s">
        <v>812</v>
      </c>
      <c r="M935" s="7" t="s">
        <v>1874</v>
      </c>
      <c r="N935" s="67" t="s">
        <v>2194</v>
      </c>
      <c r="O935" s="83" t="str">
        <f t="shared" ca="1" si="54"/>
        <v>SI</v>
      </c>
      <c r="P935" s="83" t="str">
        <f t="shared" si="53"/>
        <v>DIASOL</v>
      </c>
      <c r="Q935" s="67" t="s">
        <v>904</v>
      </c>
      <c r="R935" s="67" t="str">
        <f>VLOOKUP($Q935,Resultados!$A$1:$B$49,2,FALSE)</f>
        <v>Juicio Abreviado</v>
      </c>
      <c r="S935" s="67" t="s">
        <v>1531</v>
      </c>
      <c r="T935" s="86" t="str">
        <f t="shared" si="55"/>
        <v>NO</v>
      </c>
      <c r="U935" s="86"/>
      <c r="V935" s="83"/>
      <c r="W935" s="67" t="s">
        <v>3131</v>
      </c>
      <c r="X935" s="67" t="s">
        <v>2568</v>
      </c>
      <c r="Y935" s="67"/>
      <c r="Z935" s="123" t="s">
        <v>3407</v>
      </c>
      <c r="AA935" s="123" t="s">
        <v>1170</v>
      </c>
      <c r="AB935" s="67" t="s">
        <v>1176</v>
      </c>
      <c r="AC935" s="375"/>
    </row>
    <row r="936" spans="1:29" ht="39.950000000000003" customHeight="1" x14ac:dyDescent="0.2">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t="shared" ca="1" si="54"/>
        <v>SI</v>
      </c>
      <c r="P936" s="83" t="str">
        <f t="shared" si="53"/>
        <v>DIASOL</v>
      </c>
      <c r="Q936" s="67" t="s">
        <v>905</v>
      </c>
      <c r="R936" s="67" t="str">
        <f>VLOOKUP($Q936,Resultados!$A$1:$B$49,2,FALSE)</f>
        <v>Juicio Abreviado</v>
      </c>
      <c r="S936" s="67" t="s">
        <v>1509</v>
      </c>
      <c r="T936" s="86" t="str">
        <f t="shared" si="55"/>
        <v>NO</v>
      </c>
      <c r="U936" s="86"/>
      <c r="V936" s="83"/>
      <c r="W936" s="67" t="s">
        <v>2682</v>
      </c>
      <c r="X936" s="67" t="s">
        <v>3192</v>
      </c>
      <c r="Y936" s="67"/>
      <c r="Z936" s="123" t="s">
        <v>3407</v>
      </c>
      <c r="AA936" s="123" t="s">
        <v>2892</v>
      </c>
      <c r="AB936" s="67" t="s">
        <v>1172</v>
      </c>
      <c r="AC936" s="375"/>
    </row>
    <row r="937" spans="1:29" ht="39.950000000000003" customHeight="1" x14ac:dyDescent="0.2">
      <c r="A937" s="67">
        <v>964</v>
      </c>
      <c r="B937" s="69">
        <v>45237</v>
      </c>
      <c r="C937" s="74">
        <v>0.39444444444444443</v>
      </c>
      <c r="D937" s="67" t="s">
        <v>3898</v>
      </c>
      <c r="E937" s="68" t="s">
        <v>3928</v>
      </c>
      <c r="F937" s="67">
        <v>3</v>
      </c>
      <c r="G937" s="67" t="s">
        <v>2835</v>
      </c>
      <c r="H937" s="69">
        <v>45253</v>
      </c>
      <c r="I937" s="69" t="s">
        <v>1086</v>
      </c>
      <c r="J937" s="69" t="s">
        <v>78</v>
      </c>
      <c r="K937" s="67">
        <f>IFERROR(VLOOKUP(J937,Jueces!$A$1:$B$11,2,FALSE),"")</f>
        <v>8</v>
      </c>
      <c r="L937" s="67" t="s">
        <v>796</v>
      </c>
      <c r="M937" s="380" t="s">
        <v>695</v>
      </c>
      <c r="N937" s="67" t="s">
        <v>4328</v>
      </c>
      <c r="O937" s="83" t="str">
        <f t="shared" ca="1" si="54"/>
        <v>SI</v>
      </c>
      <c r="P937" s="83" t="str">
        <f t="shared" si="53"/>
        <v>DIASOL</v>
      </c>
      <c r="Q937" s="67" t="s">
        <v>1012</v>
      </c>
      <c r="R937" s="67" t="str">
        <f>VLOOKUP($Q937,Resultados!$A$1:$B$49,2,FALSE)</f>
        <v>Suspendida</v>
      </c>
      <c r="S937" s="67"/>
      <c r="T937" s="86" t="str">
        <f t="shared" si="55"/>
        <v>NO</v>
      </c>
      <c r="U937" s="86"/>
      <c r="V937" s="83"/>
      <c r="W937" s="67"/>
      <c r="X937" s="67"/>
      <c r="Y937" s="67"/>
      <c r="Z937" s="123" t="s">
        <v>743</v>
      </c>
      <c r="AA937" s="123" t="s">
        <v>1170</v>
      </c>
      <c r="AB937" s="67" t="s">
        <v>3296</v>
      </c>
      <c r="AC937" s="375"/>
    </row>
    <row r="938" spans="1:29" ht="39.950000000000003" customHeight="1" x14ac:dyDescent="0.2">
      <c r="A938" s="67">
        <v>940</v>
      </c>
      <c r="B938" s="69">
        <v>45232</v>
      </c>
      <c r="C938" s="74">
        <v>0.52638888888888891</v>
      </c>
      <c r="D938" s="67" t="s">
        <v>3826</v>
      </c>
      <c r="E938" s="68" t="s">
        <v>3858</v>
      </c>
      <c r="F938" s="67">
        <v>4</v>
      </c>
      <c r="G938" s="67" t="s">
        <v>2785</v>
      </c>
      <c r="H938" s="69">
        <v>45253</v>
      </c>
      <c r="I938" s="69" t="s">
        <v>1209</v>
      </c>
      <c r="J938" s="69" t="s">
        <v>1219</v>
      </c>
      <c r="K938" s="67" t="s">
        <v>3965</v>
      </c>
      <c r="L938" s="67" t="s">
        <v>806</v>
      </c>
      <c r="M938" s="67" t="s">
        <v>3797</v>
      </c>
      <c r="N938" s="67" t="s">
        <v>4325</v>
      </c>
      <c r="O938" s="83" t="str">
        <f t="shared" ca="1" si="54"/>
        <v>SI</v>
      </c>
      <c r="P938" s="83" t="str">
        <f t="shared" si="53"/>
        <v>DIASOL</v>
      </c>
      <c r="Q938" s="67" t="s">
        <v>904</v>
      </c>
      <c r="R938" s="67" t="str">
        <f>VLOOKUP($Q938,Resultados!$A$1:$B$49,2,FALSE)</f>
        <v>Juicio Abreviado</v>
      </c>
      <c r="S938" s="67" t="s">
        <v>3666</v>
      </c>
      <c r="T938" s="86" t="str">
        <f t="shared" si="55"/>
        <v>NO</v>
      </c>
      <c r="U938" s="86"/>
      <c r="V938" s="83"/>
      <c r="W938" s="67" t="s">
        <v>1779</v>
      </c>
      <c r="X938" s="67" t="s">
        <v>4326</v>
      </c>
      <c r="Y938" s="67"/>
      <c r="Z938" s="123" t="s">
        <v>743</v>
      </c>
      <c r="AA938" s="123" t="s">
        <v>3418</v>
      </c>
      <c r="AB938" s="67" t="s">
        <v>1174</v>
      </c>
      <c r="AC938" s="375"/>
    </row>
    <row r="939" spans="1:29" ht="39.950000000000003" customHeight="1" x14ac:dyDescent="0.2">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50" t="s">
        <v>3861</v>
      </c>
      <c r="N939" s="67" t="s">
        <v>4321</v>
      </c>
      <c r="O939" s="83" t="str">
        <f t="shared" ca="1" si="54"/>
        <v>SI</v>
      </c>
      <c r="P939" s="83" t="str">
        <f t="shared" si="53"/>
        <v>DIANOSOL</v>
      </c>
      <c r="Q939" s="67" t="s">
        <v>151</v>
      </c>
      <c r="R939" s="67" t="str">
        <f>VLOOKUP($Q939,Resultados!$A$1:$B$49,2,FALSE)</f>
        <v>Prisión Preventiva</v>
      </c>
      <c r="S939" s="67" t="s">
        <v>1122</v>
      </c>
      <c r="T939" s="86" t="str">
        <f t="shared" si="55"/>
        <v>NO</v>
      </c>
      <c r="U939" s="86"/>
      <c r="V939" s="83"/>
      <c r="W939" s="67" t="s">
        <v>1084</v>
      </c>
      <c r="X939" s="67"/>
      <c r="Y939" s="67"/>
      <c r="Z939" s="67" t="s">
        <v>743</v>
      </c>
      <c r="AA939" s="123" t="s">
        <v>2892</v>
      </c>
      <c r="AB939" s="67" t="s">
        <v>3360</v>
      </c>
      <c r="AC939" s="375"/>
    </row>
    <row r="940" spans="1:29" ht="39.950000000000003" customHeight="1" x14ac:dyDescent="0.2">
      <c r="A940" s="67">
        <v>938</v>
      </c>
      <c r="B940" s="69">
        <v>45232</v>
      </c>
      <c r="C940" s="74">
        <v>0.50763888888888886</v>
      </c>
      <c r="D940" s="67" t="s">
        <v>3824</v>
      </c>
      <c r="E940" s="68" t="s">
        <v>3857</v>
      </c>
      <c r="F940" s="67">
        <v>4</v>
      </c>
      <c r="G940" s="67" t="s">
        <v>568</v>
      </c>
      <c r="H940" s="69">
        <v>45254</v>
      </c>
      <c r="I940" s="69" t="s">
        <v>73</v>
      </c>
      <c r="J940" s="69" t="s">
        <v>2951</v>
      </c>
      <c r="K940" s="67" t="s">
        <v>3965</v>
      </c>
      <c r="L940" s="67" t="s">
        <v>812</v>
      </c>
      <c r="M940" s="67" t="s">
        <v>1968</v>
      </c>
      <c r="N940" s="229" t="s">
        <v>4319</v>
      </c>
      <c r="O940" s="83" t="str">
        <f t="shared" ca="1" si="54"/>
        <v>SI</v>
      </c>
      <c r="P940" s="83" t="str">
        <f t="shared" si="53"/>
        <v>DIANOSOL</v>
      </c>
      <c r="Q940" s="67" t="s">
        <v>904</v>
      </c>
      <c r="R940" s="67" t="str">
        <f>VLOOKUP($Q940,Resultados!$A$1:$B$49,2,FALSE)</f>
        <v>Juicio Abreviado</v>
      </c>
      <c r="S940" s="67" t="s">
        <v>2678</v>
      </c>
      <c r="T940" s="86" t="str">
        <f t="shared" si="55"/>
        <v>NO</v>
      </c>
      <c r="U940" s="86"/>
      <c r="V940" s="83"/>
      <c r="W940" s="67" t="s">
        <v>1086</v>
      </c>
      <c r="X940" s="234" t="s">
        <v>4320</v>
      </c>
      <c r="Y940" s="67"/>
      <c r="Z940" s="67" t="s">
        <v>3407</v>
      </c>
      <c r="AA940" s="123" t="s">
        <v>1168</v>
      </c>
      <c r="AB940" s="67" t="s">
        <v>1176</v>
      </c>
      <c r="AC940" s="375"/>
    </row>
    <row r="941" spans="1:29" ht="39.950000000000003" customHeight="1" x14ac:dyDescent="0.2">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4315</v>
      </c>
      <c r="O941" s="83" t="str">
        <f t="shared" ca="1" si="54"/>
        <v>SI</v>
      </c>
      <c r="P941" s="83" t="str">
        <f t="shared" si="53"/>
        <v>DIANOSOL</v>
      </c>
      <c r="Q941" s="67" t="s">
        <v>904</v>
      </c>
      <c r="R941" s="67" t="str">
        <f>VLOOKUP($Q941,Resultados!$A$1:$B$49,2,FALSE)</f>
        <v>Juicio Abreviado</v>
      </c>
      <c r="S941" s="67" t="s">
        <v>1186</v>
      </c>
      <c r="T941" s="86" t="str">
        <f t="shared" si="55"/>
        <v>NO</v>
      </c>
      <c r="U941" s="86"/>
      <c r="V941" s="83"/>
      <c r="W941" s="67" t="s">
        <v>1332</v>
      </c>
      <c r="X941" s="234" t="s">
        <v>4316</v>
      </c>
      <c r="Y941" s="67"/>
      <c r="Z941" s="67" t="s">
        <v>770</v>
      </c>
      <c r="AA941" s="123" t="s">
        <v>2849</v>
      </c>
      <c r="AB941" s="67" t="s">
        <v>1173</v>
      </c>
      <c r="AC941" s="375"/>
    </row>
    <row r="942" spans="1:29" ht="39.950000000000003" customHeight="1" x14ac:dyDescent="0.2">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4317</v>
      </c>
      <c r="O942" s="83" t="str">
        <f t="shared" ca="1" si="54"/>
        <v>SI</v>
      </c>
      <c r="P942" s="83" t="str">
        <f t="shared" si="53"/>
        <v>DIANOSOL</v>
      </c>
      <c r="Q942" s="67" t="s">
        <v>904</v>
      </c>
      <c r="R942" s="67" t="str">
        <f>VLOOKUP($Q942,Resultados!$A$1:$B$49,2,FALSE)</f>
        <v>Juicio Abreviado</v>
      </c>
      <c r="S942" s="67" t="s">
        <v>1340</v>
      </c>
      <c r="T942" s="86" t="str">
        <f t="shared" si="55"/>
        <v>NO</v>
      </c>
      <c r="U942" s="86"/>
      <c r="V942" s="83"/>
      <c r="W942" s="67" t="s">
        <v>1123</v>
      </c>
      <c r="X942" s="369" t="s">
        <v>4318</v>
      </c>
      <c r="Y942" s="67"/>
      <c r="Z942" s="67" t="s">
        <v>1041</v>
      </c>
      <c r="AA942" s="123" t="s">
        <v>1170</v>
      </c>
      <c r="AB942" s="67" t="s">
        <v>1172</v>
      </c>
      <c r="AC942" s="375"/>
    </row>
    <row r="943" spans="1:29" ht="39.950000000000003" customHeight="1" x14ac:dyDescent="0.2">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4313</v>
      </c>
      <c r="O943" s="83" t="str">
        <f t="shared" ca="1" si="54"/>
        <v>SI</v>
      </c>
      <c r="P943" s="83" t="str">
        <f t="shared" si="53"/>
        <v>DIANOSOL</v>
      </c>
      <c r="Q943" s="67" t="s">
        <v>899</v>
      </c>
      <c r="R943" s="67" t="str">
        <f>VLOOKUP($Q943,Resultados!$A$1:$B$49,2,FALSE)</f>
        <v>Libertad</v>
      </c>
      <c r="S943" s="67" t="s">
        <v>1233</v>
      </c>
      <c r="T943" s="86" t="str">
        <f t="shared" si="55"/>
        <v>NO</v>
      </c>
      <c r="U943" s="86"/>
      <c r="V943" s="83"/>
      <c r="W943" s="67" t="s">
        <v>4312</v>
      </c>
      <c r="X943" s="229" t="s">
        <v>4314</v>
      </c>
      <c r="Y943" s="67"/>
      <c r="Z943" s="67" t="s">
        <v>770</v>
      </c>
      <c r="AA943" s="123" t="s">
        <v>2892</v>
      </c>
      <c r="AB943" s="67" t="s">
        <v>3296</v>
      </c>
      <c r="AC943" s="375"/>
    </row>
    <row r="944" spans="1:29" ht="39.950000000000003" customHeight="1" x14ac:dyDescent="0.2">
      <c r="A944" s="67">
        <v>941</v>
      </c>
      <c r="B944" s="69"/>
      <c r="C944" s="74">
        <v>0.53541666666666665</v>
      </c>
      <c r="D944" s="67" t="s">
        <v>3827</v>
      </c>
      <c r="E944" s="68" t="s">
        <v>4059</v>
      </c>
      <c r="F944" s="67">
        <v>4</v>
      </c>
      <c r="G944" s="67" t="s">
        <v>1440</v>
      </c>
      <c r="H944" s="69">
        <v>45254</v>
      </c>
      <c r="I944" s="69" t="s">
        <v>1086</v>
      </c>
      <c r="J944" s="69" t="s">
        <v>31</v>
      </c>
      <c r="K944" s="67">
        <f>IFERROR(VLOOKUP(J944,Jueces!$A$1:$B$11,2,FALSE),"")</f>
        <v>2</v>
      </c>
      <c r="L944" s="67" t="s">
        <v>791</v>
      </c>
      <c r="M944" s="67" t="s">
        <v>3797</v>
      </c>
      <c r="N944" s="67" t="s">
        <v>2073</v>
      </c>
      <c r="O944" s="83" t="str">
        <f t="shared" ca="1" si="54"/>
        <v>SI</v>
      </c>
      <c r="P944" s="83" t="str">
        <f t="shared" si="53"/>
        <v>DIANOSOL</v>
      </c>
      <c r="Q944" s="67" t="s">
        <v>912</v>
      </c>
      <c r="R944" s="67" t="str">
        <f>VLOOKUP($Q944,Resultados!$A$1:$B$49,2,FALSE)</f>
        <v>Suspendida</v>
      </c>
      <c r="S944" s="67" t="s">
        <v>1004</v>
      </c>
      <c r="T944" s="86" t="str">
        <f t="shared" si="55"/>
        <v>NO</v>
      </c>
      <c r="U944" s="86"/>
      <c r="V944" s="83"/>
      <c r="W944" s="67" t="s">
        <v>1278</v>
      </c>
      <c r="X944" s="234" t="s">
        <v>4311</v>
      </c>
      <c r="Y944" s="67"/>
      <c r="Z944" s="67" t="s">
        <v>1042</v>
      </c>
      <c r="AA944" s="123" t="s">
        <v>1168</v>
      </c>
      <c r="AB944" s="67" t="s">
        <v>1174</v>
      </c>
      <c r="AC944" s="375"/>
    </row>
    <row r="945" spans="1:29" ht="39.950000000000003" customHeight="1" x14ac:dyDescent="0.2">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4322</v>
      </c>
      <c r="O945" s="67" t="str">
        <f t="shared" ca="1" si="54"/>
        <v>SI</v>
      </c>
      <c r="P945" s="67" t="str">
        <f t="shared" si="53"/>
        <v>DIANOSOL</v>
      </c>
      <c r="Q945" s="67" t="s">
        <v>912</v>
      </c>
      <c r="R945" s="67" t="str">
        <f>VLOOKUP($Q945,Resultados!$A$1:$B$49,2,FALSE)</f>
        <v>Suspendida</v>
      </c>
      <c r="S945" s="67"/>
      <c r="T945" s="77" t="str">
        <f t="shared" si="55"/>
        <v>NO</v>
      </c>
      <c r="U945" s="77"/>
      <c r="V945" s="67"/>
      <c r="W945" s="67"/>
      <c r="X945" s="67"/>
      <c r="Y945" s="67"/>
      <c r="Z945" s="67" t="s">
        <v>3407</v>
      </c>
      <c r="AA945" s="123" t="s">
        <v>1170</v>
      </c>
      <c r="AB945" s="67" t="s">
        <v>3360</v>
      </c>
      <c r="AC945" s="375"/>
    </row>
    <row r="946" spans="1:29" ht="39.950000000000003" customHeight="1" x14ac:dyDescent="0.2">
      <c r="A946" s="375">
        <v>972</v>
      </c>
      <c r="B946" s="397">
        <v>45237</v>
      </c>
      <c r="C946" s="398">
        <v>0.43263888888888885</v>
      </c>
      <c r="D946" s="67" t="s">
        <v>3911</v>
      </c>
      <c r="E946" s="68" t="s">
        <v>3912</v>
      </c>
      <c r="F946" s="375">
        <v>3</v>
      </c>
      <c r="G946" s="375" t="s">
        <v>2835</v>
      </c>
      <c r="H946" s="397">
        <v>45254</v>
      </c>
      <c r="I946" s="69" t="s">
        <v>1086</v>
      </c>
      <c r="J946" s="397" t="s">
        <v>1220</v>
      </c>
      <c r="K946" s="375">
        <f>IFERROR(VLOOKUP(J946,Jueces!$A$1:$B$11,2,FALSE),"")</f>
        <v>7</v>
      </c>
      <c r="L946" s="67" t="s">
        <v>829</v>
      </c>
      <c r="M946" s="67" t="s">
        <v>2774</v>
      </c>
      <c r="N946" s="67" t="s">
        <v>1751</v>
      </c>
      <c r="O946" s="83" t="str">
        <f t="shared" ca="1" si="54"/>
        <v>SI</v>
      </c>
      <c r="P946" s="83" t="str">
        <f t="shared" si="53"/>
        <v>DIANOSOL</v>
      </c>
      <c r="Q946" s="67" t="s">
        <v>151</v>
      </c>
      <c r="R946" s="67" t="str">
        <f>VLOOKUP($Q946,Resultados!$A$1:$B$49,2,FALSE)</f>
        <v>Prisión Preventiva</v>
      </c>
      <c r="S946" s="67" t="s">
        <v>1449</v>
      </c>
      <c r="T946" s="86" t="str">
        <f t="shared" si="55"/>
        <v>NO</v>
      </c>
      <c r="U946" s="86"/>
      <c r="V946" s="80"/>
      <c r="W946" s="67" t="s">
        <v>1800</v>
      </c>
      <c r="X946" s="229" t="s">
        <v>4310</v>
      </c>
      <c r="Y946" s="375"/>
      <c r="Z946" s="67" t="s">
        <v>743</v>
      </c>
      <c r="AA946" s="123" t="s">
        <v>2849</v>
      </c>
      <c r="AB946" s="67" t="s">
        <v>1176</v>
      </c>
      <c r="AC946" s="375"/>
    </row>
    <row r="947" spans="1:29" ht="39.950000000000003" customHeight="1" x14ac:dyDescent="0.2">
      <c r="A947" s="375">
        <v>1036</v>
      </c>
      <c r="B947" s="397">
        <v>45246</v>
      </c>
      <c r="C947" s="398">
        <v>0.53263888888888888</v>
      </c>
      <c r="D947" s="67" t="s">
        <v>4161</v>
      </c>
      <c r="E947" s="68" t="s">
        <v>4200</v>
      </c>
      <c r="F947" s="375">
        <v>4</v>
      </c>
      <c r="G947" s="375" t="s">
        <v>2771</v>
      </c>
      <c r="H947" s="397">
        <v>45254</v>
      </c>
      <c r="I947" s="69" t="s">
        <v>989</v>
      </c>
      <c r="J947" s="397" t="s">
        <v>31</v>
      </c>
      <c r="K947" s="67" t="s">
        <v>4254</v>
      </c>
      <c r="L947" s="67" t="s">
        <v>798</v>
      </c>
      <c r="M947" s="67" t="s">
        <v>4307</v>
      </c>
      <c r="N947" s="67" t="s">
        <v>4308</v>
      </c>
      <c r="O947" s="83" t="str">
        <f t="shared" ca="1" si="54"/>
        <v>SI</v>
      </c>
      <c r="P947" s="83" t="str">
        <f t="shared" si="53"/>
        <v>DIANOSOL</v>
      </c>
      <c r="Q947" s="67" t="s">
        <v>899</v>
      </c>
      <c r="R947" s="67" t="str">
        <f>VLOOKUP($Q947,Resultados!$A$1:$B$49,2,FALSE)</f>
        <v>Libertad</v>
      </c>
      <c r="S947" s="67" t="s">
        <v>1770</v>
      </c>
      <c r="T947" s="86" t="str">
        <f t="shared" si="55"/>
        <v>NO</v>
      </c>
      <c r="U947" s="86"/>
      <c r="V947" s="80"/>
      <c r="W947" s="67" t="s">
        <v>1149</v>
      </c>
      <c r="X947" s="448" t="s">
        <v>4309</v>
      </c>
      <c r="Y947" s="375"/>
      <c r="Z947" s="67" t="s">
        <v>770</v>
      </c>
      <c r="AA947" s="375"/>
      <c r="AB947" s="375"/>
      <c r="AC947" s="375"/>
    </row>
    <row r="948" spans="1:29" ht="39.950000000000003" customHeight="1" x14ac:dyDescent="0.2">
      <c r="A948" s="80">
        <v>975</v>
      </c>
      <c r="B948" s="82">
        <v>45238</v>
      </c>
      <c r="C948" s="393">
        <v>0.52222222222222225</v>
      </c>
      <c r="D948" s="83" t="s">
        <v>3937</v>
      </c>
      <c r="E948" s="84" t="s">
        <v>4004</v>
      </c>
      <c r="F948" s="80">
        <v>7</v>
      </c>
      <c r="G948" s="80" t="s">
        <v>3361</v>
      </c>
      <c r="H948" s="82">
        <v>45257</v>
      </c>
      <c r="I948" s="85" t="s">
        <v>4064</v>
      </c>
      <c r="J948" s="82" t="s">
        <v>1220</v>
      </c>
      <c r="K948" s="80">
        <f>IFERROR(VLOOKUP(J948,Jueces!$A$1:$B$11,2,FALSE),"")</f>
        <v>7</v>
      </c>
      <c r="L948" s="83" t="s">
        <v>813</v>
      </c>
      <c r="M948" s="83" t="s">
        <v>693</v>
      </c>
      <c r="N948" s="80"/>
      <c r="O948" s="83" t="str">
        <f t="shared" ca="1" si="54"/>
        <v>NO</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3417</v>
      </c>
      <c r="AB948" s="83" t="s">
        <v>1172</v>
      </c>
      <c r="AC948" s="80"/>
    </row>
    <row r="949" spans="1:29" ht="39.950000000000003" customHeight="1" x14ac:dyDescent="0.2">
      <c r="A949" s="83">
        <v>942</v>
      </c>
      <c r="B949" s="85">
        <v>45233</v>
      </c>
      <c r="C949" s="327">
        <v>0.33333333333333331</v>
      </c>
      <c r="D949" s="83" t="s">
        <v>3828</v>
      </c>
      <c r="E949" s="84" t="s">
        <v>3829</v>
      </c>
      <c r="F949" s="83">
        <v>4</v>
      </c>
      <c r="G949" s="83" t="s">
        <v>2785</v>
      </c>
      <c r="H949" s="85">
        <v>45257</v>
      </c>
      <c r="I949" s="85" t="s">
        <v>73</v>
      </c>
      <c r="J949" s="85" t="s">
        <v>1220</v>
      </c>
      <c r="K949" s="83" t="s">
        <v>3965</v>
      </c>
      <c r="L949" s="83" t="s">
        <v>812</v>
      </c>
      <c r="M949" s="83" t="s">
        <v>3797</v>
      </c>
      <c r="N949" s="83"/>
      <c r="O949" s="83" t="str">
        <f t="shared" ca="1" si="54"/>
        <v>NO</v>
      </c>
      <c r="P949" s="83" t="str">
        <f t="shared" si="53"/>
        <v>DIANOSOL</v>
      </c>
      <c r="Q949" s="83" t="s">
        <v>951</v>
      </c>
      <c r="R949" s="83" t="str">
        <f>VLOOKUP($Q949,Resultados!$A$1:$B$49,2,FALSE)</f>
        <v xml:space="preserve"> _</v>
      </c>
      <c r="S949" s="83"/>
      <c r="T949" s="86" t="str">
        <f t="shared" si="55"/>
        <v>NO</v>
      </c>
      <c r="U949" s="86"/>
      <c r="V949" s="83"/>
      <c r="W949" s="83"/>
      <c r="X949" s="83"/>
      <c r="Y949" s="83"/>
      <c r="Z949" s="83"/>
      <c r="AA949" s="325" t="s">
        <v>2849</v>
      </c>
      <c r="AB949" s="83" t="s">
        <v>3296</v>
      </c>
      <c r="AC949" s="80"/>
    </row>
    <row r="950" spans="1:29" ht="39.950000000000003" customHeight="1" x14ac:dyDescent="0.2">
      <c r="A950" s="80">
        <v>968</v>
      </c>
      <c r="B950" s="82">
        <v>45237</v>
      </c>
      <c r="C950" s="393">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t="shared" ca="1" si="54"/>
        <v>NO</v>
      </c>
      <c r="P950" s="83" t="str">
        <f t="shared" si="53"/>
        <v>DIANOSOL</v>
      </c>
      <c r="Q950" s="83" t="s">
        <v>951</v>
      </c>
      <c r="R950" s="83" t="str">
        <f>VLOOKUP($Q950,Resultados!$A$1:$B$49,2,FALSE)</f>
        <v xml:space="preserve"> _</v>
      </c>
      <c r="S950" s="83"/>
      <c r="T950" s="86" t="str">
        <f t="shared" si="55"/>
        <v>NO</v>
      </c>
      <c r="U950" s="86"/>
      <c r="V950" s="80"/>
      <c r="W950" s="80"/>
      <c r="X950" s="80"/>
      <c r="Y950" s="80"/>
      <c r="Z950" s="80"/>
      <c r="AA950" s="325" t="s">
        <v>1168</v>
      </c>
      <c r="AB950" s="83" t="s">
        <v>1174</v>
      </c>
      <c r="AC950" s="80"/>
    </row>
    <row r="951" spans="1:29" ht="39.950000000000003" customHeight="1" x14ac:dyDescent="0.2">
      <c r="A951" s="80">
        <v>969</v>
      </c>
      <c r="B951" s="82">
        <v>45237</v>
      </c>
      <c r="C951" s="393">
        <v>0.34236111111111112</v>
      </c>
      <c r="D951" s="83" t="s">
        <v>3906</v>
      </c>
      <c r="E951" s="84" t="s">
        <v>3985</v>
      </c>
      <c r="F951" s="80">
        <v>3</v>
      </c>
      <c r="G951" s="83" t="s">
        <v>3362</v>
      </c>
      <c r="H951" s="82">
        <v>45257</v>
      </c>
      <c r="I951" s="85" t="s">
        <v>73</v>
      </c>
      <c r="J951" s="85" t="s">
        <v>31</v>
      </c>
      <c r="K951" s="80">
        <f>IFERROR(VLOOKUP(J951,Jueces!$A$1:$B$11,2,FALSE),"")</f>
        <v>2</v>
      </c>
      <c r="L951" s="83" t="s">
        <v>806</v>
      </c>
      <c r="M951" s="83" t="s">
        <v>694</v>
      </c>
      <c r="N951" s="80"/>
      <c r="O951" s="83" t="str">
        <f t="shared" ca="1" si="54"/>
        <v>NO</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1170</v>
      </c>
      <c r="AB951" s="83" t="s">
        <v>3360</v>
      </c>
      <c r="AC951" s="80"/>
    </row>
    <row r="952" spans="1:29" ht="39.950000000000003" customHeight="1" x14ac:dyDescent="0.2">
      <c r="A952" s="83">
        <v>946</v>
      </c>
      <c r="B952" s="85">
        <v>45236</v>
      </c>
      <c r="C952" s="327">
        <v>0.33333333333333331</v>
      </c>
      <c r="D952" s="83" t="s">
        <v>3850</v>
      </c>
      <c r="E952" s="84" t="s">
        <v>3964</v>
      </c>
      <c r="F952" s="83">
        <v>4</v>
      </c>
      <c r="G952" s="83" t="s">
        <v>2835</v>
      </c>
      <c r="H952" s="85">
        <v>45257</v>
      </c>
      <c r="I952" s="85" t="s">
        <v>1086</v>
      </c>
      <c r="J952" s="85" t="s">
        <v>1219</v>
      </c>
      <c r="K952" s="83" t="s">
        <v>3984</v>
      </c>
      <c r="L952" s="83" t="s">
        <v>811</v>
      </c>
      <c r="M952" s="83" t="s">
        <v>3797</v>
      </c>
      <c r="N952" s="83"/>
      <c r="O952" s="83" t="str">
        <f t="shared" ca="1" si="54"/>
        <v>NO</v>
      </c>
      <c r="P952" s="83" t="str">
        <f t="shared" si="53"/>
        <v>DIANOSOL</v>
      </c>
      <c r="Q952" s="83" t="s">
        <v>951</v>
      </c>
      <c r="R952" s="83" t="str">
        <f>VLOOKUP($Q952,Resultados!$A$1:$B$49,2,FALSE)</f>
        <v xml:space="preserve"> _</v>
      </c>
      <c r="S952" s="83"/>
      <c r="T952" s="86" t="str">
        <f t="shared" si="55"/>
        <v>NO</v>
      </c>
      <c r="U952" s="86"/>
      <c r="V952" s="83"/>
      <c r="W952" s="83"/>
      <c r="X952" s="83"/>
      <c r="Y952" s="83"/>
      <c r="Z952" s="83"/>
      <c r="AA952" s="325" t="s">
        <v>2849</v>
      </c>
      <c r="AB952" s="83" t="s">
        <v>1176</v>
      </c>
      <c r="AC952" s="80"/>
    </row>
    <row r="953" spans="1:29" ht="39.950000000000003" customHeight="1" x14ac:dyDescent="0.2">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t="shared" ca="1" si="54"/>
        <v>NO</v>
      </c>
      <c r="P953" s="83" t="str">
        <f t="shared" si="53"/>
        <v>DIANOSOL</v>
      </c>
      <c r="Q953" s="83" t="s">
        <v>951</v>
      </c>
      <c r="R953" s="83" t="str">
        <f>VLOOKUP($Q953,Resultados!$A$1:$B$49,2,FALSE)</f>
        <v xml:space="preserve"> _</v>
      </c>
      <c r="S953" s="83"/>
      <c r="T953" s="86" t="str">
        <f t="shared" si="55"/>
        <v>SI</v>
      </c>
      <c r="U953" s="86"/>
      <c r="V953" s="83"/>
      <c r="W953" s="83"/>
      <c r="X953" s="83"/>
      <c r="Y953" s="83"/>
      <c r="Z953" s="83"/>
      <c r="AA953" s="325" t="s">
        <v>2892</v>
      </c>
      <c r="AB953" s="83" t="s">
        <v>1173</v>
      </c>
      <c r="AC953" s="80"/>
    </row>
    <row r="954" spans="1:29" ht="39.950000000000003" customHeight="1" x14ac:dyDescent="0.2">
      <c r="A954" s="80">
        <v>970</v>
      </c>
      <c r="B954" s="82">
        <v>45237</v>
      </c>
      <c r="C954" s="393">
        <v>0.44236111111111115</v>
      </c>
      <c r="D954" s="83" t="s">
        <v>1765</v>
      </c>
      <c r="E954" s="84" t="s">
        <v>3908</v>
      </c>
      <c r="F954" s="80">
        <v>1</v>
      </c>
      <c r="G954" s="80" t="s">
        <v>283</v>
      </c>
      <c r="H954" s="82">
        <v>45257</v>
      </c>
      <c r="I954" s="85" t="s">
        <v>1086</v>
      </c>
      <c r="J954" s="82" t="s">
        <v>35</v>
      </c>
      <c r="K954" s="80">
        <v>3</v>
      </c>
      <c r="L954" s="83" t="s">
        <v>803</v>
      </c>
      <c r="M954" s="367" t="s">
        <v>4005</v>
      </c>
      <c r="N954" s="83" t="s">
        <v>4006</v>
      </c>
      <c r="O954" s="83" t="str">
        <f t="shared" ca="1" si="54"/>
        <v>NO</v>
      </c>
      <c r="P954" s="83" t="str">
        <f t="shared" si="53"/>
        <v>DIANOSOL</v>
      </c>
      <c r="Q954" s="83" t="s">
        <v>951</v>
      </c>
      <c r="R954" s="83" t="str">
        <f>VLOOKUP($Q954,Resultados!$A$1:$B$49,2,FALSE)</f>
        <v xml:space="preserve"> _</v>
      </c>
      <c r="S954" s="83"/>
      <c r="T954" s="86" t="str">
        <f t="shared" si="55"/>
        <v>NO</v>
      </c>
      <c r="U954" s="86"/>
      <c r="V954" s="80"/>
      <c r="W954" s="80"/>
      <c r="X954" s="80"/>
      <c r="Y954" s="80"/>
      <c r="Z954" s="80"/>
      <c r="AA954" s="83" t="s">
        <v>1170</v>
      </c>
      <c r="AB954" s="83" t="s">
        <v>1172</v>
      </c>
      <c r="AC954" s="80"/>
    </row>
    <row r="955" spans="1:29" ht="39.950000000000003" customHeight="1" x14ac:dyDescent="0.2">
      <c r="A955" s="80">
        <v>977</v>
      </c>
      <c r="B955" s="82">
        <v>45238</v>
      </c>
      <c r="C955" s="393">
        <v>0.43472222222222223</v>
      </c>
      <c r="D955" s="83" t="s">
        <v>3930</v>
      </c>
      <c r="E955" s="84" t="s">
        <v>3938</v>
      </c>
      <c r="F955" s="80">
        <v>4</v>
      </c>
      <c r="G955" s="80" t="s">
        <v>2771</v>
      </c>
      <c r="H955" s="82">
        <v>45257</v>
      </c>
      <c r="I955" s="85" t="s">
        <v>1086</v>
      </c>
      <c r="J955" s="82" t="s">
        <v>33</v>
      </c>
      <c r="K955" s="80">
        <f>IFERROR(VLOOKUP(J955,Jueces!$A$1:$B$11,2,FALSE),"")</f>
        <v>4</v>
      </c>
      <c r="L955" s="83" t="s">
        <v>789</v>
      </c>
      <c r="M955" s="83" t="s">
        <v>1874</v>
      </c>
      <c r="N955" s="83" t="s">
        <v>4089</v>
      </c>
      <c r="O955" s="83" t="str">
        <f t="shared" ca="1" si="54"/>
        <v>NO</v>
      </c>
      <c r="P955" s="83" t="str">
        <f t="shared" si="53"/>
        <v>DIANOSOL</v>
      </c>
      <c r="Q955" s="83" t="s">
        <v>951</v>
      </c>
      <c r="R955" s="83" t="str">
        <f>VLOOKUP($Q955,Resultados!$A$1:$B$49,2,FALSE)</f>
        <v xml:space="preserve"> _</v>
      </c>
      <c r="S955" s="83"/>
      <c r="T955" s="86" t="str">
        <f t="shared" si="55"/>
        <v>NO</v>
      </c>
      <c r="U955" s="86"/>
      <c r="V955" s="80"/>
      <c r="W955" s="80"/>
      <c r="X955" s="80"/>
      <c r="Y955" s="80"/>
      <c r="Z955" s="80"/>
      <c r="AA955" s="325" t="s">
        <v>3417</v>
      </c>
      <c r="AB955" s="83" t="s">
        <v>3296</v>
      </c>
      <c r="AC955" s="80"/>
    </row>
    <row r="956" spans="1:29" ht="39.950000000000003" customHeight="1" x14ac:dyDescent="0.2">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t="shared" ca="1" si="54"/>
        <v>NO</v>
      </c>
      <c r="P956" s="83" t="str">
        <f t="shared" si="53"/>
        <v>DIANOSOL</v>
      </c>
      <c r="Q956" s="83" t="s">
        <v>951</v>
      </c>
      <c r="R956" s="83" t="str">
        <f>VLOOKUP($Q956,Resultados!$A$1:$B$49,2,FALSE)</f>
        <v xml:space="preserve"> _</v>
      </c>
      <c r="S956" s="83"/>
      <c r="T956" s="86" t="str">
        <f t="shared" si="55"/>
        <v>NO</v>
      </c>
      <c r="U956" s="86"/>
      <c r="V956" s="83"/>
      <c r="W956" s="83"/>
      <c r="X956" s="83"/>
      <c r="Y956" s="83"/>
      <c r="Z956" s="83"/>
      <c r="AA956" s="325"/>
      <c r="AB956" s="325" t="s">
        <v>3296</v>
      </c>
      <c r="AC956" s="80" t="s">
        <v>1799</v>
      </c>
    </row>
    <row r="957" spans="1:29" ht="39.950000000000003" customHeight="1" x14ac:dyDescent="0.2">
      <c r="A957" s="83">
        <v>947</v>
      </c>
      <c r="B957" s="85">
        <v>45236</v>
      </c>
      <c r="C957" s="327">
        <v>0.33333333333333331</v>
      </c>
      <c r="D957" s="83" t="s">
        <v>3851</v>
      </c>
      <c r="E957" s="84" t="s">
        <v>3963</v>
      </c>
      <c r="F957" s="83">
        <v>4</v>
      </c>
      <c r="G957" s="83" t="s">
        <v>1440</v>
      </c>
      <c r="H957" s="85">
        <v>45258</v>
      </c>
      <c r="I957" s="85" t="s">
        <v>73</v>
      </c>
      <c r="J957" s="85" t="s">
        <v>35</v>
      </c>
      <c r="K957" s="83">
        <f>IFERROR(VLOOKUP(J957,Jueces!$A$1:$B$11,2,FALSE),"")</f>
        <v>3</v>
      </c>
      <c r="L957" s="83" t="s">
        <v>806</v>
      </c>
      <c r="M957" s="83" t="s">
        <v>3797</v>
      </c>
      <c r="N957" s="83"/>
      <c r="O957" s="83" t="str">
        <f t="shared" ca="1" si="54"/>
        <v>NO</v>
      </c>
      <c r="P957" s="83" t="str">
        <f t="shared" si="53"/>
        <v>DIANOSOL</v>
      </c>
      <c r="Q957" s="83" t="s">
        <v>951</v>
      </c>
      <c r="R957" s="83" t="str">
        <f>VLOOKUP($Q957,Resultados!$A$1:$B$49,2,FALSE)</f>
        <v xml:space="preserve"> _</v>
      </c>
      <c r="S957" s="83"/>
      <c r="T957" s="86" t="str">
        <f t="shared" si="55"/>
        <v>NO</v>
      </c>
      <c r="U957" s="86"/>
      <c r="V957" s="83"/>
      <c r="W957" s="83"/>
      <c r="X957" s="83"/>
      <c r="Y957" s="83"/>
      <c r="Z957" s="83"/>
      <c r="AA957" s="325" t="s">
        <v>1168</v>
      </c>
      <c r="AB957" s="83"/>
      <c r="AC957" s="80"/>
    </row>
    <row r="958" spans="1:29" ht="39.950000000000003" customHeight="1" x14ac:dyDescent="0.2">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t="shared" ca="1" si="54"/>
        <v>NO</v>
      </c>
      <c r="P958" s="83" t="str">
        <f t="shared" si="53"/>
        <v>DIANOSOL</v>
      </c>
      <c r="Q958" s="83" t="s">
        <v>951</v>
      </c>
      <c r="R958" s="83" t="str">
        <f>VLOOKUP($Q958,Resultados!$A$1:$B$49,2,FALSE)</f>
        <v xml:space="preserve"> _</v>
      </c>
      <c r="S958" s="83"/>
      <c r="T958" s="86" t="str">
        <f t="shared" si="55"/>
        <v>NO</v>
      </c>
      <c r="U958" s="86"/>
      <c r="V958" s="83"/>
      <c r="W958" s="83"/>
      <c r="X958" s="83"/>
      <c r="Y958" s="83"/>
      <c r="Z958" s="83"/>
      <c r="AA958" s="325" t="s">
        <v>2849</v>
      </c>
      <c r="AB958" s="83"/>
      <c r="AC958" s="80"/>
    </row>
    <row r="959" spans="1:29" ht="39.950000000000003" customHeight="1" x14ac:dyDescent="0.2">
      <c r="A959" s="80">
        <v>978</v>
      </c>
      <c r="B959" s="82">
        <v>45238</v>
      </c>
      <c r="C959" s="393">
        <v>0.43124999999999997</v>
      </c>
      <c r="D959" s="83" t="s">
        <v>3939</v>
      </c>
      <c r="E959" s="84" t="s">
        <v>3940</v>
      </c>
      <c r="F959" s="80">
        <v>7</v>
      </c>
      <c r="G959" s="80" t="s">
        <v>1442</v>
      </c>
      <c r="H959" s="82">
        <v>45258</v>
      </c>
      <c r="I959" s="85" t="s">
        <v>749</v>
      </c>
      <c r="J959" s="82" t="s">
        <v>1224</v>
      </c>
      <c r="K959" s="80">
        <f>IFERROR(VLOOKUP(J959,Jueces!$A$1:$B$11,2,FALSE),"")</f>
        <v>6</v>
      </c>
      <c r="L959" s="83" t="s">
        <v>813</v>
      </c>
      <c r="M959" s="392" t="s">
        <v>3496</v>
      </c>
      <c r="N959" s="80"/>
      <c r="O959" s="83" t="str">
        <f t="shared" ca="1" si="54"/>
        <v>NO</v>
      </c>
      <c r="P959" s="83" t="str">
        <f t="shared" si="53"/>
        <v>DIANOSOL</v>
      </c>
      <c r="Q959" s="83" t="s">
        <v>951</v>
      </c>
      <c r="R959" s="83" t="str">
        <f>VLOOKUP($Q959,Resultados!$A$1:$B$49,2,FALSE)</f>
        <v xml:space="preserve"> _</v>
      </c>
      <c r="S959" s="83"/>
      <c r="T959" s="86" t="str">
        <f t="shared" si="55"/>
        <v>NO</v>
      </c>
      <c r="U959" s="86"/>
      <c r="V959" s="80"/>
      <c r="W959" s="80"/>
      <c r="X959" s="80"/>
      <c r="Y959" s="80"/>
      <c r="Z959" s="80"/>
      <c r="AA959" s="325" t="s">
        <v>3417</v>
      </c>
      <c r="AB959" s="80"/>
      <c r="AC959" s="80"/>
    </row>
    <row r="960" spans="1:29" ht="39.950000000000003" customHeight="1" x14ac:dyDescent="0.2">
      <c r="A960" s="83">
        <v>961</v>
      </c>
      <c r="B960" s="85">
        <v>45237</v>
      </c>
      <c r="C960" s="327">
        <v>0.33333333333333331</v>
      </c>
      <c r="D960" s="83" t="s">
        <v>3893</v>
      </c>
      <c r="E960" s="84" t="s">
        <v>3960</v>
      </c>
      <c r="F960" s="83">
        <v>4</v>
      </c>
      <c r="G960" s="83" t="s">
        <v>3362</v>
      </c>
      <c r="H960" s="85">
        <v>45258</v>
      </c>
      <c r="I960" s="85" t="s">
        <v>1086</v>
      </c>
      <c r="J960" s="85" t="s">
        <v>1220</v>
      </c>
      <c r="K960" s="83" t="s">
        <v>3821</v>
      </c>
      <c r="L960" s="83" t="s">
        <v>812</v>
      </c>
      <c r="M960" s="81" t="s">
        <v>1874</v>
      </c>
      <c r="N960" s="83"/>
      <c r="O960" s="83" t="str">
        <f t="shared" ca="1" si="54"/>
        <v>NO</v>
      </c>
      <c r="P960" s="83" t="str">
        <f t="shared" si="53"/>
        <v>DIANOSOL</v>
      </c>
      <c r="Q960" s="83" t="s">
        <v>951</v>
      </c>
      <c r="R960" s="83" t="str">
        <f>VLOOKUP($Q960,Resultados!$A$1:$B$49,2,FALSE)</f>
        <v xml:space="preserve"> _</v>
      </c>
      <c r="S960" s="83"/>
      <c r="T960" s="86" t="str">
        <f t="shared" si="55"/>
        <v>NO</v>
      </c>
      <c r="U960" s="86"/>
      <c r="V960" s="83"/>
      <c r="W960" s="83"/>
      <c r="X960" s="83"/>
      <c r="Y960" s="83"/>
      <c r="Z960" s="83"/>
      <c r="AA960" s="325" t="s">
        <v>1170</v>
      </c>
      <c r="AB960" s="83"/>
      <c r="AC960" s="80"/>
    </row>
    <row r="961" spans="1:29" ht="39.950000000000003" customHeight="1" x14ac:dyDescent="0.2">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2" t="s">
        <v>1415</v>
      </c>
      <c r="N961" s="80"/>
      <c r="O961" s="83" t="str">
        <f t="shared" ca="1" si="54"/>
        <v>NO</v>
      </c>
      <c r="P961" s="83" t="str">
        <f t="shared" si="53"/>
        <v>DIANOSOL</v>
      </c>
      <c r="Q961" s="83" t="s">
        <v>951</v>
      </c>
      <c r="R961" s="83" t="str">
        <f>VLOOKUP($Q961,Resultados!$A$1:$B$49,2,FALSE)</f>
        <v xml:space="preserve"> _</v>
      </c>
      <c r="S961" s="83"/>
      <c r="T961" s="86" t="str">
        <f t="shared" si="55"/>
        <v>NO</v>
      </c>
      <c r="U961" s="86"/>
      <c r="V961" s="80"/>
      <c r="W961" s="80"/>
      <c r="X961" s="80"/>
      <c r="Y961" s="80"/>
      <c r="Z961" s="80"/>
      <c r="AA961" s="325" t="s">
        <v>2892</v>
      </c>
      <c r="AB961" s="80"/>
      <c r="AC961" s="80"/>
    </row>
    <row r="962" spans="1:29" ht="39.950000000000003" customHeight="1" x14ac:dyDescent="0.2">
      <c r="A962" s="80">
        <v>1007</v>
      </c>
      <c r="B962" s="82">
        <v>48531</v>
      </c>
      <c r="C962" s="393">
        <v>0.38472222222222219</v>
      </c>
      <c r="D962" s="83" t="s">
        <v>4031</v>
      </c>
      <c r="E962" s="84" t="s">
        <v>4084</v>
      </c>
      <c r="F962" s="80">
        <v>3</v>
      </c>
      <c r="G962" s="80" t="s">
        <v>2835</v>
      </c>
      <c r="H962" s="82">
        <v>45258</v>
      </c>
      <c r="I962" s="85" t="s">
        <v>1086</v>
      </c>
      <c r="J962" s="82" t="s">
        <v>2948</v>
      </c>
      <c r="K962" s="83" t="s">
        <v>3933</v>
      </c>
      <c r="L962" s="83" t="s">
        <v>800</v>
      </c>
      <c r="M962" s="367" t="s">
        <v>4085</v>
      </c>
      <c r="N962" s="83" t="s">
        <v>4032</v>
      </c>
      <c r="O962" s="83" t="str">
        <f t="shared" ca="1" si="54"/>
        <v>NO</v>
      </c>
      <c r="P962" s="83" t="str">
        <f t="shared" si="53"/>
        <v>DIANOSOL</v>
      </c>
      <c r="Q962" s="83" t="s">
        <v>951</v>
      </c>
      <c r="R962" s="83" t="str">
        <f>VLOOKUP($Q962,Resultados!$A$1:$B$49,2,FALSE)</f>
        <v xml:space="preserve"> _</v>
      </c>
      <c r="S962" s="83"/>
      <c r="T962" s="86" t="str">
        <f t="shared" si="55"/>
        <v>NO</v>
      </c>
      <c r="U962" s="86"/>
      <c r="V962" s="80"/>
      <c r="W962" s="80"/>
      <c r="X962" s="80"/>
      <c r="Y962" s="80"/>
      <c r="Z962" s="80"/>
      <c r="AA962" s="325" t="s">
        <v>3418</v>
      </c>
      <c r="AB962" s="80"/>
      <c r="AC962" s="80"/>
    </row>
    <row r="963" spans="1:29" ht="39.950000000000003" customHeight="1" x14ac:dyDescent="0.2">
      <c r="A963" s="80">
        <v>1050</v>
      </c>
      <c r="B963" s="82">
        <v>45252</v>
      </c>
      <c r="C963" s="422">
        <v>0.38958333333333334</v>
      </c>
      <c r="D963" s="83" t="s">
        <v>4271</v>
      </c>
      <c r="E963" s="84" t="s">
        <v>4272</v>
      </c>
      <c r="F963" s="80">
        <v>4</v>
      </c>
      <c r="G963" s="83" t="s">
        <v>3833</v>
      </c>
      <c r="H963" s="82">
        <v>45258</v>
      </c>
      <c r="I963" s="85" t="s">
        <v>1086</v>
      </c>
      <c r="J963" s="82" t="s">
        <v>33</v>
      </c>
      <c r="K963" s="80">
        <f>IFERROR(VLOOKUP(J963,Jueces!$A$1:$B$11,2,FALSE),"")</f>
        <v>4</v>
      </c>
      <c r="L963" s="83" t="s">
        <v>789</v>
      </c>
      <c r="M963" s="421" t="s">
        <v>4290</v>
      </c>
      <c r="N963" s="418" t="s">
        <v>4291</v>
      </c>
      <c r="O963" s="83" t="str">
        <f t="shared" ca="1" si="54"/>
        <v>NO</v>
      </c>
      <c r="P963" s="83" t="str">
        <f t="shared" ref="P963:P993" si="56">IF($P$1=H963,"DIASOL", "DIANOSOL")</f>
        <v>DIANOSOL</v>
      </c>
      <c r="Q963" s="83" t="s">
        <v>951</v>
      </c>
      <c r="R963" s="83" t="str">
        <f>VLOOKUP($Q963,Resultados!$A$1:$B$49,2,FALSE)</f>
        <v xml:space="preserve"> _</v>
      </c>
      <c r="S963" s="83"/>
      <c r="T963" s="86" t="str">
        <f t="shared" si="55"/>
        <v>NO</v>
      </c>
      <c r="U963" s="86"/>
      <c r="V963" s="80"/>
      <c r="W963" s="80"/>
      <c r="X963" s="80"/>
      <c r="Y963" s="80"/>
      <c r="Z963" s="80"/>
      <c r="AA963" s="83" t="s">
        <v>2849</v>
      </c>
      <c r="AB963" s="80"/>
      <c r="AC963" s="80"/>
    </row>
    <row r="964" spans="1:29" ht="39.950000000000003" customHeight="1" x14ac:dyDescent="0.2">
      <c r="A964" s="80">
        <v>1048</v>
      </c>
      <c r="B964" s="82"/>
      <c r="C964" s="80"/>
      <c r="D964" s="83" t="s">
        <v>4259</v>
      </c>
      <c r="E964" s="84" t="s">
        <v>4260</v>
      </c>
      <c r="F964" s="80">
        <v>4</v>
      </c>
      <c r="G964" s="80" t="s">
        <v>43</v>
      </c>
      <c r="H964" s="82">
        <v>45258</v>
      </c>
      <c r="I964" s="85" t="s">
        <v>1209</v>
      </c>
      <c r="J964" s="82" t="s">
        <v>1219</v>
      </c>
      <c r="K964" s="83" t="s">
        <v>4268</v>
      </c>
      <c r="L964" s="83" t="s">
        <v>798</v>
      </c>
      <c r="M964" s="421" t="s">
        <v>4261</v>
      </c>
      <c r="N964" s="418" t="s">
        <v>4262</v>
      </c>
      <c r="O964" s="83" t="str">
        <f t="shared" ca="1" si="54"/>
        <v>NO</v>
      </c>
      <c r="P964" s="83" t="str">
        <f t="shared" si="56"/>
        <v>DIANOSOL</v>
      </c>
      <c r="Q964" s="83" t="s">
        <v>951</v>
      </c>
      <c r="R964" s="83" t="str">
        <f>VLOOKUP($Q964,Resultados!$A$1:$B$49,2,FALSE)</f>
        <v xml:space="preserve"> _</v>
      </c>
      <c r="S964" s="83"/>
      <c r="T964" s="86" t="str">
        <f t="shared" si="55"/>
        <v>SI</v>
      </c>
      <c r="U964" s="86"/>
      <c r="V964" s="80"/>
      <c r="W964" s="80"/>
      <c r="X964" s="80"/>
      <c r="Y964" s="80"/>
      <c r="Z964" s="80"/>
      <c r="AA964" s="325" t="s">
        <v>1170</v>
      </c>
      <c r="AB964" s="80"/>
      <c r="AC964" s="80"/>
    </row>
    <row r="965" spans="1:29" ht="39.950000000000003" customHeight="1" x14ac:dyDescent="0.2">
      <c r="A965" s="83">
        <v>966</v>
      </c>
      <c r="B965" s="85">
        <v>45237</v>
      </c>
      <c r="C965" s="327">
        <v>0.37083333333333335</v>
      </c>
      <c r="D965" s="83" t="s">
        <v>3901</v>
      </c>
      <c r="E965" s="84" t="s">
        <v>3961</v>
      </c>
      <c r="F965" s="83">
        <v>4</v>
      </c>
      <c r="G965" s="83" t="s">
        <v>1440</v>
      </c>
      <c r="H965" s="85">
        <v>45259</v>
      </c>
      <c r="I965" s="85" t="s">
        <v>73</v>
      </c>
      <c r="J965" s="85" t="s">
        <v>2951</v>
      </c>
      <c r="K965" s="83" t="s">
        <v>3821</v>
      </c>
      <c r="L965" s="83" t="s">
        <v>813</v>
      </c>
      <c r="M965" s="83" t="s">
        <v>3797</v>
      </c>
      <c r="N965" s="83"/>
      <c r="O965" s="83" t="str">
        <f t="shared" ca="1" si="54"/>
        <v>NO</v>
      </c>
      <c r="P965" s="83" t="str">
        <f t="shared" si="56"/>
        <v>DIANOSOL</v>
      </c>
      <c r="Q965" s="83" t="s">
        <v>951</v>
      </c>
      <c r="R965" s="83" t="str">
        <f>VLOOKUP($Q965,Resultados!$A$1:$B$49,2,FALSE)</f>
        <v xml:space="preserve"> _</v>
      </c>
      <c r="S965" s="83"/>
      <c r="T965" s="86" t="str">
        <f t="shared" si="55"/>
        <v>NO</v>
      </c>
      <c r="U965" s="86"/>
      <c r="V965" s="83"/>
      <c r="W965" s="83"/>
      <c r="X965" s="83"/>
      <c r="Y965" s="83"/>
      <c r="Z965" s="83"/>
      <c r="AA965" s="325" t="s">
        <v>1170</v>
      </c>
      <c r="AB965" s="83"/>
      <c r="AC965" s="80"/>
    </row>
    <row r="966" spans="1:29" ht="39.950000000000003" customHeight="1" x14ac:dyDescent="0.2">
      <c r="A966" s="80">
        <v>974</v>
      </c>
      <c r="B966" s="82">
        <v>45238</v>
      </c>
      <c r="C966" s="393">
        <v>0.52986111111111112</v>
      </c>
      <c r="D966" s="83" t="s">
        <v>3935</v>
      </c>
      <c r="E966" s="84" t="s">
        <v>3936</v>
      </c>
      <c r="F966" s="80">
        <v>3</v>
      </c>
      <c r="G966" s="83" t="s">
        <v>568</v>
      </c>
      <c r="H966" s="82">
        <v>45259</v>
      </c>
      <c r="I966" s="85" t="s">
        <v>73</v>
      </c>
      <c r="J966" s="85" t="s">
        <v>33</v>
      </c>
      <c r="K966" s="80">
        <f>IFERROR(VLOOKUP(J966,Jueces!$A$1:$B$11,2,FALSE),"")</f>
        <v>4</v>
      </c>
      <c r="L966" s="83" t="s">
        <v>809</v>
      </c>
      <c r="M966" s="399" t="s">
        <v>2263</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1168</v>
      </c>
      <c r="AB966" s="80"/>
      <c r="AC966" s="80"/>
    </row>
    <row r="967" spans="1:29" ht="39.950000000000003" customHeight="1" x14ac:dyDescent="0.2">
      <c r="A967" s="80">
        <v>997</v>
      </c>
      <c r="B967" s="82">
        <v>45239</v>
      </c>
      <c r="C967" s="393">
        <v>0.37986111111111115</v>
      </c>
      <c r="D967" s="360" t="s">
        <v>4002</v>
      </c>
      <c r="E967" s="84" t="s">
        <v>4003</v>
      </c>
      <c r="F967" s="80">
        <v>3</v>
      </c>
      <c r="G967" s="80" t="s">
        <v>3362</v>
      </c>
      <c r="H967" s="82">
        <v>45259</v>
      </c>
      <c r="I967" s="85" t="s">
        <v>73</v>
      </c>
      <c r="J967" s="82" t="s">
        <v>2948</v>
      </c>
      <c r="K967" s="83" t="s">
        <v>3818</v>
      </c>
      <c r="L967" s="83" t="s">
        <v>807</v>
      </c>
      <c r="M967" s="81" t="s">
        <v>695</v>
      </c>
      <c r="N967" s="80"/>
      <c r="O967" s="83" t="str">
        <f t="shared" ca="1" si="54"/>
        <v>NO</v>
      </c>
      <c r="P967" s="83" t="str">
        <f t="shared" si="56"/>
        <v>DIANOSOL</v>
      </c>
      <c r="Q967" s="83" t="s">
        <v>951</v>
      </c>
      <c r="R967" s="83" t="str">
        <f>VLOOKUP($Q967,Resultados!$A$1:$B$49,2,FALSE)</f>
        <v xml:space="preserve"> _</v>
      </c>
      <c r="S967" s="83"/>
      <c r="T967" s="86" t="str">
        <f t="shared" si="55"/>
        <v>NO</v>
      </c>
      <c r="U967" s="86"/>
      <c r="V967" s="80"/>
      <c r="W967" s="80"/>
      <c r="X967" s="80"/>
      <c r="Y967" s="80"/>
      <c r="Z967" s="80"/>
      <c r="AA967" s="325" t="s">
        <v>3417</v>
      </c>
      <c r="AB967" s="80"/>
      <c r="AC967" s="80" t="s">
        <v>1799</v>
      </c>
    </row>
    <row r="968" spans="1:29" ht="39.950000000000003" customHeight="1" x14ac:dyDescent="0.2">
      <c r="A968" s="80">
        <v>1019</v>
      </c>
      <c r="B968" s="82">
        <v>45244</v>
      </c>
      <c r="C968" s="393">
        <v>0.53125</v>
      </c>
      <c r="D968" s="83" t="s">
        <v>4081</v>
      </c>
      <c r="E968" s="84" t="s">
        <v>4082</v>
      </c>
      <c r="F968" s="80">
        <v>3</v>
      </c>
      <c r="G968" s="80" t="s">
        <v>283</v>
      </c>
      <c r="H968" s="82">
        <v>45259</v>
      </c>
      <c r="I968" s="85" t="s">
        <v>73</v>
      </c>
      <c r="J968" s="82" t="s">
        <v>78</v>
      </c>
      <c r="K968" s="80">
        <f>IFERROR(VLOOKUP(J968,Jueces!$A$1:$B$11,2,FALSE),"")</f>
        <v>8</v>
      </c>
      <c r="L968" s="83" t="s">
        <v>582</v>
      </c>
      <c r="M968" s="367" t="s">
        <v>3433</v>
      </c>
      <c r="N968" s="83" t="s">
        <v>4132</v>
      </c>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80"/>
      <c r="AB968" s="80"/>
      <c r="AC968" s="80"/>
    </row>
    <row r="969" spans="1:29" ht="39.950000000000003" customHeight="1" x14ac:dyDescent="0.2">
      <c r="A969" s="80">
        <v>1041</v>
      </c>
      <c r="B969" s="82">
        <v>45251</v>
      </c>
      <c r="C969" s="422">
        <v>0.34930555555555554</v>
      </c>
      <c r="D969" s="83" t="s">
        <v>4171</v>
      </c>
      <c r="E969" s="84" t="s">
        <v>4172</v>
      </c>
      <c r="F969" s="80">
        <v>4</v>
      </c>
      <c r="G969" s="80" t="s">
        <v>2772</v>
      </c>
      <c r="H969" s="82">
        <v>45259</v>
      </c>
      <c r="I969" s="85" t="s">
        <v>73</v>
      </c>
      <c r="J969" s="82" t="s">
        <v>31</v>
      </c>
      <c r="K969" s="80">
        <f>IFERROR(VLOOKUP(J969,Jueces!$A$1:$B$11,2,FALSE),"")</f>
        <v>2</v>
      </c>
      <c r="L969" s="83" t="s">
        <v>809</v>
      </c>
      <c r="M969" s="382" t="s">
        <v>1385</v>
      </c>
      <c r="N969" s="83" t="s">
        <v>4264</v>
      </c>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325" t="s">
        <v>3418</v>
      </c>
      <c r="AB969" s="80"/>
      <c r="AC969" s="80"/>
    </row>
    <row r="970" spans="1:29" ht="39.950000000000003" customHeight="1" x14ac:dyDescent="0.2">
      <c r="A970" s="80">
        <v>1047</v>
      </c>
      <c r="B970" s="82">
        <v>45252</v>
      </c>
      <c r="C970" s="80"/>
      <c r="D970" s="83" t="s">
        <v>4256</v>
      </c>
      <c r="E970" s="84" t="s">
        <v>4257</v>
      </c>
      <c r="F970" s="80">
        <v>4</v>
      </c>
      <c r="G970" s="80" t="s">
        <v>3679</v>
      </c>
      <c r="H970" s="82">
        <v>45259</v>
      </c>
      <c r="I970" s="85" t="s">
        <v>73</v>
      </c>
      <c r="J970" s="82" t="s">
        <v>1220</v>
      </c>
      <c r="K970" s="80">
        <f>IFERROR(VLOOKUP(J970,Jueces!$A$1:$B$11,2,FALSE),"")</f>
        <v>7</v>
      </c>
      <c r="L970" s="83" t="s">
        <v>688</v>
      </c>
      <c r="M970" s="421" t="s">
        <v>4258</v>
      </c>
      <c r="N970" s="80"/>
      <c r="O970" s="83" t="str">
        <f t="shared" ca="1" si="54"/>
        <v>NO</v>
      </c>
      <c r="P970" s="83" t="str">
        <f t="shared" si="56"/>
        <v>DIANOSOL</v>
      </c>
      <c r="Q970" s="83" t="s">
        <v>951</v>
      </c>
      <c r="R970" s="83" t="str">
        <f>VLOOKUP($Q970,Resultados!$A$1:$B$49,2,FALSE)</f>
        <v xml:space="preserve"> _</v>
      </c>
      <c r="S970" s="83"/>
      <c r="T970" s="86" t="str">
        <f t="shared" si="55"/>
        <v>NO</v>
      </c>
      <c r="U970" s="86"/>
      <c r="V970" s="80"/>
      <c r="W970" s="80"/>
      <c r="X970" s="80"/>
      <c r="Y970" s="80"/>
      <c r="Z970" s="80"/>
      <c r="AA970" s="325" t="s">
        <v>3417</v>
      </c>
      <c r="AB970" s="80"/>
      <c r="AC970" s="80"/>
    </row>
    <row r="971" spans="1:29" ht="39.950000000000003" customHeight="1" x14ac:dyDescent="0.2">
      <c r="A971" s="80">
        <v>989</v>
      </c>
      <c r="B971" s="82">
        <v>45239</v>
      </c>
      <c r="C971" s="393">
        <v>0.53194444444444444</v>
      </c>
      <c r="D971" s="83" t="s">
        <v>3988</v>
      </c>
      <c r="E971" s="84" t="s">
        <v>3989</v>
      </c>
      <c r="F971" s="80">
        <v>3</v>
      </c>
      <c r="G971" s="80" t="s">
        <v>1441</v>
      </c>
      <c r="H971" s="82">
        <v>45259</v>
      </c>
      <c r="I971" s="85" t="s">
        <v>749</v>
      </c>
      <c r="J971" s="82" t="s">
        <v>1224</v>
      </c>
      <c r="K971" s="80">
        <f>IFERROR(VLOOKUP(J971,Jueces!$A$1:$B$11,2,FALSE),"")</f>
        <v>6</v>
      </c>
      <c r="L971" s="83" t="s">
        <v>810</v>
      </c>
      <c r="M971" s="392" t="s">
        <v>4024</v>
      </c>
      <c r="N971" s="394"/>
      <c r="O971" s="84" t="str">
        <f t="shared" ca="1" si="54"/>
        <v>NO</v>
      </c>
      <c r="P971" s="84" t="str">
        <f t="shared" si="56"/>
        <v>DIANOSOL</v>
      </c>
      <c r="Q971" s="84" t="s">
        <v>951</v>
      </c>
      <c r="R971" s="84" t="str">
        <f>VLOOKUP($Q971,Resultados!$A$1:$B$49,2,FALSE)</f>
        <v xml:space="preserve"> _</v>
      </c>
      <c r="S971" s="84"/>
      <c r="T971" s="396" t="str">
        <f t="shared" si="55"/>
        <v>NO</v>
      </c>
      <c r="U971" s="396"/>
      <c r="V971" s="394"/>
      <c r="W971" s="394"/>
      <c r="X971" s="394"/>
      <c r="Y971" s="394"/>
      <c r="Z971" s="394"/>
      <c r="AA971" s="325" t="s">
        <v>2849</v>
      </c>
      <c r="AB971" s="394"/>
      <c r="AC971" s="394"/>
    </row>
    <row r="972" spans="1:29" ht="39.950000000000003" customHeight="1" x14ac:dyDescent="0.2">
      <c r="A972" s="80">
        <v>973</v>
      </c>
      <c r="B972" s="82">
        <v>45238</v>
      </c>
      <c r="C972" s="393">
        <v>0.38194444444444442</v>
      </c>
      <c r="D972" s="83" t="s">
        <v>3934</v>
      </c>
      <c r="E972" s="84" t="s">
        <v>4099</v>
      </c>
      <c r="F972" s="80">
        <v>3</v>
      </c>
      <c r="G972" s="80" t="s">
        <v>1442</v>
      </c>
      <c r="H972" s="82">
        <v>45259</v>
      </c>
      <c r="I972" s="85" t="s">
        <v>1086</v>
      </c>
      <c r="J972" s="82" t="s">
        <v>33</v>
      </c>
      <c r="K972" s="80">
        <f>IFERROR(VLOOKUP(J972,Jueces!$A$1:$B$11,2,FALSE),"")</f>
        <v>4</v>
      </c>
      <c r="L972" s="83" t="s">
        <v>791</v>
      </c>
      <c r="M972" s="83" t="s">
        <v>3797</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325" t="s">
        <v>2849</v>
      </c>
      <c r="AB972" s="80"/>
      <c r="AC972" s="80"/>
    </row>
    <row r="973" spans="1:29" ht="39.950000000000003" customHeight="1" x14ac:dyDescent="0.2">
      <c r="A973" s="80">
        <v>1012</v>
      </c>
      <c r="B973" s="82">
        <v>45240</v>
      </c>
      <c r="C973" s="422">
        <v>0.46180555555555558</v>
      </c>
      <c r="D973" s="83" t="s">
        <v>4062</v>
      </c>
      <c r="E973" s="84" t="s">
        <v>4063</v>
      </c>
      <c r="F973" s="80">
        <v>3</v>
      </c>
      <c r="G973" s="80" t="s">
        <v>2835</v>
      </c>
      <c r="H973" s="82">
        <v>45259</v>
      </c>
      <c r="I973" s="85" t="s">
        <v>1086</v>
      </c>
      <c r="J973" s="82" t="s">
        <v>35</v>
      </c>
      <c r="K973" s="80">
        <f>IFERROR(VLOOKUP(J973,Jueces!$A$1:$B$11,2,FALSE),"")</f>
        <v>3</v>
      </c>
      <c r="L973" s="83" t="s">
        <v>569</v>
      </c>
      <c r="M973" s="83" t="s">
        <v>3420</v>
      </c>
      <c r="N973" s="83"/>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80"/>
      <c r="AB973" s="80"/>
      <c r="AC973" s="80"/>
    </row>
    <row r="974" spans="1:29" ht="39.950000000000003" customHeight="1" x14ac:dyDescent="0.2">
      <c r="A974" s="80">
        <v>1057</v>
      </c>
      <c r="B974" s="82"/>
      <c r="C974" s="426">
        <v>0.51111111111111118</v>
      </c>
      <c r="D974" s="80" t="s">
        <v>3886</v>
      </c>
      <c r="E974" s="394" t="s">
        <v>3887</v>
      </c>
      <c r="F974" s="80">
        <v>3</v>
      </c>
      <c r="G974" s="80" t="s">
        <v>3362</v>
      </c>
      <c r="H974" s="82">
        <v>45259</v>
      </c>
      <c r="I974" s="85" t="s">
        <v>1086</v>
      </c>
      <c r="J974" s="82" t="s">
        <v>78</v>
      </c>
      <c r="K974" s="80">
        <f>IFERROR(VLOOKUP(J974,Jueces!$A$1:$B$11,2,FALSE),"")</f>
        <v>8</v>
      </c>
      <c r="L974" s="83" t="s">
        <v>796</v>
      </c>
      <c r="M974" s="83" t="s">
        <v>694</v>
      </c>
      <c r="N974" s="80" t="s">
        <v>3917</v>
      </c>
      <c r="O974" s="83" t="str">
        <f t="shared" ref="O974:O993" ca="1" si="57">IF(H974&lt;&gt;"",IF(H974&lt;=TODAY(),"SI","NO"),"LIMBO")</f>
        <v>NO</v>
      </c>
      <c r="P974" s="83" t="str">
        <f t="shared" si="56"/>
        <v>DIANOSOL</v>
      </c>
      <c r="Q974" s="83" t="s">
        <v>951</v>
      </c>
      <c r="R974" s="83" t="str">
        <f>VLOOKUP($Q974,Resultados!$A$1:$B$49,2,FALSE)</f>
        <v xml:space="preserve"> _</v>
      </c>
      <c r="S974" s="83"/>
      <c r="T974" s="86" t="str">
        <f t="shared" si="55"/>
        <v>NO</v>
      </c>
      <c r="U974" s="86"/>
      <c r="V974" s="80"/>
      <c r="W974" s="80"/>
      <c r="X974" s="80"/>
      <c r="Y974" s="80"/>
      <c r="Z974" s="80"/>
      <c r="AA974" s="83" t="s">
        <v>1170</v>
      </c>
      <c r="AB974" s="80"/>
      <c r="AC974" s="80"/>
    </row>
    <row r="975" spans="1:29" ht="39.950000000000003" customHeight="1" x14ac:dyDescent="0.2">
      <c r="A975" s="83">
        <v>959</v>
      </c>
      <c r="B975" s="85">
        <v>45236</v>
      </c>
      <c r="C975" s="327">
        <v>0.52638888888888891</v>
      </c>
      <c r="D975" s="83" t="s">
        <v>3889</v>
      </c>
      <c r="E975" s="84" t="s">
        <v>3890</v>
      </c>
      <c r="F975" s="83">
        <v>4</v>
      </c>
      <c r="G975" s="83" t="s">
        <v>3361</v>
      </c>
      <c r="H975" s="85">
        <v>45259</v>
      </c>
      <c r="I975" s="85" t="s">
        <v>1209</v>
      </c>
      <c r="J975" s="85" t="s">
        <v>78</v>
      </c>
      <c r="K975" s="83">
        <f>IFERROR(VLOOKUP(J975,Jueces!$A$1:$B$11,2,FALSE),"")</f>
        <v>8</v>
      </c>
      <c r="L975" s="83" t="s">
        <v>799</v>
      </c>
      <c r="M975" s="83" t="s">
        <v>3797</v>
      </c>
      <c r="N975" s="83"/>
      <c r="O975" s="83" t="str">
        <f t="shared" ca="1" si="57"/>
        <v>NO</v>
      </c>
      <c r="P975" s="83" t="str">
        <f t="shared" si="56"/>
        <v>DIANOSOL</v>
      </c>
      <c r="Q975" s="83" t="s">
        <v>951</v>
      </c>
      <c r="R975" s="83" t="str">
        <f>VLOOKUP($Q975,Resultados!$A$1:$B$49,2,FALSE)</f>
        <v xml:space="preserve"> _</v>
      </c>
      <c r="S975" s="83"/>
      <c r="T975" s="86" t="str">
        <f t="shared" si="55"/>
        <v>NO</v>
      </c>
      <c r="U975" s="86"/>
      <c r="V975" s="83"/>
      <c r="W975" s="83"/>
      <c r="X975" s="83"/>
      <c r="Y975" s="83"/>
      <c r="Z975" s="83"/>
      <c r="AA975" s="325" t="s">
        <v>2892</v>
      </c>
      <c r="AB975" s="83"/>
      <c r="AC975" s="80"/>
    </row>
    <row r="976" spans="1:29" ht="39.950000000000003" customHeight="1" x14ac:dyDescent="0.2">
      <c r="A976" s="83">
        <v>962</v>
      </c>
      <c r="B976" s="85">
        <v>45237</v>
      </c>
      <c r="C976" s="327">
        <v>0.33333333333333331</v>
      </c>
      <c r="D976" s="83" t="s">
        <v>3894</v>
      </c>
      <c r="E976" s="84" t="s">
        <v>3895</v>
      </c>
      <c r="F976" s="83">
        <v>4</v>
      </c>
      <c r="G976" s="83" t="s">
        <v>2771</v>
      </c>
      <c r="H976" s="85">
        <v>45259</v>
      </c>
      <c r="I976" s="85" t="s">
        <v>3208</v>
      </c>
      <c r="J976" s="85" t="s">
        <v>1219</v>
      </c>
      <c r="K976" s="83" t="s">
        <v>3933</v>
      </c>
      <c r="L976" s="83" t="s">
        <v>806</v>
      </c>
      <c r="M976" s="81" t="s">
        <v>1874</v>
      </c>
      <c r="N976" s="83"/>
      <c r="O976" s="83" t="str">
        <f t="shared" ca="1" si="57"/>
        <v>NO</v>
      </c>
      <c r="P976" s="83" t="str">
        <f t="shared" si="56"/>
        <v>DIANOSOL</v>
      </c>
      <c r="Q976" s="83" t="s">
        <v>951</v>
      </c>
      <c r="R976" s="83" t="str">
        <f>VLOOKUP($Q976,Resultados!$A$1:$B$49,2,FALSE)</f>
        <v xml:space="preserve"> _</v>
      </c>
      <c r="S976" s="83"/>
      <c r="T976" s="86" t="str">
        <f t="shared" si="55"/>
        <v>NO</v>
      </c>
      <c r="U976" s="86"/>
      <c r="V976" s="83"/>
      <c r="W976" s="83"/>
      <c r="X976" s="83"/>
      <c r="Y976" s="83"/>
      <c r="Z976" s="83"/>
      <c r="AA976" s="325" t="s">
        <v>2892</v>
      </c>
      <c r="AB976" s="83"/>
      <c r="AC976" s="80"/>
    </row>
    <row r="977" spans="1:29" ht="39.950000000000003" customHeight="1" x14ac:dyDescent="0.2">
      <c r="A977" s="80">
        <v>1067</v>
      </c>
      <c r="B977" s="82">
        <v>45236</v>
      </c>
      <c r="C977" s="393">
        <v>0.51111111111111118</v>
      </c>
      <c r="D977" s="80" t="s">
        <v>3886</v>
      </c>
      <c r="E977" s="394" t="s">
        <v>3887</v>
      </c>
      <c r="F977" s="80">
        <v>3</v>
      </c>
      <c r="G977" s="80" t="s">
        <v>29</v>
      </c>
      <c r="H977" s="82">
        <v>45259</v>
      </c>
      <c r="I977" s="85" t="s">
        <v>547</v>
      </c>
      <c r="J977" s="82" t="s">
        <v>1220</v>
      </c>
      <c r="K977" s="83" t="s">
        <v>4040</v>
      </c>
      <c r="L977" s="83" t="s">
        <v>796</v>
      </c>
      <c r="M977" s="429" t="s">
        <v>4305</v>
      </c>
      <c r="N977" s="83" t="s">
        <v>4304</v>
      </c>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80"/>
      <c r="AB977" s="80"/>
      <c r="AC977" s="80"/>
    </row>
    <row r="978" spans="1:29" ht="39.950000000000003" customHeight="1" x14ac:dyDescent="0.2">
      <c r="A978" s="80">
        <v>983</v>
      </c>
      <c r="B978" s="82">
        <v>45239</v>
      </c>
      <c r="C978" s="422">
        <v>0.40763888888888888</v>
      </c>
      <c r="D978" s="83" t="s">
        <v>3967</v>
      </c>
      <c r="E978" s="84" t="s">
        <v>3968</v>
      </c>
      <c r="F978" s="80">
        <v>1</v>
      </c>
      <c r="G978" s="80" t="s">
        <v>283</v>
      </c>
      <c r="H978" s="82">
        <v>45260</v>
      </c>
      <c r="I978" s="85" t="s">
        <v>73</v>
      </c>
      <c r="J978" s="82" t="s">
        <v>33</v>
      </c>
      <c r="K978" s="80">
        <f>IFERROR(VLOOKUP(J978,Jueces!$A$1:$B$11,2,FALSE),"")</f>
        <v>4</v>
      </c>
      <c r="L978" s="83" t="s">
        <v>1070</v>
      </c>
      <c r="M978" s="392" t="s">
        <v>3420</v>
      </c>
      <c r="N978" s="80"/>
      <c r="O978" s="83" t="str">
        <f t="shared" ca="1" si="57"/>
        <v>NO</v>
      </c>
      <c r="P978" s="83" t="str">
        <f t="shared" si="56"/>
        <v>DIANOSOL</v>
      </c>
      <c r="Q978" s="83" t="s">
        <v>951</v>
      </c>
      <c r="R978" s="83" t="str">
        <f>VLOOKUP($Q978,Resultados!$A$1:$B$49,2,FALSE)</f>
        <v xml:space="preserve"> _</v>
      </c>
      <c r="S978" s="83"/>
      <c r="T978" s="86" t="str">
        <f t="shared" si="55"/>
        <v>NO</v>
      </c>
      <c r="U978" s="86"/>
      <c r="V978" s="80"/>
      <c r="W978" s="80"/>
      <c r="X978" s="80"/>
      <c r="Y978" s="80"/>
      <c r="Z978" s="80"/>
      <c r="AA978" s="325" t="s">
        <v>3417</v>
      </c>
      <c r="AB978" s="80"/>
      <c r="AC978" s="80"/>
    </row>
    <row r="979" spans="1:29" ht="39.950000000000003" customHeight="1" x14ac:dyDescent="0.2">
      <c r="A979" s="80">
        <v>992</v>
      </c>
      <c r="B979" s="82">
        <v>45240</v>
      </c>
      <c r="C979" s="422">
        <v>0.3576388888888889</v>
      </c>
      <c r="D979" s="83" t="s">
        <v>3994</v>
      </c>
      <c r="E979" s="84" t="s">
        <v>4036</v>
      </c>
      <c r="F979" s="80">
        <v>4</v>
      </c>
      <c r="G979" s="80" t="s">
        <v>2785</v>
      </c>
      <c r="H979" s="82">
        <v>45260</v>
      </c>
      <c r="I979" s="85" t="s">
        <v>73</v>
      </c>
      <c r="J979" s="82" t="s">
        <v>78</v>
      </c>
      <c r="K979" s="80">
        <f>IFERROR(VLOOKUP(J979,Jueces!$A$1:$B$11,2,FALSE),"")</f>
        <v>8</v>
      </c>
      <c r="L979" s="83" t="s">
        <v>809</v>
      </c>
      <c r="M979" s="235" t="s">
        <v>1874</v>
      </c>
      <c r="N979" s="80"/>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325" t="s">
        <v>1170</v>
      </c>
      <c r="AB979" s="80"/>
      <c r="AC979" s="80"/>
    </row>
    <row r="980" spans="1:29" ht="39.950000000000003" customHeight="1" x14ac:dyDescent="0.2">
      <c r="A980" s="80">
        <v>993</v>
      </c>
      <c r="B980" s="82">
        <v>45240</v>
      </c>
      <c r="C980" s="426">
        <v>0.35486111111111113</v>
      </c>
      <c r="D980" s="83" t="s">
        <v>3995</v>
      </c>
      <c r="E980" s="84" t="s">
        <v>3996</v>
      </c>
      <c r="F980" s="80">
        <v>3</v>
      </c>
      <c r="G980" s="80" t="s">
        <v>1441</v>
      </c>
      <c r="H980" s="82">
        <v>45260</v>
      </c>
      <c r="I980" s="85" t="s">
        <v>73</v>
      </c>
      <c r="J980" s="82" t="s">
        <v>31</v>
      </c>
      <c r="K980" s="80">
        <f>IFERROR(VLOOKUP(J980,Jueces!$A$1:$B$11,2,FALSE),"")</f>
        <v>2</v>
      </c>
      <c r="L980" s="83" t="s">
        <v>812</v>
      </c>
      <c r="M980" s="382" t="s">
        <v>4025</v>
      </c>
      <c r="N980" s="83" t="s">
        <v>4026</v>
      </c>
      <c r="O980" s="83" t="str">
        <f t="shared" ca="1" si="57"/>
        <v>NO</v>
      </c>
      <c r="P980" s="83" t="str">
        <f t="shared" si="56"/>
        <v>DIANOSOL</v>
      </c>
      <c r="Q980" s="83" t="s">
        <v>951</v>
      </c>
      <c r="R980" s="83" t="str">
        <f>VLOOKUP($Q980,Resultados!$A$1:$B$49,2,FALSE)</f>
        <v xml:space="preserve"> _</v>
      </c>
      <c r="S980" s="83"/>
      <c r="T980" s="86" t="str">
        <f t="shared" si="55"/>
        <v>NO</v>
      </c>
      <c r="U980" s="86"/>
      <c r="V980" s="80"/>
      <c r="W980" s="80"/>
      <c r="X980" s="80"/>
      <c r="Y980" s="80"/>
      <c r="Z980" s="80"/>
      <c r="AA980" s="325" t="s">
        <v>1168</v>
      </c>
      <c r="AB980" s="80"/>
      <c r="AC980" s="80"/>
    </row>
    <row r="981" spans="1:29" ht="39.950000000000003" customHeight="1" x14ac:dyDescent="0.2">
      <c r="A981" s="364">
        <v>994</v>
      </c>
      <c r="B981" s="402">
        <v>45240</v>
      </c>
      <c r="C981" s="416">
        <v>0.36874999999999997</v>
      </c>
      <c r="D981" s="214" t="s">
        <v>3997</v>
      </c>
      <c r="E981" s="215" t="s">
        <v>3998</v>
      </c>
      <c r="F981" s="364">
        <v>3</v>
      </c>
      <c r="G981" s="364" t="s">
        <v>2835</v>
      </c>
      <c r="H981" s="402">
        <v>45260</v>
      </c>
      <c r="I981" s="322" t="s">
        <v>73</v>
      </c>
      <c r="J981" s="402" t="s">
        <v>1220</v>
      </c>
      <c r="K981" s="364">
        <f>IFERROR(VLOOKUP(J981,Jueces!$A$1:$B$11,2,FALSE),"")</f>
        <v>7</v>
      </c>
      <c r="L981" s="214" t="s">
        <v>800</v>
      </c>
      <c r="M981" s="214" t="s">
        <v>695</v>
      </c>
      <c r="N981" s="403" t="s">
        <v>4138</v>
      </c>
      <c r="O981" s="214" t="str">
        <f t="shared" ca="1" si="57"/>
        <v>NO</v>
      </c>
      <c r="P981" s="214" t="str">
        <f t="shared" si="56"/>
        <v>DIANOSOL</v>
      </c>
      <c r="Q981" s="214" t="s">
        <v>951</v>
      </c>
      <c r="R981" s="214" t="str">
        <f>VLOOKUP($Q981,Resultados!$A$1:$B$49,2,FALSE)</f>
        <v xml:space="preserve"> _</v>
      </c>
      <c r="S981" s="214"/>
      <c r="T981" s="281" t="str">
        <f t="shared" ref="T981:T993" si="58">IF(G981=$J$1,"SI","NO")</f>
        <v>NO</v>
      </c>
      <c r="U981" s="281"/>
      <c r="V981" s="364"/>
      <c r="W981" s="364"/>
      <c r="X981" s="364"/>
      <c r="Y981" s="364"/>
      <c r="Z981" s="364"/>
      <c r="AA981" s="406" t="s">
        <v>2892</v>
      </c>
      <c r="AB981" s="364"/>
      <c r="AC981" s="364"/>
    </row>
    <row r="982" spans="1:29" ht="39.950000000000003" customHeight="1" x14ac:dyDescent="0.2">
      <c r="A982" s="80">
        <v>1013</v>
      </c>
      <c r="B982" s="82"/>
      <c r="C982" s="80"/>
      <c r="D982" s="360" t="s">
        <v>2716</v>
      </c>
      <c r="E982" s="84" t="s">
        <v>4066</v>
      </c>
      <c r="F982" s="80">
        <v>7</v>
      </c>
      <c r="G982" s="83" t="s">
        <v>43</v>
      </c>
      <c r="H982" s="82">
        <v>45260</v>
      </c>
      <c r="I982" s="85" t="s">
        <v>73</v>
      </c>
      <c r="J982" s="82" t="s">
        <v>1219</v>
      </c>
      <c r="K982" s="80">
        <f>IFERROR(VLOOKUP(J982,Jueces!$A$1:$B$11,2,FALSE),"")</f>
        <v>1</v>
      </c>
      <c r="L982" s="83" t="s">
        <v>582</v>
      </c>
      <c r="M982" s="443" t="s">
        <v>2284</v>
      </c>
      <c r="N982" s="80"/>
      <c r="O982" s="83" t="str">
        <f t="shared" ca="1" si="57"/>
        <v>NO</v>
      </c>
      <c r="P982" s="83" t="str">
        <f t="shared" si="56"/>
        <v>DIANOSOL</v>
      </c>
      <c r="Q982" s="83" t="s">
        <v>951</v>
      </c>
      <c r="R982" s="83" t="str">
        <f>VLOOKUP($Q982,Resultados!$A$1:$B$49,2,FALSE)</f>
        <v xml:space="preserve"> _</v>
      </c>
      <c r="S982" s="83"/>
      <c r="T982" s="86" t="str">
        <f t="shared" si="58"/>
        <v>SI</v>
      </c>
      <c r="U982" s="86"/>
      <c r="V982" s="80"/>
      <c r="W982" s="80"/>
      <c r="X982" s="80"/>
      <c r="Y982" s="80"/>
      <c r="Z982" s="80"/>
      <c r="AA982" s="325"/>
      <c r="AB982" s="80"/>
      <c r="AC982" s="80" t="s">
        <v>1799</v>
      </c>
    </row>
    <row r="983" spans="1:29" ht="39.950000000000003" customHeight="1" x14ac:dyDescent="0.2">
      <c r="A983" s="80">
        <v>986</v>
      </c>
      <c r="B983" s="82">
        <v>45239</v>
      </c>
      <c r="C983" s="393">
        <v>0.46875</v>
      </c>
      <c r="D983" s="83" t="s">
        <v>3974</v>
      </c>
      <c r="E983" s="84" t="s">
        <v>3975</v>
      </c>
      <c r="F983" s="80">
        <v>4</v>
      </c>
      <c r="G983" s="80" t="s">
        <v>1442</v>
      </c>
      <c r="H983" s="82">
        <v>45260</v>
      </c>
      <c r="I983" s="85" t="s">
        <v>1086</v>
      </c>
      <c r="J983" s="82" t="s">
        <v>1224</v>
      </c>
      <c r="K983" s="80">
        <f>IFERROR(VLOOKUP(J983,Jueces!$A$1:$B$11,2,FALSE),"")</f>
        <v>6</v>
      </c>
      <c r="L983" s="83" t="s">
        <v>812</v>
      </c>
      <c r="M983" s="83" t="s">
        <v>1874</v>
      </c>
      <c r="N983" s="80"/>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325" t="s">
        <v>2849</v>
      </c>
      <c r="AB983" s="80"/>
      <c r="AC983" s="80"/>
    </row>
    <row r="984" spans="1:29" ht="39.950000000000003" customHeight="1" x14ac:dyDescent="0.2">
      <c r="A984" s="80">
        <v>1000</v>
      </c>
      <c r="B984" s="82">
        <v>45240</v>
      </c>
      <c r="C984" s="393">
        <v>0.4458333333333333</v>
      </c>
      <c r="D984" s="83" t="s">
        <v>4010</v>
      </c>
      <c r="E984" s="84" t="s">
        <v>4011</v>
      </c>
      <c r="F984" s="80">
        <v>3</v>
      </c>
      <c r="G984" s="80" t="s">
        <v>1440</v>
      </c>
      <c r="H984" s="82">
        <v>45260</v>
      </c>
      <c r="I984" s="85" t="s">
        <v>1086</v>
      </c>
      <c r="J984" s="82" t="s">
        <v>1220</v>
      </c>
      <c r="K984" s="80">
        <f>IFERROR(VLOOKUP(J984,Jueces!$A$1:$B$11,2,FALSE),"")</f>
        <v>7</v>
      </c>
      <c r="L984" s="83" t="s">
        <v>806</v>
      </c>
      <c r="M984" s="83" t="s">
        <v>694</v>
      </c>
      <c r="N984" s="80"/>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325" t="s">
        <v>2892</v>
      </c>
      <c r="AB984" s="80"/>
      <c r="AC984" s="80"/>
    </row>
    <row r="985" spans="1:29" ht="39.950000000000003" customHeight="1" x14ac:dyDescent="0.2">
      <c r="A985" s="80">
        <v>1010</v>
      </c>
      <c r="B985" s="82">
        <v>45243</v>
      </c>
      <c r="C985" s="422">
        <v>0.41388888888888892</v>
      </c>
      <c r="D985" s="360" t="s">
        <v>2779</v>
      </c>
      <c r="E985" s="84" t="s">
        <v>4037</v>
      </c>
      <c r="F985" s="80">
        <v>7</v>
      </c>
      <c r="G985" s="80" t="s">
        <v>568</v>
      </c>
      <c r="H985" s="82">
        <v>45260</v>
      </c>
      <c r="I985" s="85" t="s">
        <v>1086</v>
      </c>
      <c r="J985" s="82" t="s">
        <v>35</v>
      </c>
      <c r="K985" s="80">
        <f>IFERROR(VLOOKUP(J985,Jueces!$A$1:$B$11,2,FALSE),"")</f>
        <v>3</v>
      </c>
      <c r="L985" s="83" t="s">
        <v>582</v>
      </c>
      <c r="M985" s="399" t="s">
        <v>3420</v>
      </c>
      <c r="N985" s="80"/>
      <c r="O985" s="83" t="str">
        <f t="shared" ca="1" si="57"/>
        <v>NO</v>
      </c>
      <c r="P985" s="83" t="str">
        <f t="shared" si="56"/>
        <v>DIANOSOL</v>
      </c>
      <c r="Q985" s="83" t="s">
        <v>951</v>
      </c>
      <c r="R985" s="83" t="str">
        <f>VLOOKUP($Q985,Resultados!$A$1:$B$49,2,FALSE)</f>
        <v xml:space="preserve"> _</v>
      </c>
      <c r="S985" s="83"/>
      <c r="T985" s="86" t="str">
        <f t="shared" si="58"/>
        <v>NO</v>
      </c>
      <c r="U985" s="86"/>
      <c r="V985" s="80"/>
      <c r="W985" s="80"/>
      <c r="X985" s="80"/>
      <c r="Y985" s="80"/>
      <c r="Z985" s="80"/>
      <c r="AA985" s="80"/>
      <c r="AB985" s="80"/>
      <c r="AC985" s="80" t="s">
        <v>1799</v>
      </c>
    </row>
    <row r="986" spans="1:29" ht="39.950000000000003" customHeight="1" x14ac:dyDescent="0.2">
      <c r="A986" s="90">
        <v>981</v>
      </c>
      <c r="B986" s="212">
        <v>45239</v>
      </c>
      <c r="C986" s="439">
        <v>0.36874999999999997</v>
      </c>
      <c r="D986" s="81" t="s">
        <v>3966</v>
      </c>
      <c r="E986" s="211" t="s">
        <v>4030</v>
      </c>
      <c r="F986" s="90">
        <v>4</v>
      </c>
      <c r="G986" s="90" t="s">
        <v>3362</v>
      </c>
      <c r="H986" s="212">
        <v>45261</v>
      </c>
      <c r="I986" s="246" t="s">
        <v>73</v>
      </c>
      <c r="J986" s="212" t="s">
        <v>2951</v>
      </c>
      <c r="K986" s="81" t="s">
        <v>4110</v>
      </c>
      <c r="L986" s="81" t="s">
        <v>809</v>
      </c>
      <c r="M986" s="430" t="s">
        <v>1874</v>
      </c>
      <c r="N986" s="90"/>
      <c r="O986" s="81" t="str">
        <f t="shared" ca="1" si="57"/>
        <v>NO</v>
      </c>
      <c r="P986" s="81" t="str">
        <f t="shared" si="56"/>
        <v>DIANOSOL</v>
      </c>
      <c r="Q986" s="81" t="s">
        <v>951</v>
      </c>
      <c r="R986" s="81" t="str">
        <f>VLOOKUP($Q986,Resultados!$A$1:$B$49,2,FALSE)</f>
        <v xml:space="preserve"> _</v>
      </c>
      <c r="S986" s="81"/>
      <c r="T986" s="387" t="str">
        <f t="shared" si="58"/>
        <v>NO</v>
      </c>
      <c r="U986" s="387"/>
      <c r="V986" s="90"/>
      <c r="W986" s="90"/>
      <c r="X986" s="90"/>
      <c r="Y986" s="90"/>
      <c r="Z986" s="90"/>
      <c r="AA986" s="434" t="s">
        <v>1170</v>
      </c>
      <c r="AB986" s="90"/>
      <c r="AC986" s="90"/>
    </row>
    <row r="987" spans="1:29" ht="39.950000000000003" customHeight="1" x14ac:dyDescent="0.2">
      <c r="A987" s="80">
        <v>985</v>
      </c>
      <c r="B987" s="82">
        <v>45239</v>
      </c>
      <c r="C987" s="426">
        <v>0.47291666666666665</v>
      </c>
      <c r="D987" s="83" t="s">
        <v>3972</v>
      </c>
      <c r="E987" s="84" t="s">
        <v>3973</v>
      </c>
      <c r="F987" s="80">
        <v>3</v>
      </c>
      <c r="G987" s="80" t="s">
        <v>283</v>
      </c>
      <c r="H987" s="82">
        <v>45261</v>
      </c>
      <c r="I987" s="85" t="s">
        <v>73</v>
      </c>
      <c r="J987" s="82" t="s">
        <v>2948</v>
      </c>
      <c r="K987" s="83" t="s">
        <v>3818</v>
      </c>
      <c r="L987" s="83" t="s">
        <v>810</v>
      </c>
      <c r="M987" s="235" t="s">
        <v>695</v>
      </c>
      <c r="N987" s="80"/>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325" t="s">
        <v>2849</v>
      </c>
      <c r="AB987" s="80"/>
      <c r="AC987" s="80"/>
    </row>
    <row r="988" spans="1:29" ht="39.950000000000003" customHeight="1" x14ac:dyDescent="0.2">
      <c r="A988" s="80">
        <v>996</v>
      </c>
      <c r="B988" s="82">
        <v>45240</v>
      </c>
      <c r="C988" s="83" t="s">
        <v>4000</v>
      </c>
      <c r="D988" s="83" t="s">
        <v>2845</v>
      </c>
      <c r="E988" s="84" t="s">
        <v>4001</v>
      </c>
      <c r="F988" s="80">
        <v>8</v>
      </c>
      <c r="G988" s="80" t="s">
        <v>568</v>
      </c>
      <c r="H988" s="82">
        <v>45261</v>
      </c>
      <c r="I988" s="85" t="s">
        <v>73</v>
      </c>
      <c r="J988" s="82" t="s">
        <v>33</v>
      </c>
      <c r="K988" s="80">
        <f>IFERROR(VLOOKUP(J988,Jueces!$A$1:$B$11,2,FALSE),"")</f>
        <v>4</v>
      </c>
      <c r="L988" s="83" t="s">
        <v>800</v>
      </c>
      <c r="M988" s="382" t="s">
        <v>1087</v>
      </c>
      <c r="N988" s="90" t="s">
        <v>4038</v>
      </c>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325" t="s">
        <v>1168</v>
      </c>
      <c r="AB988" s="80"/>
      <c r="AC988" s="80"/>
    </row>
    <row r="989" spans="1:29" ht="39.950000000000003" customHeight="1" x14ac:dyDescent="0.2">
      <c r="A989" s="80">
        <v>1006</v>
      </c>
      <c r="B989" s="82">
        <v>45240</v>
      </c>
      <c r="C989" s="422">
        <v>0.39513888888888887</v>
      </c>
      <c r="D989" s="83" t="s">
        <v>4027</v>
      </c>
      <c r="E989" s="84" t="s">
        <v>4028</v>
      </c>
      <c r="F989" s="80">
        <v>5</v>
      </c>
      <c r="G989" s="80" t="s">
        <v>1441</v>
      </c>
      <c r="H989" s="82">
        <v>45261</v>
      </c>
      <c r="I989" s="85" t="s">
        <v>73</v>
      </c>
      <c r="J989" s="82" t="s">
        <v>35</v>
      </c>
      <c r="K989" s="80">
        <f>IFERROR(VLOOKUP(J989,Jueces!$A$1:$B$11,2,FALSE),"")</f>
        <v>3</v>
      </c>
      <c r="L989" s="83" t="s">
        <v>582</v>
      </c>
      <c r="M989" s="444" t="s">
        <v>2140</v>
      </c>
      <c r="N989" s="83" t="s">
        <v>4029</v>
      </c>
      <c r="O989" s="83" t="str">
        <f t="shared" ca="1" si="57"/>
        <v>NO</v>
      </c>
      <c r="P989" s="83" t="str">
        <f t="shared" si="56"/>
        <v>DIANOSOL</v>
      </c>
      <c r="Q989" s="83" t="s">
        <v>951</v>
      </c>
      <c r="R989" s="83" t="str">
        <f>VLOOKUP($Q989,Resultados!$A$1:$B$49,2,FALSE)</f>
        <v xml:space="preserve"> _</v>
      </c>
      <c r="S989" s="83"/>
      <c r="T989" s="86" t="str">
        <f t="shared" si="58"/>
        <v>NO</v>
      </c>
      <c r="U989" s="86"/>
      <c r="V989" s="80"/>
      <c r="W989" s="80"/>
      <c r="X989" s="80"/>
      <c r="Y989" s="80"/>
      <c r="Z989" s="80"/>
      <c r="AA989" s="83"/>
      <c r="AB989" s="80"/>
      <c r="AC989" s="80"/>
    </row>
    <row r="990" spans="1:29" ht="39.950000000000003" customHeight="1" x14ac:dyDescent="0.2">
      <c r="A990" s="80">
        <v>1020</v>
      </c>
      <c r="B990" s="82">
        <v>45245</v>
      </c>
      <c r="C990" s="426">
        <v>0.44930555555555557</v>
      </c>
      <c r="D990" s="83" t="s">
        <v>4094</v>
      </c>
      <c r="E990" s="84" t="s">
        <v>4095</v>
      </c>
      <c r="F990" s="80">
        <v>3</v>
      </c>
      <c r="G990" s="80" t="s">
        <v>2771</v>
      </c>
      <c r="H990" s="82">
        <v>45261</v>
      </c>
      <c r="I990" s="85" t="s">
        <v>73</v>
      </c>
      <c r="J990" s="82" t="s">
        <v>78</v>
      </c>
      <c r="K990" s="80">
        <f>IFERROR(VLOOKUP(J990,Jueces!$A$1:$B$11,2,FALSE),"")</f>
        <v>8</v>
      </c>
      <c r="L990" s="83" t="s">
        <v>4096</v>
      </c>
      <c r="M990" s="83" t="s">
        <v>3797</v>
      </c>
      <c r="N990" s="80"/>
      <c r="O990" s="83" t="str">
        <f t="shared" ca="1" si="57"/>
        <v>NO</v>
      </c>
      <c r="P990" s="83" t="str">
        <f t="shared" si="56"/>
        <v>DIANOSOL</v>
      </c>
      <c r="Q990" s="83" t="s">
        <v>951</v>
      </c>
      <c r="R990" s="83" t="str">
        <f>VLOOKUP($Q990,Resultados!$A$1:$B$49,2,FALSE)</f>
        <v xml:space="preserve"> _</v>
      </c>
      <c r="S990" s="83"/>
      <c r="T990" s="86" t="str">
        <f t="shared" si="58"/>
        <v>NO</v>
      </c>
      <c r="U990" s="86"/>
      <c r="V990" s="80"/>
      <c r="W990" s="80"/>
      <c r="X990" s="80"/>
      <c r="Y990" s="80"/>
      <c r="Z990" s="80"/>
      <c r="AA990" s="325" t="s">
        <v>3418</v>
      </c>
      <c r="AB990" s="80"/>
      <c r="AC990" s="80"/>
    </row>
    <row r="991" spans="1:29" ht="39.950000000000003" customHeight="1" x14ac:dyDescent="0.2">
      <c r="A991" s="80">
        <v>1059</v>
      </c>
      <c r="B991" s="82">
        <v>45232</v>
      </c>
      <c r="C991" s="393">
        <v>0.53541666666666665</v>
      </c>
      <c r="D991" s="80" t="s">
        <v>3827</v>
      </c>
      <c r="E991" s="84" t="s">
        <v>4287</v>
      </c>
      <c r="F991" s="80">
        <v>4</v>
      </c>
      <c r="G991" s="83" t="s">
        <v>1440</v>
      </c>
      <c r="H991" s="82">
        <v>45261</v>
      </c>
      <c r="I991" s="85" t="s">
        <v>73</v>
      </c>
      <c r="J991" s="82" t="s">
        <v>31</v>
      </c>
      <c r="K991" s="80">
        <f>IFERROR(VLOOKUP(J991,Jueces!$A$1:$B$11,2,FALSE),"")</f>
        <v>2</v>
      </c>
      <c r="L991" s="83" t="s">
        <v>791</v>
      </c>
      <c r="M991" s="429" t="s">
        <v>1385</v>
      </c>
      <c r="N991" s="80"/>
      <c r="O991" s="83" t="str">
        <f t="shared" ca="1" si="57"/>
        <v>NO</v>
      </c>
      <c r="P991" s="83" t="str">
        <f t="shared" si="56"/>
        <v>DIANOSOL</v>
      </c>
      <c r="Q991" s="83" t="s">
        <v>951</v>
      </c>
      <c r="R991" s="83" t="str">
        <f>VLOOKUP($Q991,Resultados!$A$1:$B$49,2,FALSE)</f>
        <v xml:space="preserve"> _</v>
      </c>
      <c r="S991" s="83"/>
      <c r="T991" s="86" t="str">
        <f t="shared" si="58"/>
        <v>NO</v>
      </c>
      <c r="U991" s="86"/>
      <c r="V991" s="80"/>
      <c r="W991" s="80"/>
      <c r="X991" s="80"/>
      <c r="Y991" s="80"/>
      <c r="Z991" s="80"/>
      <c r="AA991" s="325" t="s">
        <v>1168</v>
      </c>
      <c r="AB991" s="80"/>
      <c r="AC991" s="80"/>
    </row>
    <row r="992" spans="1:29" ht="39.950000000000003" customHeight="1" x14ac:dyDescent="0.2">
      <c r="A992" s="80">
        <v>995</v>
      </c>
      <c r="B992" s="82">
        <v>45240</v>
      </c>
      <c r="C992" s="426">
        <v>0.37152777777777773</v>
      </c>
      <c r="D992" s="83" t="s">
        <v>3999</v>
      </c>
      <c r="E992" s="84" t="s">
        <v>4020</v>
      </c>
      <c r="F992" s="80">
        <v>3</v>
      </c>
      <c r="G992" s="80" t="s">
        <v>2785</v>
      </c>
      <c r="H992" s="82">
        <v>45261</v>
      </c>
      <c r="I992" s="85" t="s">
        <v>1086</v>
      </c>
      <c r="J992" s="82" t="s">
        <v>1219</v>
      </c>
      <c r="K992" s="80">
        <f>IFERROR(VLOOKUP(J992,Jueces!$A$1:$B$11,2,FALSE),"")</f>
        <v>1</v>
      </c>
      <c r="L992" s="83" t="s">
        <v>813</v>
      </c>
      <c r="M992" s="83" t="s">
        <v>695</v>
      </c>
      <c r="N992" s="367"/>
      <c r="O992" s="83" t="str">
        <f t="shared" ca="1" si="57"/>
        <v>NO</v>
      </c>
      <c r="P992" s="83" t="str">
        <f t="shared" si="56"/>
        <v>DIANOSOL</v>
      </c>
      <c r="Q992" s="83" t="s">
        <v>951</v>
      </c>
      <c r="R992" s="83" t="str">
        <f>VLOOKUP($Q992,Resultados!$A$1:$B$49,2,FALSE)</f>
        <v xml:space="preserve"> _</v>
      </c>
      <c r="S992" s="83"/>
      <c r="T992" s="86" t="str">
        <f t="shared" si="58"/>
        <v>NO</v>
      </c>
      <c r="U992" s="86"/>
      <c r="V992" s="80"/>
      <c r="W992" s="80"/>
      <c r="X992" s="80"/>
      <c r="Y992" s="80"/>
      <c r="Z992" s="80"/>
      <c r="AA992" s="325" t="s">
        <v>2892</v>
      </c>
      <c r="AB992" s="80"/>
      <c r="AC992" s="80"/>
    </row>
    <row r="993" spans="1:29" ht="39.950000000000003" customHeight="1" x14ac:dyDescent="0.2">
      <c r="A993" s="80">
        <v>1005</v>
      </c>
      <c r="B993" s="82">
        <v>45240</v>
      </c>
      <c r="C993" s="80"/>
      <c r="D993" s="83" t="s">
        <v>4021</v>
      </c>
      <c r="E993" s="84" t="s">
        <v>4022</v>
      </c>
      <c r="F993" s="80">
        <v>4</v>
      </c>
      <c r="G993" s="80" t="s">
        <v>2835</v>
      </c>
      <c r="H993" s="82">
        <v>45261</v>
      </c>
      <c r="I993" s="85" t="s">
        <v>1086</v>
      </c>
      <c r="J993" s="82" t="s">
        <v>1220</v>
      </c>
      <c r="K993" s="80">
        <f>IFERROR(VLOOKUP(J993,Jueces!$A$1:$B$11,2,FALSE),"")</f>
        <v>7</v>
      </c>
      <c r="L993" s="83" t="s">
        <v>802</v>
      </c>
      <c r="M993" s="367" t="s">
        <v>1874</v>
      </c>
      <c r="N993" s="80"/>
      <c r="O993" s="83" t="str">
        <f t="shared" ca="1" si="57"/>
        <v>NO</v>
      </c>
      <c r="P993" s="83" t="str">
        <f t="shared" si="56"/>
        <v>DIANOSOL</v>
      </c>
      <c r="Q993" s="83" t="s">
        <v>951</v>
      </c>
      <c r="R993" s="83" t="str">
        <f>VLOOKUP($Q993,Resultados!$A$1:$B$49,2,FALSE)</f>
        <v xml:space="preserve"> _</v>
      </c>
      <c r="S993" s="83"/>
      <c r="T993" s="86" t="str">
        <f t="shared" si="58"/>
        <v>NO</v>
      </c>
      <c r="U993" s="86"/>
      <c r="V993" s="80"/>
      <c r="W993" s="80"/>
      <c r="X993" s="80"/>
      <c r="Y993" s="80"/>
      <c r="Z993" s="80"/>
      <c r="AA993" s="325" t="s">
        <v>2849</v>
      </c>
      <c r="AB993" s="80"/>
      <c r="AC993" s="80"/>
    </row>
    <row r="994" spans="1:29" ht="39.950000000000003" customHeight="1" x14ac:dyDescent="0.2">
      <c r="A994" s="364">
        <v>1057</v>
      </c>
      <c r="B994" s="402"/>
      <c r="C994" s="416"/>
      <c r="D994" s="214" t="s">
        <v>3970</v>
      </c>
      <c r="E994" s="215" t="s">
        <v>3971</v>
      </c>
      <c r="F994" s="364">
        <v>3</v>
      </c>
      <c r="G994" s="364" t="s">
        <v>1440</v>
      </c>
      <c r="H994" s="402">
        <v>45261</v>
      </c>
      <c r="I994" s="322" t="s">
        <v>1086</v>
      </c>
      <c r="J994" s="402" t="s">
        <v>31</v>
      </c>
      <c r="K994" s="364">
        <v>2</v>
      </c>
      <c r="L994" s="214" t="s">
        <v>809</v>
      </c>
      <c r="M994" s="424" t="s">
        <v>3420</v>
      </c>
      <c r="N994" s="214" t="s">
        <v>4220</v>
      </c>
      <c r="O994" s="214" t="e">
        <f ca="1">IF(#REF!&lt;&gt;"",IF(#REF!&lt;=TODAY(),"SI","NO"),"LIMBO")</f>
        <v>#REF!</v>
      </c>
      <c r="P994" s="214" t="e">
        <f>IF($P$1=#REF!,"DIASOL", "DIANOSOL")</f>
        <v>#REF!</v>
      </c>
      <c r="Q994" s="214" t="s">
        <v>951</v>
      </c>
      <c r="R994" s="214" t="str">
        <f>VLOOKUP($Q994,Resultados!$A$1:$B$49,2,FALSE)</f>
        <v xml:space="preserve"> _</v>
      </c>
      <c r="S994" s="214"/>
      <c r="T994" s="281" t="e">
        <f>IF(#REF!=$J$1,"SI","NO")</f>
        <v>#REF!</v>
      </c>
      <c r="U994" s="281"/>
      <c r="V994" s="364"/>
      <c r="W994" s="364"/>
      <c r="X994" s="364"/>
      <c r="Y994" s="364"/>
      <c r="Z994" s="364"/>
      <c r="AA994" s="214" t="s">
        <v>3417</v>
      </c>
      <c r="AB994" s="364"/>
      <c r="AC994" s="364"/>
    </row>
    <row r="995" spans="1:29" ht="39.950000000000003" customHeight="1" x14ac:dyDescent="0.2">
      <c r="A995" s="80">
        <v>1060</v>
      </c>
      <c r="B995" s="82">
        <v>45253</v>
      </c>
      <c r="C995" s="393">
        <v>0.42708333333333331</v>
      </c>
      <c r="D995" s="83" t="s">
        <v>4288</v>
      </c>
      <c r="E995" s="84" t="s">
        <v>4289</v>
      </c>
      <c r="F995" s="80">
        <v>4</v>
      </c>
      <c r="G995" s="80" t="s">
        <v>3679</v>
      </c>
      <c r="H995" s="82">
        <v>45261</v>
      </c>
      <c r="I995" s="85" t="s">
        <v>1086</v>
      </c>
      <c r="J995" s="82" t="s">
        <v>78</v>
      </c>
      <c r="K995" s="80">
        <f>IFERROR(VLOOKUP(J995,Jueces!$A$1:$B$11,2,FALSE),"")</f>
        <v>8</v>
      </c>
      <c r="L995" s="83" t="s">
        <v>814</v>
      </c>
      <c r="M995" s="421" t="s">
        <v>1646</v>
      </c>
      <c r="N995" s="418" t="s">
        <v>4306</v>
      </c>
      <c r="O995" s="83" t="str">
        <f t="shared" ref="O995:O1002" ca="1" si="59">IF(H995&lt;&gt;"",IF(H995&lt;=TODAY(),"SI","NO"),"LIMBO")</f>
        <v>NO</v>
      </c>
      <c r="P995" s="83" t="str">
        <f t="shared" ref="P995:P1002" si="60">IF($P$1=H995,"DIASOL", "DIANOSOL")</f>
        <v>DIANOSOL</v>
      </c>
      <c r="Q995" s="83" t="s">
        <v>951</v>
      </c>
      <c r="R995" s="83" t="str">
        <f>VLOOKUP($Q995,Resultados!$A$1:$B$49,2,FALSE)</f>
        <v xml:space="preserve"> _</v>
      </c>
      <c r="S995" s="83"/>
      <c r="T995" s="86" t="str">
        <f t="shared" ref="T995:T1002" si="61">IF(G995=$J$1,"SI","NO")</f>
        <v>NO</v>
      </c>
      <c r="U995" s="86"/>
      <c r="V995" s="80"/>
      <c r="W995" s="80"/>
      <c r="X995" s="80"/>
      <c r="Y995" s="80"/>
      <c r="Z995" s="80"/>
      <c r="AA995" s="80"/>
      <c r="AB995" s="80"/>
      <c r="AC995" s="80"/>
    </row>
    <row r="996" spans="1:29" ht="39.950000000000003" customHeight="1" x14ac:dyDescent="0.2">
      <c r="A996" s="80">
        <v>1003</v>
      </c>
      <c r="B996" s="82">
        <v>45240</v>
      </c>
      <c r="C996" s="422">
        <v>0.54722222222222217</v>
      </c>
      <c r="D996" s="83" t="s">
        <v>4015</v>
      </c>
      <c r="E996" s="84" t="s">
        <v>4016</v>
      </c>
      <c r="F996" s="80">
        <v>4</v>
      </c>
      <c r="G996" s="80" t="s">
        <v>1441</v>
      </c>
      <c r="H996" s="82">
        <v>45264</v>
      </c>
      <c r="I996" s="85" t="s">
        <v>73</v>
      </c>
      <c r="J996" s="82" t="s">
        <v>2951</v>
      </c>
      <c r="K996" s="83" t="s">
        <v>3818</v>
      </c>
      <c r="L996" s="83" t="s">
        <v>813</v>
      </c>
      <c r="M996" s="83" t="s">
        <v>1874</v>
      </c>
      <c r="N996" s="80"/>
      <c r="O996" s="83" t="str">
        <f t="shared" ca="1" si="59"/>
        <v>NO</v>
      </c>
      <c r="P996" s="83" t="str">
        <f t="shared" si="60"/>
        <v>DIANOSOL</v>
      </c>
      <c r="Q996" s="83" t="s">
        <v>951</v>
      </c>
      <c r="R996" s="83" t="str">
        <f>VLOOKUP($Q996,Resultados!$A$1:$B$49,2,FALSE)</f>
        <v xml:space="preserve"> _</v>
      </c>
      <c r="S996" s="83"/>
      <c r="T996" s="86" t="str">
        <f t="shared" si="61"/>
        <v>NO</v>
      </c>
      <c r="U996" s="86"/>
      <c r="V996" s="80"/>
      <c r="W996" s="80"/>
      <c r="X996" s="80"/>
      <c r="Y996" s="80"/>
      <c r="Z996" s="80"/>
      <c r="AA996" s="325" t="s">
        <v>1170</v>
      </c>
      <c r="AB996" s="80"/>
      <c r="AC996" s="80"/>
    </row>
    <row r="997" spans="1:29" ht="39.950000000000003" customHeight="1" x14ac:dyDescent="0.2">
      <c r="A997" s="80">
        <v>1005</v>
      </c>
      <c r="B997" s="82">
        <v>45240</v>
      </c>
      <c r="C997" s="422">
        <v>0.52569444444444446</v>
      </c>
      <c r="D997" s="83" t="s">
        <v>4018</v>
      </c>
      <c r="E997" s="84" t="s">
        <v>4079</v>
      </c>
      <c r="F997" s="80">
        <v>4</v>
      </c>
      <c r="G997" s="80" t="s">
        <v>1442</v>
      </c>
      <c r="H997" s="82">
        <v>45264</v>
      </c>
      <c r="I997" s="85" t="s">
        <v>73</v>
      </c>
      <c r="J997" s="82" t="s">
        <v>33</v>
      </c>
      <c r="K997" s="80">
        <f>IFERROR(VLOOKUP(J997,Jueces!$A$1:$B$11,2,FALSE),"")</f>
        <v>4</v>
      </c>
      <c r="L997" s="83" t="s">
        <v>800</v>
      </c>
      <c r="M997" s="83" t="s">
        <v>3797</v>
      </c>
      <c r="N997" s="80"/>
      <c r="O997" s="83" t="str">
        <f t="shared" ca="1" si="59"/>
        <v>NO</v>
      </c>
      <c r="P997" s="83" t="str">
        <f t="shared" si="60"/>
        <v>DIANOSOL</v>
      </c>
      <c r="Q997" s="83" t="s">
        <v>951</v>
      </c>
      <c r="R997" s="83" t="str">
        <f>VLOOKUP($Q997,Resultados!$A$1:$B$49,2,FALSE)</f>
        <v xml:space="preserve"> _</v>
      </c>
      <c r="S997" s="83"/>
      <c r="T997" s="86" t="str">
        <f t="shared" si="61"/>
        <v>NO</v>
      </c>
      <c r="U997" s="86"/>
      <c r="V997" s="80"/>
      <c r="W997" s="80"/>
      <c r="X997" s="80"/>
      <c r="Y997" s="80"/>
      <c r="Z997" s="80"/>
      <c r="AA997" s="325" t="s">
        <v>3418</v>
      </c>
      <c r="AB997" s="80"/>
      <c r="AC997" s="80"/>
    </row>
    <row r="998" spans="1:29" ht="39.950000000000003" customHeight="1" x14ac:dyDescent="0.2">
      <c r="A998" s="80">
        <v>1045</v>
      </c>
      <c r="B998" s="82"/>
      <c r="C998" s="393"/>
      <c r="D998" s="80" t="s">
        <v>3672</v>
      </c>
      <c r="E998" s="394" t="s">
        <v>3673</v>
      </c>
      <c r="F998" s="80">
        <v>8</v>
      </c>
      <c r="G998" s="80" t="s">
        <v>2771</v>
      </c>
      <c r="H998" s="82">
        <v>45264</v>
      </c>
      <c r="I998" s="85" t="s">
        <v>73</v>
      </c>
      <c r="J998" s="82" t="s">
        <v>35</v>
      </c>
      <c r="K998" s="80">
        <f>IFERROR(VLOOKUP(J998,Jueces!$A$1:$B$11,2,FALSE),"")</f>
        <v>3</v>
      </c>
      <c r="L998" s="83" t="s">
        <v>798</v>
      </c>
      <c r="M998" s="81" t="s">
        <v>3016</v>
      </c>
      <c r="N998" s="83" t="s">
        <v>4253</v>
      </c>
      <c r="O998" s="83" t="str">
        <f t="shared" ca="1" si="59"/>
        <v>NO</v>
      </c>
      <c r="P998" s="83" t="str">
        <f t="shared" si="60"/>
        <v>DIANOSOL</v>
      </c>
      <c r="Q998" s="83" t="s">
        <v>951</v>
      </c>
      <c r="R998" s="83" t="str">
        <f>VLOOKUP($Q998,Resultados!$A$1:$B$49,2,FALSE)</f>
        <v xml:space="preserve"> _</v>
      </c>
      <c r="S998" s="83"/>
      <c r="T998" s="86" t="str">
        <f t="shared" si="61"/>
        <v>NO</v>
      </c>
      <c r="U998" s="86"/>
      <c r="V998" s="80"/>
      <c r="W998" s="80"/>
      <c r="X998" s="80"/>
      <c r="Y998" s="80"/>
      <c r="Z998" s="80"/>
      <c r="AA998" s="83" t="s">
        <v>2892</v>
      </c>
      <c r="AB998" s="80"/>
      <c r="AC998" s="80"/>
    </row>
    <row r="999" spans="1:29" ht="39.950000000000003" customHeight="1" x14ac:dyDescent="0.2">
      <c r="A999" s="80">
        <v>982</v>
      </c>
      <c r="B999" s="82">
        <v>45239</v>
      </c>
      <c r="C999" s="426">
        <v>0.39583333333333331</v>
      </c>
      <c r="D999" s="83" t="s">
        <v>3832</v>
      </c>
      <c r="E999" s="84" t="s">
        <v>4093</v>
      </c>
      <c r="F999" s="80">
        <v>4</v>
      </c>
      <c r="G999" s="80" t="s">
        <v>568</v>
      </c>
      <c r="H999" s="82">
        <v>45264</v>
      </c>
      <c r="I999" s="85" t="s">
        <v>1086</v>
      </c>
      <c r="J999" s="82" t="s">
        <v>1219</v>
      </c>
      <c r="K999" s="80">
        <f>IFERROR(VLOOKUP(J999,Jueces!$A$1:$B$11,2,FALSE),"")</f>
        <v>1</v>
      </c>
      <c r="L999" s="83" t="s">
        <v>800</v>
      </c>
      <c r="M999" s="83" t="s">
        <v>695</v>
      </c>
      <c r="N999" s="80"/>
      <c r="O999" s="83" t="str">
        <f t="shared" ca="1" si="59"/>
        <v>NO</v>
      </c>
      <c r="P999" s="83" t="str">
        <f t="shared" si="60"/>
        <v>DIANOSOL</v>
      </c>
      <c r="Q999" s="83" t="s">
        <v>951</v>
      </c>
      <c r="R999" s="83" t="str">
        <f>VLOOKUP($Q999,Resultados!$A$1:$B$49,2,FALSE)</f>
        <v xml:space="preserve"> _</v>
      </c>
      <c r="S999" s="83"/>
      <c r="T999" s="86" t="str">
        <f t="shared" si="61"/>
        <v>NO</v>
      </c>
      <c r="U999" s="86"/>
      <c r="V999" s="80"/>
      <c r="W999" s="80"/>
      <c r="X999" s="80"/>
      <c r="Y999" s="80"/>
      <c r="Z999" s="80"/>
      <c r="AA999" s="325" t="s">
        <v>3418</v>
      </c>
      <c r="AB999" s="80"/>
      <c r="AC999" s="80"/>
    </row>
    <row r="1000" spans="1:29" ht="39.950000000000003" customHeight="1" x14ac:dyDescent="0.2">
      <c r="A1000" s="80">
        <v>1008</v>
      </c>
      <c r="B1000" s="85">
        <v>45243</v>
      </c>
      <c r="C1000" s="393">
        <v>0.3833333333333333</v>
      </c>
      <c r="D1000" s="83" t="s">
        <v>4033</v>
      </c>
      <c r="E1000" s="84" t="s">
        <v>4034</v>
      </c>
      <c r="F1000" s="80">
        <v>3</v>
      </c>
      <c r="G1000" s="80" t="s">
        <v>2785</v>
      </c>
      <c r="H1000" s="82">
        <v>45264</v>
      </c>
      <c r="I1000" s="85" t="s">
        <v>1086</v>
      </c>
      <c r="J1000" s="82" t="s">
        <v>31</v>
      </c>
      <c r="K1000" s="80">
        <f>IFERROR(VLOOKUP(J1000,Jueces!$A$1:$B$11,2,FALSE),"")</f>
        <v>2</v>
      </c>
      <c r="L1000" s="83" t="s">
        <v>809</v>
      </c>
      <c r="M1000" s="83" t="s">
        <v>3797</v>
      </c>
      <c r="N1000" s="80"/>
      <c r="O1000" s="83" t="str">
        <f t="shared" ca="1" si="59"/>
        <v>NO</v>
      </c>
      <c r="P1000" s="83" t="str">
        <f t="shared" si="60"/>
        <v>DIANOSOL</v>
      </c>
      <c r="Q1000" s="83" t="s">
        <v>951</v>
      </c>
      <c r="R1000" s="83" t="str">
        <f>VLOOKUP($Q1000,Resultados!$A$1:$B$49,2,FALSE)</f>
        <v xml:space="preserve"> _</v>
      </c>
      <c r="S1000" s="83"/>
      <c r="T1000" s="86" t="str">
        <f t="shared" si="61"/>
        <v>NO</v>
      </c>
      <c r="U1000" s="86"/>
      <c r="V1000" s="80"/>
      <c r="W1000" s="80"/>
      <c r="X1000" s="80"/>
      <c r="Y1000" s="80"/>
      <c r="Z1000" s="80"/>
      <c r="AA1000" s="325" t="s">
        <v>3418</v>
      </c>
      <c r="AB1000" s="80"/>
      <c r="AC1000" s="80"/>
    </row>
    <row r="1001" spans="1:29" ht="39.950000000000003" customHeight="1" x14ac:dyDescent="0.2">
      <c r="A1001" s="364">
        <v>1053</v>
      </c>
      <c r="B1001" s="402"/>
      <c r="C1001" s="416"/>
      <c r="D1001" s="364" t="s">
        <v>3891</v>
      </c>
      <c r="E1001" s="417" t="s">
        <v>3892</v>
      </c>
      <c r="F1001" s="364">
        <v>4</v>
      </c>
      <c r="G1001" s="364" t="s">
        <v>3362</v>
      </c>
      <c r="H1001" s="402">
        <v>45264</v>
      </c>
      <c r="I1001" s="322" t="s">
        <v>1086</v>
      </c>
      <c r="J1001" s="402" t="s">
        <v>1220</v>
      </c>
      <c r="K1001" s="364">
        <f>IFERROR(VLOOKUP(J1001,Jueces!$A$1:$B$11,2,FALSE),"")</f>
        <v>7</v>
      </c>
      <c r="L1001" s="214" t="s">
        <v>813</v>
      </c>
      <c r="M1001" s="214" t="s">
        <v>1874</v>
      </c>
      <c r="N1001" s="214" t="s">
        <v>4208</v>
      </c>
      <c r="O1001" s="214" t="str">
        <f t="shared" ca="1" si="59"/>
        <v>NO</v>
      </c>
      <c r="P1001" s="214" t="str">
        <f t="shared" si="60"/>
        <v>DIANOSOL</v>
      </c>
      <c r="Q1001" s="214" t="s">
        <v>951</v>
      </c>
      <c r="R1001" s="214" t="str">
        <f>VLOOKUP($Q1001,Resultados!$A$1:$B$49,2,FALSE)</f>
        <v xml:space="preserve"> _</v>
      </c>
      <c r="S1001" s="214"/>
      <c r="T1001" s="281" t="str">
        <f t="shared" si="61"/>
        <v>NO</v>
      </c>
      <c r="U1001" s="281"/>
      <c r="V1001" s="364"/>
      <c r="W1001" s="364"/>
      <c r="X1001" s="364"/>
      <c r="Y1001" s="364"/>
      <c r="Z1001" s="364"/>
      <c r="AA1001" s="214" t="s">
        <v>2892</v>
      </c>
      <c r="AB1001" s="364"/>
      <c r="AC1001" s="364"/>
    </row>
    <row r="1002" spans="1:29" ht="39.950000000000003" customHeight="1" x14ac:dyDescent="0.2">
      <c r="A1002" s="80">
        <v>1046</v>
      </c>
      <c r="B1002" s="82"/>
      <c r="C1002" s="393"/>
      <c r="D1002" s="80" t="s">
        <v>4023</v>
      </c>
      <c r="E1002" s="394" t="s">
        <v>3620</v>
      </c>
      <c r="F1002" s="80">
        <v>3</v>
      </c>
      <c r="G1002" s="80" t="s">
        <v>3361</v>
      </c>
      <c r="H1002" s="82">
        <v>45264</v>
      </c>
      <c r="I1002" s="85" t="s">
        <v>1086</v>
      </c>
      <c r="J1002" s="82" t="s">
        <v>78</v>
      </c>
      <c r="K1002" s="80">
        <f>IFERROR(VLOOKUP(J1002,Jueces!$A$1:$B$11,2,FALSE),"")</f>
        <v>8</v>
      </c>
      <c r="L1002" s="83" t="s">
        <v>812</v>
      </c>
      <c r="M1002" s="83" t="s">
        <v>694</v>
      </c>
      <c r="N1002" s="83" t="s">
        <v>4255</v>
      </c>
      <c r="O1002" s="83" t="str">
        <f t="shared" ca="1" si="59"/>
        <v>NO</v>
      </c>
      <c r="P1002" s="83" t="str">
        <f t="shared" si="60"/>
        <v>DIANOSOL</v>
      </c>
      <c r="Q1002" s="83" t="s">
        <v>951</v>
      </c>
      <c r="R1002" s="83" t="str">
        <f>VLOOKUP($Q1002,Resultados!$A$1:$B$49,2,FALSE)</f>
        <v xml:space="preserve"> _</v>
      </c>
      <c r="S1002" s="83"/>
      <c r="T1002" s="86" t="str">
        <f t="shared" si="61"/>
        <v>NO</v>
      </c>
      <c r="U1002" s="86"/>
      <c r="V1002" s="80"/>
      <c r="W1002" s="80"/>
      <c r="X1002" s="80"/>
      <c r="Y1002" s="80"/>
      <c r="Z1002" s="80"/>
      <c r="AA1002" s="83" t="s">
        <v>3417</v>
      </c>
      <c r="AB1002" s="80"/>
      <c r="AC1002" s="80"/>
    </row>
    <row r="1003" spans="1:29" ht="39.950000000000003" customHeight="1" x14ac:dyDescent="0.2">
      <c r="A1003" s="80">
        <v>1064</v>
      </c>
      <c r="B1003" s="82"/>
      <c r="C1003" s="80"/>
      <c r="D1003" s="360" t="s">
        <v>2434</v>
      </c>
      <c r="E1003" s="438" t="s">
        <v>4298</v>
      </c>
      <c r="F1003" s="80">
        <v>4</v>
      </c>
      <c r="G1003" s="83" t="s">
        <v>43</v>
      </c>
      <c r="H1003" s="82">
        <v>45264</v>
      </c>
      <c r="I1003" s="85" t="s">
        <v>77</v>
      </c>
      <c r="J1003" s="82" t="s">
        <v>33</v>
      </c>
      <c r="K1003" s="83">
        <f>IFERROR(VLOOKUP(J1003,[3]Jueces!$A$1:$B$11,2,FALSE),"")</f>
        <v>4</v>
      </c>
      <c r="L1003" s="83"/>
      <c r="M1003" s="83" t="s">
        <v>1437</v>
      </c>
      <c r="N1003" s="83" t="s">
        <v>4300</v>
      </c>
      <c r="O1003" s="83" t="str">
        <f ca="1">IF($H1003&lt;&gt;"",IF($H1003&lt;=TODAY(),"SI","NO"),"LIMBO")</f>
        <v>NO</v>
      </c>
      <c r="P1003" s="83"/>
      <c r="Q1003" s="83" t="s">
        <v>951</v>
      </c>
      <c r="R1003" s="83"/>
      <c r="S1003" s="83"/>
      <c r="T1003" s="86"/>
      <c r="U1003" s="86"/>
      <c r="V1003" s="80"/>
      <c r="W1003" s="80"/>
      <c r="X1003" s="80"/>
      <c r="Y1003" s="80"/>
      <c r="Z1003" s="80"/>
      <c r="AA1003" s="80"/>
      <c r="AB1003" s="80"/>
      <c r="AC1003" s="80" t="s">
        <v>1799</v>
      </c>
    </row>
    <row r="1004" spans="1:29" ht="39.950000000000003" customHeight="1" x14ac:dyDescent="0.2">
      <c r="A1004" s="80">
        <v>1009</v>
      </c>
      <c r="B1004" s="82">
        <v>45243</v>
      </c>
      <c r="C1004" s="393">
        <v>0.40208333333333335</v>
      </c>
      <c r="D1004" s="83" t="s">
        <v>4035</v>
      </c>
      <c r="E1004" s="84" t="s">
        <v>4083</v>
      </c>
      <c r="F1004" s="80">
        <v>3</v>
      </c>
      <c r="G1004" s="80" t="s">
        <v>3361</v>
      </c>
      <c r="H1004" s="82">
        <v>45265</v>
      </c>
      <c r="I1004" s="85" t="s">
        <v>73</v>
      </c>
      <c r="J1004" s="82" t="s">
        <v>33</v>
      </c>
      <c r="K1004" s="80">
        <f>IFERROR(VLOOKUP(J1004,Jueces!$A$1:$B$11,2,FALSE),"")</f>
        <v>4</v>
      </c>
      <c r="L1004" s="83" t="s">
        <v>809</v>
      </c>
      <c r="M1004" s="83" t="s">
        <v>695</v>
      </c>
      <c r="N1004" s="80"/>
      <c r="O1004" s="83" t="str">
        <f t="shared" ref="O1004:O1035" ca="1" si="62">IF(H1004&lt;&gt;"",IF(H1004&lt;=TODAY(),"SI","NO"),"LIMBO")</f>
        <v>NO</v>
      </c>
      <c r="P1004" s="83" t="str">
        <f t="shared" ref="P1004:P1035" si="63">IF($P$1=H1004,"DIASOL", "DIANOSOL")</f>
        <v>DIANOSOL</v>
      </c>
      <c r="Q1004" s="83" t="s">
        <v>951</v>
      </c>
      <c r="R1004" s="83" t="str">
        <f>VLOOKUP($Q1004,Resultados!$A$1:$B$49,2,FALSE)</f>
        <v xml:space="preserve"> _</v>
      </c>
      <c r="S1004" s="83"/>
      <c r="T1004" s="86" t="str">
        <f t="shared" ref="T1004:T1035" si="64">IF(G1004=$J$1,"SI","NO")</f>
        <v>NO</v>
      </c>
      <c r="U1004" s="86"/>
      <c r="V1004" s="80"/>
      <c r="W1004" s="80"/>
      <c r="X1004" s="80"/>
      <c r="Y1004" s="80"/>
      <c r="Z1004" s="80"/>
      <c r="AA1004" s="83" t="s">
        <v>3418</v>
      </c>
      <c r="AB1004" s="80"/>
      <c r="AC1004" s="80"/>
    </row>
    <row r="1005" spans="1:29" ht="39.950000000000003" customHeight="1" x14ac:dyDescent="0.2">
      <c r="A1005" s="80">
        <v>990</v>
      </c>
      <c r="B1005" s="82">
        <v>45239</v>
      </c>
      <c r="C1005" s="393">
        <v>0.53125</v>
      </c>
      <c r="D1005" s="83" t="s">
        <v>3990</v>
      </c>
      <c r="E1005" s="84" t="s">
        <v>3991</v>
      </c>
      <c r="F1005" s="80">
        <v>2</v>
      </c>
      <c r="G1005" s="80" t="s">
        <v>1441</v>
      </c>
      <c r="H1005" s="82">
        <v>45265</v>
      </c>
      <c r="I1005" s="85" t="s">
        <v>73</v>
      </c>
      <c r="J1005" s="82" t="s">
        <v>1220</v>
      </c>
      <c r="K1005" s="80">
        <f>IFERROR(VLOOKUP(J1005,Jueces!$A$1:$B$11,2,FALSE),"")</f>
        <v>7</v>
      </c>
      <c r="L1005" s="83" t="s">
        <v>810</v>
      </c>
      <c r="M1005" s="421" t="s">
        <v>700</v>
      </c>
      <c r="N1005" s="83" t="s">
        <v>4203</v>
      </c>
      <c r="O1005" s="83" t="str">
        <f t="shared" ca="1" si="62"/>
        <v>NO</v>
      </c>
      <c r="P1005" s="83" t="str">
        <f t="shared" si="63"/>
        <v>DIANOSOL</v>
      </c>
      <c r="Q1005" s="83" t="s">
        <v>951</v>
      </c>
      <c r="R1005" s="83" t="str">
        <f>VLOOKUP($Q1005,Resultados!$A$1:$B$49,2,FALSE)</f>
        <v xml:space="preserve"> _</v>
      </c>
      <c r="S1005" s="83"/>
      <c r="T1005" s="86" t="str">
        <f t="shared" si="64"/>
        <v>NO</v>
      </c>
      <c r="U1005" s="86"/>
      <c r="V1005" s="80"/>
      <c r="W1005" s="80"/>
      <c r="X1005" s="80"/>
      <c r="Y1005" s="80"/>
      <c r="Z1005" s="80"/>
      <c r="AA1005" s="83" t="s">
        <v>1170</v>
      </c>
      <c r="AB1005" s="80"/>
      <c r="AC1005" s="80"/>
    </row>
    <row r="1006" spans="1:29" ht="39.950000000000003" customHeight="1" x14ac:dyDescent="0.2">
      <c r="A1006" s="80">
        <v>998</v>
      </c>
      <c r="B1006" s="82">
        <v>45240</v>
      </c>
      <c r="C1006" s="422">
        <v>0.46388888888888885</v>
      </c>
      <c r="D1006" s="83" t="s">
        <v>4007</v>
      </c>
      <c r="E1006" s="84" t="s">
        <v>4008</v>
      </c>
      <c r="F1006" s="80">
        <v>4</v>
      </c>
      <c r="G1006" s="80" t="s">
        <v>3362</v>
      </c>
      <c r="H1006" s="82">
        <v>45265</v>
      </c>
      <c r="I1006" s="85" t="s">
        <v>73</v>
      </c>
      <c r="J1006" s="82" t="s">
        <v>35</v>
      </c>
      <c r="K1006" s="80">
        <f>IFERROR(VLOOKUP(J1006,Jueces!$A$1:$B$11,2,FALSE),"")</f>
        <v>3</v>
      </c>
      <c r="L1006" s="83" t="s">
        <v>791</v>
      </c>
      <c r="M1006" s="81" t="s">
        <v>3797</v>
      </c>
      <c r="N1006" s="80"/>
      <c r="O1006" s="83" t="str">
        <f t="shared" ca="1" si="62"/>
        <v>NO</v>
      </c>
      <c r="P1006" s="83" t="str">
        <f t="shared" si="63"/>
        <v>DIANOSOL</v>
      </c>
      <c r="Q1006" s="83" t="s">
        <v>951</v>
      </c>
      <c r="R1006" s="83" t="str">
        <f>VLOOKUP($Q1006,Resultados!$A$1:$B$49,2,FALSE)</f>
        <v xml:space="preserve"> _</v>
      </c>
      <c r="S1006" s="83"/>
      <c r="T1006" s="86" t="str">
        <f t="shared" si="64"/>
        <v>NO</v>
      </c>
      <c r="U1006" s="86"/>
      <c r="V1006" s="80"/>
      <c r="W1006" s="80"/>
      <c r="X1006" s="80"/>
      <c r="Y1006" s="80"/>
      <c r="Z1006" s="80"/>
      <c r="AA1006" s="83" t="s">
        <v>2892</v>
      </c>
      <c r="AB1006" s="80"/>
      <c r="AC1006" s="80"/>
    </row>
    <row r="1007" spans="1:29" ht="39.950000000000003" customHeight="1" x14ac:dyDescent="0.2">
      <c r="A1007" s="80">
        <v>1011</v>
      </c>
      <c r="B1007" s="82">
        <v>45243</v>
      </c>
      <c r="C1007" s="422">
        <v>0.5131944444444444</v>
      </c>
      <c r="D1007" s="83" t="s">
        <v>4060</v>
      </c>
      <c r="E1007" s="84" t="s">
        <v>4061</v>
      </c>
      <c r="F1007" s="80">
        <v>4</v>
      </c>
      <c r="G1007" s="80" t="s">
        <v>1440</v>
      </c>
      <c r="H1007" s="82">
        <v>45265</v>
      </c>
      <c r="I1007" s="85" t="s">
        <v>73</v>
      </c>
      <c r="J1007" s="82" t="s">
        <v>31</v>
      </c>
      <c r="K1007" s="80">
        <f>IFERROR(VLOOKUP(J1007,Jueces!$A$1:$B$11,2,FALSE),"")</f>
        <v>2</v>
      </c>
      <c r="L1007" s="83" t="s">
        <v>811</v>
      </c>
      <c r="M1007" s="83" t="s">
        <v>1964</v>
      </c>
      <c r="N1007" s="80"/>
      <c r="O1007" s="83" t="str">
        <f t="shared" ca="1" si="62"/>
        <v>NO</v>
      </c>
      <c r="P1007" s="83" t="str">
        <f t="shared" si="63"/>
        <v>DIANOSOL</v>
      </c>
      <c r="Q1007" s="83" t="s">
        <v>951</v>
      </c>
      <c r="R1007" s="83" t="str">
        <f>VLOOKUP($Q1007,Resultados!$A$1:$B$49,2,FALSE)</f>
        <v xml:space="preserve"> _</v>
      </c>
      <c r="S1007" s="83"/>
      <c r="T1007" s="86" t="str">
        <f t="shared" si="64"/>
        <v>NO</v>
      </c>
      <c r="U1007" s="86"/>
      <c r="V1007" s="80"/>
      <c r="W1007" s="80"/>
      <c r="X1007" s="80"/>
      <c r="Y1007" s="80"/>
      <c r="Z1007" s="80"/>
      <c r="AA1007" s="83" t="s">
        <v>3417</v>
      </c>
      <c r="AB1007" s="80"/>
      <c r="AC1007" s="80"/>
    </row>
    <row r="1008" spans="1:29" ht="39.950000000000003" customHeight="1" x14ac:dyDescent="0.2">
      <c r="A1008" s="80">
        <v>1014</v>
      </c>
      <c r="B1008" s="82">
        <v>45244</v>
      </c>
      <c r="C1008" s="422">
        <v>0.4145833333333333</v>
      </c>
      <c r="D1008" s="83" t="s">
        <v>4139</v>
      </c>
      <c r="E1008" s="84" t="s">
        <v>4286</v>
      </c>
      <c r="F1008" s="80">
        <v>4</v>
      </c>
      <c r="G1008" s="83" t="s">
        <v>568</v>
      </c>
      <c r="H1008" s="82">
        <v>45265</v>
      </c>
      <c r="I1008" s="85" t="s">
        <v>1086</v>
      </c>
      <c r="J1008" s="82" t="s">
        <v>78</v>
      </c>
      <c r="K1008" s="80">
        <f>IFERROR(VLOOKUP(J1008,Jueces!$A$1:$B$11,2,FALSE),"")</f>
        <v>8</v>
      </c>
      <c r="L1008" s="83" t="s">
        <v>791</v>
      </c>
      <c r="M1008" s="367" t="s">
        <v>4140</v>
      </c>
      <c r="N1008" s="80"/>
      <c r="O1008" s="83" t="str">
        <f t="shared" ca="1" si="62"/>
        <v>NO</v>
      </c>
      <c r="P1008" s="83" t="str">
        <f t="shared" si="63"/>
        <v>DIANOSOL</v>
      </c>
      <c r="Q1008" s="83" t="s">
        <v>951</v>
      </c>
      <c r="R1008" s="83" t="str">
        <f>VLOOKUP($Q1008,Resultados!$A$1:$B$49,2,FALSE)</f>
        <v xml:space="preserve"> _</v>
      </c>
      <c r="S1008" s="83"/>
      <c r="T1008" s="86" t="str">
        <f t="shared" si="64"/>
        <v>NO</v>
      </c>
      <c r="U1008" s="86"/>
      <c r="V1008" s="80"/>
      <c r="W1008" s="80"/>
      <c r="X1008" s="80"/>
      <c r="Y1008" s="80"/>
      <c r="Z1008" s="80"/>
      <c r="AA1008" s="83" t="s">
        <v>3418</v>
      </c>
      <c r="AB1008" s="80"/>
      <c r="AC1008" s="80"/>
    </row>
    <row r="1009" spans="1:29" ht="39.950000000000003" customHeight="1" x14ac:dyDescent="0.2">
      <c r="A1009" s="83" t="s">
        <v>4252</v>
      </c>
      <c r="B1009" s="82">
        <v>45240</v>
      </c>
      <c r="C1009" s="426">
        <v>0.52986111111111112</v>
      </c>
      <c r="D1009" s="83" t="s">
        <v>4017</v>
      </c>
      <c r="E1009" s="84" t="s">
        <v>4183</v>
      </c>
      <c r="F1009" s="80">
        <v>4</v>
      </c>
      <c r="G1009" s="80" t="s">
        <v>1442</v>
      </c>
      <c r="H1009" s="82">
        <v>45265</v>
      </c>
      <c r="I1009" s="85" t="s">
        <v>1086</v>
      </c>
      <c r="J1009" s="82" t="s">
        <v>1219</v>
      </c>
      <c r="K1009" s="80">
        <f>IFERROR(VLOOKUP(J1009,Jueces!$A$1:$B$11,2,FALSE),"")</f>
        <v>1</v>
      </c>
      <c r="L1009" s="83" t="s">
        <v>809</v>
      </c>
      <c r="M1009" s="83" t="s">
        <v>1874</v>
      </c>
      <c r="N1009" s="80"/>
      <c r="O1009" s="83" t="str">
        <f t="shared" ca="1" si="62"/>
        <v>NO</v>
      </c>
      <c r="P1009" s="83" t="str">
        <f t="shared" si="63"/>
        <v>DIANOSOL</v>
      </c>
      <c r="Q1009" s="83" t="s">
        <v>951</v>
      </c>
      <c r="R1009" s="83" t="str">
        <f>VLOOKUP($Q1009,Resultados!$A$1:$B$49,2,FALSE)</f>
        <v xml:space="preserve"> _</v>
      </c>
      <c r="S1009" s="83"/>
      <c r="T1009" s="86" t="str">
        <f t="shared" si="64"/>
        <v>NO</v>
      </c>
      <c r="U1009" s="86"/>
      <c r="V1009" s="80"/>
      <c r="W1009" s="80"/>
      <c r="X1009" s="80"/>
      <c r="Y1009" s="80"/>
      <c r="Z1009" s="80"/>
      <c r="AA1009" s="83" t="s">
        <v>3417</v>
      </c>
      <c r="AB1009" s="80"/>
      <c r="AC1009" s="80"/>
    </row>
    <row r="1010" spans="1:29" ht="39.950000000000003" customHeight="1" x14ac:dyDescent="0.2">
      <c r="A1010" s="80">
        <v>1020</v>
      </c>
      <c r="B1010" s="82">
        <v>45244</v>
      </c>
      <c r="C1010" s="426">
        <v>0.5395833333333333</v>
      </c>
      <c r="D1010" s="83" t="s">
        <v>4086</v>
      </c>
      <c r="E1010" s="84" t="s">
        <v>4204</v>
      </c>
      <c r="F1010" s="80">
        <v>4</v>
      </c>
      <c r="G1010" s="83" t="s">
        <v>283</v>
      </c>
      <c r="H1010" s="85">
        <v>45265</v>
      </c>
      <c r="I1010" s="85" t="s">
        <v>1209</v>
      </c>
      <c r="J1010" s="82" t="s">
        <v>1219</v>
      </c>
      <c r="K1010" s="80">
        <f>IFERROR(VLOOKUP(J1010,Jueces!$A$1:$B$11,2,FALSE),"")</f>
        <v>1</v>
      </c>
      <c r="L1010" s="83" t="s">
        <v>807</v>
      </c>
      <c r="M1010" s="83" t="s">
        <v>1964</v>
      </c>
      <c r="N1010" s="80"/>
      <c r="O1010" s="83" t="str">
        <f t="shared" ca="1" si="62"/>
        <v>NO</v>
      </c>
      <c r="P1010" s="83" t="str">
        <f t="shared" si="63"/>
        <v>DIANOSOL</v>
      </c>
      <c r="Q1010" s="83" t="s">
        <v>951</v>
      </c>
      <c r="R1010" s="83" t="str">
        <f>VLOOKUP($Q1010,Resultados!$A$1:$B$49,2,FALSE)</f>
        <v xml:space="preserve"> _</v>
      </c>
      <c r="S1010" s="83"/>
      <c r="T1010" s="86" t="str">
        <f t="shared" si="64"/>
        <v>NO</v>
      </c>
      <c r="U1010" s="86"/>
      <c r="V1010" s="80"/>
      <c r="W1010" s="80"/>
      <c r="X1010" s="80"/>
      <c r="Y1010" s="80"/>
      <c r="Z1010" s="80"/>
      <c r="AA1010" s="80"/>
      <c r="AB1010" s="80"/>
      <c r="AC1010" s="80"/>
    </row>
    <row r="1011" spans="1:29" ht="39.950000000000003" customHeight="1" x14ac:dyDescent="0.2">
      <c r="A1011" s="80">
        <v>1022</v>
      </c>
      <c r="B1011" s="82">
        <v>45245</v>
      </c>
      <c r="C1011" s="426">
        <v>0.33611111111111108</v>
      </c>
      <c r="D1011" s="83" t="s">
        <v>4137</v>
      </c>
      <c r="E1011" s="394" t="s">
        <v>4098</v>
      </c>
      <c r="F1011" s="80">
        <v>5</v>
      </c>
      <c r="G1011" s="80" t="s">
        <v>3833</v>
      </c>
      <c r="H1011" s="82">
        <v>45265</v>
      </c>
      <c r="I1011" s="85" t="s">
        <v>3208</v>
      </c>
      <c r="J1011" s="82" t="s">
        <v>1219</v>
      </c>
      <c r="K1011" s="80">
        <f>IFERROR(VLOOKUP(J1011,Jueces!$A$1:$B$11,2,FALSE),"")</f>
        <v>1</v>
      </c>
      <c r="L1011" s="83" t="s">
        <v>800</v>
      </c>
      <c r="M1011" s="81" t="s">
        <v>1874</v>
      </c>
      <c r="N1011" s="325" t="s">
        <v>4166</v>
      </c>
      <c r="O1011" s="83" t="str">
        <f t="shared" ca="1" si="62"/>
        <v>NO</v>
      </c>
      <c r="P1011" s="83" t="str">
        <f t="shared" si="63"/>
        <v>DIANOSOL</v>
      </c>
      <c r="Q1011" s="83" t="s">
        <v>951</v>
      </c>
      <c r="R1011" s="83" t="str">
        <f>VLOOKUP($Q1011,Resultados!$A$1:$B$49,2,FALSE)</f>
        <v xml:space="preserve"> _</v>
      </c>
      <c r="S1011" s="83"/>
      <c r="T1011" s="86" t="str">
        <f t="shared" si="64"/>
        <v>NO</v>
      </c>
      <c r="U1011" s="86"/>
      <c r="V1011" s="80"/>
      <c r="W1011" s="80"/>
      <c r="X1011" s="80"/>
      <c r="Y1011" s="80"/>
      <c r="Z1011" s="80"/>
      <c r="AA1011" s="80"/>
      <c r="AB1011" s="80"/>
      <c r="AC1011" s="80"/>
    </row>
    <row r="1012" spans="1:29" ht="39.950000000000003" customHeight="1" x14ac:dyDescent="0.2">
      <c r="A1012" s="80">
        <v>1016</v>
      </c>
      <c r="B1012" s="82">
        <v>45244</v>
      </c>
      <c r="C1012" s="426">
        <v>0.3833333333333333</v>
      </c>
      <c r="D1012" s="83" t="s">
        <v>4144</v>
      </c>
      <c r="E1012" s="84" t="s">
        <v>4069</v>
      </c>
      <c r="F1012" s="83">
        <v>4</v>
      </c>
      <c r="G1012" s="80" t="s">
        <v>568</v>
      </c>
      <c r="H1012" s="82">
        <v>45266</v>
      </c>
      <c r="I1012" s="85" t="s">
        <v>73</v>
      </c>
      <c r="J1012" s="82" t="s">
        <v>78</v>
      </c>
      <c r="K1012" s="80">
        <f>IFERROR(VLOOKUP(J1012,Jueces!$A$1:$B$11,2,FALSE),"")</f>
        <v>8</v>
      </c>
      <c r="L1012" s="83" t="s">
        <v>809</v>
      </c>
      <c r="M1012" s="83" t="s">
        <v>1964</v>
      </c>
      <c r="N1012" s="80"/>
      <c r="O1012" s="83" t="str">
        <f t="shared" ca="1" si="62"/>
        <v>NO</v>
      </c>
      <c r="P1012" s="83" t="str">
        <f t="shared" si="63"/>
        <v>DIANOSOL</v>
      </c>
      <c r="Q1012" s="83" t="s">
        <v>951</v>
      </c>
      <c r="R1012" s="83" t="str">
        <f>VLOOKUP($Q1012,Resultados!$A$1:$B$49,2,FALSE)</f>
        <v xml:space="preserve"> _</v>
      </c>
      <c r="S1012" s="83"/>
      <c r="T1012" s="86" t="str">
        <f t="shared" si="64"/>
        <v>NO</v>
      </c>
      <c r="U1012" s="86"/>
      <c r="V1012" s="80"/>
      <c r="W1012" s="80"/>
      <c r="X1012" s="80"/>
      <c r="Y1012" s="80"/>
      <c r="Z1012" s="80"/>
      <c r="AA1012" s="83" t="s">
        <v>3418</v>
      </c>
      <c r="AB1012" s="80"/>
      <c r="AC1012" s="80"/>
    </row>
    <row r="1013" spans="1:29" ht="39.950000000000003" customHeight="1" x14ac:dyDescent="0.2">
      <c r="A1013" s="80">
        <v>1018</v>
      </c>
      <c r="B1013" s="82">
        <v>45244</v>
      </c>
      <c r="C1013" s="426">
        <v>0.37777777777777777</v>
      </c>
      <c r="D1013" s="83" t="s">
        <v>4072</v>
      </c>
      <c r="E1013" s="84" t="s">
        <v>4073</v>
      </c>
      <c r="F1013" s="80">
        <v>4</v>
      </c>
      <c r="G1013" s="80" t="s">
        <v>2771</v>
      </c>
      <c r="H1013" s="82">
        <v>45266</v>
      </c>
      <c r="I1013" s="85" t="s">
        <v>73</v>
      </c>
      <c r="J1013" s="82" t="s">
        <v>31</v>
      </c>
      <c r="K1013" s="80">
        <f>IFERROR(VLOOKUP(J1013,Jueces!$A$1:$B$11,2,FALSE),"")</f>
        <v>2</v>
      </c>
      <c r="L1013" s="83" t="s">
        <v>801</v>
      </c>
      <c r="M1013" s="83" t="s">
        <v>2217</v>
      </c>
      <c r="N1013" s="80"/>
      <c r="O1013" s="83" t="str">
        <f t="shared" ca="1" si="62"/>
        <v>NO</v>
      </c>
      <c r="P1013" s="83" t="str">
        <f t="shared" si="63"/>
        <v>DIANOSOL</v>
      </c>
      <c r="Q1013" s="83" t="s">
        <v>951</v>
      </c>
      <c r="R1013" s="83" t="str">
        <f>VLOOKUP($Q1013,Resultados!$A$1:$B$49,2,FALSE)</f>
        <v xml:space="preserve"> _</v>
      </c>
      <c r="S1013" s="83"/>
      <c r="T1013" s="86" t="str">
        <f t="shared" si="64"/>
        <v>NO</v>
      </c>
      <c r="U1013" s="86"/>
      <c r="V1013" s="80"/>
      <c r="W1013" s="80"/>
      <c r="X1013" s="80"/>
      <c r="Y1013" s="80"/>
      <c r="Z1013" s="80"/>
      <c r="AA1013" s="80"/>
      <c r="AB1013" s="80"/>
      <c r="AC1013" s="80"/>
    </row>
    <row r="1014" spans="1:29" ht="39.950000000000003" customHeight="1" x14ac:dyDescent="0.2">
      <c r="A1014" s="80">
        <v>1021</v>
      </c>
      <c r="B1014" s="82">
        <v>45245</v>
      </c>
      <c r="C1014" s="426">
        <v>0.39513888888888887</v>
      </c>
      <c r="D1014" s="83" t="s">
        <v>4087</v>
      </c>
      <c r="E1014" s="84" t="s">
        <v>4088</v>
      </c>
      <c r="F1014" s="80">
        <v>4</v>
      </c>
      <c r="G1014" s="83" t="s">
        <v>1442</v>
      </c>
      <c r="H1014" s="82">
        <v>45266</v>
      </c>
      <c r="I1014" s="85" t="s">
        <v>73</v>
      </c>
      <c r="J1014" s="82" t="s">
        <v>33</v>
      </c>
      <c r="K1014" s="80">
        <f>IFERROR(VLOOKUP(J1014,Jueces!$A$1:$B$11,2,FALSE),"")</f>
        <v>4</v>
      </c>
      <c r="L1014" s="83" t="s">
        <v>803</v>
      </c>
      <c r="M1014" s="421" t="s">
        <v>4182</v>
      </c>
      <c r="N1014" s="80"/>
      <c r="O1014" s="83" t="str">
        <f t="shared" ca="1" si="62"/>
        <v>NO</v>
      </c>
      <c r="P1014" s="83" t="str">
        <f t="shared" si="63"/>
        <v>DIANOSOL</v>
      </c>
      <c r="Q1014" s="83" t="s">
        <v>951</v>
      </c>
      <c r="R1014" s="83" t="str">
        <f>VLOOKUP($Q1014,Resultados!$A$1:$B$49,2,FALSE)</f>
        <v xml:space="preserve"> _</v>
      </c>
      <c r="S1014" s="83"/>
      <c r="T1014" s="86" t="str">
        <f t="shared" si="64"/>
        <v>NO</v>
      </c>
      <c r="U1014" s="86"/>
      <c r="V1014" s="80"/>
      <c r="W1014" s="80"/>
      <c r="X1014" s="80"/>
      <c r="Y1014" s="80"/>
      <c r="Z1014" s="80"/>
      <c r="AA1014" s="80"/>
      <c r="AB1014" s="80"/>
      <c r="AC1014" s="80"/>
    </row>
    <row r="1015" spans="1:29" ht="39.950000000000003" customHeight="1" x14ac:dyDescent="0.2">
      <c r="A1015" s="80">
        <v>1027</v>
      </c>
      <c r="B1015" s="82">
        <v>45245</v>
      </c>
      <c r="C1015" s="426">
        <v>0.49305555555555558</v>
      </c>
      <c r="D1015" s="83" t="s">
        <v>4141</v>
      </c>
      <c r="E1015" s="84" t="s">
        <v>4142</v>
      </c>
      <c r="F1015" s="80">
        <v>4</v>
      </c>
      <c r="G1015" s="80" t="s">
        <v>283</v>
      </c>
      <c r="H1015" s="82">
        <v>45266</v>
      </c>
      <c r="I1015" s="85" t="s">
        <v>73</v>
      </c>
      <c r="J1015" s="82" t="s">
        <v>1730</v>
      </c>
      <c r="K1015" s="83" t="s">
        <v>1924</v>
      </c>
      <c r="L1015" s="83" t="s">
        <v>810</v>
      </c>
      <c r="M1015" s="449" t="s">
        <v>4143</v>
      </c>
      <c r="N1015" s="80"/>
      <c r="O1015" s="83" t="str">
        <f t="shared" ca="1" si="62"/>
        <v>NO</v>
      </c>
      <c r="P1015" s="83" t="str">
        <f t="shared" si="63"/>
        <v>DIANOSOL</v>
      </c>
      <c r="Q1015" s="83" t="s">
        <v>951</v>
      </c>
      <c r="R1015" s="83" t="str">
        <f>VLOOKUP($Q1015,Resultados!$A$1:$B$49,2,FALSE)</f>
        <v xml:space="preserve"> _</v>
      </c>
      <c r="S1015" s="83"/>
      <c r="T1015" s="86" t="str">
        <f t="shared" si="64"/>
        <v>NO</v>
      </c>
      <c r="U1015" s="86"/>
      <c r="V1015" s="80"/>
      <c r="W1015" s="80"/>
      <c r="X1015" s="80"/>
      <c r="Y1015" s="80"/>
      <c r="Z1015" s="80"/>
      <c r="AA1015" s="80"/>
      <c r="AB1015" s="80"/>
      <c r="AC1015" s="80"/>
    </row>
    <row r="1016" spans="1:29" ht="39.950000000000003" customHeight="1" x14ac:dyDescent="0.2">
      <c r="A1016" s="80">
        <v>999</v>
      </c>
      <c r="B1016" s="82">
        <v>45240</v>
      </c>
      <c r="C1016" s="426">
        <v>0.45416666666666666</v>
      </c>
      <c r="D1016" s="83" t="s">
        <v>4009</v>
      </c>
      <c r="E1016" s="84" t="s">
        <v>4145</v>
      </c>
      <c r="F1016" s="80">
        <v>4</v>
      </c>
      <c r="G1016" s="80" t="s">
        <v>3361</v>
      </c>
      <c r="H1016" s="82">
        <v>45266</v>
      </c>
      <c r="I1016" s="85" t="s">
        <v>1086</v>
      </c>
      <c r="J1016" s="82" t="s">
        <v>35</v>
      </c>
      <c r="K1016" s="80">
        <f>IFERROR(VLOOKUP(J1016,Jueces!$A$1:$B$11,2,FALSE),"")</f>
        <v>3</v>
      </c>
      <c r="L1016" s="83" t="s">
        <v>809</v>
      </c>
      <c r="M1016" s="83" t="s">
        <v>1874</v>
      </c>
      <c r="N1016" s="80"/>
      <c r="O1016" s="83" t="str">
        <f t="shared" ca="1" si="62"/>
        <v>NO</v>
      </c>
      <c r="P1016" s="83" t="str">
        <f t="shared" si="63"/>
        <v>DIANOSOL</v>
      </c>
      <c r="Q1016" s="83" t="s">
        <v>951</v>
      </c>
      <c r="R1016" s="83" t="str">
        <f>VLOOKUP($Q1016,Resultados!$A$1:$B$49,2,FALSE)</f>
        <v xml:space="preserve"> _</v>
      </c>
      <c r="S1016" s="83"/>
      <c r="T1016" s="86" t="str">
        <f t="shared" si="64"/>
        <v>NO</v>
      </c>
      <c r="U1016" s="86"/>
      <c r="V1016" s="80"/>
      <c r="W1016" s="80"/>
      <c r="X1016" s="80"/>
      <c r="Y1016" s="80"/>
      <c r="Z1016" s="80"/>
      <c r="AA1016" s="83" t="s">
        <v>2849</v>
      </c>
      <c r="AB1016" s="80"/>
      <c r="AC1016" s="80"/>
    </row>
    <row r="1017" spans="1:29" ht="39.950000000000003" customHeight="1" x14ac:dyDescent="0.2">
      <c r="A1017" s="80">
        <v>1019</v>
      </c>
      <c r="B1017" s="82">
        <v>45244</v>
      </c>
      <c r="C1017" s="426">
        <v>0.33333333333333331</v>
      </c>
      <c r="D1017" s="83" t="s">
        <v>4074</v>
      </c>
      <c r="E1017" s="84" t="s">
        <v>4075</v>
      </c>
      <c r="F1017" s="80">
        <v>4</v>
      </c>
      <c r="G1017" s="80" t="s">
        <v>1441</v>
      </c>
      <c r="H1017" s="82">
        <v>45266</v>
      </c>
      <c r="I1017" s="85" t="s">
        <v>1086</v>
      </c>
      <c r="J1017" s="82" t="s">
        <v>1219</v>
      </c>
      <c r="K1017" s="80">
        <f>IFERROR(VLOOKUP(J1017,Jueces!$A$1:$B$11,2,FALSE),"")</f>
        <v>1</v>
      </c>
      <c r="L1017" s="83" t="s">
        <v>799</v>
      </c>
      <c r="M1017" s="83" t="s">
        <v>1964</v>
      </c>
      <c r="N1017" s="80"/>
      <c r="O1017" s="83" t="str">
        <f t="shared" ca="1" si="62"/>
        <v>NO</v>
      </c>
      <c r="P1017" s="83" t="str">
        <f t="shared" si="63"/>
        <v>DIANOSOL</v>
      </c>
      <c r="Q1017" s="83" t="s">
        <v>951</v>
      </c>
      <c r="R1017" s="83" t="str">
        <f>VLOOKUP($Q1017,Resultados!$A$1:$B$49,2,FALSE)</f>
        <v xml:space="preserve"> _</v>
      </c>
      <c r="S1017" s="83"/>
      <c r="T1017" s="86" t="str">
        <f t="shared" si="64"/>
        <v>NO</v>
      </c>
      <c r="U1017" s="86"/>
      <c r="V1017" s="80"/>
      <c r="W1017" s="80"/>
      <c r="X1017" s="80"/>
      <c r="Y1017" s="80"/>
      <c r="Z1017" s="80"/>
      <c r="AA1017" s="80"/>
      <c r="AB1017" s="80"/>
      <c r="AC1017" s="80"/>
    </row>
    <row r="1018" spans="1:29" ht="39.950000000000003" customHeight="1" x14ac:dyDescent="0.2">
      <c r="A1018" s="214">
        <v>882</v>
      </c>
      <c r="B1018" s="322"/>
      <c r="C1018" s="214"/>
      <c r="D1018" s="214" t="s">
        <v>3229</v>
      </c>
      <c r="E1018" s="215" t="s">
        <v>3617</v>
      </c>
      <c r="F1018" s="214">
        <v>2</v>
      </c>
      <c r="G1018" s="214" t="s">
        <v>1441</v>
      </c>
      <c r="H1018" s="322">
        <v>45273</v>
      </c>
      <c r="I1018" s="322" t="s">
        <v>73</v>
      </c>
      <c r="J1018" s="322" t="s">
        <v>35</v>
      </c>
      <c r="K1018" s="214">
        <f>IFERROR(VLOOKUP(J1018,Jueces!$A$1:$B$11,2,FALSE),"")</f>
        <v>3</v>
      </c>
      <c r="L1018" s="214" t="s">
        <v>812</v>
      </c>
      <c r="M1018" s="214" t="s">
        <v>692</v>
      </c>
      <c r="N1018" s="214" t="s">
        <v>3618</v>
      </c>
      <c r="O1018" s="214" t="str">
        <f t="shared" ca="1" si="62"/>
        <v>NO</v>
      </c>
      <c r="P1018" s="214" t="str">
        <f t="shared" si="63"/>
        <v>DIANOSOL</v>
      </c>
      <c r="Q1018" s="214" t="s">
        <v>951</v>
      </c>
      <c r="R1018" s="214" t="str">
        <f>VLOOKUP($Q1018,Resultados!$A$1:$B$49,2,FALSE)</f>
        <v xml:space="preserve"> _</v>
      </c>
      <c r="S1018" s="214"/>
      <c r="T1018" s="281" t="str">
        <f t="shared" si="64"/>
        <v>NO</v>
      </c>
      <c r="U1018" s="281"/>
      <c r="V1018" s="214"/>
      <c r="W1018" s="214"/>
      <c r="X1018" s="214"/>
      <c r="Y1018" s="214"/>
      <c r="Z1018" s="214"/>
      <c r="AA1018" s="214"/>
      <c r="AB1018" s="214"/>
      <c r="AC1018" s="364"/>
    </row>
    <row r="1019" spans="1:29" ht="39.950000000000003" customHeight="1" x14ac:dyDescent="0.2">
      <c r="A1019" s="214">
        <v>827</v>
      </c>
      <c r="B1019" s="322"/>
      <c r="C1019" s="214"/>
      <c r="D1019" s="214" t="s">
        <v>3163</v>
      </c>
      <c r="E1019" s="215" t="s">
        <v>3202</v>
      </c>
      <c r="F1019" s="214">
        <v>2</v>
      </c>
      <c r="G1019" s="214" t="s">
        <v>1442</v>
      </c>
      <c r="H1019" s="322"/>
      <c r="I1019" s="322"/>
      <c r="J1019" s="322" t="s">
        <v>2948</v>
      </c>
      <c r="K1019" s="214" t="s">
        <v>1924</v>
      </c>
      <c r="L1019" s="214" t="s">
        <v>809</v>
      </c>
      <c r="M1019" s="214" t="s">
        <v>692</v>
      </c>
      <c r="N1019" s="214" t="s">
        <v>4039</v>
      </c>
      <c r="O1019" s="214" t="str">
        <f t="shared" ca="1" si="62"/>
        <v>LIMBO</v>
      </c>
      <c r="P1019" s="214" t="str">
        <f t="shared" si="63"/>
        <v>DIANOSOL</v>
      </c>
      <c r="Q1019" s="214" t="s">
        <v>951</v>
      </c>
      <c r="R1019" s="214" t="str">
        <f>VLOOKUP($Q1019,Resultados!$A$1:$B$49,2,FALSE)</f>
        <v xml:space="preserve"> _</v>
      </c>
      <c r="S1019" s="214"/>
      <c r="T1019" s="281" t="str">
        <f t="shared" si="64"/>
        <v>NO</v>
      </c>
      <c r="U1019" s="281"/>
      <c r="V1019" s="214"/>
      <c r="W1019" s="214"/>
      <c r="X1019" s="214"/>
      <c r="Y1019" s="214"/>
      <c r="Z1019" s="214"/>
      <c r="AA1019" s="406" t="s">
        <v>1170</v>
      </c>
      <c r="AB1019" s="214" t="s">
        <v>1173</v>
      </c>
      <c r="AC1019" s="364"/>
    </row>
    <row r="1020" spans="1:29" ht="39.950000000000003" customHeight="1" x14ac:dyDescent="0.2">
      <c r="A1020" s="361">
        <v>991</v>
      </c>
      <c r="B1020" s="378">
        <v>45240</v>
      </c>
      <c r="C1020" s="415">
        <v>0.35347222222222219</v>
      </c>
      <c r="D1020" s="172" t="s">
        <v>3992</v>
      </c>
      <c r="E1020" s="173" t="s">
        <v>3993</v>
      </c>
      <c r="F1020" s="361">
        <v>3</v>
      </c>
      <c r="G1020" s="361"/>
      <c r="H1020" s="378"/>
      <c r="I1020" s="378"/>
      <c r="J1020" s="378"/>
      <c r="K1020" s="361" t="str">
        <f>IFERROR(VLOOKUP(J1020,Jueces!$A$1:$B$11,2,FALSE),"")</f>
        <v/>
      </c>
      <c r="L1020" s="172" t="s">
        <v>812</v>
      </c>
      <c r="M1020" s="172"/>
      <c r="N1020" s="361"/>
      <c r="O1020" s="172" t="str">
        <f t="shared" ca="1" si="62"/>
        <v>LIMBO</v>
      </c>
      <c r="P1020" s="172" t="str">
        <f t="shared" si="63"/>
        <v>DIANOSOL</v>
      </c>
      <c r="Q1020" s="172" t="s">
        <v>951</v>
      </c>
      <c r="R1020" s="172" t="str">
        <f>VLOOKUP($Q1020,Resultados!$A$1:$B$49,2,FALSE)</f>
        <v xml:space="preserve"> _</v>
      </c>
      <c r="S1020" s="172"/>
      <c r="T1020" s="174" t="str">
        <f t="shared" si="64"/>
        <v>NO</v>
      </c>
      <c r="U1020" s="174"/>
      <c r="V1020" s="361"/>
      <c r="W1020" s="361"/>
      <c r="X1020" s="361"/>
      <c r="Y1020" s="361"/>
      <c r="Z1020" s="361"/>
      <c r="AA1020" s="361"/>
      <c r="AB1020" s="361"/>
      <c r="AC1020" s="361"/>
    </row>
    <row r="1021" spans="1:29" ht="39.950000000000003" customHeight="1" x14ac:dyDescent="0.2">
      <c r="A1021" s="361">
        <v>1001</v>
      </c>
      <c r="B1021" s="378">
        <v>45240</v>
      </c>
      <c r="C1021" s="415">
        <v>0.44236111111111115</v>
      </c>
      <c r="D1021" s="172" t="s">
        <v>2508</v>
      </c>
      <c r="E1021" s="173" t="s">
        <v>4012</v>
      </c>
      <c r="F1021" s="361">
        <v>7</v>
      </c>
      <c r="G1021" s="361"/>
      <c r="H1021" s="378"/>
      <c r="I1021" s="378"/>
      <c r="J1021" s="378"/>
      <c r="K1021" s="361" t="str">
        <f>IFERROR(VLOOKUP(J1021,Jueces!$A$1:$B$11,2,FALSE),"")</f>
        <v/>
      </c>
      <c r="L1021" s="172" t="s">
        <v>812</v>
      </c>
      <c r="M1021" s="172"/>
      <c r="N1021" s="361"/>
      <c r="O1021" s="172" t="str">
        <f t="shared" ca="1" si="62"/>
        <v>LIMBO</v>
      </c>
      <c r="P1021" s="172" t="str">
        <f t="shared" si="63"/>
        <v>DIANOSOL</v>
      </c>
      <c r="Q1021" s="172" t="s">
        <v>951</v>
      </c>
      <c r="R1021" s="172" t="str">
        <f>VLOOKUP($Q1021,Resultados!$A$1:$B$49,2,FALSE)</f>
        <v xml:space="preserve"> _</v>
      </c>
      <c r="S1021" s="172"/>
      <c r="T1021" s="174" t="str">
        <f t="shared" si="64"/>
        <v>NO</v>
      </c>
      <c r="U1021" s="174"/>
      <c r="V1021" s="361"/>
      <c r="W1021" s="361"/>
      <c r="X1021" s="361"/>
      <c r="Y1021" s="361"/>
      <c r="Z1021" s="361"/>
      <c r="AA1021" s="361"/>
      <c r="AB1021" s="361"/>
      <c r="AC1021" s="361"/>
    </row>
    <row r="1022" spans="1:29" ht="39.950000000000003" customHeight="1" x14ac:dyDescent="0.2">
      <c r="A1022" s="361">
        <v>1015</v>
      </c>
      <c r="B1022" s="378">
        <v>45244</v>
      </c>
      <c r="C1022" s="415">
        <v>0.38541666666666669</v>
      </c>
      <c r="D1022" s="172" t="s">
        <v>4067</v>
      </c>
      <c r="E1022" s="173" t="s">
        <v>4068</v>
      </c>
      <c r="F1022" s="361">
        <v>4</v>
      </c>
      <c r="G1022" s="361"/>
      <c r="H1022" s="378"/>
      <c r="I1022" s="378"/>
      <c r="J1022" s="378"/>
      <c r="K1022" s="361" t="str">
        <f>IFERROR(VLOOKUP(J1022,Jueces!$A$1:$B$11,2,FALSE),"")</f>
        <v/>
      </c>
      <c r="L1022" s="172" t="s">
        <v>814</v>
      </c>
      <c r="M1022" s="172"/>
      <c r="N1022" s="361"/>
      <c r="O1022" s="172" t="str">
        <f t="shared" ca="1" si="62"/>
        <v>LIMBO</v>
      </c>
      <c r="P1022" s="172" t="str">
        <f t="shared" si="63"/>
        <v>DIANOSOL</v>
      </c>
      <c r="Q1022" s="172" t="s">
        <v>951</v>
      </c>
      <c r="R1022" s="172" t="str">
        <f>VLOOKUP($Q1022,Resultados!$A$1:$B$49,2,FALSE)</f>
        <v xml:space="preserve"> _</v>
      </c>
      <c r="S1022" s="172"/>
      <c r="T1022" s="174" t="str">
        <f t="shared" si="64"/>
        <v>NO</v>
      </c>
      <c r="U1022" s="174"/>
      <c r="V1022" s="361"/>
      <c r="W1022" s="361"/>
      <c r="X1022" s="361"/>
      <c r="Y1022" s="361"/>
      <c r="Z1022" s="361"/>
      <c r="AA1022" s="361"/>
      <c r="AB1022" s="361"/>
      <c r="AC1022" s="361"/>
    </row>
    <row r="1023" spans="1:29" ht="39.950000000000003" customHeight="1" x14ac:dyDescent="0.2">
      <c r="A1023" s="383">
        <v>1017</v>
      </c>
      <c r="B1023" s="384">
        <v>45244</v>
      </c>
      <c r="C1023" s="385">
        <v>0.38125000000000003</v>
      </c>
      <c r="D1023" s="244" t="s">
        <v>4070</v>
      </c>
      <c r="E1023" s="247" t="s">
        <v>4071</v>
      </c>
      <c r="F1023" s="383">
        <v>4</v>
      </c>
      <c r="G1023" s="383"/>
      <c r="H1023" s="384"/>
      <c r="I1023" s="384"/>
      <c r="J1023" s="384"/>
      <c r="K1023" s="383" t="str">
        <f>IFERROR(VLOOKUP(J1023,Jueces!$A$1:$B$11,2,FALSE),"")</f>
        <v/>
      </c>
      <c r="L1023" s="244" t="s">
        <v>812</v>
      </c>
      <c r="M1023" s="432" t="s">
        <v>4284</v>
      </c>
      <c r="N1023" s="383"/>
      <c r="O1023" s="244" t="str">
        <f t="shared" ca="1" si="62"/>
        <v>LIMBO</v>
      </c>
      <c r="P1023" s="244" t="str">
        <f t="shared" si="63"/>
        <v>DIANOSOL</v>
      </c>
      <c r="Q1023" s="244" t="s">
        <v>951</v>
      </c>
      <c r="R1023" s="244" t="str">
        <f>VLOOKUP($Q1023,Resultados!$A$1:$B$49,2,FALSE)</f>
        <v xml:space="preserve"> _</v>
      </c>
      <c r="S1023" s="244"/>
      <c r="T1023" s="245" t="str">
        <f t="shared" si="64"/>
        <v>NO</v>
      </c>
      <c r="U1023" s="245"/>
      <c r="V1023" s="383"/>
      <c r="W1023" s="383"/>
      <c r="X1023" s="383"/>
      <c r="Y1023" s="383"/>
      <c r="Z1023" s="383"/>
      <c r="AA1023" s="383"/>
      <c r="AB1023" s="383"/>
      <c r="AC1023" s="383"/>
    </row>
    <row r="1024" spans="1:29" ht="39.950000000000003" customHeight="1" x14ac:dyDescent="0.2">
      <c r="A1024" s="383">
        <v>1022</v>
      </c>
      <c r="B1024" s="384">
        <v>45245</v>
      </c>
      <c r="C1024" s="427">
        <v>0.41736111111111113</v>
      </c>
      <c r="D1024" s="244" t="s">
        <v>4090</v>
      </c>
      <c r="E1024" s="247" t="s">
        <v>4092</v>
      </c>
      <c r="F1024" s="383">
        <v>8</v>
      </c>
      <c r="G1024" s="383"/>
      <c r="H1024" s="384"/>
      <c r="I1024" s="384"/>
      <c r="J1024" s="384"/>
      <c r="K1024" s="383" t="str">
        <f>IFERROR(VLOOKUP(J1024,Jueces!$A$1:$B$11,2,FALSE),"")</f>
        <v/>
      </c>
      <c r="L1024" s="244" t="s">
        <v>2092</v>
      </c>
      <c r="M1024" s="386" t="s">
        <v>4091</v>
      </c>
      <c r="N1024" s="383"/>
      <c r="O1024" s="244" t="str">
        <f t="shared" ca="1" si="62"/>
        <v>LIMBO</v>
      </c>
      <c r="P1024" s="244" t="str">
        <f t="shared" si="63"/>
        <v>DIANOSOL</v>
      </c>
      <c r="Q1024" s="244" t="s">
        <v>951</v>
      </c>
      <c r="R1024" s="244" t="str">
        <f>VLOOKUP($Q1024,Resultados!$A$1:$B$49,2,FALSE)</f>
        <v xml:space="preserve"> _</v>
      </c>
      <c r="S1024" s="244"/>
      <c r="T1024" s="245" t="str">
        <f t="shared" si="64"/>
        <v>NO</v>
      </c>
      <c r="U1024" s="245"/>
      <c r="V1024" s="383"/>
      <c r="W1024" s="383"/>
      <c r="X1024" s="383"/>
      <c r="Y1024" s="383"/>
      <c r="Z1024" s="383"/>
      <c r="AA1024" s="383"/>
      <c r="AB1024" s="383"/>
      <c r="AC1024" s="383"/>
    </row>
    <row r="1025" spans="1:29" ht="39.950000000000003" customHeight="1" x14ac:dyDescent="0.2">
      <c r="A1025" s="361">
        <v>1023</v>
      </c>
      <c r="B1025" s="378">
        <v>45246</v>
      </c>
      <c r="C1025" s="415">
        <v>0.47916666666666669</v>
      </c>
      <c r="D1025" s="361" t="s">
        <v>2517</v>
      </c>
      <c r="E1025" s="404" t="s">
        <v>2621</v>
      </c>
      <c r="F1025" s="361">
        <v>5</v>
      </c>
      <c r="G1025" s="361"/>
      <c r="H1025" s="378"/>
      <c r="I1025" s="378"/>
      <c r="J1025" s="378"/>
      <c r="K1025" s="361" t="str">
        <f>IFERROR(VLOOKUP(J1025,Jueces!$A$1:$B$11,2,FALSE),"")</f>
        <v/>
      </c>
      <c r="L1025" s="172" t="s">
        <v>569</v>
      </c>
      <c r="M1025" s="172" t="s">
        <v>2123</v>
      </c>
      <c r="N1025" s="361" t="s">
        <v>2518</v>
      </c>
      <c r="O1025" s="172" t="str">
        <f t="shared" ca="1" si="62"/>
        <v>LIMBO</v>
      </c>
      <c r="P1025" s="172" t="str">
        <f t="shared" si="63"/>
        <v>DIANOSOL</v>
      </c>
      <c r="Q1025" s="172" t="s">
        <v>951</v>
      </c>
      <c r="R1025" s="172" t="str">
        <f>VLOOKUP($Q1025,Resultados!$A$1:$B$49,2,FALSE)</f>
        <v xml:space="preserve"> _</v>
      </c>
      <c r="S1025" s="172"/>
      <c r="T1025" s="174" t="str">
        <f t="shared" si="64"/>
        <v>NO</v>
      </c>
      <c r="U1025" s="174"/>
      <c r="V1025" s="361"/>
      <c r="W1025" s="361"/>
      <c r="X1025" s="361"/>
      <c r="Y1025" s="361"/>
      <c r="Z1025" s="361"/>
      <c r="AA1025" s="361"/>
      <c r="AB1025" s="361"/>
      <c r="AC1025" s="361"/>
    </row>
    <row r="1026" spans="1:29" ht="39.950000000000003" customHeight="1" x14ac:dyDescent="0.2">
      <c r="A1026" s="383">
        <v>1024</v>
      </c>
      <c r="B1026" s="384">
        <v>45245</v>
      </c>
      <c r="C1026" s="427">
        <v>0.53749999999999998</v>
      </c>
      <c r="D1026" s="244" t="s">
        <v>4133</v>
      </c>
      <c r="E1026" s="247" t="s">
        <v>4134</v>
      </c>
      <c r="F1026" s="383">
        <v>4</v>
      </c>
      <c r="G1026" s="383"/>
      <c r="H1026" s="384"/>
      <c r="I1026" s="384"/>
      <c r="J1026" s="384"/>
      <c r="K1026" s="383" t="str">
        <f>IFERROR(VLOOKUP(J1026,Jueces!$A$1:$B$11,2,FALSE),"")</f>
        <v/>
      </c>
      <c r="L1026" s="244" t="s">
        <v>798</v>
      </c>
      <c r="M1026" s="244" t="s">
        <v>3797</v>
      </c>
      <c r="N1026" s="383"/>
      <c r="O1026" s="244" t="str">
        <f t="shared" ca="1" si="62"/>
        <v>LIMBO</v>
      </c>
      <c r="P1026" s="244" t="str">
        <f t="shared" si="63"/>
        <v>DIANOSOL</v>
      </c>
      <c r="Q1026" s="244" t="s">
        <v>951</v>
      </c>
      <c r="R1026" s="244" t="str">
        <f>VLOOKUP($Q1026,Resultados!$A$1:$B$49,2,FALSE)</f>
        <v xml:space="preserve"> _</v>
      </c>
      <c r="S1026" s="244"/>
      <c r="T1026" s="245" t="str">
        <f t="shared" si="64"/>
        <v>NO</v>
      </c>
      <c r="U1026" s="245"/>
      <c r="V1026" s="383"/>
      <c r="W1026" s="383"/>
      <c r="X1026" s="383"/>
      <c r="Y1026" s="383"/>
      <c r="Z1026" s="383"/>
      <c r="AA1026" s="383"/>
      <c r="AB1026" s="383"/>
      <c r="AC1026" s="383"/>
    </row>
    <row r="1027" spans="1:29" ht="39.950000000000003" customHeight="1" x14ac:dyDescent="0.2">
      <c r="A1027" s="383">
        <v>1025</v>
      </c>
      <c r="B1027" s="384">
        <v>45245</v>
      </c>
      <c r="C1027" s="427">
        <v>0.52013888888888882</v>
      </c>
      <c r="D1027" s="244" t="s">
        <v>4135</v>
      </c>
      <c r="E1027" s="247" t="s">
        <v>4136</v>
      </c>
      <c r="F1027" s="383">
        <v>4</v>
      </c>
      <c r="G1027" s="383"/>
      <c r="H1027" s="384"/>
      <c r="I1027" s="384"/>
      <c r="J1027" s="384"/>
      <c r="K1027" s="383" t="str">
        <f>IFERROR(VLOOKUP(J1027,Jueces!$A$1:$B$11,2,FALSE),"")</f>
        <v/>
      </c>
      <c r="L1027" s="244" t="s">
        <v>801</v>
      </c>
      <c r="M1027" s="244" t="s">
        <v>1964</v>
      </c>
      <c r="N1027" s="383"/>
      <c r="O1027" s="244" t="str">
        <f t="shared" ca="1" si="62"/>
        <v>LIMBO</v>
      </c>
      <c r="P1027" s="244" t="str">
        <f t="shared" si="63"/>
        <v>DIANOSOL</v>
      </c>
      <c r="Q1027" s="244" t="s">
        <v>951</v>
      </c>
      <c r="R1027" s="244" t="str">
        <f>VLOOKUP($Q1027,Resultados!$A$1:$B$49,2,FALSE)</f>
        <v xml:space="preserve"> _</v>
      </c>
      <c r="S1027" s="244"/>
      <c r="T1027" s="245" t="str">
        <f t="shared" si="64"/>
        <v>NO</v>
      </c>
      <c r="U1027" s="245"/>
      <c r="V1027" s="383"/>
      <c r="W1027" s="383"/>
      <c r="X1027" s="383"/>
      <c r="Y1027" s="383"/>
      <c r="Z1027" s="383"/>
      <c r="AA1027" s="383"/>
      <c r="AB1027" s="383"/>
      <c r="AC1027" s="383"/>
    </row>
    <row r="1028" spans="1:29" ht="39.950000000000003" customHeight="1" x14ac:dyDescent="0.2">
      <c r="A1028" s="383">
        <v>1028</v>
      </c>
      <c r="B1028" s="384">
        <v>45246</v>
      </c>
      <c r="C1028" s="427">
        <v>0.33333333333333331</v>
      </c>
      <c r="D1028" s="244" t="s">
        <v>4146</v>
      </c>
      <c r="E1028" s="247" t="s">
        <v>4147</v>
      </c>
      <c r="F1028" s="383">
        <v>3</v>
      </c>
      <c r="G1028" s="383"/>
      <c r="H1028" s="384"/>
      <c r="I1028" s="384"/>
      <c r="J1028" s="384"/>
      <c r="K1028" s="383" t="str">
        <f>IFERROR(VLOOKUP(J1028,Jueces!$A$1:$B$11,2,FALSE),"")</f>
        <v/>
      </c>
      <c r="L1028" s="244" t="s">
        <v>789</v>
      </c>
      <c r="M1028" s="445" t="s">
        <v>4190</v>
      </c>
      <c r="N1028" s="383"/>
      <c r="O1028" s="244" t="str">
        <f t="shared" ca="1" si="62"/>
        <v>LIMBO</v>
      </c>
      <c r="P1028" s="244" t="str">
        <f t="shared" si="63"/>
        <v>DIANOSOL</v>
      </c>
      <c r="Q1028" s="244" t="s">
        <v>951</v>
      </c>
      <c r="R1028" s="244" t="str">
        <f>VLOOKUP($Q1028,Resultados!$A$1:$B$49,2,FALSE)</f>
        <v xml:space="preserve"> _</v>
      </c>
      <c r="S1028" s="244"/>
      <c r="T1028" s="245" t="str">
        <f t="shared" si="64"/>
        <v>NO</v>
      </c>
      <c r="U1028" s="245"/>
      <c r="V1028" s="383"/>
      <c r="W1028" s="383"/>
      <c r="X1028" s="383"/>
      <c r="Y1028" s="383"/>
      <c r="Z1028" s="383"/>
      <c r="AA1028" s="383"/>
      <c r="AB1028" s="383"/>
      <c r="AC1028" s="383"/>
    </row>
    <row r="1029" spans="1:29" ht="39.950000000000003" customHeight="1" x14ac:dyDescent="0.2">
      <c r="A1029" s="361">
        <v>1029</v>
      </c>
      <c r="B1029" s="378">
        <v>45246</v>
      </c>
      <c r="C1029" s="415">
        <v>0.33333333333333331</v>
      </c>
      <c r="D1029" s="172" t="s">
        <v>4148</v>
      </c>
      <c r="E1029" s="173" t="s">
        <v>4149</v>
      </c>
      <c r="F1029" s="361">
        <v>4</v>
      </c>
      <c r="G1029" s="361"/>
      <c r="H1029" s="378"/>
      <c r="I1029" s="378"/>
      <c r="J1029" s="378"/>
      <c r="K1029" s="361" t="str">
        <f>IFERROR(VLOOKUP(J1029,Jueces!$A$1:$B$11,2,FALSE),"")</f>
        <v/>
      </c>
      <c r="L1029" s="172" t="s">
        <v>810</v>
      </c>
      <c r="M1029" s="431"/>
      <c r="N1029" s="361"/>
      <c r="O1029" s="172" t="str">
        <f t="shared" ca="1" si="62"/>
        <v>LIMBO</v>
      </c>
      <c r="P1029" s="172" t="str">
        <f t="shared" si="63"/>
        <v>DIANOSOL</v>
      </c>
      <c r="Q1029" s="172" t="s">
        <v>951</v>
      </c>
      <c r="R1029" s="172" t="str">
        <f>VLOOKUP($Q1029,Resultados!$A$1:$B$49,2,FALSE)</f>
        <v xml:space="preserve"> _</v>
      </c>
      <c r="S1029" s="172"/>
      <c r="T1029" s="174" t="str">
        <f t="shared" si="64"/>
        <v>NO</v>
      </c>
      <c r="U1029" s="174"/>
      <c r="V1029" s="361"/>
      <c r="W1029" s="361"/>
      <c r="X1029" s="361"/>
      <c r="Y1029" s="361"/>
      <c r="Z1029" s="361"/>
      <c r="AA1029" s="361"/>
      <c r="AB1029" s="361"/>
      <c r="AC1029" s="361"/>
    </row>
    <row r="1030" spans="1:29" ht="39.950000000000003" customHeight="1" x14ac:dyDescent="0.2">
      <c r="A1030" s="383">
        <v>1030</v>
      </c>
      <c r="B1030" s="384">
        <v>45246</v>
      </c>
      <c r="C1030" s="244" t="s">
        <v>1374</v>
      </c>
      <c r="D1030" s="244" t="s">
        <v>4150</v>
      </c>
      <c r="E1030" s="247" t="s">
        <v>4151</v>
      </c>
      <c r="F1030" s="383">
        <v>4</v>
      </c>
      <c r="G1030" s="383"/>
      <c r="H1030" s="384"/>
      <c r="I1030" s="384"/>
      <c r="J1030" s="384"/>
      <c r="K1030" s="383" t="str">
        <f>IFERROR(VLOOKUP(J1030,Jueces!$A$1:$B$11,2,FALSE),"")</f>
        <v/>
      </c>
      <c r="L1030" s="244" t="s">
        <v>813</v>
      </c>
      <c r="M1030" s="244" t="s">
        <v>1964</v>
      </c>
      <c r="N1030" s="383"/>
      <c r="O1030" s="244" t="str">
        <f t="shared" ca="1" si="62"/>
        <v>LIMBO</v>
      </c>
      <c r="P1030" s="244" t="str">
        <f t="shared" si="63"/>
        <v>DIANOSOL</v>
      </c>
      <c r="Q1030" s="244" t="s">
        <v>951</v>
      </c>
      <c r="R1030" s="244" t="str">
        <f>VLOOKUP($Q1030,Resultados!$A$1:$B$49,2,FALSE)</f>
        <v xml:space="preserve"> _</v>
      </c>
      <c r="S1030" s="244"/>
      <c r="T1030" s="245" t="str">
        <f t="shared" si="64"/>
        <v>NO</v>
      </c>
      <c r="U1030" s="245"/>
      <c r="V1030" s="383"/>
      <c r="W1030" s="383"/>
      <c r="X1030" s="383"/>
      <c r="Y1030" s="383"/>
      <c r="Z1030" s="383"/>
      <c r="AA1030" s="383"/>
      <c r="AB1030" s="383"/>
      <c r="AC1030" s="383"/>
    </row>
    <row r="1031" spans="1:29" ht="39.950000000000003" customHeight="1" x14ac:dyDescent="0.2">
      <c r="A1031" s="361">
        <v>1031</v>
      </c>
      <c r="B1031" s="378">
        <v>45246</v>
      </c>
      <c r="C1031" s="172" t="s">
        <v>1498</v>
      </c>
      <c r="D1031" s="172" t="s">
        <v>3904</v>
      </c>
      <c r="E1031" s="173" t="s">
        <v>4152</v>
      </c>
      <c r="F1031" s="361">
        <v>4</v>
      </c>
      <c r="G1031" s="361"/>
      <c r="H1031" s="378"/>
      <c r="I1031" s="378"/>
      <c r="J1031" s="378"/>
      <c r="K1031" s="361" t="str">
        <f>IFERROR(VLOOKUP(J1031,Jueces!$A$1:$B$11,2,FALSE),"")</f>
        <v/>
      </c>
      <c r="L1031" s="172" t="s">
        <v>791</v>
      </c>
      <c r="M1031" s="172"/>
      <c r="N1031" s="361"/>
      <c r="O1031" s="172" t="str">
        <f t="shared" ca="1" si="62"/>
        <v>LIMBO</v>
      </c>
      <c r="P1031" s="172" t="str">
        <f t="shared" si="63"/>
        <v>DIANOSOL</v>
      </c>
      <c r="Q1031" s="172" t="s">
        <v>951</v>
      </c>
      <c r="R1031" s="172" t="str">
        <f>VLOOKUP($Q1031,Resultados!$A$1:$B$49,2,FALSE)</f>
        <v xml:space="preserve"> _</v>
      </c>
      <c r="S1031" s="172"/>
      <c r="T1031" s="174" t="str">
        <f t="shared" si="64"/>
        <v>NO</v>
      </c>
      <c r="U1031" s="174"/>
      <c r="V1031" s="361"/>
      <c r="W1031" s="361"/>
      <c r="X1031" s="361"/>
      <c r="Y1031" s="361"/>
      <c r="Z1031" s="361"/>
      <c r="AA1031" s="361"/>
      <c r="AB1031" s="361"/>
      <c r="AC1031" s="361"/>
    </row>
    <row r="1032" spans="1:29" ht="39.950000000000003" customHeight="1" x14ac:dyDescent="0.2">
      <c r="A1032" s="361">
        <v>1032</v>
      </c>
      <c r="B1032" s="378">
        <v>45246</v>
      </c>
      <c r="C1032" s="415">
        <v>0.38750000000000001</v>
      </c>
      <c r="D1032" s="330" t="s">
        <v>4154</v>
      </c>
      <c r="E1032" s="173" t="s">
        <v>4153</v>
      </c>
      <c r="F1032" s="361">
        <v>4</v>
      </c>
      <c r="G1032" s="361"/>
      <c r="H1032" s="378"/>
      <c r="I1032" s="378"/>
      <c r="J1032" s="378"/>
      <c r="K1032" s="361" t="str">
        <f>IFERROR(VLOOKUP(J1032,Jueces!$A$1:$B$11,2,FALSE),"")</f>
        <v/>
      </c>
      <c r="L1032" s="172" t="s">
        <v>4097</v>
      </c>
      <c r="M1032" s="172"/>
      <c r="N1032" s="361"/>
      <c r="O1032" s="172" t="str">
        <f t="shared" ca="1" si="62"/>
        <v>LIMBO</v>
      </c>
      <c r="P1032" s="172" t="str">
        <f t="shared" si="63"/>
        <v>DIANOSOL</v>
      </c>
      <c r="Q1032" s="172" t="s">
        <v>951</v>
      </c>
      <c r="R1032" s="172" t="str">
        <f>VLOOKUP($Q1032,Resultados!$A$1:$B$49,2,FALSE)</f>
        <v xml:space="preserve"> _</v>
      </c>
      <c r="S1032" s="172"/>
      <c r="T1032" s="174" t="str">
        <f t="shared" si="64"/>
        <v>NO</v>
      </c>
      <c r="U1032" s="174"/>
      <c r="V1032" s="361"/>
      <c r="W1032" s="361"/>
      <c r="X1032" s="361"/>
      <c r="Y1032" s="361"/>
      <c r="Z1032" s="361"/>
      <c r="AA1032" s="361"/>
      <c r="AB1032" s="361"/>
      <c r="AC1032" s="361"/>
    </row>
    <row r="1033" spans="1:29" ht="39.950000000000003" customHeight="1" x14ac:dyDescent="0.2">
      <c r="A1033" s="383">
        <v>1033</v>
      </c>
      <c r="B1033" s="384">
        <v>45246</v>
      </c>
      <c r="C1033" s="385">
        <v>0.40486111111111112</v>
      </c>
      <c r="D1033" s="244" t="s">
        <v>4155</v>
      </c>
      <c r="E1033" s="247" t="s">
        <v>4156</v>
      </c>
      <c r="F1033" s="383">
        <v>2</v>
      </c>
      <c r="G1033" s="383"/>
      <c r="H1033" s="384"/>
      <c r="I1033" s="384"/>
      <c r="J1033" s="384"/>
      <c r="K1033" s="383" t="str">
        <f>IFERROR(VLOOKUP(J1033,Jueces!$A$1:$B$11,2,FALSE),"")</f>
        <v/>
      </c>
      <c r="L1033" s="244" t="s">
        <v>810</v>
      </c>
      <c r="M1033" s="244" t="s">
        <v>3797</v>
      </c>
      <c r="N1033" s="244" t="s">
        <v>4203</v>
      </c>
      <c r="O1033" s="244" t="str">
        <f t="shared" ca="1" si="62"/>
        <v>LIMBO</v>
      </c>
      <c r="P1033" s="244" t="str">
        <f t="shared" si="63"/>
        <v>DIANOSOL</v>
      </c>
      <c r="Q1033" s="244" t="s">
        <v>951</v>
      </c>
      <c r="R1033" s="244" t="str">
        <f>VLOOKUP($Q1033,Resultados!$A$1:$B$49,2,FALSE)</f>
        <v xml:space="preserve"> _</v>
      </c>
      <c r="S1033" s="244"/>
      <c r="T1033" s="245" t="str">
        <f t="shared" si="64"/>
        <v>NO</v>
      </c>
      <c r="U1033" s="245"/>
      <c r="V1033" s="383"/>
      <c r="W1033" s="383"/>
      <c r="X1033" s="383"/>
      <c r="Y1033" s="383"/>
      <c r="Z1033" s="383"/>
      <c r="AA1033" s="383"/>
      <c r="AB1033" s="383"/>
      <c r="AC1033" s="383"/>
    </row>
    <row r="1034" spans="1:29" ht="39.950000000000003" customHeight="1" x14ac:dyDescent="0.2">
      <c r="A1034" s="361">
        <v>1034</v>
      </c>
      <c r="B1034" s="378">
        <v>45246</v>
      </c>
      <c r="C1034" s="415">
        <v>0.54097222222222219</v>
      </c>
      <c r="D1034" s="172" t="s">
        <v>4157</v>
      </c>
      <c r="E1034" s="173" t="s">
        <v>4158</v>
      </c>
      <c r="F1034" s="361">
        <v>4</v>
      </c>
      <c r="G1034" s="361"/>
      <c r="H1034" s="378"/>
      <c r="I1034" s="378"/>
      <c r="J1034" s="378"/>
      <c r="K1034" s="361" t="str">
        <f>IFERROR(VLOOKUP(J1034,Jueces!$A$1:$B$11,2,FALSE),"")</f>
        <v/>
      </c>
      <c r="L1034" s="172" t="s">
        <v>789</v>
      </c>
      <c r="M1034" s="172"/>
      <c r="N1034" s="361"/>
      <c r="O1034" s="172" t="str">
        <f t="shared" ca="1" si="62"/>
        <v>LIMBO</v>
      </c>
      <c r="P1034" s="172" t="str">
        <f t="shared" si="63"/>
        <v>DIANOSOL</v>
      </c>
      <c r="Q1034" s="172" t="s">
        <v>951</v>
      </c>
      <c r="R1034" s="172" t="str">
        <f>VLOOKUP($Q1034,Resultados!$A$1:$B$49,2,FALSE)</f>
        <v xml:space="preserve"> _</v>
      </c>
      <c r="S1034" s="172"/>
      <c r="T1034" s="174" t="str">
        <f t="shared" si="64"/>
        <v>NO</v>
      </c>
      <c r="U1034" s="174"/>
      <c r="V1034" s="361"/>
      <c r="W1034" s="361"/>
      <c r="X1034" s="361"/>
      <c r="Y1034" s="361"/>
      <c r="Z1034" s="361"/>
      <c r="AA1034" s="361"/>
      <c r="AB1034" s="361"/>
      <c r="AC1034" s="361"/>
    </row>
    <row r="1035" spans="1:29" ht="39.950000000000003" customHeight="1" x14ac:dyDescent="0.2">
      <c r="A1035" s="383">
        <v>1035</v>
      </c>
      <c r="B1035" s="384">
        <v>45246</v>
      </c>
      <c r="C1035" s="385">
        <v>0.53541666666666665</v>
      </c>
      <c r="D1035" s="244" t="s">
        <v>4159</v>
      </c>
      <c r="E1035" s="247" t="s">
        <v>4160</v>
      </c>
      <c r="F1035" s="383">
        <v>4</v>
      </c>
      <c r="G1035" s="383"/>
      <c r="H1035" s="384"/>
      <c r="I1035" s="384"/>
      <c r="J1035" s="384"/>
      <c r="K1035" s="383" t="str">
        <f>IFERROR(VLOOKUP(J1035,Jueces!$A$1:$B$11,2,FALSE),"")</f>
        <v/>
      </c>
      <c r="L1035" s="244" t="s">
        <v>803</v>
      </c>
      <c r="M1035" s="244" t="s">
        <v>1964</v>
      </c>
      <c r="N1035" s="383"/>
      <c r="O1035" s="244" t="str">
        <f t="shared" ca="1" si="62"/>
        <v>LIMBO</v>
      </c>
      <c r="P1035" s="244" t="str">
        <f t="shared" si="63"/>
        <v>DIANOSOL</v>
      </c>
      <c r="Q1035" s="244" t="s">
        <v>951</v>
      </c>
      <c r="R1035" s="244" t="str">
        <f>VLOOKUP($Q1035,Resultados!$A$1:$B$49,2,FALSE)</f>
        <v xml:space="preserve"> _</v>
      </c>
      <c r="S1035" s="244"/>
      <c r="T1035" s="245" t="str">
        <f t="shared" si="64"/>
        <v>NO</v>
      </c>
      <c r="U1035" s="245"/>
      <c r="V1035" s="383"/>
      <c r="W1035" s="383"/>
      <c r="X1035" s="383"/>
      <c r="Y1035" s="383"/>
      <c r="Z1035" s="383"/>
      <c r="AA1035" s="383"/>
      <c r="AB1035" s="383"/>
      <c r="AC1035" s="383"/>
    </row>
    <row r="1036" spans="1:29" ht="39.950000000000003" customHeight="1" x14ac:dyDescent="0.2">
      <c r="A1036" s="383">
        <v>1037</v>
      </c>
      <c r="B1036" s="384">
        <v>45246</v>
      </c>
      <c r="C1036" s="385">
        <v>0.52916666666666667</v>
      </c>
      <c r="D1036" s="244" t="s">
        <v>4162</v>
      </c>
      <c r="E1036" s="247" t="s">
        <v>4163</v>
      </c>
      <c r="F1036" s="383">
        <v>4</v>
      </c>
      <c r="G1036" s="383"/>
      <c r="H1036" s="384"/>
      <c r="I1036" s="384"/>
      <c r="J1036" s="384"/>
      <c r="K1036" s="383" t="str">
        <f>IFERROR(VLOOKUP(J1036,Jueces!$A$1:$B$11,2,FALSE),"")</f>
        <v/>
      </c>
      <c r="L1036" s="244" t="s">
        <v>789</v>
      </c>
      <c r="M1036" s="425" t="s">
        <v>1964</v>
      </c>
      <c r="N1036" s="383"/>
      <c r="O1036" s="244" t="str">
        <f t="shared" ref="O1036:O1068" ca="1" si="65">IF(H1036&lt;&gt;"",IF(H1036&lt;=TODAY(),"SI","NO"),"LIMBO")</f>
        <v>LIMBO</v>
      </c>
      <c r="P1036" s="244" t="str">
        <f t="shared" ref="P1036:P1068" si="66">IF($P$1=H1036,"DIASOL", "DIANOSOL")</f>
        <v>DIANOSOL</v>
      </c>
      <c r="Q1036" s="244" t="s">
        <v>951</v>
      </c>
      <c r="R1036" s="244" t="str">
        <f>VLOOKUP($Q1036,Resultados!$A$1:$B$49,2,FALSE)</f>
        <v xml:space="preserve"> _</v>
      </c>
      <c r="S1036" s="244"/>
      <c r="T1036" s="245" t="str">
        <f t="shared" ref="T1036:T1068" si="67">IF(G1036=$J$1,"SI","NO")</f>
        <v>NO</v>
      </c>
      <c r="U1036" s="245"/>
      <c r="V1036" s="383"/>
      <c r="W1036" s="383"/>
      <c r="X1036" s="383"/>
      <c r="Y1036" s="383"/>
      <c r="Z1036" s="383"/>
      <c r="AA1036" s="383"/>
      <c r="AB1036" s="383"/>
      <c r="AC1036" s="383"/>
    </row>
    <row r="1037" spans="1:29" ht="39.950000000000003" customHeight="1" x14ac:dyDescent="0.2">
      <c r="A1037" s="383">
        <v>1038</v>
      </c>
      <c r="B1037" s="384">
        <v>45246</v>
      </c>
      <c r="C1037" s="427">
        <v>0.52916666666666667</v>
      </c>
      <c r="D1037" s="244" t="s">
        <v>4164</v>
      </c>
      <c r="E1037" s="247" t="s">
        <v>4165</v>
      </c>
      <c r="F1037" s="383">
        <v>4</v>
      </c>
      <c r="G1037" s="383"/>
      <c r="H1037" s="384"/>
      <c r="I1037" s="384"/>
      <c r="J1037" s="384"/>
      <c r="K1037" s="383" t="str">
        <f>IFERROR(VLOOKUP(J1037,Jueces!$A$1:$B$11,2,FALSE),"")</f>
        <v/>
      </c>
      <c r="L1037" s="244" t="s">
        <v>1700</v>
      </c>
      <c r="M1037" s="446" t="s">
        <v>3797</v>
      </c>
      <c r="N1037" s="244" t="s">
        <v>4251</v>
      </c>
      <c r="O1037" s="244" t="str">
        <f t="shared" ca="1" si="65"/>
        <v>LIMBO</v>
      </c>
      <c r="P1037" s="244" t="str">
        <f t="shared" si="66"/>
        <v>DIANOSOL</v>
      </c>
      <c r="Q1037" s="244" t="s">
        <v>951</v>
      </c>
      <c r="R1037" s="244" t="str">
        <f>VLOOKUP($Q1037,Resultados!$A$1:$B$49,2,FALSE)</f>
        <v xml:space="preserve"> _</v>
      </c>
      <c r="S1037" s="244"/>
      <c r="T1037" s="245" t="str">
        <f t="shared" si="67"/>
        <v>NO</v>
      </c>
      <c r="U1037" s="245"/>
      <c r="V1037" s="383"/>
      <c r="W1037" s="383"/>
      <c r="X1037" s="383"/>
      <c r="Y1037" s="383"/>
      <c r="Z1037" s="383"/>
      <c r="AA1037" s="383"/>
      <c r="AB1037" s="383"/>
      <c r="AC1037" s="383"/>
    </row>
    <row r="1038" spans="1:29" ht="39.950000000000003" customHeight="1" x14ac:dyDescent="0.2">
      <c r="A1038" s="383">
        <v>1039</v>
      </c>
      <c r="B1038" s="384">
        <v>45251</v>
      </c>
      <c r="C1038" s="427">
        <v>0.33333333333333331</v>
      </c>
      <c r="D1038" s="244" t="s">
        <v>4167</v>
      </c>
      <c r="E1038" s="247" t="s">
        <v>4168</v>
      </c>
      <c r="F1038" s="383">
        <v>2</v>
      </c>
      <c r="G1038" s="383"/>
      <c r="H1038" s="384"/>
      <c r="I1038" s="384"/>
      <c r="J1038" s="384"/>
      <c r="K1038" s="383" t="str">
        <f>IFERROR(VLOOKUP(J1038,Jueces!$A$1:$B$11,2,FALSE),"")</f>
        <v/>
      </c>
      <c r="L1038" s="244" t="s">
        <v>812</v>
      </c>
      <c r="M1038" s="244" t="s">
        <v>1874</v>
      </c>
      <c r="N1038" s="383"/>
      <c r="O1038" s="244" t="str">
        <f t="shared" ca="1" si="65"/>
        <v>LIMBO</v>
      </c>
      <c r="P1038" s="244" t="str">
        <f t="shared" si="66"/>
        <v>DIANOSOL</v>
      </c>
      <c r="Q1038" s="244" t="s">
        <v>951</v>
      </c>
      <c r="R1038" s="244" t="str">
        <f>VLOOKUP($Q1038,Resultados!$A$1:$B$49,2,FALSE)</f>
        <v xml:space="preserve"> _</v>
      </c>
      <c r="S1038" s="244"/>
      <c r="T1038" s="245" t="str">
        <f t="shared" si="67"/>
        <v>NO</v>
      </c>
      <c r="U1038" s="245"/>
      <c r="V1038" s="383"/>
      <c r="W1038" s="383"/>
      <c r="X1038" s="383"/>
      <c r="Y1038" s="383"/>
      <c r="Z1038" s="383"/>
      <c r="AA1038" s="383"/>
      <c r="AB1038" s="383"/>
      <c r="AC1038" s="383"/>
    </row>
    <row r="1039" spans="1:29" ht="39.950000000000003" customHeight="1" x14ac:dyDescent="0.2">
      <c r="A1039" s="383">
        <v>1040</v>
      </c>
      <c r="B1039" s="384">
        <v>45251</v>
      </c>
      <c r="C1039" s="385">
        <v>0.3444444444444445</v>
      </c>
      <c r="D1039" s="244" t="s">
        <v>4169</v>
      </c>
      <c r="E1039" s="247" t="s">
        <v>4170</v>
      </c>
      <c r="F1039" s="383">
        <v>4</v>
      </c>
      <c r="G1039" s="383"/>
      <c r="H1039" s="384"/>
      <c r="I1039" s="384"/>
      <c r="J1039" s="384"/>
      <c r="K1039" s="383" t="str">
        <f>IFERROR(VLOOKUP(J1039,Jueces!$A$1:$B$11,2,FALSE),"")</f>
        <v/>
      </c>
      <c r="L1039" s="244" t="s">
        <v>807</v>
      </c>
      <c r="M1039" s="405" t="s">
        <v>4263</v>
      </c>
      <c r="N1039" s="383"/>
      <c r="O1039" s="244" t="str">
        <f t="shared" ca="1" si="65"/>
        <v>LIMBO</v>
      </c>
      <c r="P1039" s="244" t="str">
        <f t="shared" si="66"/>
        <v>DIANOSOL</v>
      </c>
      <c r="Q1039" s="244" t="s">
        <v>951</v>
      </c>
      <c r="R1039" s="244" t="str">
        <f>VLOOKUP($Q1039,Resultados!$A$1:$B$49,2,FALSE)</f>
        <v xml:space="preserve"> _</v>
      </c>
      <c r="S1039" s="244"/>
      <c r="T1039" s="245" t="str">
        <f t="shared" si="67"/>
        <v>NO</v>
      </c>
      <c r="U1039" s="245"/>
      <c r="V1039" s="383"/>
      <c r="W1039" s="383"/>
      <c r="X1039" s="383"/>
      <c r="Y1039" s="383"/>
      <c r="Z1039" s="383"/>
      <c r="AA1039" s="383"/>
      <c r="AB1039" s="383"/>
      <c r="AC1039" s="383"/>
    </row>
    <row r="1040" spans="1:29" ht="39.950000000000003" customHeight="1" x14ac:dyDescent="0.2">
      <c r="A1040" s="361">
        <v>1042</v>
      </c>
      <c r="B1040" s="378">
        <v>45251</v>
      </c>
      <c r="C1040" s="415">
        <v>0.35486111111111113</v>
      </c>
      <c r="D1040" s="172" t="s">
        <v>4173</v>
      </c>
      <c r="E1040" s="173" t="s">
        <v>4174</v>
      </c>
      <c r="F1040" s="361">
        <v>4</v>
      </c>
      <c r="G1040" s="361"/>
      <c r="H1040" s="378"/>
      <c r="I1040" s="378"/>
      <c r="J1040" s="378"/>
      <c r="K1040" s="361" t="str">
        <f>IFERROR(VLOOKUP(J1040,Jueces!$A$1:$B$11,2,FALSE),"")</f>
        <v/>
      </c>
      <c r="L1040" s="172" t="s">
        <v>811</v>
      </c>
      <c r="M1040" s="172"/>
      <c r="N1040" s="361"/>
      <c r="O1040" s="172" t="str">
        <f t="shared" ca="1" si="65"/>
        <v>LIMBO</v>
      </c>
      <c r="P1040" s="172" t="str">
        <f t="shared" si="66"/>
        <v>DIANOSOL</v>
      </c>
      <c r="Q1040" s="172" t="s">
        <v>951</v>
      </c>
      <c r="R1040" s="172" t="str">
        <f>VLOOKUP($Q1040,Resultados!$A$1:$B$49,2,FALSE)</f>
        <v xml:space="preserve"> _</v>
      </c>
      <c r="S1040" s="172"/>
      <c r="T1040" s="174" t="str">
        <f t="shared" si="67"/>
        <v>NO</v>
      </c>
      <c r="U1040" s="174"/>
      <c r="V1040" s="361"/>
      <c r="W1040" s="361"/>
      <c r="X1040" s="361"/>
      <c r="Y1040" s="361"/>
      <c r="Z1040" s="361"/>
      <c r="AA1040" s="361"/>
      <c r="AB1040" s="361"/>
      <c r="AC1040" s="361"/>
    </row>
    <row r="1041" spans="1:29" ht="39.950000000000003" customHeight="1" x14ac:dyDescent="0.2">
      <c r="A1041" s="361">
        <v>1043</v>
      </c>
      <c r="B1041" s="378">
        <v>45251</v>
      </c>
      <c r="C1041" s="415">
        <v>0.3666666666666667</v>
      </c>
      <c r="D1041" s="172" t="s">
        <v>4175</v>
      </c>
      <c r="E1041" s="173" t="s">
        <v>4176</v>
      </c>
      <c r="F1041" s="361">
        <v>4</v>
      </c>
      <c r="G1041" s="361"/>
      <c r="H1041" s="378"/>
      <c r="I1041" s="378"/>
      <c r="J1041" s="378"/>
      <c r="K1041" s="361" t="str">
        <f>IFERROR(VLOOKUP(J1041,Jueces!$A$1:$B$11,2,FALSE),"")</f>
        <v/>
      </c>
      <c r="L1041" s="172" t="s">
        <v>2092</v>
      </c>
      <c r="M1041" s="172"/>
      <c r="N1041" s="361"/>
      <c r="O1041" s="172" t="str">
        <f t="shared" ca="1" si="65"/>
        <v>LIMBO</v>
      </c>
      <c r="P1041" s="172" t="str">
        <f t="shared" si="66"/>
        <v>DIANOSOL</v>
      </c>
      <c r="Q1041" s="172" t="s">
        <v>951</v>
      </c>
      <c r="R1041" s="172" t="str">
        <f>VLOOKUP($Q1041,Resultados!$A$1:$B$49,2,FALSE)</f>
        <v xml:space="preserve"> _</v>
      </c>
      <c r="S1041" s="172"/>
      <c r="T1041" s="174" t="str">
        <f t="shared" si="67"/>
        <v>NO</v>
      </c>
      <c r="U1041" s="174"/>
      <c r="V1041" s="361"/>
      <c r="W1041" s="361"/>
      <c r="X1041" s="361"/>
      <c r="Y1041" s="361"/>
      <c r="Z1041" s="361"/>
      <c r="AA1041" s="361"/>
      <c r="AB1041" s="361"/>
      <c r="AC1041" s="361"/>
    </row>
    <row r="1042" spans="1:29" ht="39.950000000000003" customHeight="1" x14ac:dyDescent="0.2">
      <c r="A1042" s="383">
        <v>1044</v>
      </c>
      <c r="B1042" s="384">
        <v>45251</v>
      </c>
      <c r="C1042" s="385">
        <v>0.36944444444444446</v>
      </c>
      <c r="D1042" s="244" t="s">
        <v>4177</v>
      </c>
      <c r="E1042" s="247" t="s">
        <v>4178</v>
      </c>
      <c r="F1042" s="383">
        <v>4</v>
      </c>
      <c r="G1042" s="383"/>
      <c r="H1042" s="384"/>
      <c r="I1042" s="384"/>
      <c r="J1042" s="384"/>
      <c r="K1042" s="383" t="str">
        <f>IFERROR(VLOOKUP(J1042,Jueces!$A$1:$B$11,2,FALSE),"")</f>
        <v/>
      </c>
      <c r="L1042" s="244" t="s">
        <v>809</v>
      </c>
      <c r="M1042" s="244" t="s">
        <v>1964</v>
      </c>
      <c r="N1042" s="383"/>
      <c r="O1042" s="244" t="str">
        <f t="shared" ca="1" si="65"/>
        <v>LIMBO</v>
      </c>
      <c r="P1042" s="244" t="str">
        <f t="shared" si="66"/>
        <v>DIANOSOL</v>
      </c>
      <c r="Q1042" s="244" t="s">
        <v>951</v>
      </c>
      <c r="R1042" s="244" t="str">
        <f>VLOOKUP($Q1042,Resultados!$A$1:$B$49,2,FALSE)</f>
        <v xml:space="preserve"> _</v>
      </c>
      <c r="S1042" s="244"/>
      <c r="T1042" s="245" t="str">
        <f t="shared" si="67"/>
        <v>NO</v>
      </c>
      <c r="U1042" s="245"/>
      <c r="V1042" s="383"/>
      <c r="W1042" s="383"/>
      <c r="X1042" s="383"/>
      <c r="Y1042" s="383"/>
      <c r="Z1042" s="383"/>
      <c r="AA1042" s="383"/>
      <c r="AB1042" s="383"/>
      <c r="AC1042" s="383"/>
    </row>
    <row r="1043" spans="1:29" ht="39.950000000000003" customHeight="1" x14ac:dyDescent="0.2">
      <c r="A1043" s="364">
        <v>1045</v>
      </c>
      <c r="B1043" s="402">
        <v>45251</v>
      </c>
      <c r="C1043" s="416">
        <v>0.37777777777777777</v>
      </c>
      <c r="D1043" s="214" t="s">
        <v>4179</v>
      </c>
      <c r="E1043" s="215" t="s">
        <v>4180</v>
      </c>
      <c r="F1043" s="364">
        <v>3</v>
      </c>
      <c r="G1043" s="364"/>
      <c r="H1043" s="402"/>
      <c r="I1043" s="402"/>
      <c r="J1043" s="402"/>
      <c r="K1043" s="364" t="str">
        <f>IFERROR(VLOOKUP(J1043,Jueces!$A$1:$B$11,2,FALSE),"")</f>
        <v/>
      </c>
      <c r="L1043" s="214" t="s">
        <v>791</v>
      </c>
      <c r="M1043" s="433" t="s">
        <v>1385</v>
      </c>
      <c r="N1043" s="214" t="s">
        <v>4219</v>
      </c>
      <c r="O1043" s="214" t="str">
        <f t="shared" ca="1" si="65"/>
        <v>LIMBO</v>
      </c>
      <c r="P1043" s="214" t="str">
        <f t="shared" si="66"/>
        <v>DIANOSOL</v>
      </c>
      <c r="Q1043" s="214" t="s">
        <v>951</v>
      </c>
      <c r="R1043" s="214" t="str">
        <f>VLOOKUP($Q1043,Resultados!$A$1:$B$49,2,FALSE)</f>
        <v xml:space="preserve"> _</v>
      </c>
      <c r="S1043" s="214"/>
      <c r="T1043" s="281" t="str">
        <f t="shared" si="67"/>
        <v>NO</v>
      </c>
      <c r="U1043" s="281"/>
      <c r="V1043" s="364"/>
      <c r="W1043" s="364"/>
      <c r="X1043" s="364"/>
      <c r="Y1043" s="364"/>
      <c r="Z1043" s="364"/>
      <c r="AA1043" s="364"/>
      <c r="AB1043" s="364"/>
      <c r="AC1043" s="364"/>
    </row>
    <row r="1044" spans="1:29" ht="39.950000000000003" customHeight="1" x14ac:dyDescent="0.2">
      <c r="A1044" s="383">
        <v>1046</v>
      </c>
      <c r="B1044" s="384">
        <v>45251</v>
      </c>
      <c r="C1044" s="427">
        <v>0.39930555555555558</v>
      </c>
      <c r="D1044" s="244" t="s">
        <v>4216</v>
      </c>
      <c r="E1044" s="247" t="s">
        <v>4181</v>
      </c>
      <c r="F1044" s="383">
        <v>3</v>
      </c>
      <c r="G1044" s="383"/>
      <c r="H1044" s="384"/>
      <c r="I1044" s="384"/>
      <c r="J1044" s="384"/>
      <c r="K1044" s="383" t="str">
        <f>IFERROR(VLOOKUP(J1044,Jueces!$A$1:$B$11,2,FALSE),"")</f>
        <v/>
      </c>
      <c r="L1044" s="244" t="s">
        <v>688</v>
      </c>
      <c r="M1044" s="423" t="s">
        <v>700</v>
      </c>
      <c r="N1044" s="383"/>
      <c r="O1044" s="244" t="str">
        <f t="shared" ca="1" si="65"/>
        <v>LIMBO</v>
      </c>
      <c r="P1044" s="244" t="str">
        <f t="shared" si="66"/>
        <v>DIANOSOL</v>
      </c>
      <c r="Q1044" s="244" t="s">
        <v>951</v>
      </c>
      <c r="R1044" s="244" t="str">
        <f>VLOOKUP($Q1044,Resultados!$A$1:$B$49,2,FALSE)</f>
        <v xml:space="preserve"> _</v>
      </c>
      <c r="S1044" s="244"/>
      <c r="T1044" s="245" t="str">
        <f t="shared" si="67"/>
        <v>NO</v>
      </c>
      <c r="U1044" s="245"/>
      <c r="V1044" s="383"/>
      <c r="W1044" s="383"/>
      <c r="X1044" s="383"/>
      <c r="Y1044" s="383"/>
      <c r="Z1044" s="383"/>
      <c r="AA1044" s="383"/>
      <c r="AB1044" s="383"/>
      <c r="AC1044" s="383"/>
    </row>
    <row r="1045" spans="1:29" ht="39.950000000000003" customHeight="1" x14ac:dyDescent="0.2">
      <c r="A1045" s="383">
        <v>1047</v>
      </c>
      <c r="B1045" s="384">
        <v>45251</v>
      </c>
      <c r="C1045" s="385">
        <v>0.3611111111111111</v>
      </c>
      <c r="D1045" s="244" t="s">
        <v>4185</v>
      </c>
      <c r="E1045" s="247" t="s">
        <v>4186</v>
      </c>
      <c r="F1045" s="383">
        <v>3</v>
      </c>
      <c r="G1045" s="383"/>
      <c r="H1045" s="384"/>
      <c r="I1045" s="384"/>
      <c r="J1045" s="384"/>
      <c r="K1045" s="383" t="str">
        <f>IFERROR(VLOOKUP(J1045,Jueces!$A$1:$B$11,2,FALSE),"")</f>
        <v/>
      </c>
      <c r="L1045" s="244" t="s">
        <v>798</v>
      </c>
      <c r="M1045" s="244" t="s">
        <v>723</v>
      </c>
      <c r="N1045" s="383"/>
      <c r="O1045" s="244" t="str">
        <f t="shared" ca="1" si="65"/>
        <v>LIMBO</v>
      </c>
      <c r="P1045" s="244" t="str">
        <f t="shared" si="66"/>
        <v>DIANOSOL</v>
      </c>
      <c r="Q1045" s="244" t="s">
        <v>951</v>
      </c>
      <c r="R1045" s="244" t="str">
        <f>VLOOKUP($Q1045,Resultados!$A$1:$B$49,2,FALSE)</f>
        <v xml:space="preserve"> _</v>
      </c>
      <c r="S1045" s="244"/>
      <c r="T1045" s="245" t="str">
        <f t="shared" si="67"/>
        <v>NO</v>
      </c>
      <c r="U1045" s="245"/>
      <c r="V1045" s="383"/>
      <c r="W1045" s="383"/>
      <c r="X1045" s="383"/>
      <c r="Y1045" s="383"/>
      <c r="Z1045" s="383"/>
      <c r="AA1045" s="383"/>
      <c r="AB1045" s="383"/>
      <c r="AC1045" s="383"/>
    </row>
    <row r="1046" spans="1:29" ht="39.950000000000003" customHeight="1" x14ac:dyDescent="0.2">
      <c r="A1046" s="383">
        <v>1048</v>
      </c>
      <c r="B1046" s="384">
        <v>45251</v>
      </c>
      <c r="C1046" s="385">
        <v>0.48958333333333331</v>
      </c>
      <c r="D1046" s="244" t="s">
        <v>4188</v>
      </c>
      <c r="E1046" s="247" t="s">
        <v>4189</v>
      </c>
      <c r="F1046" s="383">
        <v>3</v>
      </c>
      <c r="G1046" s="383"/>
      <c r="H1046" s="384"/>
      <c r="I1046" s="384"/>
      <c r="J1046" s="384"/>
      <c r="K1046" s="383" t="str">
        <f>IFERROR(VLOOKUP(J1046,Jueces!$A$1:$B$11,2,FALSE),"")</f>
        <v/>
      </c>
      <c r="L1046" s="244" t="s">
        <v>789</v>
      </c>
      <c r="M1046" s="244" t="s">
        <v>3797</v>
      </c>
      <c r="N1046" s="383"/>
      <c r="O1046" s="244" t="str">
        <f t="shared" ca="1" si="65"/>
        <v>LIMBO</v>
      </c>
      <c r="P1046" s="244" t="str">
        <f t="shared" si="66"/>
        <v>DIANOSOL</v>
      </c>
      <c r="Q1046" s="244" t="s">
        <v>951</v>
      </c>
      <c r="R1046" s="244" t="str">
        <f>VLOOKUP($Q1046,Resultados!$A$1:$B$49,2,FALSE)</f>
        <v xml:space="preserve"> _</v>
      </c>
      <c r="S1046" s="244"/>
      <c r="T1046" s="245" t="str">
        <f t="shared" si="67"/>
        <v>NO</v>
      </c>
      <c r="U1046" s="245"/>
      <c r="V1046" s="383"/>
      <c r="W1046" s="383"/>
      <c r="X1046" s="383"/>
      <c r="Y1046" s="383"/>
      <c r="Z1046" s="383"/>
      <c r="AA1046" s="383"/>
      <c r="AB1046" s="383"/>
      <c r="AC1046" s="383"/>
    </row>
    <row r="1047" spans="1:29" ht="39.950000000000003" customHeight="1" x14ac:dyDescent="0.2">
      <c r="A1047" s="383">
        <v>1049</v>
      </c>
      <c r="B1047" s="384"/>
      <c r="C1047" s="383"/>
      <c r="D1047" s="244" t="s">
        <v>4198</v>
      </c>
      <c r="E1047" s="247" t="s">
        <v>4199</v>
      </c>
      <c r="F1047" s="383">
        <v>7</v>
      </c>
      <c r="G1047" s="383"/>
      <c r="H1047" s="384"/>
      <c r="I1047" s="384"/>
      <c r="J1047" s="384"/>
      <c r="K1047" s="383" t="str">
        <f>IFERROR(VLOOKUP(J1047,Jueces!$A$1:$B$11,2,FALSE),"")</f>
        <v/>
      </c>
      <c r="L1047" s="244" t="s">
        <v>569</v>
      </c>
      <c r="M1047" s="244" t="s">
        <v>783</v>
      </c>
      <c r="N1047" s="383"/>
      <c r="O1047" s="244" t="str">
        <f t="shared" ca="1" si="65"/>
        <v>LIMBO</v>
      </c>
      <c r="P1047" s="244" t="str">
        <f t="shared" si="66"/>
        <v>DIANOSOL</v>
      </c>
      <c r="Q1047" s="244" t="s">
        <v>951</v>
      </c>
      <c r="R1047" s="244" t="str">
        <f>VLOOKUP($Q1047,Resultados!$A$1:$B$49,2,FALSE)</f>
        <v xml:space="preserve"> _</v>
      </c>
      <c r="S1047" s="244"/>
      <c r="T1047" s="245" t="str">
        <f t="shared" si="67"/>
        <v>NO</v>
      </c>
      <c r="U1047" s="245"/>
      <c r="V1047" s="383"/>
      <c r="W1047" s="383"/>
      <c r="X1047" s="383"/>
      <c r="Y1047" s="383"/>
      <c r="Z1047" s="383"/>
      <c r="AA1047" s="383"/>
      <c r="AB1047" s="383"/>
      <c r="AC1047" s="383"/>
    </row>
    <row r="1048" spans="1:29" ht="39.950000000000003" customHeight="1" x14ac:dyDescent="0.2">
      <c r="A1048" s="383">
        <v>1050</v>
      </c>
      <c r="B1048" s="384">
        <v>45251</v>
      </c>
      <c r="C1048" s="385">
        <v>0.4375</v>
      </c>
      <c r="D1048" s="244" t="s">
        <v>4201</v>
      </c>
      <c r="E1048" s="247" t="s">
        <v>4202</v>
      </c>
      <c r="F1048" s="383">
        <v>4</v>
      </c>
      <c r="G1048" s="383"/>
      <c r="H1048" s="384"/>
      <c r="I1048" s="384"/>
      <c r="J1048" s="384"/>
      <c r="K1048" s="383" t="str">
        <f>IFERROR(VLOOKUP(J1048,Jueces!$A$1:$B$11,2,FALSE),"")</f>
        <v/>
      </c>
      <c r="L1048" s="244" t="s">
        <v>802</v>
      </c>
      <c r="M1048" s="244" t="s">
        <v>1874</v>
      </c>
      <c r="N1048" s="383"/>
      <c r="O1048" s="244" t="str">
        <f t="shared" ca="1" si="65"/>
        <v>LIMBO</v>
      </c>
      <c r="P1048" s="244" t="str">
        <f t="shared" si="66"/>
        <v>DIANOSOL</v>
      </c>
      <c r="Q1048" s="244" t="s">
        <v>951</v>
      </c>
      <c r="R1048" s="244" t="str">
        <f>VLOOKUP($Q1048,Resultados!$A$1:$B$49,2,FALSE)</f>
        <v xml:space="preserve"> _</v>
      </c>
      <c r="S1048" s="244"/>
      <c r="T1048" s="245" t="str">
        <f t="shared" si="67"/>
        <v>NO</v>
      </c>
      <c r="U1048" s="245"/>
      <c r="V1048" s="383"/>
      <c r="W1048" s="383"/>
      <c r="X1048" s="383"/>
      <c r="Y1048" s="383"/>
      <c r="Z1048" s="383"/>
      <c r="AA1048" s="383"/>
      <c r="AB1048" s="383"/>
      <c r="AC1048" s="383"/>
    </row>
    <row r="1049" spans="1:29" ht="39.950000000000003" customHeight="1" x14ac:dyDescent="0.2">
      <c r="A1049" s="383">
        <v>1051</v>
      </c>
      <c r="B1049" s="384">
        <v>45160</v>
      </c>
      <c r="C1049" s="385">
        <v>0.33333333333333331</v>
      </c>
      <c r="D1049" s="383" t="s">
        <v>3529</v>
      </c>
      <c r="E1049" s="395" t="s">
        <v>3466</v>
      </c>
      <c r="F1049" s="383">
        <v>2</v>
      </c>
      <c r="G1049" s="383"/>
      <c r="H1049" s="384"/>
      <c r="I1049" s="384"/>
      <c r="J1049" s="384"/>
      <c r="K1049" s="383" t="str">
        <f>IFERROR(VLOOKUP(J1049,Jueces!$A$1:$B$11,2,FALSE),"")</f>
        <v/>
      </c>
      <c r="L1049" s="244" t="s">
        <v>2092</v>
      </c>
      <c r="M1049" s="405" t="s">
        <v>2774</v>
      </c>
      <c r="N1049" s="244" t="s">
        <v>4205</v>
      </c>
      <c r="O1049" s="244" t="str">
        <f t="shared" ca="1" si="65"/>
        <v>LIMBO</v>
      </c>
      <c r="P1049" s="244" t="str">
        <f t="shared" si="66"/>
        <v>DIANOSOL</v>
      </c>
      <c r="Q1049" s="244" t="s">
        <v>951</v>
      </c>
      <c r="R1049" s="244" t="str">
        <f>VLOOKUP($Q1049,Resultados!$A$1:$B$49,2,FALSE)</f>
        <v xml:space="preserve"> _</v>
      </c>
      <c r="S1049" s="244"/>
      <c r="T1049" s="245" t="str">
        <f t="shared" si="67"/>
        <v>NO</v>
      </c>
      <c r="U1049" s="245"/>
      <c r="V1049" s="383"/>
      <c r="W1049" s="383"/>
      <c r="X1049" s="383"/>
      <c r="Y1049" s="383"/>
      <c r="Z1049" s="383"/>
      <c r="AA1049" s="383"/>
      <c r="AB1049" s="383"/>
      <c r="AC1049" s="383"/>
    </row>
    <row r="1050" spans="1:29" ht="39.950000000000003" customHeight="1" x14ac:dyDescent="0.2">
      <c r="A1050" s="383">
        <v>1052</v>
      </c>
      <c r="B1050" s="384">
        <v>45252</v>
      </c>
      <c r="C1050" s="385">
        <v>0.33333333333333331</v>
      </c>
      <c r="D1050" s="244" t="s">
        <v>4206</v>
      </c>
      <c r="E1050" s="247" t="s">
        <v>4207</v>
      </c>
      <c r="F1050" s="383">
        <v>3</v>
      </c>
      <c r="G1050" s="383"/>
      <c r="H1050" s="384"/>
      <c r="I1050" s="384"/>
      <c r="J1050" s="384"/>
      <c r="K1050" s="383" t="str">
        <f>IFERROR(VLOOKUP(J1050,Jueces!$A$1:$B$11,2,FALSE),"")</f>
        <v/>
      </c>
      <c r="L1050" s="244" t="s">
        <v>790</v>
      </c>
      <c r="M1050" s="405" t="s">
        <v>2263</v>
      </c>
      <c r="N1050" s="383"/>
      <c r="O1050" s="244" t="str">
        <f t="shared" ca="1" si="65"/>
        <v>LIMBO</v>
      </c>
      <c r="P1050" s="244" t="str">
        <f t="shared" si="66"/>
        <v>DIANOSOL</v>
      </c>
      <c r="Q1050" s="244" t="s">
        <v>951</v>
      </c>
      <c r="R1050" s="244" t="str">
        <f>VLOOKUP($Q1050,Resultados!$A$1:$B$49,2,FALSE)</f>
        <v xml:space="preserve"> _</v>
      </c>
      <c r="S1050" s="244"/>
      <c r="T1050" s="245" t="str">
        <f t="shared" si="67"/>
        <v>NO</v>
      </c>
      <c r="U1050" s="245"/>
      <c r="V1050" s="383"/>
      <c r="W1050" s="383"/>
      <c r="X1050" s="383"/>
      <c r="Y1050" s="383"/>
      <c r="Z1050" s="383"/>
      <c r="AA1050" s="383"/>
      <c r="AB1050" s="383"/>
      <c r="AC1050" s="383"/>
    </row>
    <row r="1051" spans="1:29" ht="39.950000000000003" customHeight="1" x14ac:dyDescent="0.2">
      <c r="A1051" s="383">
        <v>1054</v>
      </c>
      <c r="B1051" s="384">
        <v>45252</v>
      </c>
      <c r="C1051" s="385">
        <v>0.33333333333333331</v>
      </c>
      <c r="D1051" s="244" t="s">
        <v>4209</v>
      </c>
      <c r="E1051" s="247" t="s">
        <v>4210</v>
      </c>
      <c r="F1051" s="383">
        <v>5</v>
      </c>
      <c r="G1051" s="383"/>
      <c r="H1051" s="384"/>
      <c r="I1051" s="384"/>
      <c r="J1051" s="384"/>
      <c r="K1051" s="383" t="str">
        <f>IFERROR(VLOOKUP(J1051,Jueces!$A$1:$B$11,2,FALSE),"")</f>
        <v/>
      </c>
      <c r="L1051" s="244" t="s">
        <v>812</v>
      </c>
      <c r="M1051" s="425" t="s">
        <v>1964</v>
      </c>
      <c r="N1051" s="383"/>
      <c r="O1051" s="244" t="str">
        <f t="shared" ca="1" si="65"/>
        <v>LIMBO</v>
      </c>
      <c r="P1051" s="244" t="str">
        <f t="shared" si="66"/>
        <v>DIANOSOL</v>
      </c>
      <c r="Q1051" s="244" t="s">
        <v>951</v>
      </c>
      <c r="R1051" s="244" t="str">
        <f>VLOOKUP($Q1051,Resultados!$A$1:$B$49,2,FALSE)</f>
        <v xml:space="preserve"> _</v>
      </c>
      <c r="S1051" s="244"/>
      <c r="T1051" s="245" t="str">
        <f t="shared" si="67"/>
        <v>NO</v>
      </c>
      <c r="U1051" s="245"/>
      <c r="V1051" s="383"/>
      <c r="W1051" s="383"/>
      <c r="X1051" s="383"/>
      <c r="Y1051" s="383"/>
      <c r="Z1051" s="383"/>
      <c r="AA1051" s="383"/>
      <c r="AB1051" s="383"/>
      <c r="AC1051" s="383"/>
    </row>
    <row r="1052" spans="1:29" ht="39.950000000000003" customHeight="1" x14ac:dyDescent="0.2">
      <c r="A1052" s="383">
        <v>1055</v>
      </c>
      <c r="B1052" s="384">
        <v>45252</v>
      </c>
      <c r="C1052" s="385">
        <v>0.33333333333333331</v>
      </c>
      <c r="D1052" s="383" t="s">
        <v>1314</v>
      </c>
      <c r="E1052" s="395" t="s">
        <v>4211</v>
      </c>
      <c r="F1052" s="383">
        <v>3</v>
      </c>
      <c r="G1052" s="383"/>
      <c r="H1052" s="384"/>
      <c r="I1052" s="384"/>
      <c r="J1052" s="384"/>
      <c r="K1052" s="383" t="str">
        <f>IFERROR(VLOOKUP(J1052,Jueces!$A$1:$B$11,2,FALSE),"")</f>
        <v/>
      </c>
      <c r="L1052" s="244" t="s">
        <v>807</v>
      </c>
      <c r="M1052" s="244" t="s">
        <v>1526</v>
      </c>
      <c r="N1052" s="383"/>
      <c r="O1052" s="244" t="str">
        <f t="shared" ca="1" si="65"/>
        <v>LIMBO</v>
      </c>
      <c r="P1052" s="244" t="str">
        <f t="shared" si="66"/>
        <v>DIANOSOL</v>
      </c>
      <c r="Q1052" s="244" t="s">
        <v>951</v>
      </c>
      <c r="R1052" s="244" t="str">
        <f>VLOOKUP($Q1052,Resultados!$A$1:$B$49,2,FALSE)</f>
        <v xml:space="preserve"> _</v>
      </c>
      <c r="S1052" s="244"/>
      <c r="T1052" s="245" t="str">
        <f t="shared" si="67"/>
        <v>NO</v>
      </c>
      <c r="U1052" s="245"/>
      <c r="V1052" s="383"/>
      <c r="W1052" s="383"/>
      <c r="X1052" s="383"/>
      <c r="Y1052" s="383"/>
      <c r="Z1052" s="383"/>
      <c r="AA1052" s="383"/>
      <c r="AB1052" s="383"/>
      <c r="AC1052" s="383"/>
    </row>
    <row r="1053" spans="1:29" ht="39.950000000000003" customHeight="1" x14ac:dyDescent="0.2">
      <c r="A1053" s="383">
        <v>1056</v>
      </c>
      <c r="B1053" s="384">
        <v>45252</v>
      </c>
      <c r="C1053" s="427">
        <v>0.36041666666666666</v>
      </c>
      <c r="D1053" s="244" t="s">
        <v>4212</v>
      </c>
      <c r="E1053" s="247" t="s">
        <v>4213</v>
      </c>
      <c r="F1053" s="383">
        <v>4</v>
      </c>
      <c r="G1053" s="383"/>
      <c r="H1053" s="384"/>
      <c r="I1053" s="384"/>
      <c r="J1053" s="384"/>
      <c r="K1053" s="383" t="str">
        <f>IFERROR(VLOOKUP(J1053,Jueces!$A$1:$B$11,2,FALSE),"")</f>
        <v/>
      </c>
      <c r="L1053" s="244" t="s">
        <v>807</v>
      </c>
      <c r="M1053" s="244" t="s">
        <v>1874</v>
      </c>
      <c r="N1053" s="383"/>
      <c r="O1053" s="244" t="str">
        <f t="shared" ca="1" si="65"/>
        <v>LIMBO</v>
      </c>
      <c r="P1053" s="244" t="str">
        <f t="shared" si="66"/>
        <v>DIANOSOL</v>
      </c>
      <c r="Q1053" s="244" t="s">
        <v>951</v>
      </c>
      <c r="R1053" s="244" t="str">
        <f>VLOOKUP($Q1053,Resultados!$A$1:$B$49,2,FALSE)</f>
        <v xml:space="preserve"> _</v>
      </c>
      <c r="S1053" s="244"/>
      <c r="T1053" s="245" t="str">
        <f t="shared" si="67"/>
        <v>NO</v>
      </c>
      <c r="U1053" s="245"/>
      <c r="V1053" s="383"/>
      <c r="W1053" s="383"/>
      <c r="X1053" s="383"/>
      <c r="Y1053" s="383"/>
      <c r="Z1053" s="383"/>
      <c r="AA1053" s="383"/>
      <c r="AB1053" s="383"/>
      <c r="AC1053" s="383"/>
    </row>
    <row r="1054" spans="1:29" ht="39.950000000000003" customHeight="1" x14ac:dyDescent="0.2">
      <c r="A1054" s="383">
        <v>1057</v>
      </c>
      <c r="B1054" s="384">
        <v>45252</v>
      </c>
      <c r="C1054" s="427">
        <v>0.3444444444444445</v>
      </c>
      <c r="D1054" s="244" t="s">
        <v>4214</v>
      </c>
      <c r="E1054" s="247" t="s">
        <v>4215</v>
      </c>
      <c r="F1054" s="383">
        <v>4</v>
      </c>
      <c r="G1054" s="383"/>
      <c r="H1054" s="384"/>
      <c r="I1054" s="384"/>
      <c r="J1054" s="384"/>
      <c r="K1054" s="383" t="str">
        <f>IFERROR(VLOOKUP(J1054,Jueces!$A$1:$B$11,2,FALSE),"")</f>
        <v/>
      </c>
      <c r="L1054" s="244" t="s">
        <v>802</v>
      </c>
      <c r="M1054" s="244" t="s">
        <v>1874</v>
      </c>
      <c r="N1054" s="383"/>
      <c r="O1054" s="244" t="str">
        <f t="shared" ca="1" si="65"/>
        <v>LIMBO</v>
      </c>
      <c r="P1054" s="244" t="str">
        <f t="shared" si="66"/>
        <v>DIANOSOL</v>
      </c>
      <c r="Q1054" s="244" t="s">
        <v>951</v>
      </c>
      <c r="R1054" s="244" t="str">
        <f>VLOOKUP($Q1054,Resultados!$A$1:$B$49,2,FALSE)</f>
        <v xml:space="preserve"> _</v>
      </c>
      <c r="S1054" s="244"/>
      <c r="T1054" s="245" t="str">
        <f t="shared" si="67"/>
        <v>NO</v>
      </c>
      <c r="U1054" s="245"/>
      <c r="V1054" s="383"/>
      <c r="W1054" s="383"/>
      <c r="X1054" s="383"/>
      <c r="Y1054" s="383"/>
      <c r="Z1054" s="383"/>
      <c r="AA1054" s="383"/>
      <c r="AB1054" s="383"/>
      <c r="AC1054" s="383"/>
    </row>
    <row r="1055" spans="1:29" ht="39.950000000000003" customHeight="1" x14ac:dyDescent="0.2">
      <c r="A1055" s="383">
        <v>1048</v>
      </c>
      <c r="B1055" s="384">
        <v>45252</v>
      </c>
      <c r="C1055" s="385">
        <v>0.43888888888888888</v>
      </c>
      <c r="D1055" s="244" t="s">
        <v>4266</v>
      </c>
      <c r="E1055" s="247" t="s">
        <v>4267</v>
      </c>
      <c r="F1055" s="383">
        <v>3</v>
      </c>
      <c r="G1055" s="383"/>
      <c r="H1055" s="384"/>
      <c r="I1055" s="384"/>
      <c r="J1055" s="384"/>
      <c r="K1055" s="383" t="str">
        <f>IFERROR(VLOOKUP(J1055,Jueces!$A$1:$B$11,2,FALSE),"")</f>
        <v/>
      </c>
      <c r="L1055" s="244" t="s">
        <v>688</v>
      </c>
      <c r="M1055" s="405" t="s">
        <v>700</v>
      </c>
      <c r="N1055" s="383"/>
      <c r="O1055" s="244" t="str">
        <f t="shared" ca="1" si="65"/>
        <v>LIMBO</v>
      </c>
      <c r="P1055" s="244" t="str">
        <f t="shared" si="66"/>
        <v>DIANOSOL</v>
      </c>
      <c r="Q1055" s="244" t="s">
        <v>951</v>
      </c>
      <c r="R1055" s="244" t="str">
        <f>VLOOKUP($Q1055,Resultados!$A$1:$B$49,2,FALSE)</f>
        <v xml:space="preserve"> _</v>
      </c>
      <c r="S1055" s="244"/>
      <c r="T1055" s="245" t="str">
        <f t="shared" si="67"/>
        <v>NO</v>
      </c>
      <c r="U1055" s="245"/>
      <c r="V1055" s="383"/>
      <c r="W1055" s="383"/>
      <c r="X1055" s="383"/>
      <c r="Y1055" s="383"/>
      <c r="Z1055" s="383"/>
      <c r="AA1055" s="383"/>
      <c r="AB1055" s="383"/>
      <c r="AC1055" s="383"/>
    </row>
    <row r="1056" spans="1:29" ht="39.950000000000003" customHeight="1" x14ac:dyDescent="0.2">
      <c r="A1056" s="361">
        <v>1049</v>
      </c>
      <c r="B1056" s="378">
        <v>45252</v>
      </c>
      <c r="C1056" s="415">
        <v>0.53749999999999998</v>
      </c>
      <c r="D1056" s="172" t="s">
        <v>4269</v>
      </c>
      <c r="E1056" s="173" t="s">
        <v>4270</v>
      </c>
      <c r="F1056" s="361">
        <v>4</v>
      </c>
      <c r="G1056" s="361"/>
      <c r="H1056" s="378"/>
      <c r="I1056" s="378"/>
      <c r="J1056" s="378"/>
      <c r="K1056" s="361" t="str">
        <f>IFERROR(VLOOKUP(J1056,Jueces!$A$1:$B$11,2,FALSE),"")</f>
        <v/>
      </c>
      <c r="L1056" s="172" t="s">
        <v>809</v>
      </c>
      <c r="M1056" s="172"/>
      <c r="N1056" s="361"/>
      <c r="O1056" s="172" t="str">
        <f t="shared" ca="1" si="65"/>
        <v>LIMBO</v>
      </c>
      <c r="P1056" s="172" t="str">
        <f t="shared" si="66"/>
        <v>DIANOSOL</v>
      </c>
      <c r="Q1056" s="172" t="s">
        <v>951</v>
      </c>
      <c r="R1056" s="172" t="str">
        <f>VLOOKUP($Q1056,Resultados!$A$1:$B$49,2,FALSE)</f>
        <v xml:space="preserve"> _</v>
      </c>
      <c r="S1056" s="172"/>
      <c r="T1056" s="174" t="str">
        <f t="shared" si="67"/>
        <v>NO</v>
      </c>
      <c r="U1056" s="174"/>
      <c r="V1056" s="361"/>
      <c r="W1056" s="361"/>
      <c r="X1056" s="361"/>
      <c r="Y1056" s="361"/>
      <c r="Z1056" s="361"/>
      <c r="AA1056" s="361"/>
      <c r="AB1056" s="361"/>
      <c r="AC1056" s="361"/>
    </row>
    <row r="1057" spans="1:36" ht="39.950000000000003" customHeight="1" x14ac:dyDescent="0.2">
      <c r="A1057" s="361">
        <v>1051</v>
      </c>
      <c r="B1057" s="378">
        <v>45253</v>
      </c>
      <c r="C1057" s="415">
        <v>0.46597222222222223</v>
      </c>
      <c r="D1057" s="172" t="s">
        <v>4273</v>
      </c>
      <c r="E1057" s="173" t="s">
        <v>4274</v>
      </c>
      <c r="F1057" s="361">
        <v>4</v>
      </c>
      <c r="G1057" s="361"/>
      <c r="H1057" s="378"/>
      <c r="I1057" s="378"/>
      <c r="J1057" s="378"/>
      <c r="K1057" s="361" t="str">
        <f>IFERROR(VLOOKUP(J1057,Jueces!$A$1:$B$11,2,FALSE),"")</f>
        <v/>
      </c>
      <c r="L1057" s="172" t="s">
        <v>807</v>
      </c>
      <c r="M1057" s="172"/>
      <c r="N1057" s="361"/>
      <c r="O1057" s="172" t="str">
        <f t="shared" ca="1" si="65"/>
        <v>LIMBO</v>
      </c>
      <c r="P1057" s="172" t="str">
        <f t="shared" si="66"/>
        <v>DIANOSOL</v>
      </c>
      <c r="Q1057" s="172" t="s">
        <v>951</v>
      </c>
      <c r="R1057" s="172" t="str">
        <f>VLOOKUP($Q1057,Resultados!$A$1:$B$49,2,FALSE)</f>
        <v xml:space="preserve"> _</v>
      </c>
      <c r="S1057" s="172"/>
      <c r="T1057" s="174" t="str">
        <f t="shared" si="67"/>
        <v>NO</v>
      </c>
      <c r="U1057" s="174"/>
      <c r="V1057" s="361"/>
      <c r="W1057" s="361"/>
      <c r="X1057" s="361"/>
      <c r="Y1057" s="361"/>
      <c r="Z1057" s="361"/>
      <c r="AA1057" s="361"/>
      <c r="AB1057" s="361"/>
      <c r="AC1057" s="361"/>
    </row>
    <row r="1058" spans="1:36" ht="39.950000000000003" customHeight="1" x14ac:dyDescent="0.2">
      <c r="A1058" s="383">
        <v>1052</v>
      </c>
      <c r="B1058" s="384">
        <v>45253</v>
      </c>
      <c r="C1058" s="427">
        <v>0.45555555555555555</v>
      </c>
      <c r="D1058" s="244" t="s">
        <v>4275</v>
      </c>
      <c r="E1058" s="247" t="s">
        <v>4276</v>
      </c>
      <c r="F1058" s="383">
        <v>5</v>
      </c>
      <c r="G1058" s="383"/>
      <c r="H1058" s="384"/>
      <c r="I1058" s="384"/>
      <c r="J1058" s="384"/>
      <c r="K1058" s="383" t="str">
        <f>IFERROR(VLOOKUP(J1058,Jueces!$A$1:$B$11,2,FALSE),"")</f>
        <v/>
      </c>
      <c r="L1058" s="244" t="s">
        <v>812</v>
      </c>
      <c r="M1058" s="244" t="s">
        <v>1964</v>
      </c>
      <c r="N1058" s="383"/>
      <c r="O1058" s="244" t="str">
        <f t="shared" ca="1" si="65"/>
        <v>LIMBO</v>
      </c>
      <c r="P1058" s="244" t="str">
        <f t="shared" si="66"/>
        <v>DIANOSOL</v>
      </c>
      <c r="Q1058" s="244" t="s">
        <v>951</v>
      </c>
      <c r="R1058" s="244" t="str">
        <f>VLOOKUP($Q1058,Resultados!$A$1:$B$49,2,FALSE)</f>
        <v xml:space="preserve"> _</v>
      </c>
      <c r="S1058" s="244"/>
      <c r="T1058" s="245" t="str">
        <f t="shared" si="67"/>
        <v>NO</v>
      </c>
      <c r="U1058" s="245"/>
      <c r="V1058" s="383"/>
      <c r="W1058" s="383"/>
      <c r="X1058" s="383"/>
      <c r="Y1058" s="383"/>
      <c r="Z1058" s="383"/>
      <c r="AA1058" s="383"/>
      <c r="AB1058" s="383"/>
      <c r="AC1058" s="383"/>
    </row>
    <row r="1059" spans="1:36" ht="39.950000000000003" customHeight="1" x14ac:dyDescent="0.2">
      <c r="A1059" s="383">
        <v>1053</v>
      </c>
      <c r="B1059" s="384">
        <v>45253</v>
      </c>
      <c r="C1059" s="427">
        <v>0.4375</v>
      </c>
      <c r="D1059" s="244" t="s">
        <v>4277</v>
      </c>
      <c r="E1059" s="247" t="s">
        <v>4278</v>
      </c>
      <c r="F1059" s="383">
        <v>5</v>
      </c>
      <c r="G1059" s="383"/>
      <c r="H1059" s="384"/>
      <c r="I1059" s="384"/>
      <c r="J1059" s="384"/>
      <c r="K1059" s="383" t="str">
        <f>IFERROR(VLOOKUP(J1059,Jueces!$A$1:$B$11,2,FALSE),"")</f>
        <v/>
      </c>
      <c r="L1059" s="244" t="s">
        <v>801</v>
      </c>
      <c r="M1059" s="244" t="s">
        <v>2123</v>
      </c>
      <c r="N1059" s="383"/>
      <c r="O1059" s="244" t="str">
        <f t="shared" ca="1" si="65"/>
        <v>LIMBO</v>
      </c>
      <c r="P1059" s="244" t="str">
        <f t="shared" si="66"/>
        <v>DIANOSOL</v>
      </c>
      <c r="Q1059" s="244" t="s">
        <v>951</v>
      </c>
      <c r="R1059" s="244" t="str">
        <f>VLOOKUP($Q1059,Resultados!$A$1:$B$49,2,FALSE)</f>
        <v xml:space="preserve"> _</v>
      </c>
      <c r="S1059" s="244"/>
      <c r="T1059" s="245" t="str">
        <f t="shared" si="67"/>
        <v>NO</v>
      </c>
      <c r="U1059" s="245"/>
      <c r="V1059" s="383"/>
      <c r="W1059" s="383"/>
      <c r="X1059" s="383"/>
      <c r="Y1059" s="383"/>
      <c r="Z1059" s="383"/>
      <c r="AA1059" s="383"/>
      <c r="AB1059" s="383"/>
      <c r="AC1059" s="383"/>
    </row>
    <row r="1060" spans="1:36" ht="39.950000000000003" customHeight="1" x14ac:dyDescent="0.2">
      <c r="A1060" s="361">
        <v>1054</v>
      </c>
      <c r="B1060" s="378">
        <v>45253</v>
      </c>
      <c r="C1060" s="415">
        <v>0.4069444444444445</v>
      </c>
      <c r="D1060" s="172" t="s">
        <v>4279</v>
      </c>
      <c r="E1060" s="173" t="s">
        <v>4280</v>
      </c>
      <c r="F1060" s="361">
        <v>4</v>
      </c>
      <c r="G1060" s="361"/>
      <c r="H1060" s="378"/>
      <c r="I1060" s="378"/>
      <c r="J1060" s="378"/>
      <c r="K1060" s="361" t="str">
        <f>IFERROR(VLOOKUP(J1060,Jueces!$A$1:$B$11,2,FALSE),"")</f>
        <v/>
      </c>
      <c r="L1060" s="172" t="s">
        <v>1700</v>
      </c>
      <c r="M1060" s="172"/>
      <c r="N1060" s="361"/>
      <c r="O1060" s="172" t="str">
        <f t="shared" ca="1" si="65"/>
        <v>LIMBO</v>
      </c>
      <c r="P1060" s="172" t="str">
        <f t="shared" si="66"/>
        <v>DIANOSOL</v>
      </c>
      <c r="Q1060" s="172" t="s">
        <v>951</v>
      </c>
      <c r="R1060" s="172" t="str">
        <f>VLOOKUP($Q1060,Resultados!$A$1:$B$49,2,FALSE)</f>
        <v xml:space="preserve"> _</v>
      </c>
      <c r="S1060" s="172"/>
      <c r="T1060" s="174" t="str">
        <f t="shared" si="67"/>
        <v>NO</v>
      </c>
      <c r="U1060" s="174"/>
      <c r="V1060" s="361"/>
      <c r="W1060" s="361"/>
      <c r="X1060" s="361"/>
      <c r="Y1060" s="361"/>
      <c r="Z1060" s="361"/>
      <c r="AA1060" s="361"/>
      <c r="AB1060" s="361"/>
      <c r="AC1060" s="361"/>
    </row>
    <row r="1061" spans="1:36" ht="39.950000000000003" customHeight="1" x14ac:dyDescent="0.2">
      <c r="A1061" s="361">
        <v>1055</v>
      </c>
      <c r="B1061" s="378">
        <v>45253</v>
      </c>
      <c r="C1061" s="415">
        <v>0.35694444444444445</v>
      </c>
      <c r="D1061" s="172" t="s">
        <v>4281</v>
      </c>
      <c r="E1061" s="173" t="s">
        <v>4282</v>
      </c>
      <c r="F1061" s="361">
        <v>4</v>
      </c>
      <c r="G1061" s="361"/>
      <c r="H1061" s="378"/>
      <c r="I1061" s="378"/>
      <c r="J1061" s="378"/>
      <c r="K1061" s="361" t="str">
        <f>IFERROR(VLOOKUP(J1061,Jueces!$A$1:$B$11,2,FALSE),"")</f>
        <v/>
      </c>
      <c r="L1061" s="172" t="s">
        <v>812</v>
      </c>
      <c r="M1061" s="172"/>
      <c r="N1061" s="361"/>
      <c r="O1061" s="172" t="str">
        <f t="shared" ca="1" si="65"/>
        <v>LIMBO</v>
      </c>
      <c r="P1061" s="172" t="str">
        <f t="shared" si="66"/>
        <v>DIANOSOL</v>
      </c>
      <c r="Q1061" s="172" t="s">
        <v>951</v>
      </c>
      <c r="R1061" s="172" t="str">
        <f>VLOOKUP($Q1061,Resultados!$A$1:$B$49,2,FALSE)</f>
        <v xml:space="preserve"> _</v>
      </c>
      <c r="S1061" s="172"/>
      <c r="T1061" s="174" t="str">
        <f t="shared" si="67"/>
        <v>NO</v>
      </c>
      <c r="U1061" s="174"/>
      <c r="V1061" s="361"/>
      <c r="W1061" s="361"/>
      <c r="X1061" s="361"/>
      <c r="Y1061" s="361"/>
      <c r="Z1061" s="361"/>
      <c r="AA1061" s="361"/>
      <c r="AB1061" s="361"/>
      <c r="AC1061" s="361"/>
    </row>
    <row r="1062" spans="1:36" ht="39.950000000000003" customHeight="1" x14ac:dyDescent="0.2">
      <c r="A1062" s="361">
        <v>1056</v>
      </c>
      <c r="B1062" s="378">
        <v>45253</v>
      </c>
      <c r="C1062" s="415">
        <v>0.34861111111111115</v>
      </c>
      <c r="D1062" s="172" t="s">
        <v>4283</v>
      </c>
      <c r="E1062" s="173" t="s">
        <v>4301</v>
      </c>
      <c r="F1062" s="361">
        <v>4</v>
      </c>
      <c r="G1062" s="361"/>
      <c r="H1062" s="378"/>
      <c r="I1062" s="378"/>
      <c r="J1062" s="378"/>
      <c r="K1062" s="361" t="str">
        <f>IFERROR(VLOOKUP(J1062,Jueces!$A$1:$B$11,2,FALSE),"")</f>
        <v/>
      </c>
      <c r="L1062" s="172" t="s">
        <v>810</v>
      </c>
      <c r="M1062" s="172"/>
      <c r="N1062" s="361"/>
      <c r="O1062" s="172" t="str">
        <f t="shared" ca="1" si="65"/>
        <v>LIMBO</v>
      </c>
      <c r="P1062" s="172" t="str">
        <f t="shared" si="66"/>
        <v>DIANOSOL</v>
      </c>
      <c r="Q1062" s="172" t="s">
        <v>951</v>
      </c>
      <c r="R1062" s="172" t="str">
        <f>VLOOKUP($Q1062,Resultados!$A$1:$B$49,2,FALSE)</f>
        <v xml:space="preserve"> _</v>
      </c>
      <c r="S1062" s="172"/>
      <c r="T1062" s="174" t="str">
        <f t="shared" si="67"/>
        <v>NO</v>
      </c>
      <c r="U1062" s="174"/>
      <c r="V1062" s="361"/>
      <c r="W1062" s="361"/>
      <c r="X1062" s="361"/>
      <c r="Y1062" s="361"/>
      <c r="Z1062" s="361"/>
      <c r="AA1062" s="361"/>
      <c r="AB1062" s="361"/>
      <c r="AC1062" s="361"/>
    </row>
    <row r="1063" spans="1:36" ht="39.950000000000003" customHeight="1" x14ac:dyDescent="0.2">
      <c r="A1063" s="383">
        <v>1058</v>
      </c>
      <c r="B1063" s="384"/>
      <c r="C1063" s="427"/>
      <c r="D1063" s="428" t="s">
        <v>3149</v>
      </c>
      <c r="E1063" s="395" t="s">
        <v>3212</v>
      </c>
      <c r="F1063" s="383">
        <v>1</v>
      </c>
      <c r="G1063" s="383"/>
      <c r="H1063" s="384"/>
      <c r="I1063" s="384"/>
      <c r="J1063" s="384"/>
      <c r="K1063" s="383" t="str">
        <f>IFERROR(VLOOKUP(J1063,Jueces!$A$1:$B$11,2,FALSE),"")</f>
        <v/>
      </c>
      <c r="L1063" s="244" t="s">
        <v>789</v>
      </c>
      <c r="M1063" s="244" t="s">
        <v>1178</v>
      </c>
      <c r="N1063" s="244" t="s">
        <v>4285</v>
      </c>
      <c r="O1063" s="244" t="str">
        <f t="shared" ca="1" si="65"/>
        <v>LIMBO</v>
      </c>
      <c r="P1063" s="244" t="str">
        <f t="shared" si="66"/>
        <v>DIANOSOL</v>
      </c>
      <c r="Q1063" s="244" t="s">
        <v>951</v>
      </c>
      <c r="R1063" s="244" t="str">
        <f>VLOOKUP($Q1063,Resultados!$A$1:$B$49,2,FALSE)</f>
        <v xml:space="preserve"> _</v>
      </c>
      <c r="S1063" s="244"/>
      <c r="T1063" s="245" t="str">
        <f t="shared" si="67"/>
        <v>NO</v>
      </c>
      <c r="U1063" s="245"/>
      <c r="V1063" s="383"/>
      <c r="W1063" s="383"/>
      <c r="X1063" s="383"/>
      <c r="Y1063" s="383"/>
      <c r="Z1063" s="383"/>
      <c r="AA1063" s="383"/>
      <c r="AB1063" s="383"/>
      <c r="AC1063" s="383" t="s">
        <v>1799</v>
      </c>
    </row>
    <row r="1064" spans="1:36" ht="39.950000000000003" customHeight="1" x14ac:dyDescent="0.2">
      <c r="A1064" s="440">
        <v>1061</v>
      </c>
      <c r="B1064" s="441"/>
      <c r="C1064" s="440"/>
      <c r="D1064" s="425" t="s">
        <v>4292</v>
      </c>
      <c r="E1064" s="442" t="s">
        <v>4293</v>
      </c>
      <c r="F1064" s="440">
        <v>5</v>
      </c>
      <c r="G1064" s="440"/>
      <c r="H1064" s="441"/>
      <c r="I1064" s="441"/>
      <c r="J1064" s="441"/>
      <c r="K1064" s="440" t="str">
        <f>IFERROR(VLOOKUP(J1064,Jueces!$A$1:$B$11,2,FALSE),"")</f>
        <v/>
      </c>
      <c r="L1064" s="425" t="s">
        <v>812</v>
      </c>
      <c r="M1064" s="425" t="s">
        <v>1964</v>
      </c>
      <c r="N1064" s="440"/>
      <c r="O1064" s="425" t="str">
        <f t="shared" ca="1" si="65"/>
        <v>LIMBO</v>
      </c>
      <c r="P1064" s="425" t="str">
        <f t="shared" si="66"/>
        <v>DIANOSOL</v>
      </c>
      <c r="Q1064" s="425" t="s">
        <v>951</v>
      </c>
      <c r="R1064" s="425" t="str">
        <f>VLOOKUP($Q1064,Resultados!$A$1:$B$49,2,FALSE)</f>
        <v xml:space="preserve"> _</v>
      </c>
      <c r="S1064" s="425"/>
      <c r="T1064" s="447" t="str">
        <f t="shared" si="67"/>
        <v>NO</v>
      </c>
      <c r="U1064" s="447"/>
      <c r="V1064" s="440"/>
      <c r="W1064" s="440"/>
      <c r="X1064" s="440"/>
      <c r="Y1064" s="440"/>
      <c r="Z1064" s="440"/>
      <c r="AA1064" s="440"/>
      <c r="AB1064" s="440"/>
      <c r="AC1064" s="440"/>
    </row>
    <row r="1065" spans="1:36" ht="39.950000000000003" customHeight="1" x14ac:dyDescent="0.2">
      <c r="A1065" s="383">
        <v>1062</v>
      </c>
      <c r="B1065" s="384"/>
      <c r="C1065" s="383"/>
      <c r="D1065" s="244" t="s">
        <v>4294</v>
      </c>
      <c r="E1065" s="247" t="s">
        <v>4295</v>
      </c>
      <c r="F1065" s="383">
        <v>3</v>
      </c>
      <c r="G1065" s="383"/>
      <c r="H1065" s="384"/>
      <c r="I1065" s="384"/>
      <c r="J1065" s="384"/>
      <c r="K1065" s="383" t="str">
        <f>IFERROR(VLOOKUP(J1065,Jueces!$A$1:$B$11,2,FALSE),"")</f>
        <v/>
      </c>
      <c r="L1065" s="244" t="s">
        <v>688</v>
      </c>
      <c r="M1065" s="435" t="s">
        <v>2078</v>
      </c>
      <c r="N1065" s="383"/>
      <c r="O1065" s="244" t="str">
        <f t="shared" ca="1" si="65"/>
        <v>LIMBO</v>
      </c>
      <c r="P1065" s="244" t="str">
        <f t="shared" si="66"/>
        <v>DIANOSOL</v>
      </c>
      <c r="Q1065" s="244" t="s">
        <v>951</v>
      </c>
      <c r="R1065" s="244" t="str">
        <f>VLOOKUP($Q1065,Resultados!$A$1:$B$49,2,FALSE)</f>
        <v xml:space="preserve"> _</v>
      </c>
      <c r="S1065" s="244"/>
      <c r="T1065" s="245" t="str">
        <f t="shared" si="67"/>
        <v>NO</v>
      </c>
      <c r="U1065" s="245"/>
      <c r="V1065" s="383"/>
      <c r="W1065" s="383"/>
      <c r="X1065" s="383"/>
      <c r="Y1065" s="383"/>
      <c r="Z1065" s="383"/>
      <c r="AA1065" s="383"/>
      <c r="AB1065" s="383"/>
      <c r="AC1065" s="383"/>
      <c r="AD1065" s="437"/>
      <c r="AE1065" s="437"/>
      <c r="AF1065" s="437"/>
      <c r="AG1065" s="437"/>
      <c r="AH1065" s="437"/>
      <c r="AI1065" s="437" t="s">
        <v>4299</v>
      </c>
      <c r="AJ1065" s="437"/>
    </row>
    <row r="1066" spans="1:36" ht="39.950000000000003" customHeight="1" x14ac:dyDescent="0.2">
      <c r="A1066" s="361">
        <v>1063</v>
      </c>
      <c r="B1066" s="378">
        <v>45254</v>
      </c>
      <c r="C1066" s="415">
        <v>0.4291666666666667</v>
      </c>
      <c r="D1066" s="172" t="s">
        <v>4296</v>
      </c>
      <c r="E1066" s="173" t="s">
        <v>4297</v>
      </c>
      <c r="F1066" s="361">
        <v>4</v>
      </c>
      <c r="G1066" s="361"/>
      <c r="H1066" s="378"/>
      <c r="I1066" s="378"/>
      <c r="J1066" s="378"/>
      <c r="K1066" s="361" t="str">
        <f>IFERROR(VLOOKUP(J1066,Jueces!$A$1:$B$11,2,FALSE),"")</f>
        <v/>
      </c>
      <c r="L1066" s="172" t="s">
        <v>810</v>
      </c>
      <c r="M1066" s="172"/>
      <c r="N1066" s="361"/>
      <c r="O1066" s="172" t="str">
        <f t="shared" ca="1" si="65"/>
        <v>LIMBO</v>
      </c>
      <c r="P1066" s="172" t="str">
        <f t="shared" si="66"/>
        <v>DIANOSOL</v>
      </c>
      <c r="Q1066" s="172" t="s">
        <v>951</v>
      </c>
      <c r="R1066" s="172" t="str">
        <f>VLOOKUP($Q1066,Resultados!$A$1:$B$49,2,FALSE)</f>
        <v xml:space="preserve"> _</v>
      </c>
      <c r="S1066" s="172"/>
      <c r="T1066" s="174" t="str">
        <f t="shared" si="67"/>
        <v>NO</v>
      </c>
      <c r="U1066" s="174"/>
      <c r="V1066" s="361"/>
      <c r="W1066" s="361"/>
      <c r="X1066" s="361"/>
      <c r="Y1066" s="361"/>
      <c r="Z1066" s="361"/>
      <c r="AA1066" s="361"/>
      <c r="AB1066" s="361"/>
      <c r="AC1066" s="361"/>
    </row>
    <row r="1067" spans="1:36" ht="39.950000000000003" customHeight="1" x14ac:dyDescent="0.2">
      <c r="A1067" s="361">
        <v>1065</v>
      </c>
      <c r="B1067" s="378">
        <v>45253</v>
      </c>
      <c r="C1067" s="415">
        <v>0.52152777777777781</v>
      </c>
      <c r="D1067" s="172" t="s">
        <v>4302</v>
      </c>
      <c r="E1067" s="173" t="s">
        <v>4303</v>
      </c>
      <c r="F1067" s="361">
        <v>4</v>
      </c>
      <c r="G1067" s="361"/>
      <c r="H1067" s="378"/>
      <c r="I1067" s="378"/>
      <c r="J1067" s="378"/>
      <c r="K1067" s="361" t="str">
        <f>IFERROR(VLOOKUP(J1067,Jueces!$A$1:$B$11,2,FALSE),"")</f>
        <v/>
      </c>
      <c r="L1067" s="172" t="s">
        <v>569</v>
      </c>
      <c r="M1067" s="172"/>
      <c r="N1067" s="361"/>
      <c r="O1067" s="172" t="str">
        <f t="shared" ca="1" si="65"/>
        <v>LIMBO</v>
      </c>
      <c r="P1067" s="172" t="str">
        <f t="shared" si="66"/>
        <v>DIANOSOL</v>
      </c>
      <c r="Q1067" s="172" t="s">
        <v>951</v>
      </c>
      <c r="R1067" s="172" t="str">
        <f>VLOOKUP($Q1067,Resultados!$A$1:$B$49,2,FALSE)</f>
        <v xml:space="preserve"> _</v>
      </c>
      <c r="S1067" s="172"/>
      <c r="T1067" s="174" t="str">
        <f t="shared" si="67"/>
        <v>NO</v>
      </c>
      <c r="U1067" s="174"/>
      <c r="V1067" s="361"/>
      <c r="W1067" s="361"/>
      <c r="X1067" s="361"/>
      <c r="Y1067" s="361"/>
      <c r="Z1067" s="361"/>
      <c r="AA1067" s="361"/>
      <c r="AB1067" s="361"/>
      <c r="AC1067" s="361"/>
    </row>
    <row r="1068" spans="1:36" ht="39.950000000000003" customHeight="1" x14ac:dyDescent="0.2">
      <c r="A1068" s="90">
        <v>1066</v>
      </c>
      <c r="B1068" s="212"/>
      <c r="C1068" s="90"/>
      <c r="D1068" s="90"/>
      <c r="E1068" s="436"/>
      <c r="F1068" s="90"/>
      <c r="G1068" s="90"/>
      <c r="H1068" s="212"/>
      <c r="I1068" s="212"/>
      <c r="J1068" s="212"/>
      <c r="K1068" s="90" t="str">
        <f>IFERROR(VLOOKUP(J1068,Jueces!$A$1:$B$11,2,FALSE),"")</f>
        <v/>
      </c>
      <c r="L1068" s="81"/>
      <c r="M1068" s="81"/>
      <c r="N1068" s="90"/>
      <c r="O1068" s="81" t="str">
        <f t="shared" ca="1" si="65"/>
        <v>LIMBO</v>
      </c>
      <c r="P1068" s="81" t="str">
        <f t="shared" si="66"/>
        <v>DIANOSOL</v>
      </c>
      <c r="Q1068" s="81" t="s">
        <v>951</v>
      </c>
      <c r="R1068" s="81" t="str">
        <f>VLOOKUP($Q1068,Resultados!$A$1:$B$49,2,FALSE)</f>
        <v xml:space="preserve"> _</v>
      </c>
      <c r="S1068" s="81"/>
      <c r="T1068" s="387" t="str">
        <f t="shared" si="67"/>
        <v>NO</v>
      </c>
      <c r="U1068" s="387"/>
      <c r="V1068" s="90"/>
      <c r="W1068" s="90"/>
      <c r="X1068" s="90"/>
      <c r="Y1068" s="90"/>
      <c r="Z1068" s="90"/>
      <c r="AA1068" s="90"/>
      <c r="AB1068" s="90"/>
      <c r="AC1068" s="90"/>
    </row>
  </sheetData>
  <sortState ref="A3:AC1068">
    <sortCondition ref="H3:H1068"/>
    <sortCondition ref="I3:I1068"/>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6" priority="223">
      <formula>"SI(P115=""HOY"")"</formula>
    </cfRule>
  </conditionalFormatting>
  <conditionalFormatting sqref="D1065">
    <cfRule type="duplicateValues" dxfId="405" priority="221"/>
    <cfRule type="duplicateValues" dxfId="404" priority="222"/>
  </conditionalFormatting>
  <conditionalFormatting sqref="D1065">
    <cfRule type="duplicateValues" dxfId="403" priority="220"/>
  </conditionalFormatting>
  <conditionalFormatting sqref="D1065">
    <cfRule type="duplicateValues" dxfId="402" priority="218"/>
    <cfRule type="duplicateValues" dxfId="401"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autoPict="0" linkedCell="$K$1" listFillRange="Resultados!$A$1:$A$49" r:id="rId15">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Resultados!$B$1:$B$30</xm:f>
          </x14:formula1>
          <xm:sqref>R1066:R1068 R942:R1064 R3</xm:sqref>
        </x14:dataValidation>
        <x14:dataValidation type="list" allowBlank="1" showInputMessage="1" showErrorMessage="1">
          <x14:formula1>
            <xm:f>defensores!$A$1:$A$200</xm:f>
          </x14:formula1>
          <xm:sqref>M1066:M1068 M897:M1064 M3:M895</xm:sqref>
        </x14:dataValidation>
        <x14:dataValidation type="list" allowBlank="1" showInputMessage="1" showErrorMessage="1">
          <x14:formula1>
            <xm:f>'fiscalias penales'!$A$1:$A$64</xm:f>
          </x14:formula1>
          <xm:sqref>L1066:L1068 L897:L1064 L3:L895</xm:sqref>
        </x14:dataValidation>
        <x14:dataValidation type="list" allowBlank="1" showInputMessage="1" showErrorMessage="1">
          <x14:formula1>
            <xm:f>Internos!$A$1:$A$25</xm:f>
          </x14:formula1>
          <xm:sqref>G1066:G1068 G897:G1064 G3:G895</xm:sqref>
        </x14:dataValidation>
        <x14:dataValidation type="list" allowBlank="1" showInputMessage="1" showErrorMessage="1">
          <x14:formula1>
            <xm:f>'D:\Trabajo\Planilla\planilla_excel\[PLCAcuGral.xlsm]OPO'!#REF!</xm:f>
          </x14:formula1>
          <xm:sqref>AJ1065</xm:sqref>
        </x14:dataValidation>
        <x14:dataValidation type="list" allowBlank="1" showInputMessage="1" showErrorMessage="1">
          <x14:formula1>
            <xm:f>'D:\Trabajo\Planilla\planilla_excel\[PLCAcuGral.xlsm]Internos'!#REF!</xm:f>
          </x14:formula1>
          <xm:sqref>G1065</xm:sqref>
        </x14:dataValidation>
        <x14:dataValidation type="list" allowBlank="1" showInputMessage="1" showErrorMessage="1">
          <x14:formula1>
            <xm:f>'D:\Trabajo\Planilla\planilla_excel\[PLCAcuGral.xlsm]fiscalias penales'!#REF!</xm:f>
          </x14:formula1>
          <xm:sqref>L1065</xm:sqref>
        </x14:dataValidation>
        <x14:dataValidation type="list" allowBlank="1" showInputMessage="1" showErrorMessage="1">
          <x14:formula1>
            <xm:f>'D:\Trabajo\Planilla\planilla_excel\[PLCAcuGral.xlsm]defensores'!#REF!</xm:f>
          </x14:formula1>
          <xm:sqref>M1065</xm:sqref>
        </x14:dataValidation>
        <x14:dataValidation type="list" allowBlank="1" showInputMessage="1" showErrorMessage="1">
          <x14:formula1>
            <xm:f>Resultados!$A$1:$A$30</xm:f>
          </x14:formula1>
          <xm:sqref>Q3:Q968</xm:sqref>
        </x14:dataValidation>
        <x14:dataValidation type="list" allowBlank="1" showInputMessage="1" showErrorMessage="1">
          <x14:formula1>
            <xm:f>Jueces!$A$1:$A$20</xm:f>
          </x14:formula1>
          <xm:sqref>J3:J895 J897:J1068</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workbookViewId="0">
      <selection activeCell="BA30" sqref="BA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4019</v>
      </c>
      <c r="AG5" s="129"/>
      <c r="AH5" s="130"/>
      <c r="AI5" s="125" t="s">
        <v>4197</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workbookViewId="0">
      <selection activeCell="B10" sqref="B10"/>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140625" customWidth="1"/>
    <col min="17" max="17" width="12.42578125" bestFit="1" customWidth="1"/>
  </cols>
  <sheetData>
    <row r="5" spans="1:19" x14ac:dyDescent="0.2">
      <c r="A5" s="408" t="s">
        <v>5</v>
      </c>
      <c r="B5" s="409">
        <v>45258</v>
      </c>
      <c r="D5" s="108" t="s">
        <v>5</v>
      </c>
      <c r="E5" s="181">
        <v>45260</v>
      </c>
      <c r="G5" s="108" t="s">
        <v>5</v>
      </c>
      <c r="H5" s="181">
        <v>45261</v>
      </c>
      <c r="J5" s="108" t="s">
        <v>5</v>
      </c>
      <c r="K5" s="181">
        <v>45264</v>
      </c>
      <c r="L5" s="181"/>
      <c r="M5" s="108" t="s">
        <v>5</v>
      </c>
      <c r="N5" s="181">
        <v>45265</v>
      </c>
      <c r="P5" s="108" t="s">
        <v>5</v>
      </c>
      <c r="Q5" s="181">
        <v>45266</v>
      </c>
      <c r="S5" s="10" t="s">
        <v>3684</v>
      </c>
    </row>
    <row r="6" spans="1:19" x14ac:dyDescent="0.2">
      <c r="A6" s="10"/>
      <c r="B6" s="10"/>
      <c r="S6" s="10" t="s">
        <v>3685</v>
      </c>
    </row>
    <row r="7" spans="1:19" ht="14.25" x14ac:dyDescent="0.2">
      <c r="A7" s="413" t="s">
        <v>1483</v>
      </c>
      <c r="D7" s="108" t="s">
        <v>1483</v>
      </c>
      <c r="G7" s="108" t="s">
        <v>1483</v>
      </c>
      <c r="J7" s="108" t="s">
        <v>1483</v>
      </c>
      <c r="M7" s="108" t="s">
        <v>1483</v>
      </c>
      <c r="P7" s="108" t="s">
        <v>1483</v>
      </c>
      <c r="S7" s="10" t="s">
        <v>3686</v>
      </c>
    </row>
    <row r="8" spans="1:19" ht="14.25" x14ac:dyDescent="0.2">
      <c r="A8" s="407" t="s">
        <v>31</v>
      </c>
      <c r="D8" s="407" t="s">
        <v>31</v>
      </c>
      <c r="G8" s="407" t="s">
        <v>31</v>
      </c>
      <c r="J8" s="407" t="s">
        <v>31</v>
      </c>
      <c r="M8" s="407" t="s">
        <v>31</v>
      </c>
      <c r="P8" s="407" t="s">
        <v>35</v>
      </c>
    </row>
    <row r="9" spans="1:19" x14ac:dyDescent="0.2">
      <c r="A9" s="411" t="s">
        <v>1441</v>
      </c>
      <c r="D9" s="109" t="s">
        <v>1441</v>
      </c>
      <c r="G9" s="109" t="s">
        <v>1440</v>
      </c>
      <c r="J9" s="109" t="s">
        <v>2785</v>
      </c>
      <c r="M9" s="109" t="s">
        <v>1440</v>
      </c>
      <c r="P9" s="109" t="s">
        <v>3361</v>
      </c>
      <c r="S9" s="10" t="s">
        <v>3687</v>
      </c>
    </row>
    <row r="10" spans="1:19" x14ac:dyDescent="0.2">
      <c r="A10" s="412" t="s">
        <v>1086</v>
      </c>
      <c r="D10" s="110" t="s">
        <v>73</v>
      </c>
      <c r="G10" s="110" t="s">
        <v>1086</v>
      </c>
      <c r="J10" s="110" t="s">
        <v>1086</v>
      </c>
      <c r="M10" s="110" t="s">
        <v>73</v>
      </c>
      <c r="P10" s="110" t="s">
        <v>1086</v>
      </c>
      <c r="S10" s="10" t="s">
        <v>3688</v>
      </c>
    </row>
    <row r="11" spans="1:19" ht="14.25" x14ac:dyDescent="0.2">
      <c r="A11" s="407" t="s">
        <v>35</v>
      </c>
      <c r="D11" s="407" t="s">
        <v>35</v>
      </c>
      <c r="G11" s="407" t="s">
        <v>35</v>
      </c>
      <c r="J11" s="407" t="s">
        <v>35</v>
      </c>
      <c r="M11" s="407" t="s">
        <v>35</v>
      </c>
      <c r="P11" s="18" t="s">
        <v>78</v>
      </c>
    </row>
    <row r="12" spans="1:19" x14ac:dyDescent="0.2">
      <c r="A12" s="411" t="s">
        <v>1440</v>
      </c>
      <c r="D12" s="109" t="s">
        <v>568</v>
      </c>
      <c r="G12" s="109" t="s">
        <v>1441</v>
      </c>
      <c r="J12" s="109" t="s">
        <v>2771</v>
      </c>
      <c r="M12" s="109" t="s">
        <v>3362</v>
      </c>
      <c r="P12" s="109" t="s">
        <v>568</v>
      </c>
      <c r="S12" s="10" t="s">
        <v>3689</v>
      </c>
    </row>
    <row r="13" spans="1:19" x14ac:dyDescent="0.2">
      <c r="A13" s="412" t="s">
        <v>73</v>
      </c>
      <c r="B13" s="324"/>
      <c r="D13" s="110" t="s">
        <v>1086</v>
      </c>
      <c r="E13" s="324"/>
      <c r="G13" s="110" t="s">
        <v>73</v>
      </c>
      <c r="H13" s="324"/>
      <c r="J13" s="110" t="s">
        <v>73</v>
      </c>
      <c r="K13" s="324"/>
      <c r="L13" s="324"/>
      <c r="M13" s="110" t="s">
        <v>73</v>
      </c>
      <c r="N13" s="324"/>
      <c r="P13" s="110" t="s">
        <v>73</v>
      </c>
      <c r="Q13" s="324"/>
      <c r="S13" s="10" t="s">
        <v>3690</v>
      </c>
    </row>
    <row r="14" spans="1:19" x14ac:dyDescent="0.2">
      <c r="A14" s="410" t="s">
        <v>1220</v>
      </c>
      <c r="B14" s="324"/>
      <c r="D14" s="18" t="s">
        <v>33</v>
      </c>
      <c r="E14" s="324"/>
      <c r="G14" s="18" t="s">
        <v>33</v>
      </c>
      <c r="H14" s="324"/>
      <c r="J14" s="18" t="s">
        <v>33</v>
      </c>
      <c r="K14" s="324"/>
      <c r="L14" s="324"/>
      <c r="M14" s="18" t="s">
        <v>33</v>
      </c>
      <c r="N14" s="324"/>
      <c r="P14" s="18" t="s">
        <v>1484</v>
      </c>
      <c r="Q14" s="324"/>
    </row>
    <row r="15" spans="1:19" x14ac:dyDescent="0.2">
      <c r="A15" s="411" t="s">
        <v>3362</v>
      </c>
      <c r="B15" s="324"/>
      <c r="D15" s="109" t="s">
        <v>283</v>
      </c>
      <c r="E15" s="324"/>
      <c r="G15" s="109" t="s">
        <v>568</v>
      </c>
      <c r="H15" s="324"/>
      <c r="J15" s="109" t="s">
        <v>1442</v>
      </c>
      <c r="K15" s="324"/>
      <c r="L15" s="324"/>
      <c r="M15" s="109" t="s">
        <v>3361</v>
      </c>
      <c r="N15" s="324"/>
      <c r="Q15" s="324"/>
      <c r="S15" s="10" t="s">
        <v>3691</v>
      </c>
    </row>
    <row r="16" spans="1:19" x14ac:dyDescent="0.2">
      <c r="A16" s="412" t="s">
        <v>1086</v>
      </c>
      <c r="B16" s="324" t="s">
        <v>3045</v>
      </c>
      <c r="D16" s="110" t="s">
        <v>73</v>
      </c>
      <c r="E16" s="324" t="s">
        <v>3045</v>
      </c>
      <c r="G16" s="110" t="s">
        <v>73</v>
      </c>
      <c r="H16" s="324" t="s">
        <v>3045</v>
      </c>
      <c r="J16" s="110" t="s">
        <v>73</v>
      </c>
      <c r="K16" s="324" t="s">
        <v>3045</v>
      </c>
      <c r="L16" s="324"/>
      <c r="M16" s="110" t="s">
        <v>73</v>
      </c>
      <c r="N16" s="324" t="s">
        <v>3045</v>
      </c>
      <c r="Q16" s="324" t="s">
        <v>3045</v>
      </c>
      <c r="S16" s="10" t="s">
        <v>3692</v>
      </c>
    </row>
    <row r="17" spans="1:19" x14ac:dyDescent="0.2">
      <c r="A17" s="410" t="s">
        <v>78</v>
      </c>
      <c r="B17" s="324" t="s">
        <v>3044</v>
      </c>
      <c r="D17" s="18" t="s">
        <v>1220</v>
      </c>
      <c r="E17" s="324" t="s">
        <v>3044</v>
      </c>
      <c r="G17" s="18" t="s">
        <v>1220</v>
      </c>
      <c r="H17" s="324" t="s">
        <v>3044</v>
      </c>
      <c r="J17" s="18" t="s">
        <v>1220</v>
      </c>
      <c r="K17" s="324" t="s">
        <v>3044</v>
      </c>
      <c r="L17" s="324"/>
      <c r="M17" s="18" t="s">
        <v>1220</v>
      </c>
      <c r="N17" s="324" t="s">
        <v>3044</v>
      </c>
      <c r="Q17" s="324" t="s">
        <v>3044</v>
      </c>
    </row>
    <row r="18" spans="1:19" x14ac:dyDescent="0.2">
      <c r="A18" s="411" t="s">
        <v>2772</v>
      </c>
      <c r="B18" s="324" t="s">
        <v>3043</v>
      </c>
      <c r="D18" s="109" t="s">
        <v>1440</v>
      </c>
      <c r="E18" s="324" t="s">
        <v>3043</v>
      </c>
      <c r="G18" s="109" t="s">
        <v>2835</v>
      </c>
      <c r="H18" s="324" t="s">
        <v>3043</v>
      </c>
      <c r="J18" s="109" t="s">
        <v>3362</v>
      </c>
      <c r="K18" s="324" t="s">
        <v>3043</v>
      </c>
      <c r="L18" s="324"/>
      <c r="M18" s="109" t="s">
        <v>1441</v>
      </c>
      <c r="N18" s="324" t="s">
        <v>3043</v>
      </c>
      <c r="Q18" s="324" t="s">
        <v>3043</v>
      </c>
      <c r="S18" s="10" t="s">
        <v>3693</v>
      </c>
    </row>
    <row r="19" spans="1:19" x14ac:dyDescent="0.2">
      <c r="A19" s="412" t="s">
        <v>73</v>
      </c>
      <c r="B19" s="324" t="s">
        <v>3048</v>
      </c>
      <c r="D19" s="110" t="s">
        <v>1086</v>
      </c>
      <c r="E19" s="324" t="s">
        <v>3048</v>
      </c>
      <c r="G19" s="110" t="s">
        <v>1086</v>
      </c>
      <c r="H19" s="324" t="s">
        <v>3048</v>
      </c>
      <c r="J19" s="110" t="s">
        <v>1086</v>
      </c>
      <c r="K19" s="324" t="s">
        <v>3048</v>
      </c>
      <c r="L19" s="324"/>
      <c r="M19" s="110" t="s">
        <v>73</v>
      </c>
      <c r="N19" s="324" t="s">
        <v>3048</v>
      </c>
      <c r="Q19" s="324" t="s">
        <v>3048</v>
      </c>
      <c r="S19" s="10" t="s">
        <v>743</v>
      </c>
    </row>
    <row r="20" spans="1:19" x14ac:dyDescent="0.2">
      <c r="A20" s="410" t="s">
        <v>1219</v>
      </c>
      <c r="B20" s="324" t="s">
        <v>3049</v>
      </c>
      <c r="D20" s="109" t="s">
        <v>2835</v>
      </c>
      <c r="E20" s="324" t="s">
        <v>3049</v>
      </c>
      <c r="G20" s="18" t="s">
        <v>78</v>
      </c>
      <c r="H20" s="324" t="s">
        <v>3049</v>
      </c>
      <c r="J20" s="18" t="s">
        <v>78</v>
      </c>
      <c r="K20" s="324" t="s">
        <v>3049</v>
      </c>
      <c r="L20" s="324"/>
      <c r="M20" s="18" t="s">
        <v>78</v>
      </c>
      <c r="N20" s="324" t="s">
        <v>3049</v>
      </c>
      <c r="Q20" s="324" t="s">
        <v>3049</v>
      </c>
    </row>
    <row r="21" spans="1:19" x14ac:dyDescent="0.2">
      <c r="A21" s="411" t="s">
        <v>43</v>
      </c>
      <c r="B21" s="324" t="s">
        <v>3051</v>
      </c>
      <c r="D21" s="110" t="s">
        <v>73</v>
      </c>
      <c r="E21" s="324" t="s">
        <v>3051</v>
      </c>
      <c r="G21" s="109" t="s">
        <v>2771</v>
      </c>
      <c r="H21" s="324" t="s">
        <v>3051</v>
      </c>
      <c r="J21" s="109" t="s">
        <v>3361</v>
      </c>
      <c r="K21" s="324" t="s">
        <v>3051</v>
      </c>
      <c r="L21" s="324"/>
      <c r="M21" s="109" t="s">
        <v>568</v>
      </c>
      <c r="N21" s="324" t="s">
        <v>3051</v>
      </c>
      <c r="Q21" s="324" t="s">
        <v>3051</v>
      </c>
    </row>
    <row r="22" spans="1:19" x14ac:dyDescent="0.2">
      <c r="A22" s="412" t="s">
        <v>1209</v>
      </c>
      <c r="B22" s="324" t="s">
        <v>3053</v>
      </c>
      <c r="D22" s="18" t="s">
        <v>78</v>
      </c>
      <c r="E22" s="324" t="s">
        <v>3053</v>
      </c>
      <c r="G22" s="110" t="s">
        <v>73</v>
      </c>
      <c r="H22" s="324" t="s">
        <v>3053</v>
      </c>
      <c r="J22" s="110" t="s">
        <v>1086</v>
      </c>
      <c r="K22" s="324" t="s">
        <v>3053</v>
      </c>
      <c r="L22" s="324"/>
      <c r="M22" s="110" t="s">
        <v>73</v>
      </c>
      <c r="N22" s="324" t="s">
        <v>3053</v>
      </c>
      <c r="Q22" s="324" t="s">
        <v>3053</v>
      </c>
    </row>
    <row r="23" spans="1:19" x14ac:dyDescent="0.2">
      <c r="A23" s="410" t="s">
        <v>1224</v>
      </c>
      <c r="B23" s="324" t="s">
        <v>3054</v>
      </c>
      <c r="D23" s="109" t="s">
        <v>2785</v>
      </c>
      <c r="E23" s="324" t="s">
        <v>3054</v>
      </c>
      <c r="G23" s="18" t="s">
        <v>1219</v>
      </c>
      <c r="H23" s="324" t="s">
        <v>3054</v>
      </c>
      <c r="J23" s="18" t="s">
        <v>1219</v>
      </c>
      <c r="K23" s="324" t="s">
        <v>3054</v>
      </c>
      <c r="L23" s="324"/>
      <c r="M23" s="18" t="s">
        <v>1219</v>
      </c>
      <c r="N23" s="324" t="s">
        <v>3054</v>
      </c>
      <c r="Q23" s="324" t="s">
        <v>3054</v>
      </c>
    </row>
    <row r="24" spans="1:19" x14ac:dyDescent="0.2">
      <c r="A24" s="411" t="s">
        <v>1442</v>
      </c>
      <c r="B24" s="324" t="s">
        <v>3419</v>
      </c>
      <c r="D24" s="110" t="s">
        <v>73</v>
      </c>
      <c r="E24" s="324" t="s">
        <v>3419</v>
      </c>
      <c r="G24" s="109" t="s">
        <v>2785</v>
      </c>
      <c r="H24" s="324" t="s">
        <v>3419</v>
      </c>
      <c r="J24" s="109" t="s">
        <v>568</v>
      </c>
      <c r="K24" s="324" t="s">
        <v>3419</v>
      </c>
      <c r="M24" s="109" t="s">
        <v>1442</v>
      </c>
      <c r="N24" s="324" t="s">
        <v>3419</v>
      </c>
      <c r="Q24" s="324" t="s">
        <v>3419</v>
      </c>
    </row>
    <row r="25" spans="1:19" x14ac:dyDescent="0.2">
      <c r="A25" s="412" t="s">
        <v>749</v>
      </c>
      <c r="B25" s="324" t="s">
        <v>3408</v>
      </c>
      <c r="D25" s="18" t="s">
        <v>1219</v>
      </c>
      <c r="E25" s="324" t="s">
        <v>3408</v>
      </c>
      <c r="G25" s="110" t="s">
        <v>1086</v>
      </c>
      <c r="H25" s="324" t="s">
        <v>3408</v>
      </c>
      <c r="J25" s="110" t="s">
        <v>1086</v>
      </c>
      <c r="K25" s="324" t="s">
        <v>3408</v>
      </c>
      <c r="M25" s="110" t="s">
        <v>1086</v>
      </c>
      <c r="N25" s="324" t="s">
        <v>3408</v>
      </c>
      <c r="Q25" s="324" t="s">
        <v>3408</v>
      </c>
    </row>
    <row r="26" spans="1:19" x14ac:dyDescent="0.2">
      <c r="A26" s="410" t="s">
        <v>2948</v>
      </c>
      <c r="B26" s="324" t="s">
        <v>3683</v>
      </c>
      <c r="D26" s="109" t="s">
        <v>43</v>
      </c>
      <c r="E26" s="324" t="s">
        <v>3683</v>
      </c>
      <c r="G26" s="18" t="s">
        <v>2948</v>
      </c>
      <c r="H26" s="324" t="s">
        <v>3683</v>
      </c>
      <c r="J26" s="18" t="s">
        <v>2951</v>
      </c>
      <c r="K26" s="324" t="s">
        <v>3683</v>
      </c>
      <c r="M26" s="18" t="s">
        <v>1484</v>
      </c>
      <c r="N26" s="324" t="s">
        <v>3683</v>
      </c>
      <c r="Q26" s="324" t="s">
        <v>3683</v>
      </c>
    </row>
    <row r="27" spans="1:19" x14ac:dyDescent="0.2">
      <c r="A27" s="411" t="s">
        <v>2835</v>
      </c>
      <c r="D27" s="110" t="s">
        <v>73</v>
      </c>
      <c r="E27" s="324"/>
      <c r="G27" s="109" t="s">
        <v>283</v>
      </c>
      <c r="H27" s="324"/>
      <c r="J27" s="109" t="s">
        <v>1441</v>
      </c>
      <c r="K27" s="324"/>
      <c r="N27" s="324"/>
      <c r="Q27" s="324"/>
      <c r="S27" s="324" t="s">
        <v>3047</v>
      </c>
    </row>
    <row r="28" spans="1:19" x14ac:dyDescent="0.2">
      <c r="A28" s="412" t="s">
        <v>1086</v>
      </c>
      <c r="D28" s="18" t="s">
        <v>1224</v>
      </c>
      <c r="E28" s="324"/>
      <c r="G28" s="110" t="s">
        <v>73</v>
      </c>
      <c r="H28" s="324"/>
      <c r="J28" s="110" t="s">
        <v>73</v>
      </c>
      <c r="K28" s="324"/>
      <c r="N28" s="324"/>
      <c r="Q28" s="324"/>
      <c r="S28" s="324" t="s">
        <v>3046</v>
      </c>
    </row>
    <row r="29" spans="1:19" x14ac:dyDescent="0.2">
      <c r="A29" s="410" t="s">
        <v>2951</v>
      </c>
      <c r="D29" s="109" t="s">
        <v>1442</v>
      </c>
      <c r="E29" s="324"/>
      <c r="G29" s="18" t="s">
        <v>2951</v>
      </c>
      <c r="H29" s="324"/>
      <c r="J29" s="18" t="s">
        <v>1484</v>
      </c>
      <c r="K29" s="324"/>
      <c r="N29" s="324"/>
      <c r="Q29" s="324"/>
      <c r="S29" s="324" t="s">
        <v>3045</v>
      </c>
    </row>
    <row r="30" spans="1:19" x14ac:dyDescent="0.2">
      <c r="A30" s="411" t="s">
        <v>2785</v>
      </c>
      <c r="D30" s="110" t="s">
        <v>1086</v>
      </c>
      <c r="G30" s="109" t="s">
        <v>3362</v>
      </c>
      <c r="S30" s="324" t="s">
        <v>3044</v>
      </c>
    </row>
    <row r="31" spans="1:19" x14ac:dyDescent="0.2">
      <c r="A31" s="412" t="s">
        <v>73</v>
      </c>
      <c r="D31" s="18" t="s">
        <v>1484</v>
      </c>
      <c r="G31" s="110" t="s">
        <v>73</v>
      </c>
      <c r="S31" s="324" t="s">
        <v>3043</v>
      </c>
    </row>
    <row r="32" spans="1:19" x14ac:dyDescent="0.2">
      <c r="A32" s="410" t="s">
        <v>1484</v>
      </c>
      <c r="G32" s="18" t="s">
        <v>1484</v>
      </c>
      <c r="S32" s="324" t="s">
        <v>3048</v>
      </c>
    </row>
    <row r="33" spans="19:19" x14ac:dyDescent="0.2">
      <c r="S33" s="324" t="s">
        <v>3049</v>
      </c>
    </row>
    <row r="34" spans="19:19" x14ac:dyDescent="0.2">
      <c r="S34" s="324" t="s">
        <v>3050</v>
      </c>
    </row>
    <row r="35" spans="19:19" x14ac:dyDescent="0.2">
      <c r="S35" s="324" t="s">
        <v>3051</v>
      </c>
    </row>
    <row r="36" spans="19:19" x14ac:dyDescent="0.2">
      <c r="S36" s="324" t="s">
        <v>3052</v>
      </c>
    </row>
    <row r="37" spans="19:19" x14ac:dyDescent="0.2">
      <c r="S37" s="324" t="s">
        <v>3053</v>
      </c>
    </row>
    <row r="38" spans="19:19" x14ac:dyDescent="0.2">
      <c r="S38" s="324" t="s">
        <v>3054</v>
      </c>
    </row>
    <row r="39" spans="19:19" x14ac:dyDescent="0.2">
      <c r="S39" s="324" t="s">
        <v>3419</v>
      </c>
    </row>
    <row r="40" spans="19:19" x14ac:dyDescent="0.2">
      <c r="S40" s="324" t="s">
        <v>3408</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C22" sqref="C22"/>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45247</v>
      </c>
    </row>
    <row r="17" spans="1:2" x14ac:dyDescent="0.2">
      <c r="A17" s="55"/>
      <c r="B17" s="55">
        <v>45250</v>
      </c>
    </row>
    <row r="18" spans="1:2" x14ac:dyDescent="0.2">
      <c r="A18" s="55"/>
      <c r="B18" s="55">
        <v>45268</v>
      </c>
    </row>
    <row r="19" spans="1:2" x14ac:dyDescent="0.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51" t="str">
        <f ca="1">"AUDIENCIAS ASIGNADAS  AL DIA: " &amp; TEXT(TODAY(),"DD/MM/YYYY")</f>
        <v>AUDIENCIAS ASIGNADAS  AL DIA: 25/11/YYYY</v>
      </c>
      <c r="C1" s="451"/>
      <c r="D1" s="451"/>
      <c r="E1" s="451"/>
      <c r="F1" s="451"/>
      <c r="G1" s="451"/>
      <c r="H1" s="451"/>
      <c r="I1" s="451"/>
    </row>
    <row r="3" spans="2:9" ht="28.5" customHeight="1" x14ac:dyDescent="0.2">
      <c r="B3" s="452" t="s">
        <v>2041</v>
      </c>
      <c r="C3" s="453"/>
      <c r="E3" s="452" t="s">
        <v>2351</v>
      </c>
      <c r="F3" s="453"/>
      <c r="H3" s="452" t="s">
        <v>2378</v>
      </c>
      <c r="I3" s="453"/>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150</v>
      </c>
      <c r="D5" s="10"/>
      <c r="E5" s="11" t="s">
        <v>1221</v>
      </c>
      <c r="F5" s="11">
        <f>COUNTIF(EXPEDIENTES!$J:$J,$E5)</f>
        <v>29</v>
      </c>
      <c r="H5" s="11" t="s">
        <v>1687</v>
      </c>
      <c r="I5" s="11">
        <f>COUNTIF(EXPEDIENTES!$J:$J,$H5)</f>
        <v>4</v>
      </c>
    </row>
    <row r="6" spans="2:9" ht="24.95" customHeight="1" x14ac:dyDescent="0.2">
      <c r="B6" s="11" t="s">
        <v>31</v>
      </c>
      <c r="C6" s="11">
        <f>COUNTIF(EXPEDIENTES!$J:$J,$B6)</f>
        <v>163</v>
      </c>
      <c r="E6" s="11" t="s">
        <v>1222</v>
      </c>
      <c r="F6" s="11">
        <f>COUNTIF(EXPEDIENTES!$J:$J,$E6)</f>
        <v>27</v>
      </c>
      <c r="H6" s="198" t="s">
        <v>370</v>
      </c>
      <c r="I6" s="60">
        <f>SUM(I5)</f>
        <v>4</v>
      </c>
    </row>
    <row r="7" spans="2:9" ht="24.95" customHeight="1" x14ac:dyDescent="0.2">
      <c r="B7" s="11" t="s">
        <v>33</v>
      </c>
      <c r="C7" s="11">
        <f>COUNTIF(EXPEDIENTES!$J:$J,$B7)</f>
        <v>151</v>
      </c>
      <c r="E7" s="11" t="s">
        <v>1223</v>
      </c>
      <c r="F7" s="11">
        <f>COUNTIF(EXPEDIENTES!$J:$J,$E7)</f>
        <v>19</v>
      </c>
    </row>
    <row r="8" spans="2:9" ht="24.95" customHeight="1" x14ac:dyDescent="0.2">
      <c r="B8" s="11" t="s">
        <v>78</v>
      </c>
      <c r="C8" s="11">
        <f>COUNTIF(EXPEDIENTES!$J:$J,$B8)</f>
        <v>156</v>
      </c>
      <c r="E8" s="11" t="s">
        <v>1623</v>
      </c>
      <c r="F8" s="11">
        <f>COUNTIF(EXPEDIENTES!$J:$J,$E8)</f>
        <v>19</v>
      </c>
    </row>
    <row r="9" spans="2:9" ht="24.95" customHeight="1" x14ac:dyDescent="0.2">
      <c r="B9" s="11" t="s">
        <v>1219</v>
      </c>
      <c r="C9" s="11">
        <f>COUNTIF(EXPEDIENTES!$J:$J,$B9)</f>
        <v>77</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94</v>
      </c>
      <c r="E11" s="345" t="s">
        <v>2948</v>
      </c>
      <c r="F11" s="11">
        <f>COUNTIF(EXPEDIENTES!$J:$J,$E11)</f>
        <v>29</v>
      </c>
      <c r="H11" s="116"/>
      <c r="I11" s="116"/>
    </row>
    <row r="12" spans="2:9" s="341" customFormat="1" ht="24.95" customHeight="1" x14ac:dyDescent="0.2">
      <c r="B12" s="340" t="s">
        <v>370</v>
      </c>
      <c r="C12" s="60">
        <f>SUM(C5:C11)</f>
        <v>827</v>
      </c>
      <c r="E12" s="346" t="s">
        <v>2951</v>
      </c>
      <c r="F12" s="347">
        <f>COUNTIF(EXPEDIENTES!$J:$J,$E12)</f>
        <v>23</v>
      </c>
      <c r="H12" s="342"/>
      <c r="I12" s="342"/>
    </row>
    <row r="13" spans="2:9" s="341" customFormat="1" ht="24.95" customHeight="1" x14ac:dyDescent="0.2">
      <c r="E13" s="198" t="s">
        <v>370</v>
      </c>
      <c r="F13" s="60">
        <f>SUM(F5:F12)</f>
        <v>186</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5"/>
      <c r="F22" s="115"/>
      <c r="H22" s="116"/>
      <c r="I22" s="116"/>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6"/>
      <c r="C25" s="116"/>
      <c r="E25" s="115"/>
      <c r="F25" s="115"/>
      <c r="H25" s="116"/>
      <c r="I25" s="116"/>
    </row>
    <row r="26" spans="2:9" ht="24.95" customHeight="1" x14ac:dyDescent="0.2">
      <c r="B26" s="451" t="str">
        <f ca="1">"AUDIENCIAS QUE RESTAN RESOLVER -  AL DIA: " &amp; TEXT(TODAY(),"DD/MM/YYYY")</f>
        <v>AUDIENCIAS QUE RESTAN RESOLVER -  AL DIA: 25/11/YYYY</v>
      </c>
      <c r="C26" s="451"/>
      <c r="D26" s="451"/>
      <c r="E26" s="451"/>
      <c r="F26" s="451"/>
      <c r="G26" s="451"/>
      <c r="H26" s="451"/>
      <c r="I26" s="451"/>
    </row>
    <row r="27" spans="2:9" ht="24.95" customHeight="1" x14ac:dyDescent="0.2"/>
    <row r="28" spans="2:9" ht="24.95" customHeight="1" x14ac:dyDescent="0.2">
      <c r="B28" s="452" t="s">
        <v>2042</v>
      </c>
      <c r="C28" s="453"/>
      <c r="E28" s="452" t="s">
        <v>2352</v>
      </c>
      <c r="F28" s="453"/>
      <c r="H28" s="452" t="s">
        <v>2043</v>
      </c>
      <c r="I28" s="453"/>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10</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8</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10</v>
      </c>
      <c r="E32" s="11" t="s">
        <v>1223</v>
      </c>
      <c r="F32" s="11">
        <f ca="1">COUNTIFS(EXPEDIENTES!J:J,$E32,EXPEDIENTES!O:O,"NO")</f>
        <v>0</v>
      </c>
    </row>
    <row r="33" spans="2:6" ht="20.100000000000001" customHeight="1" x14ac:dyDescent="0.2">
      <c r="B33" s="11" t="s">
        <v>78</v>
      </c>
      <c r="C33" s="11">
        <f ca="1">COUNTIFS(EXPEDIENTES!J:J,$B33,EXPEDIENTES!O:O,"NO")</f>
        <v>11</v>
      </c>
      <c r="E33" s="11" t="s">
        <v>1623</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3</v>
      </c>
      <c r="E35" s="11" t="s">
        <v>1730</v>
      </c>
      <c r="F35" s="11">
        <f ca="1">COUNTIFS(EXPEDIENTES!J:J,$E35,EXPEDIENTES!O:O,"NO")</f>
        <v>1</v>
      </c>
    </row>
    <row r="36" spans="2:6" ht="20.100000000000001" customHeight="1" x14ac:dyDescent="0.2">
      <c r="B36" s="11" t="s">
        <v>1220</v>
      </c>
      <c r="C36" s="11">
        <f ca="1">COUNTIFS(EXPEDIENTES!J:J,$B36,EXPEDIENTES!O:O,"NO")</f>
        <v>10</v>
      </c>
      <c r="E36" s="345" t="s">
        <v>2948</v>
      </c>
      <c r="F36" s="11">
        <f ca="1">COUNTIFS(EXPEDIENTES!J:J,$E36,EXPEDIENTES!O:O,"NO")</f>
        <v>3</v>
      </c>
    </row>
    <row r="37" spans="2:6" ht="20.100000000000001" customHeight="1" x14ac:dyDescent="0.2">
      <c r="B37" s="198" t="s">
        <v>963</v>
      </c>
      <c r="C37" s="60">
        <f ca="1">SUM(C30:C36)</f>
        <v>62</v>
      </c>
      <c r="E37" s="346" t="s">
        <v>2951</v>
      </c>
      <c r="F37" s="11">
        <f ca="1">COUNTIFS(EXPEDIENTES!J:J,$E37,EXPEDIENTES!O:O,"NO")</f>
        <v>4</v>
      </c>
    </row>
    <row r="38" spans="2:6" s="341" customFormat="1" ht="20.100000000000001" customHeight="1" x14ac:dyDescent="0.2">
      <c r="E38" s="198" t="s">
        <v>370</v>
      </c>
      <c r="F38" s="60">
        <f ca="1">SUM(F30:F37)</f>
        <v>8</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451" t="str">
        <f ca="1">"AUDIENCIAS RESUELTAS AL DIA: " &amp; TEXT(TODAY(),"DD/MM/YYYY")</f>
        <v>AUDIENCIAS RESUELTAS AL DIA: 25/11/YYYY</v>
      </c>
      <c r="C53" s="451"/>
      <c r="D53" s="451"/>
      <c r="E53" s="451"/>
      <c r="F53" s="451"/>
      <c r="G53" s="451"/>
      <c r="H53" s="451"/>
      <c r="I53" s="451"/>
    </row>
    <row r="54" spans="2:9" ht="20.100000000000001" customHeight="1" x14ac:dyDescent="0.2"/>
    <row r="55" spans="2:9" ht="28.35" customHeight="1" x14ac:dyDescent="0.2">
      <c r="B55" s="452" t="s">
        <v>2044</v>
      </c>
      <c r="C55" s="453"/>
      <c r="E55" s="452" t="s">
        <v>2045</v>
      </c>
      <c r="F55" s="453"/>
      <c r="H55" s="452" t="s">
        <v>2046</v>
      </c>
      <c r="I55" s="453"/>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140</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154</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141</v>
      </c>
      <c r="E59" s="11" t="s">
        <v>1223</v>
      </c>
      <c r="F59" s="11">
        <f ca="1">COUNTIFS(EXPEDIENTES!J:J,$E59,EXPEDIENTES!O:O,"SI")</f>
        <v>19</v>
      </c>
    </row>
    <row r="60" spans="2:9" ht="24.95" customHeight="1" x14ac:dyDescent="0.2">
      <c r="B60" s="11" t="s">
        <v>78</v>
      </c>
      <c r="C60" s="11">
        <f ca="1">COUNTIFS(EXPEDIENTES!J:J,$B60,EXPEDIENTES!O:O,"SI")</f>
        <v>145</v>
      </c>
      <c r="E60" s="11" t="s">
        <v>1623</v>
      </c>
      <c r="F60" s="11">
        <f ca="1">COUNTIFS(EXPEDIENTES!J:J,$E60,EXPEDIENTES!O:O,"SI")</f>
        <v>19</v>
      </c>
    </row>
    <row r="61" spans="2:9" ht="24.95" customHeight="1" x14ac:dyDescent="0.2">
      <c r="B61" s="11" t="s">
        <v>1219</v>
      </c>
      <c r="C61" s="11">
        <f ca="1">COUNTIFS(EXPEDIENTES!J:J,$B61,EXPEDIENTES!O:O,"SI")</f>
        <v>67</v>
      </c>
      <c r="E61" s="11" t="s">
        <v>1491</v>
      </c>
      <c r="F61" s="11">
        <f ca="1">COUNTIFS(EXPEDIENTES!J:J,$E61,EXPEDIENTES!O:O,"SI")</f>
        <v>11</v>
      </c>
    </row>
    <row r="62" spans="2:9" ht="24.95" customHeight="1" x14ac:dyDescent="0.2">
      <c r="B62" s="11" t="s">
        <v>1224</v>
      </c>
      <c r="C62" s="11">
        <f ca="1">COUNTIFS(EXPEDIENTES!J:J,$B62,EXPEDIENTES!O:O,"SI")</f>
        <v>33</v>
      </c>
      <c r="E62" s="11" t="s">
        <v>1730</v>
      </c>
      <c r="F62" s="11">
        <f ca="1">COUNTIFS(EXPEDIENTES!J:J,$E62,EXPEDIENTES!O:O,"SI")</f>
        <v>28</v>
      </c>
      <c r="G62" s="115"/>
      <c r="H62" s="115"/>
    </row>
    <row r="63" spans="2:9" ht="24.95" customHeight="1" x14ac:dyDescent="0.2">
      <c r="B63" s="11" t="s">
        <v>1220</v>
      </c>
      <c r="C63" s="11">
        <f ca="1">COUNTIFS(EXPEDIENTES!J:J,$B63,EXPEDIENTES!O:O,"SI")</f>
        <v>84</v>
      </c>
      <c r="E63" s="345" t="s">
        <v>2948</v>
      </c>
      <c r="F63" s="11">
        <f ca="1">COUNTIFS(EXPEDIENTES!J:J,$E63,EXPEDIENTES!O:O,"SI")</f>
        <v>25</v>
      </c>
      <c r="G63" s="115"/>
      <c r="H63" s="115"/>
    </row>
    <row r="64" spans="2:9" ht="24.95" customHeight="1" x14ac:dyDescent="0.2">
      <c r="B64" s="198" t="s">
        <v>2032</v>
      </c>
      <c r="C64" s="29">
        <f ca="1">SUM(C57:C63)</f>
        <v>764</v>
      </c>
      <c r="E64" s="346" t="s">
        <v>2951</v>
      </c>
      <c r="F64" s="11">
        <f ca="1">COUNTIFS(EXPEDIENTES!J:J,$E64,EXPEDIENTES!O:O,"SI")</f>
        <v>19</v>
      </c>
      <c r="G64" s="115"/>
      <c r="H64" s="115"/>
    </row>
    <row r="65" spans="2:6" ht="24.95" customHeight="1" x14ac:dyDescent="0.2">
      <c r="E65" s="198" t="s">
        <v>370</v>
      </c>
      <c r="F65" s="60">
        <f ca="1">SUM(F57:F64)</f>
        <v>177</v>
      </c>
    </row>
    <row r="66" spans="2:6" ht="24.95" customHeight="1" x14ac:dyDescent="0.2"/>
    <row r="67" spans="2:6" ht="24.95" customHeight="1" x14ac:dyDescent="0.2"/>
    <row r="68" spans="2:6" ht="24.95" customHeight="1" x14ac:dyDescent="0.2">
      <c r="B68" s="454" t="s">
        <v>457</v>
      </c>
      <c r="C68" s="454"/>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3158</v>
      </c>
      <c r="D4" s="248">
        <v>45251</v>
      </c>
      <c r="E4" s="274" t="s">
        <v>2584</v>
      </c>
      <c r="F4" s="248">
        <v>45254</v>
      </c>
    </row>
    <row r="5" spans="1:6" ht="27.75" customHeight="1" x14ac:dyDescent="0.25">
      <c r="A5" s="250" t="s">
        <v>929</v>
      </c>
      <c r="B5" s="251" t="s">
        <v>1297</v>
      </c>
      <c r="C5" s="251" t="s">
        <v>930</v>
      </c>
      <c r="D5" s="63"/>
      <c r="E5" s="63"/>
    </row>
    <row r="6" spans="1:6" ht="31.5" customHeight="1" x14ac:dyDescent="0.2">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x14ac:dyDescent="0.2">
      <c r="A7" s="189">
        <f>COUNTIFS(EXPEDIENTES!R:R,"Juicio Abreviado",EXPEDIENTES!H:H,"&gt;=21/11/2023",EXPEDIENTES!H:H,"&lt;=24/11/2023")</f>
        <v>14</v>
      </c>
      <c r="B7" s="372">
        <f>A7/A11</f>
        <v>0.3888888888888889</v>
      </c>
      <c r="C7" s="253" t="s">
        <v>988</v>
      </c>
      <c r="D7" s="61"/>
    </row>
    <row r="8" spans="1:6" ht="30.75" customHeight="1" x14ac:dyDescent="0.2">
      <c r="A8" s="189">
        <v>4</v>
      </c>
      <c r="B8" s="372">
        <f>A8/A11</f>
        <v>0.1111111111111111</v>
      </c>
      <c r="C8" s="253" t="s">
        <v>912</v>
      </c>
      <c r="D8" s="61"/>
    </row>
    <row r="9" spans="1:6" ht="30.75" customHeight="1" x14ac:dyDescent="0.2">
      <c r="A9" s="189">
        <f>COUNTIFS(EXPEDIENTES!R:R,"Libertad",EXPEDIENTES!H:H,"&gt;=21/11/2023",EXPEDIENTES!H:H,"&lt;=24/11/2023")</f>
        <v>6</v>
      </c>
      <c r="B9" s="372">
        <f>A9/A11</f>
        <v>0.16666666666666666</v>
      </c>
      <c r="C9" s="253" t="s">
        <v>902</v>
      </c>
      <c r="D9" s="61"/>
    </row>
    <row r="10" spans="1:6" ht="32.25" customHeight="1" x14ac:dyDescent="0.2">
      <c r="A10" s="189">
        <v>1</v>
      </c>
      <c r="B10" s="372">
        <f>A10/A11</f>
        <v>2.7777777777777776E-2</v>
      </c>
      <c r="C10" s="253" t="s">
        <v>1012</v>
      </c>
      <c r="D10" s="61"/>
    </row>
    <row r="11" spans="1:6" ht="32.25" customHeight="1" x14ac:dyDescent="0.2">
      <c r="A11" s="254">
        <f>SUM(A6:A10)</f>
        <v>36</v>
      </c>
      <c r="B11" s="255">
        <v>1</v>
      </c>
      <c r="C11" s="256" t="s">
        <v>370</v>
      </c>
      <c r="D11" s="61"/>
    </row>
    <row r="12" spans="1:6" ht="51.75" customHeight="1" x14ac:dyDescent="0.2">
      <c r="D12" s="61"/>
    </row>
    <row r="13" spans="1:6" ht="26.25" customHeight="1" x14ac:dyDescent="0.2">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59"/>
      <c r="B1" s="459"/>
      <c r="C1" s="459"/>
      <c r="D1" s="459"/>
      <c r="E1" s="459"/>
      <c r="F1" s="459"/>
      <c r="G1" s="459"/>
      <c r="H1" s="459"/>
      <c r="I1" s="459"/>
      <c r="J1" s="459"/>
      <c r="K1" s="191"/>
      <c r="AQ1" s="459" t="s">
        <v>1997</v>
      </c>
      <c r="AR1" s="459"/>
      <c r="AS1" s="459"/>
      <c r="AT1" s="459"/>
      <c r="AU1" s="459"/>
      <c r="AV1" s="459"/>
      <c r="AW1" s="459"/>
      <c r="AX1" s="459"/>
      <c r="AY1" s="459"/>
      <c r="AZ1" s="459"/>
      <c r="BA1" s="459"/>
    </row>
    <row r="2" spans="1:55" ht="12.75" customHeight="1" x14ac:dyDescent="0.2"/>
    <row r="3" spans="1:55" ht="30.75" customHeight="1" x14ac:dyDescent="0.2">
      <c r="M3" s="191" t="s">
        <v>1320</v>
      </c>
      <c r="N3" s="191" t="s">
        <v>1321</v>
      </c>
      <c r="AK3" s="191" t="s">
        <v>382</v>
      </c>
      <c r="AL3" s="191" t="s">
        <v>31</v>
      </c>
      <c r="AQ3" s="460" t="s">
        <v>1993</v>
      </c>
      <c r="AR3" s="460"/>
      <c r="AS3" s="460"/>
      <c r="AT3" s="460"/>
      <c r="AU3" s="460"/>
      <c r="AV3" s="460"/>
      <c r="AW3" s="460"/>
      <c r="AX3" s="460"/>
      <c r="AY3" s="460"/>
      <c r="AZ3" s="460"/>
      <c r="BA3" s="460"/>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x14ac:dyDescent="0.2">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x14ac:dyDescent="0.2">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x14ac:dyDescent="0.2">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30</v>
      </c>
      <c r="AR9" s="204" t="s">
        <v>949</v>
      </c>
      <c r="AU9" s="194"/>
      <c r="AW9" s="193"/>
      <c r="AX9" s="193"/>
      <c r="BC9" s="61"/>
    </row>
    <row r="10" spans="1:55" ht="28.35" customHeight="1" x14ac:dyDescent="0.2">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x14ac:dyDescent="0.25">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51">
        <f ca="1">COUNTIFS(EXPEDIENTES!H:H,"&gt;=01/10/2023",EXPEDIENTES!H:H,"&lt;=31/10/2023",EXPEDIENTES!O:O,"=SI")</f>
        <v>157</v>
      </c>
      <c r="C14" s="352" t="s">
        <v>3184</v>
      </c>
      <c r="AQ14" s="203">
        <f ca="1">COUNTIFS(EXPEDIENTES!R:R,$AR14,EXPEDIENTES!O:O,"SI")</f>
        <v>5</v>
      </c>
      <c r="AR14" s="414" t="s">
        <v>1900</v>
      </c>
      <c r="AS14" s="201"/>
      <c r="AT14" s="201"/>
      <c r="AU14" s="201"/>
      <c r="AV14" s="201"/>
      <c r="AW14" s="201"/>
      <c r="AX14" s="201"/>
      <c r="AY14" s="201"/>
      <c r="AZ14" s="191"/>
      <c r="BC14" s="61"/>
    </row>
    <row r="15" spans="1:55" ht="28.35" customHeight="1" x14ac:dyDescent="0.25">
      <c r="B15" s="351">
        <f ca="1">COUNTIFS(EXPEDIENTES!H:H,"&gt;=01/11/2023",EXPEDIENTES!H:H,"&lt;=30/11/2023",EXPEDIENTES!O:O,"=SI")</f>
        <v>133</v>
      </c>
      <c r="C15" s="352" t="s">
        <v>3185</v>
      </c>
      <c r="AQ15" s="202">
        <f ca="1">SUM(AQ6:AQ11)</f>
        <v>936</v>
      </c>
      <c r="AR15" s="202" t="s">
        <v>370</v>
      </c>
      <c r="AS15" s="201"/>
      <c r="AT15" s="201"/>
      <c r="AU15" s="201"/>
      <c r="AV15" s="201"/>
      <c r="AW15" s="201"/>
      <c r="AX15" s="201"/>
      <c r="AY15" s="201"/>
      <c r="AZ15" s="191"/>
      <c r="BC15" s="61"/>
    </row>
    <row r="16" spans="1:55" ht="28.35" customHeight="1" thickBot="1" x14ac:dyDescent="0.25">
      <c r="B16" s="351">
        <f ca="1">COUNTIFS(EXPEDIENTES!H:H,"&gt;=01/12/2023",EXPEDIENTES!H:H,"&lt;=31/12/2023",EXPEDIENTES!O:O,"=SI")</f>
        <v>0</v>
      </c>
      <c r="C16" s="353" t="s">
        <v>3186</v>
      </c>
      <c r="AW16" s="193"/>
      <c r="AX16" s="193"/>
      <c r="AZ16" s="196"/>
      <c r="BC16" s="61"/>
    </row>
    <row r="17" spans="2:55" ht="28.35" customHeight="1" x14ac:dyDescent="0.2">
      <c r="B17" s="290">
        <f ca="1">SUM(B6:B16)</f>
        <v>945</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25/11/YYYY</v>
      </c>
      <c r="BC20" s="61"/>
    </row>
    <row r="21" spans="2:55" ht="28.35" customHeight="1" x14ac:dyDescent="0.2"/>
    <row r="22" spans="2:55" ht="28.35" customHeight="1" x14ac:dyDescent="0.25">
      <c r="AQ22" s="458" t="s">
        <v>1997</v>
      </c>
      <c r="AR22" s="458"/>
      <c r="AS22" s="458"/>
      <c r="AT22" s="458"/>
      <c r="AU22" s="458"/>
      <c r="AV22" s="458"/>
      <c r="AW22" s="458"/>
      <c r="AX22" s="458"/>
      <c r="AY22" s="458"/>
      <c r="AZ22" s="458"/>
      <c r="BA22" s="231"/>
      <c r="BB22" s="231"/>
    </row>
    <row r="24" spans="2:55" ht="26.25" x14ac:dyDescent="0.2">
      <c r="AQ24" s="457" t="s">
        <v>2439</v>
      </c>
      <c r="AR24" s="457"/>
      <c r="AS24" s="457"/>
      <c r="AT24" s="457"/>
      <c r="AU24" s="457"/>
      <c r="AV24" s="457"/>
      <c r="AW24" s="457"/>
      <c r="AX24" s="457"/>
      <c r="AY24" s="457"/>
      <c r="AZ24" s="457"/>
      <c r="BA24" s="232"/>
      <c r="BB24" s="232"/>
    </row>
    <row r="25" spans="2:55" ht="26.25" x14ac:dyDescent="0.2">
      <c r="AQ25" s="457" t="s">
        <v>2930</v>
      </c>
      <c r="AR25" s="457"/>
      <c r="AS25" s="457"/>
      <c r="AT25" s="457"/>
      <c r="AU25" s="457"/>
      <c r="AV25" s="457"/>
      <c r="AW25" s="457"/>
      <c r="AX25" s="457"/>
      <c r="AY25" s="457"/>
      <c r="AZ25" s="457"/>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55" t="s">
        <v>2929</v>
      </c>
      <c r="AR34" s="455"/>
    </row>
    <row r="35" spans="1:52" ht="30" customHeight="1" x14ac:dyDescent="0.2">
      <c r="M35" s="290" t="e">
        <f>SUM(M29:M34)</f>
        <v>#VALUE!</v>
      </c>
      <c r="N35" s="289" t="e">
        <f>SUM(N29:N34)</f>
        <v>#VALUE!</v>
      </c>
      <c r="O35" s="288" t="s">
        <v>370</v>
      </c>
      <c r="AK35" s="290" t="e">
        <f>SUM(AK29:AK34)</f>
        <v>#VALUE!</v>
      </c>
      <c r="AL35" s="289" t="e">
        <f>SUM(AL29:AL34)</f>
        <v>#VALUE!</v>
      </c>
      <c r="AM35" s="288" t="s">
        <v>370</v>
      </c>
      <c r="AQ35" s="455"/>
      <c r="AR35" s="455"/>
    </row>
    <row r="36" spans="1:52" ht="30" customHeight="1" x14ac:dyDescent="0.2">
      <c r="AQ36" s="456">
        <f ca="1">(AQ32*100)/[2]EXPEDIENTES!C1</f>
        <v>69.692058346839545</v>
      </c>
      <c r="AR36" s="456"/>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25/11/YYYY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58" t="s">
        <v>1997</v>
      </c>
      <c r="AR42" s="458"/>
      <c r="AS42" s="458"/>
      <c r="AT42" s="458"/>
      <c r="AU42" s="458"/>
      <c r="AV42" s="458"/>
      <c r="AW42" s="458"/>
      <c r="AX42" s="458"/>
      <c r="AY42" s="458"/>
      <c r="AZ42" s="458"/>
    </row>
    <row r="43" spans="1:52" ht="30" customHeight="1" x14ac:dyDescent="0.25">
      <c r="A43" s="301"/>
      <c r="B43" s="301"/>
      <c r="C43" s="301"/>
      <c r="AK43" s="293" t="e">
        <f>COUNTIFS([2]EXPEDIENTES!Q:Q,"Libertad",[2]EXPEDIENTES!J:J,"=Dr. Rodriguez Pipino")</f>
        <v>#VALUE!</v>
      </c>
      <c r="AL43" s="292" t="e">
        <f>AK43/AK51</f>
        <v>#VALUE!</v>
      </c>
      <c r="AM43" s="294" t="s">
        <v>902</v>
      </c>
      <c r="AQ43" s="457" t="s">
        <v>2439</v>
      </c>
      <c r="AR43" s="457"/>
      <c r="AS43" s="457"/>
      <c r="AT43" s="457"/>
      <c r="AU43" s="457"/>
      <c r="AV43" s="457"/>
      <c r="AW43" s="457"/>
      <c r="AX43" s="457"/>
      <c r="AY43" s="457"/>
      <c r="AZ43" s="457"/>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149</v>
      </c>
      <c r="AR47" s="311" t="s">
        <v>905</v>
      </c>
    </row>
    <row r="48" spans="1:52" ht="26.25" customHeight="1" x14ac:dyDescent="0.2">
      <c r="A48" s="293" t="e">
        <f>COUNTIF([2]EXPEDIENTES!J:J,"Dr. Rodriguez Pipino")</f>
        <v>#VALUE!</v>
      </c>
      <c r="B48" s="292" t="e">
        <f>A48/A53</f>
        <v>#VALUE!</v>
      </c>
      <c r="C48" s="297" t="s">
        <v>33</v>
      </c>
      <c r="AQ48" s="282">
        <f ca="1">COUNTIFS(EXPEDIENTES!Q:Q,$AR48,EXPEDIENTES!O:O,"SI")</f>
        <v>270</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10</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945</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25/11/YYYY</v>
      </c>
    </row>
    <row r="62" spans="1:52" ht="24.95" customHeight="1" x14ac:dyDescent="0.2"/>
    <row r="63" spans="1:52" ht="24.95" customHeight="1" x14ac:dyDescent="0.25">
      <c r="AQ63" s="458" t="s">
        <v>1997</v>
      </c>
      <c r="AR63" s="458"/>
      <c r="AS63" s="458"/>
      <c r="AT63" s="458"/>
      <c r="AU63" s="458"/>
      <c r="AV63" s="458"/>
      <c r="AW63" s="458"/>
      <c r="AX63" s="458"/>
      <c r="AY63" s="458"/>
      <c r="AZ63" s="458"/>
    </row>
    <row r="64" spans="1:52" ht="24.95" customHeight="1" x14ac:dyDescent="0.2">
      <c r="AQ64" s="457" t="s">
        <v>2928</v>
      </c>
      <c r="AR64" s="457"/>
      <c r="AS64" s="457"/>
      <c r="AT64" s="457"/>
      <c r="AU64" s="457"/>
      <c r="AV64" s="457"/>
      <c r="AW64" s="457"/>
      <c r="AX64" s="457"/>
      <c r="AY64" s="457"/>
      <c r="AZ64" s="457"/>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430</v>
      </c>
      <c r="AR69" s="307" t="s">
        <v>100</v>
      </c>
    </row>
    <row r="70" spans="1:44" ht="28.35" customHeight="1" x14ac:dyDescent="0.2">
      <c r="AQ70" s="308">
        <f ca="1">COUNTIFS(EXPEDIENTES!R:R,$AR70,EXPEDIENTES!O:O,"SI")</f>
        <v>117</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322</v>
      </c>
      <c r="AR72" s="307" t="s">
        <v>151</v>
      </c>
    </row>
    <row r="73" spans="1:44" ht="28.35" customHeight="1" x14ac:dyDescent="0.2">
      <c r="AQ73" s="308">
        <f ca="1">COUNTIFS(EXPEDIENTES!R:R,$AR73,EXPEDIENTES!O:O,"SI")</f>
        <v>30</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945</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45255</v>
      </c>
    </row>
    <row r="2" spans="1:16384" ht="21.95" customHeight="1" x14ac:dyDescent="0.2">
      <c r="B2" s="461" t="s">
        <v>393</v>
      </c>
      <c r="C2" s="461"/>
    </row>
    <row r="3" spans="1:16384" ht="21.95" customHeight="1" x14ac:dyDescent="0.2">
      <c r="B3" s="13" t="s">
        <v>3</v>
      </c>
      <c r="C3" s="13" t="s">
        <v>362</v>
      </c>
    </row>
    <row r="4" spans="1:16384" ht="21.95" customHeight="1" x14ac:dyDescent="0.2">
      <c r="B4" s="11" t="s">
        <v>43</v>
      </c>
      <c r="C4" s="11">
        <f ca="1">COUNTIFS(EXPEDIENTES!G:G,B4,EXPEDIENTES!O:O,"NO")</f>
        <v>4</v>
      </c>
    </row>
    <row r="5" spans="1:16384" ht="21.95" customHeight="1" x14ac:dyDescent="0.2">
      <c r="B5" s="11" t="s">
        <v>29</v>
      </c>
      <c r="C5" s="11">
        <f ca="1">COUNTIFS(EXPEDIENTES!G:G,B5,EXPEDIENTES!O:O,"NO")</f>
        <v>1</v>
      </c>
    </row>
    <row r="6" spans="1:16384" ht="21.95" customHeight="1" x14ac:dyDescent="0.2">
      <c r="B6" s="11" t="s">
        <v>283</v>
      </c>
      <c r="C6" s="11">
        <f ca="1">COUNTIFS(EXPEDIENTES!G:G,B6,EXPEDIENTES!O:O,"NO")</f>
        <v>6</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5</v>
      </c>
    </row>
    <row r="9" spans="1:16384" ht="21.95" customHeight="1" x14ac:dyDescent="0.2">
      <c r="B9" s="11" t="s">
        <v>568</v>
      </c>
      <c r="C9" s="11">
        <f ca="1">COUNTIFS(EXPEDIENTES!G:G,B9,EXPEDIENTES!O:O,"NO")</f>
        <v>7</v>
      </c>
    </row>
    <row r="10" spans="1:16384" ht="21.95" customHeight="1" x14ac:dyDescent="0.2">
      <c r="B10" s="11" t="s">
        <v>1441</v>
      </c>
      <c r="C10" s="11">
        <f ca="1">COUNTIFS(EXPEDIENTES!G:G,B10,EXPEDIENTES!O:O,"NO")</f>
        <v>8</v>
      </c>
    </row>
    <row r="11" spans="1:16384" s="115" customFormat="1" ht="21.95" customHeight="1" x14ac:dyDescent="0.2">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2770</v>
      </c>
      <c r="C12" s="11">
        <f ca="1">COUNTIFS(EXPEDIENTES!G:G,B12,EXPEDIENTES!O:O,"NO")</f>
        <v>0</v>
      </c>
    </row>
    <row r="13" spans="1:16384" ht="21.95" customHeight="1" x14ac:dyDescent="0.2">
      <c r="B13" s="279" t="s">
        <v>2771</v>
      </c>
      <c r="C13" s="11">
        <f ca="1">COUNTIFS(EXPEDIENTES!G:G,B13,EXPEDIENTES!O:O,"NO")</f>
        <v>5</v>
      </c>
    </row>
    <row r="14" spans="1:16384" ht="21.95" customHeight="1" x14ac:dyDescent="0.2">
      <c r="B14" s="279" t="s">
        <v>2772</v>
      </c>
      <c r="C14" s="11">
        <f ca="1">COUNTIFS(EXPEDIENTES!G:G,B14,EXPEDIENTES!O:O,"NO")</f>
        <v>2</v>
      </c>
    </row>
    <row r="15" spans="1:16384" ht="27" customHeight="1" x14ac:dyDescent="0.2">
      <c r="B15" s="279" t="s">
        <v>2785</v>
      </c>
      <c r="C15" s="11">
        <f ca="1">COUNTIFS(EXPEDIENTES!G:G,B15,EXPEDIENTES!O:O,"NO")</f>
        <v>5</v>
      </c>
    </row>
    <row r="16" spans="1:16384" ht="21.95" customHeight="1" x14ac:dyDescent="0.2">
      <c r="B16" s="279" t="s">
        <v>2835</v>
      </c>
      <c r="C16" s="11">
        <f ca="1">COUNTIFS(EXPEDIENTES!G:G,B16,EXPEDIENTES!O:O,"NO")</f>
        <v>5</v>
      </c>
    </row>
    <row r="17" spans="2:12" ht="21.95" customHeight="1" x14ac:dyDescent="0.25">
      <c r="B17" s="279" t="s">
        <v>3361</v>
      </c>
      <c r="C17" s="11">
        <f ca="1">COUNTIFS(EXPEDIENTES!G:G,B17,EXPEDIENTES!O:O,"NO")</f>
        <v>5</v>
      </c>
    </row>
    <row r="18" spans="2:12" ht="21.95" customHeight="1" x14ac:dyDescent="0.25">
      <c r="B18" s="279" t="s">
        <v>3362</v>
      </c>
      <c r="C18" s="11">
        <f ca="1">COUNTIFS(EXPEDIENTES!G:G,B18,EXPEDIENTES!O:O,"NO")</f>
        <v>7</v>
      </c>
    </row>
    <row r="19" spans="2:12" ht="21.95" customHeight="1" x14ac:dyDescent="0.25">
      <c r="B19" s="279" t="s">
        <v>3679</v>
      </c>
      <c r="C19" s="11">
        <f ca="1">COUNTIFS(EXPEDIENTES!G:G,B19,EXPEDIENTES!O:O,"NO")</f>
        <v>2</v>
      </c>
    </row>
    <row r="20" spans="2:12" ht="21.95" customHeight="1" x14ac:dyDescent="0.25">
      <c r="B20" s="11" t="s">
        <v>2287</v>
      </c>
      <c r="C20" s="11">
        <f ca="1">H36+'Exp por Encargado - Alvaro'!C5</f>
        <v>0</v>
      </c>
    </row>
    <row r="21" spans="2:12" ht="21.95" customHeight="1" x14ac:dyDescent="0.25">
      <c r="B21" s="25" t="s">
        <v>372</v>
      </c>
      <c r="C21" s="224">
        <f ca="1">SUM(C4:C20)</f>
        <v>68</v>
      </c>
      <c r="F21" s="226"/>
      <c r="G21" s="226"/>
      <c r="H21" s="226"/>
      <c r="I21" s="226"/>
      <c r="J21" s="226"/>
      <c r="K21" s="226"/>
      <c r="L21" s="226"/>
    </row>
    <row r="22" spans="2:12" ht="21.95" customHeight="1" x14ac:dyDescent="0.25">
      <c r="B22" s="11" t="s">
        <v>628</v>
      </c>
      <c r="C22" s="11">
        <f>'no realizadas'!N10</f>
        <v>0</v>
      </c>
      <c r="F22" s="226"/>
      <c r="G22" s="226"/>
      <c r="H22" s="226"/>
      <c r="I22" s="226"/>
      <c r="J22" s="226"/>
      <c r="K22" s="226"/>
      <c r="L22" s="226"/>
    </row>
    <row r="23" spans="2:12" ht="21.95" customHeight="1" x14ac:dyDescent="0.25">
      <c r="F23" s="226"/>
      <c r="G23" s="276"/>
      <c r="H23" s="226"/>
      <c r="I23" s="226"/>
      <c r="J23" s="226"/>
      <c r="K23" s="226"/>
      <c r="L23" s="226"/>
    </row>
    <row r="24" spans="2:12" ht="21.95" customHeight="1" x14ac:dyDescent="0.25">
      <c r="F24" s="226"/>
      <c r="G24" s="276"/>
      <c r="H24" s="226"/>
      <c r="I24" s="226"/>
      <c r="J24" s="226"/>
      <c r="K24" s="226"/>
      <c r="L24" s="226"/>
    </row>
    <row r="25" spans="2:12" ht="21.95" customHeight="1" x14ac:dyDescent="0.25">
      <c r="F25" s="226"/>
      <c r="G25" s="1"/>
      <c r="H25" s="223">
        <f>COUNTIF(EXPEDIENTES!G:G,G25)</f>
        <v>0</v>
      </c>
      <c r="I25" s="226"/>
      <c r="J25" s="226"/>
      <c r="K25" s="226"/>
      <c r="L25" s="226"/>
    </row>
    <row r="26" spans="2:12" ht="21.95" customHeight="1" x14ac:dyDescent="0.25">
      <c r="F26" s="226"/>
      <c r="G26" s="1"/>
      <c r="H26" s="223">
        <f>COUNTIF(EXPEDIENTES!G:G,G26)</f>
        <v>0</v>
      </c>
      <c r="I26" s="226"/>
      <c r="J26" s="226"/>
      <c r="K26" s="226"/>
      <c r="L26" s="226"/>
    </row>
    <row r="27" spans="2:12" ht="21.95" customHeight="1" x14ac:dyDescent="0.25">
      <c r="F27" s="226"/>
      <c r="G27" s="276"/>
      <c r="H27" s="223">
        <f>COUNTIF(EXPEDIENTES!G:G,G27)</f>
        <v>0</v>
      </c>
      <c r="I27" s="226"/>
      <c r="J27" s="226"/>
      <c r="K27" s="226"/>
      <c r="L27" s="226"/>
    </row>
    <row r="28" spans="2:12" ht="21.95" customHeight="1" x14ac:dyDescent="0.25">
      <c r="B28" s="461" t="s">
        <v>448</v>
      </c>
      <c r="C28" s="461"/>
      <c r="F28" s="226"/>
      <c r="G28" s="24" t="s">
        <v>2286</v>
      </c>
      <c r="H28" s="223">
        <f>COUNTIF(EXPEDIENTES!G:G,G28)</f>
        <v>0</v>
      </c>
      <c r="I28" s="226"/>
      <c r="J28" s="226"/>
      <c r="K28" s="226"/>
      <c r="L28" s="226"/>
    </row>
    <row r="29" spans="2:12" ht="24.95" customHeight="1" x14ac:dyDescent="0.25">
      <c r="B29" s="13" t="s">
        <v>3</v>
      </c>
      <c r="C29" s="13" t="s">
        <v>362</v>
      </c>
      <c r="F29" s="226"/>
      <c r="G29" s="226"/>
      <c r="H29" s="223">
        <f>SUM(H25:H28)</f>
        <v>0</v>
      </c>
      <c r="I29" s="226"/>
      <c r="J29" s="226"/>
      <c r="K29" s="226"/>
      <c r="L29" s="226"/>
    </row>
    <row r="30" spans="2:12" ht="24.95" customHeight="1" x14ac:dyDescent="0.25">
      <c r="B30" s="11" t="s">
        <v>43</v>
      </c>
      <c r="C30" s="11">
        <f>COUNTIF(EXPEDIENTES!G:G,B30)</f>
        <v>109</v>
      </c>
      <c r="F30" s="226"/>
      <c r="G30" s="226"/>
      <c r="H30" s="226"/>
      <c r="I30" s="226"/>
      <c r="J30" s="226"/>
      <c r="K30" s="226"/>
      <c r="L30" s="226"/>
    </row>
    <row r="31" spans="2:12" ht="24.95" customHeight="1" x14ac:dyDescent="0.25">
      <c r="B31" s="11" t="s">
        <v>29</v>
      </c>
      <c r="C31" s="11">
        <f>COUNTIF(EXPEDIENTES!G:G,B31)</f>
        <v>91</v>
      </c>
      <c r="F31" s="226"/>
      <c r="G31" s="226" t="s">
        <v>2289</v>
      </c>
      <c r="H31" s="226"/>
      <c r="I31" s="226"/>
      <c r="J31" s="226"/>
      <c r="K31" s="226"/>
      <c r="L31" s="226"/>
    </row>
    <row r="32" spans="2:12" ht="21.95" customHeight="1" x14ac:dyDescent="0.25">
      <c r="B32" s="11" t="s">
        <v>283</v>
      </c>
      <c r="C32" s="11">
        <f>COUNTIF(EXPEDIENTES!G:G,B32)</f>
        <v>121</v>
      </c>
      <c r="D32" s="10"/>
      <c r="F32" s="226"/>
      <c r="G32" s="24" t="s">
        <v>1659</v>
      </c>
      <c r="H32" s="223">
        <f ca="1">COUNTIFS(EXPEDIENTES!G:G,G32,EXPEDIENTES!O:O,"NO")</f>
        <v>0</v>
      </c>
      <c r="I32" s="226"/>
      <c r="J32" s="226"/>
      <c r="K32" s="226"/>
      <c r="L32" s="226"/>
    </row>
    <row r="33" spans="2:12" ht="21.95" customHeight="1" x14ac:dyDescent="0.25">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5">
      <c r="B34" s="11" t="s">
        <v>1440</v>
      </c>
      <c r="C34" s="11">
        <f>COUNTIF(EXPEDIENTES!G:G,B34)</f>
        <v>133</v>
      </c>
      <c r="D34" s="10"/>
      <c r="F34" s="226"/>
      <c r="G34" s="24" t="s">
        <v>1740</v>
      </c>
      <c r="H34" s="223">
        <f ca="1">COUNTIFS(EXPEDIENTES!G:G,G34,EXPEDIENTES!O:O,"NO")</f>
        <v>0</v>
      </c>
      <c r="I34" s="226"/>
      <c r="J34" s="226"/>
      <c r="K34" s="226"/>
      <c r="L34" s="226"/>
    </row>
    <row r="35" spans="2:12" ht="21.95" customHeight="1" x14ac:dyDescent="0.25">
      <c r="B35" s="11" t="s">
        <v>568</v>
      </c>
      <c r="C35" s="11">
        <f>COUNTIF(EXPEDIENTES!G:G,B35)</f>
        <v>88</v>
      </c>
      <c r="D35" s="10"/>
      <c r="F35" s="226"/>
      <c r="G35" s="24" t="s">
        <v>2286</v>
      </c>
      <c r="H35" s="223">
        <f>COUNTIFS(EXPEDIENTES!G:G,G35,EXPEDIENTES!O:O,"NO")</f>
        <v>0</v>
      </c>
      <c r="I35" s="226"/>
      <c r="J35" s="226"/>
      <c r="K35" s="226"/>
      <c r="L35" s="226"/>
    </row>
    <row r="36" spans="2:12" ht="21.95" customHeight="1" x14ac:dyDescent="0.25">
      <c r="B36" s="11" t="s">
        <v>1441</v>
      </c>
      <c r="C36" s="11">
        <f>COUNTIF(EXPEDIENTES!G:G,B36)</f>
        <v>81</v>
      </c>
      <c r="F36" s="226"/>
      <c r="G36" s="226"/>
      <c r="H36" s="223">
        <f ca="1">SUM(H32:H35)</f>
        <v>0</v>
      </c>
      <c r="I36" s="226"/>
      <c r="J36" s="226"/>
      <c r="K36" s="226"/>
      <c r="L36" s="226"/>
    </row>
    <row r="37" spans="2:12" ht="21.95" customHeight="1" x14ac:dyDescent="0.25">
      <c r="B37" s="11" t="s">
        <v>1442</v>
      </c>
      <c r="C37" s="11">
        <f>COUNTIF(EXPEDIENTES!G:G,B37)</f>
        <v>83</v>
      </c>
      <c r="F37" s="226"/>
      <c r="G37" s="226"/>
      <c r="H37" s="226"/>
      <c r="I37" s="226"/>
      <c r="J37" s="226"/>
      <c r="K37" s="226"/>
      <c r="L37" s="226"/>
    </row>
    <row r="38" spans="2:12" ht="21.95" customHeight="1" x14ac:dyDescent="0.25">
      <c r="B38" s="11" t="s">
        <v>2287</v>
      </c>
      <c r="C38" s="11">
        <f>H29+'Exp por Encargado - Alvaro'!C17</f>
        <v>34</v>
      </c>
      <c r="F38" s="226"/>
      <c r="G38" s="226" t="s">
        <v>2288</v>
      </c>
      <c r="H38" s="226"/>
      <c r="I38" s="226"/>
      <c r="J38" s="226"/>
      <c r="K38" s="226"/>
      <c r="L38" s="226"/>
    </row>
    <row r="39" spans="2:12" ht="21.95" customHeight="1" x14ac:dyDescent="0.25">
      <c r="B39" s="11" t="s">
        <v>450</v>
      </c>
      <c r="C39" s="11">
        <f>'no realizadas'!N10</f>
        <v>0</v>
      </c>
      <c r="F39" s="226"/>
      <c r="G39" s="24" t="s">
        <v>1659</v>
      </c>
      <c r="H39" s="223">
        <f ca="1">COUNTIFS(EXPEDIENTES!G:G,G39,EXPEDIENTES!O:O,"SI")</f>
        <v>5</v>
      </c>
      <c r="I39" s="226"/>
      <c r="J39" s="226"/>
      <c r="K39" s="226"/>
      <c r="L39" s="226"/>
    </row>
    <row r="40" spans="2:12" ht="21.95" customHeight="1" x14ac:dyDescent="0.25">
      <c r="B40" s="277" t="s">
        <v>370</v>
      </c>
      <c r="C40" s="28">
        <f>SUM(C30:C39)</f>
        <v>818</v>
      </c>
      <c r="F40" s="226"/>
      <c r="G40" s="24" t="s">
        <v>1661</v>
      </c>
      <c r="H40" s="223">
        <f ca="1">COUNTIFS(EXPEDIENTES!G:G,G40,EXPEDIENTES!O:O,"SI")</f>
        <v>6</v>
      </c>
      <c r="I40" s="226"/>
      <c r="J40" s="226"/>
      <c r="K40" s="226"/>
      <c r="L40" s="226"/>
    </row>
    <row r="41" spans="2:12" ht="21.95" customHeight="1" x14ac:dyDescent="0.25">
      <c r="F41" s="226"/>
      <c r="G41" s="24" t="s">
        <v>1740</v>
      </c>
      <c r="H41" s="223">
        <f ca="1">COUNTIFS(EXPEDIENTES!G:G,G41,EXPEDIENTES!O:O,"SI")</f>
        <v>3</v>
      </c>
      <c r="I41" s="226"/>
      <c r="J41" s="226"/>
      <c r="K41" s="226"/>
      <c r="L41" s="226"/>
    </row>
    <row r="42" spans="2:12" ht="18.75" customHeight="1" x14ac:dyDescent="0.25">
      <c r="B42" s="278" t="s">
        <v>449</v>
      </c>
      <c r="C42" s="278"/>
      <c r="F42" s="226"/>
      <c r="G42" s="24" t="s">
        <v>2286</v>
      </c>
      <c r="H42" s="223">
        <f>COUNTIFS(EXPEDIENTES!G:G,G42,EXPEDIENTES!O:O,"SI")</f>
        <v>0</v>
      </c>
      <c r="I42" s="226"/>
      <c r="J42" s="226"/>
      <c r="K42" s="226"/>
      <c r="L42" s="226"/>
    </row>
    <row r="43" spans="2:12" ht="24.75" customHeight="1" x14ac:dyDescent="0.25">
      <c r="B43" s="13" t="s">
        <v>3</v>
      </c>
      <c r="C43" s="13" t="s">
        <v>362</v>
      </c>
      <c r="F43" s="226"/>
      <c r="G43" s="226"/>
      <c r="H43" s="223">
        <f ca="1">SUM(H39:H42)</f>
        <v>14</v>
      </c>
      <c r="I43" s="226"/>
      <c r="J43" s="226"/>
      <c r="K43" s="226"/>
      <c r="L43" s="226"/>
    </row>
    <row r="44" spans="2:12" ht="18.75" customHeight="1" x14ac:dyDescent="0.25">
      <c r="B44" s="11" t="s">
        <v>43</v>
      </c>
      <c r="C44" s="11">
        <f ca="1">COUNTIFS(EXPEDIENTES!G:G,B44,EXPEDIENTES!O:O,"SI")</f>
        <v>105</v>
      </c>
      <c r="F44" s="226"/>
      <c r="G44" s="226"/>
      <c r="H44" s="226"/>
      <c r="I44" s="226"/>
      <c r="J44" s="226"/>
      <c r="K44" s="226"/>
      <c r="L44" s="226"/>
    </row>
    <row r="45" spans="2:12" ht="28.5" customHeight="1" x14ac:dyDescent="0.25">
      <c r="B45" s="11" t="s">
        <v>29</v>
      </c>
      <c r="C45" s="11">
        <f ca="1">COUNTIFS(EXPEDIENTES!G:G,B45,EXPEDIENTES!O:O,"SI")</f>
        <v>90</v>
      </c>
      <c r="F45" s="226"/>
      <c r="G45" s="226"/>
      <c r="H45" s="226"/>
      <c r="I45" s="226"/>
      <c r="J45" s="226"/>
      <c r="K45" s="226"/>
      <c r="L45" s="226"/>
    </row>
    <row r="46" spans="2:12" ht="28.5" customHeight="1" x14ac:dyDescent="0.25">
      <c r="B46" s="11" t="s">
        <v>283</v>
      </c>
      <c r="C46" s="11">
        <f ca="1">COUNTIFS(EXPEDIENTES!G:G,B46,EXPEDIENTES!O:O,"SI")</f>
        <v>115</v>
      </c>
      <c r="F46" s="226"/>
      <c r="G46" s="226"/>
      <c r="H46" s="226"/>
      <c r="I46" s="226"/>
      <c r="J46" s="226"/>
      <c r="K46" s="226"/>
      <c r="L46" s="226"/>
    </row>
    <row r="47" spans="2:12" ht="34.5" customHeight="1" x14ac:dyDescent="0.25">
      <c r="B47" s="11" t="s">
        <v>32</v>
      </c>
      <c r="C47" s="11">
        <f ca="1">COUNTIFS(EXPEDIENTES!G:G,B47,EXPEDIENTES!O:O,"SI")</f>
        <v>78</v>
      </c>
      <c r="F47" s="226"/>
      <c r="G47" s="226"/>
      <c r="H47" s="226"/>
      <c r="I47" s="226"/>
      <c r="J47" s="226"/>
      <c r="K47" s="226"/>
      <c r="L47" s="226"/>
    </row>
    <row r="48" spans="2:12" x14ac:dyDescent="0.25">
      <c r="B48" s="11" t="s">
        <v>1440</v>
      </c>
      <c r="C48" s="11">
        <f ca="1">COUNTIFS(EXPEDIENTES!G:G,B48,EXPEDIENTES!O:O,"SI")</f>
        <v>127</v>
      </c>
      <c r="F48" s="226"/>
      <c r="G48" s="226"/>
      <c r="H48" s="226"/>
      <c r="I48" s="226"/>
      <c r="J48" s="226"/>
      <c r="K48" s="226"/>
      <c r="L48" s="226"/>
    </row>
    <row r="49" spans="2:12" x14ac:dyDescent="0.25">
      <c r="B49" s="11" t="s">
        <v>568</v>
      </c>
      <c r="C49" s="11">
        <f ca="1">COUNTIFS(EXPEDIENTES!G:G,B49,EXPEDIENTES!O:O,"SI")</f>
        <v>81</v>
      </c>
      <c r="F49" s="226"/>
      <c r="G49" s="226"/>
      <c r="H49" s="226"/>
      <c r="I49" s="226"/>
      <c r="J49" s="226"/>
      <c r="K49" s="226"/>
      <c r="L49" s="226"/>
    </row>
    <row r="50" spans="2:12" x14ac:dyDescent="0.25">
      <c r="B50" s="11" t="s">
        <v>1441</v>
      </c>
      <c r="C50" s="11">
        <f ca="1">COUNTIFS(EXPEDIENTES!G:G,B50,EXPEDIENTES!O:O,"SI")</f>
        <v>73</v>
      </c>
      <c r="F50" s="226"/>
      <c r="G50" s="226"/>
      <c r="H50" s="226"/>
      <c r="I50" s="226"/>
      <c r="J50" s="226"/>
      <c r="K50" s="226"/>
      <c r="L50" s="226"/>
    </row>
    <row r="51" spans="2:12" x14ac:dyDescent="0.25">
      <c r="B51" s="11" t="s">
        <v>1442</v>
      </c>
      <c r="C51" s="11">
        <f ca="1">COUNTIFS(EXPEDIENTES!G:G,B51,EXPEDIENTES!O:O,"SI")</f>
        <v>76</v>
      </c>
      <c r="F51" s="226"/>
      <c r="G51" s="226"/>
      <c r="H51" s="226"/>
      <c r="I51" s="226"/>
      <c r="J51" s="226"/>
      <c r="K51" s="226"/>
      <c r="L51" s="226"/>
    </row>
    <row r="52" spans="2:12" x14ac:dyDescent="0.25">
      <c r="B52" s="79" t="s">
        <v>2287</v>
      </c>
      <c r="C52" s="11">
        <f ca="1">H43+'Exp por Encargado - Alvaro'!C29</f>
        <v>48</v>
      </c>
      <c r="F52" s="226"/>
      <c r="G52" s="226"/>
      <c r="H52" s="226"/>
      <c r="I52" s="226"/>
      <c r="J52" s="226"/>
      <c r="K52" s="226"/>
      <c r="L52" s="226"/>
    </row>
    <row r="53" spans="2:12" ht="15.75" x14ac:dyDescent="0.25">
      <c r="B53" s="277" t="s">
        <v>371</v>
      </c>
      <c r="C53" s="28">
        <f ca="1">SUM(C44:C52)</f>
        <v>793</v>
      </c>
      <c r="F53" s="226"/>
      <c r="G53" s="226"/>
      <c r="H53" s="226"/>
      <c r="I53" s="226"/>
      <c r="J53" s="226"/>
      <c r="K53" s="226"/>
      <c r="L53" s="226"/>
    </row>
    <row r="54" spans="2:12" x14ac:dyDescent="0.25">
      <c r="F54" s="226"/>
      <c r="G54" s="226"/>
      <c r="H54" s="226"/>
      <c r="I54" s="226"/>
      <c r="J54" s="226"/>
      <c r="K54" s="226"/>
      <c r="L54" s="226"/>
    </row>
    <row r="55" spans="2:12" x14ac:dyDescent="0.25">
      <c r="F55" s="226"/>
      <c r="G55" s="226"/>
      <c r="H55" s="226"/>
      <c r="I55" s="226"/>
      <c r="J55" s="226"/>
      <c r="K55" s="226"/>
      <c r="L55" s="226"/>
    </row>
    <row r="56" spans="2:12" x14ac:dyDescent="0.25">
      <c r="F56" s="226"/>
      <c r="G56" s="226"/>
      <c r="H56" s="226"/>
      <c r="I56" s="226"/>
      <c r="J56" s="226"/>
      <c r="K56" s="226"/>
      <c r="L56" s="226"/>
    </row>
    <row r="57" spans="2:12" x14ac:dyDescent="0.25">
      <c r="F57" s="226"/>
      <c r="G57" s="226"/>
      <c r="H57" s="226"/>
      <c r="I57" s="226"/>
      <c r="J57" s="226"/>
      <c r="K57" s="226"/>
      <c r="L57" s="226"/>
    </row>
    <row r="58" spans="2:12" x14ac:dyDescent="0.25">
      <c r="F58" s="226"/>
      <c r="G58" s="226"/>
      <c r="H58" s="226"/>
      <c r="I58" s="226"/>
      <c r="J58" s="226"/>
      <c r="K58" s="226"/>
      <c r="L58" s="226"/>
    </row>
    <row r="59" spans="2:12" x14ac:dyDescent="0.25">
      <c r="F59" s="226"/>
      <c r="G59" s="226"/>
      <c r="H59" s="226"/>
      <c r="I59" s="226"/>
      <c r="J59" s="226"/>
      <c r="K59" s="226"/>
      <c r="L59" s="226"/>
    </row>
    <row r="60" spans="2:12" x14ac:dyDescent="0.25">
      <c r="F60" s="226"/>
      <c r="G60" s="226"/>
      <c r="H60" s="226"/>
      <c r="I60" s="226"/>
      <c r="J60" s="226"/>
      <c r="K60" s="226"/>
      <c r="L60" s="226"/>
    </row>
    <row r="61" spans="2:12" x14ac:dyDescent="0.25">
      <c r="F61" s="226"/>
      <c r="G61" s="226"/>
      <c r="H61" s="226"/>
      <c r="I61" s="226"/>
      <c r="J61" s="226"/>
      <c r="K61" s="226"/>
      <c r="L61" s="226"/>
    </row>
    <row r="62" spans="2:12" x14ac:dyDescent="0.25">
      <c r="F62" s="226"/>
      <c r="G62" s="226"/>
      <c r="H62" s="226"/>
      <c r="I62" s="226"/>
      <c r="J62" s="226"/>
      <c r="K62" s="226"/>
      <c r="L62" s="226"/>
    </row>
    <row r="63" spans="2:12" x14ac:dyDescent="0.25">
      <c r="F63" s="226"/>
      <c r="G63" s="226"/>
      <c r="H63" s="226"/>
      <c r="I63" s="226"/>
      <c r="J63" s="226"/>
      <c r="K63" s="226"/>
      <c r="L63" s="226"/>
    </row>
    <row r="64" spans="2:12" x14ac:dyDescent="0.25">
      <c r="F64" s="226"/>
      <c r="G64" s="226"/>
      <c r="H64" s="226"/>
      <c r="I64" s="226"/>
      <c r="J64" s="226"/>
      <c r="K64" s="226"/>
      <c r="L64" s="226"/>
    </row>
    <row r="65" spans="6:12" x14ac:dyDescent="0.25">
      <c r="F65" s="226"/>
      <c r="G65" s="226"/>
      <c r="H65" s="226"/>
      <c r="I65" s="226"/>
      <c r="J65" s="226"/>
      <c r="K65" s="226"/>
      <c r="L65" s="226"/>
    </row>
    <row r="66" spans="6:12" x14ac:dyDescent="0.25">
      <c r="F66" s="226"/>
      <c r="G66" s="226"/>
      <c r="H66" s="226"/>
      <c r="I66" s="226"/>
      <c r="J66" s="226"/>
      <c r="K66" s="226"/>
      <c r="L66" s="226"/>
    </row>
    <row r="67" spans="6:12" x14ac:dyDescent="0.25">
      <c r="F67" s="226"/>
      <c r="G67" s="226"/>
      <c r="H67" s="226"/>
      <c r="I67" s="226"/>
      <c r="J67" s="226"/>
      <c r="K67" s="226"/>
      <c r="L67" s="226"/>
    </row>
    <row r="68" spans="6:12" x14ac:dyDescent="0.25">
      <c r="F68" s="226"/>
      <c r="G68" s="226"/>
      <c r="H68" s="226"/>
      <c r="I68" s="226"/>
      <c r="J68" s="226"/>
      <c r="K68" s="226"/>
      <c r="L68" s="226"/>
    </row>
    <row r="69" spans="6:12" x14ac:dyDescent="0.25">
      <c r="F69" s="226"/>
      <c r="G69" s="226"/>
      <c r="H69" s="226"/>
      <c r="I69" s="226"/>
      <c r="J69" s="226"/>
      <c r="K69" s="226"/>
      <c r="L69" s="226"/>
    </row>
    <row r="70" spans="6:12" x14ac:dyDescent="0.25">
      <c r="F70" s="226"/>
      <c r="G70" s="226"/>
      <c r="H70" s="226"/>
      <c r="I70" s="226"/>
      <c r="J70" s="226"/>
      <c r="K70" s="226"/>
      <c r="L70" s="226"/>
    </row>
    <row r="71" spans="6:12" x14ac:dyDescent="0.25">
      <c r="F71" s="226"/>
      <c r="G71" s="226"/>
      <c r="H71" s="226"/>
      <c r="I71" s="226"/>
      <c r="J71" s="226"/>
      <c r="K71" s="226"/>
      <c r="L71" s="226"/>
    </row>
    <row r="72" spans="6:12" x14ac:dyDescent="0.25">
      <c r="F72" s="226"/>
      <c r="G72" s="226"/>
      <c r="H72" s="226"/>
      <c r="I72" s="226"/>
      <c r="J72" s="226"/>
      <c r="K72" s="226"/>
      <c r="L72" s="226"/>
    </row>
    <row r="73" spans="6:12" x14ac:dyDescent="0.25">
      <c r="F73" s="226"/>
      <c r="G73" s="226"/>
      <c r="H73" s="226"/>
      <c r="I73" s="226"/>
      <c r="J73" s="226"/>
      <c r="K73" s="226"/>
      <c r="L73" s="226"/>
    </row>
    <row r="74" spans="6:12" x14ac:dyDescent="0.25">
      <c r="F74" s="226"/>
      <c r="G74" s="226"/>
      <c r="H74" s="226"/>
      <c r="I74" s="226"/>
      <c r="J74" s="226"/>
      <c r="K74" s="226"/>
      <c r="L74" s="226"/>
    </row>
    <row r="75" spans="6:12" x14ac:dyDescent="0.25">
      <c r="F75" s="226"/>
      <c r="G75" s="226"/>
      <c r="H75" s="226"/>
      <c r="I75" s="226"/>
      <c r="J75" s="226"/>
      <c r="K75" s="226"/>
      <c r="L75" s="226"/>
    </row>
    <row r="76" spans="6:12" x14ac:dyDescent="0.25">
      <c r="F76" s="226"/>
      <c r="G76" s="226"/>
      <c r="H76" s="226"/>
      <c r="I76" s="226"/>
      <c r="J76" s="226"/>
      <c r="K76" s="226"/>
      <c r="L76" s="226"/>
    </row>
    <row r="77" spans="6:12" x14ac:dyDescent="0.25">
      <c r="F77" s="226"/>
      <c r="G77" s="226"/>
      <c r="H77" s="226"/>
      <c r="I77" s="226"/>
      <c r="J77" s="226"/>
      <c r="K77" s="226"/>
      <c r="L77" s="226"/>
    </row>
    <row r="78" spans="6:12" x14ac:dyDescent="0.25">
      <c r="F78" s="226"/>
      <c r="G78" s="226"/>
      <c r="H78" s="226"/>
      <c r="I78" s="226"/>
      <c r="J78" s="226"/>
      <c r="K78" s="226"/>
      <c r="L78" s="226"/>
    </row>
    <row r="79" spans="6:12" x14ac:dyDescent="0.25">
      <c r="F79" s="226"/>
      <c r="G79" s="226"/>
      <c r="H79" s="226"/>
      <c r="I79" s="226"/>
      <c r="J79" s="226"/>
      <c r="K79" s="226"/>
      <c r="L79" s="226"/>
    </row>
    <row r="80" spans="6:12" x14ac:dyDescent="0.25">
      <c r="F80" s="226"/>
      <c r="G80" s="226"/>
      <c r="H80" s="226"/>
      <c r="I80" s="226"/>
      <c r="J80" s="226"/>
      <c r="K80" s="226"/>
      <c r="L80" s="226"/>
    </row>
    <row r="81" spans="6:12" x14ac:dyDescent="0.25">
      <c r="F81" s="226"/>
      <c r="G81" s="226"/>
      <c r="H81" s="226"/>
      <c r="I81" s="226"/>
      <c r="J81" s="226"/>
      <c r="K81" s="226"/>
      <c r="L81" s="226"/>
    </row>
    <row r="82" spans="6:12" x14ac:dyDescent="0.25">
      <c r="F82" s="226"/>
      <c r="G82" s="226"/>
      <c r="H82" s="226"/>
      <c r="I82" s="226"/>
      <c r="J82" s="226"/>
      <c r="K82" s="226"/>
      <c r="L82" s="226"/>
    </row>
    <row r="83" spans="6:12" x14ac:dyDescent="0.25">
      <c r="F83" s="226"/>
      <c r="G83" s="226"/>
      <c r="H83" s="226"/>
      <c r="I83" s="226"/>
      <c r="J83" s="226"/>
      <c r="K83" s="226"/>
      <c r="L83" s="226"/>
    </row>
    <row r="84" spans="6:12" x14ac:dyDescent="0.25">
      <c r="F84" s="226"/>
      <c r="G84" s="226"/>
      <c r="H84" s="226"/>
      <c r="I84" s="226"/>
      <c r="J84" s="226"/>
      <c r="K84" s="226"/>
      <c r="L84" s="226"/>
    </row>
    <row r="85" spans="6:12" x14ac:dyDescent="0.25">
      <c r="F85" s="226"/>
      <c r="G85" s="226"/>
      <c r="H85" s="226"/>
      <c r="I85" s="226"/>
      <c r="J85" s="226"/>
      <c r="K85" s="226"/>
      <c r="L85" s="226"/>
    </row>
    <row r="86" spans="6:12" x14ac:dyDescent="0.25">
      <c r="F86" s="226"/>
      <c r="G86" s="226"/>
      <c r="H86" s="226"/>
      <c r="I86" s="226"/>
      <c r="J86" s="226"/>
      <c r="K86" s="226"/>
      <c r="L86" s="226"/>
    </row>
    <row r="87" spans="6:12" x14ac:dyDescent="0.25">
      <c r="F87" s="226"/>
      <c r="G87" s="226"/>
      <c r="H87" s="226"/>
      <c r="I87" s="226"/>
      <c r="J87" s="226"/>
      <c r="K87" s="226"/>
      <c r="L87" s="226"/>
    </row>
    <row r="88" spans="6:12" x14ac:dyDescent="0.25">
      <c r="F88" s="226"/>
      <c r="G88" s="226"/>
      <c r="H88" s="226"/>
      <c r="I88" s="226"/>
      <c r="J88" s="226"/>
      <c r="K88" s="226"/>
      <c r="L88" s="226"/>
    </row>
    <row r="89" spans="6:12" x14ac:dyDescent="0.25">
      <c r="F89" s="226"/>
      <c r="G89" s="226"/>
      <c r="H89" s="226"/>
      <c r="I89" s="226"/>
      <c r="J89" s="226"/>
      <c r="K89" s="226"/>
      <c r="L89" s="226"/>
    </row>
    <row r="90" spans="6:12" x14ac:dyDescent="0.25">
      <c r="F90" s="226"/>
      <c r="G90" s="226"/>
      <c r="H90" s="226"/>
      <c r="I90" s="226"/>
      <c r="J90" s="226"/>
      <c r="K90" s="226"/>
      <c r="L90" s="226"/>
    </row>
    <row r="91" spans="6:12" x14ac:dyDescent="0.25">
      <c r="F91" s="226"/>
      <c r="G91" s="226"/>
      <c r="H91" s="226"/>
      <c r="I91" s="226"/>
      <c r="J91" s="226"/>
      <c r="K91" s="226"/>
      <c r="L91" s="226"/>
    </row>
    <row r="92" spans="6:12" x14ac:dyDescent="0.25">
      <c r="F92" s="226"/>
      <c r="G92" s="226"/>
      <c r="H92" s="226"/>
      <c r="I92" s="226"/>
      <c r="J92" s="226"/>
      <c r="K92" s="226"/>
      <c r="L92" s="226"/>
    </row>
    <row r="93" spans="6:12" x14ac:dyDescent="0.25">
      <c r="F93" s="226"/>
      <c r="G93" s="226"/>
      <c r="H93" s="226"/>
      <c r="I93" s="226"/>
      <c r="J93" s="226"/>
      <c r="K93" s="226"/>
      <c r="L93" s="226"/>
    </row>
    <row r="94" spans="6:12" x14ac:dyDescent="0.25">
      <c r="F94" s="226"/>
      <c r="G94" s="226"/>
      <c r="H94" s="226"/>
      <c r="I94" s="226"/>
      <c r="J94" s="226"/>
      <c r="K94" s="226"/>
      <c r="L94" s="226"/>
    </row>
    <row r="95" spans="6:12" x14ac:dyDescent="0.25">
      <c r="F95" s="226"/>
      <c r="G95" s="226"/>
      <c r="H95" s="226"/>
      <c r="I95" s="226"/>
      <c r="J95" s="226"/>
      <c r="K95" s="226"/>
      <c r="L95" s="226"/>
    </row>
    <row r="96" spans="6:12" x14ac:dyDescent="0.25">
      <c r="F96" s="226"/>
      <c r="G96" s="226"/>
      <c r="H96" s="226"/>
      <c r="I96" s="226"/>
      <c r="J96" s="226"/>
      <c r="K96" s="226"/>
      <c r="L96" s="226"/>
    </row>
    <row r="97" spans="6:12" x14ac:dyDescent="0.25">
      <c r="F97" s="226"/>
      <c r="G97" s="226"/>
      <c r="H97" s="226"/>
      <c r="I97" s="226"/>
      <c r="J97" s="226"/>
      <c r="K97" s="226"/>
      <c r="L97" s="226"/>
    </row>
    <row r="98" spans="6:12" x14ac:dyDescent="0.25">
      <c r="F98" s="226"/>
      <c r="G98" s="226"/>
      <c r="H98" s="226"/>
      <c r="I98" s="226"/>
      <c r="J98" s="226"/>
      <c r="K98" s="226"/>
      <c r="L98" s="226"/>
    </row>
    <row r="99" spans="6:12" x14ac:dyDescent="0.25">
      <c r="F99" s="226"/>
      <c r="G99" s="226"/>
      <c r="H99" s="226"/>
      <c r="I99" s="226"/>
      <c r="J99" s="226"/>
      <c r="K99" s="226"/>
      <c r="L99" s="226"/>
    </row>
    <row r="100" spans="6:12" x14ac:dyDescent="0.25">
      <c r="F100" s="226"/>
      <c r="G100" s="226"/>
      <c r="H100" s="226"/>
      <c r="I100" s="226"/>
      <c r="J100" s="226"/>
      <c r="K100" s="226"/>
      <c r="L100" s="226"/>
    </row>
    <row r="101" spans="6:12" x14ac:dyDescent="0.25">
      <c r="F101" s="226"/>
      <c r="G101" s="226"/>
      <c r="H101" s="226"/>
      <c r="I101" s="226"/>
      <c r="J101" s="226"/>
      <c r="K101" s="226"/>
      <c r="L101" s="226"/>
    </row>
    <row r="102" spans="6:12" x14ac:dyDescent="0.25">
      <c r="F102" s="226"/>
      <c r="G102" s="226"/>
      <c r="H102" s="226"/>
      <c r="I102" s="226"/>
      <c r="J102" s="226"/>
      <c r="K102" s="226"/>
      <c r="L102" s="226"/>
    </row>
    <row r="103" spans="6:12" x14ac:dyDescent="0.25">
      <c r="F103" s="226"/>
      <c r="G103" s="226"/>
      <c r="H103" s="226"/>
      <c r="I103" s="226"/>
      <c r="J103" s="226"/>
      <c r="K103" s="226"/>
      <c r="L103" s="226"/>
    </row>
    <row r="104" spans="6:12" x14ac:dyDescent="0.25">
      <c r="F104" s="226"/>
      <c r="G104" s="226"/>
      <c r="H104" s="226"/>
      <c r="I104" s="226"/>
      <c r="J104" s="226"/>
      <c r="K104" s="226"/>
      <c r="L104" s="226"/>
    </row>
    <row r="105" spans="6:12" x14ac:dyDescent="0.25">
      <c r="F105" s="226"/>
      <c r="G105" s="226"/>
      <c r="H105" s="226"/>
      <c r="I105" s="226"/>
      <c r="J105" s="226"/>
      <c r="K105" s="226"/>
      <c r="L105" s="226"/>
    </row>
    <row r="106" spans="6:12" x14ac:dyDescent="0.25">
      <c r="F106" s="226"/>
      <c r="G106" s="226"/>
      <c r="H106" s="226"/>
      <c r="I106" s="226"/>
      <c r="J106" s="226"/>
      <c r="K106" s="226"/>
      <c r="L106" s="226"/>
    </row>
    <row r="107" spans="6:12" x14ac:dyDescent="0.25">
      <c r="F107" s="226"/>
      <c r="G107" s="226"/>
      <c r="H107" s="226"/>
      <c r="I107" s="226"/>
      <c r="J107" s="226"/>
      <c r="K107" s="226"/>
      <c r="L107" s="226"/>
    </row>
    <row r="108" spans="6:12" x14ac:dyDescent="0.25">
      <c r="F108" s="226"/>
      <c r="G108" s="226"/>
      <c r="H108" s="226"/>
      <c r="I108" s="226"/>
      <c r="J108" s="226"/>
      <c r="K108" s="226"/>
      <c r="L108" s="226"/>
    </row>
    <row r="109" spans="6:12" x14ac:dyDescent="0.25">
      <c r="F109" s="226"/>
      <c r="G109" s="226"/>
      <c r="H109" s="226"/>
      <c r="I109" s="226"/>
      <c r="J109" s="226"/>
      <c r="K109" s="226"/>
      <c r="L109" s="226"/>
    </row>
    <row r="110" spans="6:12" x14ac:dyDescent="0.25">
      <c r="F110" s="226"/>
      <c r="G110" s="226"/>
      <c r="H110" s="226"/>
      <c r="I110" s="226"/>
      <c r="J110" s="226"/>
      <c r="K110" s="226"/>
      <c r="L110" s="226"/>
    </row>
    <row r="111" spans="6:12" x14ac:dyDescent="0.25">
      <c r="F111" s="226"/>
      <c r="G111" s="226"/>
      <c r="H111" s="226"/>
      <c r="I111" s="226"/>
      <c r="J111" s="226"/>
      <c r="K111" s="226"/>
      <c r="L111" s="226"/>
    </row>
    <row r="112" spans="6:12" x14ac:dyDescent="0.25">
      <c r="F112" s="226"/>
      <c r="G112" s="226"/>
      <c r="H112" s="226"/>
      <c r="I112" s="226"/>
      <c r="J112" s="226"/>
      <c r="K112" s="226"/>
      <c r="L112" s="226"/>
    </row>
    <row r="113" spans="6:12" x14ac:dyDescent="0.25">
      <c r="F113" s="226"/>
      <c r="G113" s="226"/>
      <c r="H113" s="226"/>
      <c r="I113" s="226"/>
      <c r="J113" s="226"/>
      <c r="K113" s="226"/>
      <c r="L113" s="226"/>
    </row>
    <row r="114" spans="6:12" x14ac:dyDescent="0.25">
      <c r="F114" s="226"/>
      <c r="G114" s="226"/>
      <c r="H114" s="226"/>
      <c r="I114" s="226"/>
      <c r="J114" s="226"/>
      <c r="K114" s="226"/>
      <c r="L114" s="226"/>
    </row>
    <row r="115" spans="6:12" x14ac:dyDescent="0.25">
      <c r="F115" s="226"/>
      <c r="G115" s="226"/>
      <c r="H115" s="226"/>
      <c r="I115" s="226"/>
      <c r="J115" s="226"/>
      <c r="K115" s="226"/>
      <c r="L115" s="226"/>
    </row>
    <row r="116" spans="6:12" x14ac:dyDescent="0.25">
      <c r="F116" s="226"/>
      <c r="G116" s="226"/>
      <c r="H116" s="226"/>
      <c r="I116" s="226"/>
      <c r="J116" s="226"/>
      <c r="K116" s="226"/>
      <c r="L116" s="226"/>
    </row>
    <row r="117" spans="6:12" x14ac:dyDescent="0.25">
      <c r="F117" s="226"/>
      <c r="G117" s="226"/>
      <c r="H117" s="226"/>
      <c r="I117" s="226"/>
      <c r="J117" s="226"/>
      <c r="K117" s="226"/>
      <c r="L117" s="226"/>
    </row>
    <row r="118" spans="6:12" x14ac:dyDescent="0.25">
      <c r="F118" s="226"/>
      <c r="G118" s="226"/>
      <c r="H118" s="226"/>
      <c r="I118" s="226"/>
      <c r="J118" s="226"/>
      <c r="K118" s="226"/>
      <c r="L118" s="226"/>
    </row>
    <row r="119" spans="6:12" x14ac:dyDescent="0.25">
      <c r="F119" s="226"/>
      <c r="G119" s="226"/>
      <c r="H119" s="226"/>
      <c r="I119" s="226"/>
      <c r="J119" s="226"/>
      <c r="K119" s="226"/>
      <c r="L119" s="226"/>
    </row>
    <row r="120" spans="6:12" x14ac:dyDescent="0.25">
      <c r="F120" s="226"/>
      <c r="G120" s="226"/>
      <c r="H120" s="226"/>
      <c r="I120" s="226"/>
      <c r="J120" s="226"/>
      <c r="K120" s="226"/>
      <c r="L120" s="226"/>
    </row>
    <row r="121" spans="6:12" x14ac:dyDescent="0.25">
      <c r="F121" s="226"/>
      <c r="G121" s="226"/>
      <c r="H121" s="226"/>
      <c r="I121" s="226"/>
      <c r="J121" s="226"/>
      <c r="K121" s="226"/>
      <c r="L121" s="226"/>
    </row>
    <row r="122" spans="6:12" x14ac:dyDescent="0.25">
      <c r="F122" s="226"/>
      <c r="G122" s="226"/>
      <c r="H122" s="226"/>
      <c r="I122" s="226"/>
      <c r="J122" s="226"/>
      <c r="K122" s="226"/>
      <c r="L122" s="226"/>
    </row>
    <row r="123" spans="6:12" x14ac:dyDescent="0.25">
      <c r="F123" s="226"/>
      <c r="G123" s="226"/>
      <c r="H123" s="226"/>
      <c r="I123" s="226"/>
      <c r="J123" s="226"/>
      <c r="K123" s="226"/>
      <c r="L123" s="226"/>
    </row>
    <row r="124" spans="6:12" x14ac:dyDescent="0.25">
      <c r="F124" s="226"/>
      <c r="G124" s="226"/>
      <c r="H124" s="226"/>
      <c r="I124" s="226"/>
      <c r="J124" s="226"/>
      <c r="K124" s="226"/>
      <c r="L124" s="226"/>
    </row>
    <row r="125" spans="6:12" x14ac:dyDescent="0.25">
      <c r="F125" s="226"/>
      <c r="G125" s="226"/>
      <c r="H125" s="226"/>
      <c r="I125" s="226"/>
      <c r="J125" s="226"/>
      <c r="K125" s="226"/>
      <c r="L125" s="226"/>
    </row>
    <row r="126" spans="6:12" x14ac:dyDescent="0.25">
      <c r="F126" s="226"/>
      <c r="G126" s="226"/>
      <c r="H126" s="226"/>
      <c r="I126" s="226"/>
      <c r="J126" s="226"/>
      <c r="K126" s="226"/>
      <c r="L126" s="226"/>
    </row>
    <row r="127" spans="6:12" x14ac:dyDescent="0.25">
      <c r="F127" s="226"/>
      <c r="G127" s="226"/>
      <c r="H127" s="226"/>
      <c r="I127" s="226"/>
      <c r="J127" s="226"/>
      <c r="K127" s="226"/>
      <c r="L127" s="226"/>
    </row>
    <row r="128" spans="6:12" x14ac:dyDescent="0.25">
      <c r="F128" s="226"/>
      <c r="G128" s="226"/>
      <c r="H128" s="226"/>
      <c r="I128" s="226"/>
      <c r="J128" s="226"/>
      <c r="K128" s="226"/>
      <c r="L128" s="226"/>
    </row>
    <row r="129" spans="6:12" x14ac:dyDescent="0.25">
      <c r="F129" s="226"/>
      <c r="G129" s="226"/>
      <c r="H129" s="226"/>
      <c r="I129" s="226"/>
      <c r="J129" s="226"/>
      <c r="K129" s="226"/>
      <c r="L129" s="226"/>
    </row>
    <row r="130" spans="6:12" x14ac:dyDescent="0.25">
      <c r="F130" s="226"/>
      <c r="G130" s="226"/>
      <c r="H130" s="226"/>
      <c r="I130" s="226"/>
      <c r="J130" s="226"/>
      <c r="K130" s="226"/>
      <c r="L130" s="226"/>
    </row>
    <row r="131" spans="6:12" x14ac:dyDescent="0.25">
      <c r="F131" s="226"/>
      <c r="G131" s="226"/>
      <c r="H131" s="226"/>
      <c r="I131" s="226"/>
      <c r="J131" s="226"/>
      <c r="K131" s="226"/>
      <c r="L131" s="226"/>
    </row>
    <row r="132" spans="6:12" x14ac:dyDescent="0.25">
      <c r="F132" s="226"/>
      <c r="G132" s="226"/>
      <c r="H132" s="226"/>
      <c r="I132" s="226"/>
      <c r="J132" s="226"/>
      <c r="K132" s="226"/>
      <c r="L132" s="226"/>
    </row>
    <row r="133" spans="6:12" x14ac:dyDescent="0.25">
      <c r="F133" s="226"/>
      <c r="G133" s="226"/>
      <c r="H133" s="226"/>
      <c r="I133" s="226"/>
      <c r="J133" s="226"/>
      <c r="K133" s="226"/>
      <c r="L133" s="226"/>
    </row>
    <row r="134" spans="6:12" x14ac:dyDescent="0.25">
      <c r="F134" s="226"/>
      <c r="G134" s="226"/>
      <c r="H134" s="226"/>
      <c r="I134" s="226"/>
      <c r="J134" s="226"/>
      <c r="K134" s="226"/>
      <c r="L134" s="226"/>
    </row>
    <row r="135" spans="6:12" x14ac:dyDescent="0.25">
      <c r="F135" s="226"/>
      <c r="G135" s="226"/>
      <c r="H135" s="226"/>
      <c r="I135" s="226"/>
      <c r="J135" s="226"/>
      <c r="K135" s="226"/>
      <c r="L135" s="226"/>
    </row>
    <row r="136" spans="6:12" x14ac:dyDescent="0.25">
      <c r="F136" s="226"/>
      <c r="G136" s="226"/>
      <c r="H136" s="226"/>
      <c r="I136" s="226"/>
      <c r="J136" s="226"/>
      <c r="K136" s="226"/>
      <c r="L136" s="226"/>
    </row>
    <row r="137" spans="6:12" x14ac:dyDescent="0.25">
      <c r="F137" s="226"/>
      <c r="G137" s="226"/>
      <c r="H137" s="226"/>
      <c r="I137" s="226"/>
      <c r="J137" s="226"/>
      <c r="K137" s="226"/>
      <c r="L137" s="226"/>
    </row>
    <row r="138" spans="6:12" x14ac:dyDescent="0.25">
      <c r="F138" s="226"/>
      <c r="G138" s="226"/>
      <c r="H138" s="226"/>
      <c r="I138" s="226"/>
      <c r="J138" s="226"/>
      <c r="K138" s="226"/>
      <c r="L138" s="226"/>
    </row>
    <row r="139" spans="6:12" x14ac:dyDescent="0.25">
      <c r="F139" s="226"/>
      <c r="G139" s="226"/>
      <c r="H139" s="226"/>
      <c r="I139" s="226"/>
      <c r="J139" s="226"/>
      <c r="K139" s="226"/>
      <c r="L139" s="226"/>
    </row>
    <row r="140" spans="6:12" x14ac:dyDescent="0.25">
      <c r="F140" s="226"/>
      <c r="G140" s="226"/>
      <c r="H140" s="226"/>
      <c r="I140" s="226"/>
      <c r="J140" s="226"/>
      <c r="K140" s="226"/>
      <c r="L140" s="226"/>
    </row>
    <row r="141" spans="6:12" x14ac:dyDescent="0.25">
      <c r="F141" s="226"/>
      <c r="G141" s="226"/>
      <c r="H141" s="226"/>
      <c r="I141" s="226"/>
      <c r="J141" s="226"/>
      <c r="K141" s="226"/>
      <c r="L141" s="226"/>
    </row>
    <row r="142" spans="6:12" x14ac:dyDescent="0.25">
      <c r="F142" s="226"/>
      <c r="G142" s="226"/>
      <c r="H142" s="226"/>
      <c r="I142" s="226"/>
      <c r="J142" s="226"/>
      <c r="K142" s="226"/>
      <c r="L142" s="226"/>
    </row>
    <row r="143" spans="6:12" x14ac:dyDescent="0.25">
      <c r="F143" s="226"/>
      <c r="G143" s="226"/>
      <c r="H143" s="226"/>
      <c r="I143" s="226"/>
      <c r="J143" s="226"/>
      <c r="K143" s="226"/>
      <c r="L143" s="226"/>
    </row>
    <row r="144" spans="6:12" x14ac:dyDescent="0.25">
      <c r="F144" s="226"/>
      <c r="G144" s="226"/>
      <c r="H144" s="226"/>
      <c r="I144" s="226"/>
      <c r="J144" s="226"/>
      <c r="K144" s="226"/>
      <c r="L144" s="226"/>
    </row>
    <row r="145" spans="6:12" x14ac:dyDescent="0.25">
      <c r="F145" s="226"/>
      <c r="G145" s="226"/>
      <c r="H145" s="226"/>
      <c r="I145" s="226"/>
      <c r="J145" s="226"/>
      <c r="K145" s="226"/>
      <c r="L145" s="226"/>
    </row>
    <row r="146" spans="6:12" x14ac:dyDescent="0.25">
      <c r="F146" s="226"/>
      <c r="G146" s="226"/>
      <c r="H146" s="226"/>
      <c r="I146" s="226"/>
      <c r="J146" s="226"/>
      <c r="K146" s="226"/>
      <c r="L146" s="226"/>
    </row>
    <row r="147" spans="6:12" x14ac:dyDescent="0.25">
      <c r="F147" s="226"/>
      <c r="G147" s="226"/>
      <c r="H147" s="226"/>
      <c r="I147" s="226"/>
      <c r="J147" s="226"/>
      <c r="K147" s="226"/>
      <c r="L147" s="226"/>
    </row>
    <row r="148" spans="6:12" x14ac:dyDescent="0.25">
      <c r="F148" s="226"/>
      <c r="G148" s="226"/>
      <c r="H148" s="226"/>
      <c r="I148" s="226"/>
      <c r="J148" s="226"/>
      <c r="K148" s="226"/>
      <c r="L148" s="226"/>
    </row>
    <row r="149" spans="6:12" x14ac:dyDescent="0.25">
      <c r="F149" s="226"/>
      <c r="G149" s="226"/>
      <c r="H149" s="226"/>
      <c r="I149" s="226"/>
      <c r="J149" s="226"/>
      <c r="K149" s="226"/>
      <c r="L149" s="226"/>
    </row>
    <row r="150" spans="6:12" x14ac:dyDescent="0.25">
      <c r="F150" s="226"/>
      <c r="G150" s="226"/>
      <c r="H150" s="226"/>
      <c r="I150" s="226"/>
      <c r="J150" s="226"/>
      <c r="K150" s="226"/>
      <c r="L150" s="226"/>
    </row>
    <row r="151" spans="6:12" x14ac:dyDescent="0.25">
      <c r="F151" s="226"/>
      <c r="G151" s="226"/>
      <c r="H151" s="226"/>
      <c r="I151" s="226"/>
      <c r="J151" s="226"/>
      <c r="K151" s="226"/>
      <c r="L151" s="226"/>
    </row>
    <row r="152" spans="6:12" x14ac:dyDescent="0.25">
      <c r="F152" s="226"/>
      <c r="G152" s="226"/>
      <c r="H152" s="226"/>
      <c r="I152" s="226"/>
      <c r="J152" s="226"/>
      <c r="K152" s="226"/>
      <c r="L152" s="226"/>
    </row>
    <row r="153" spans="6:12" x14ac:dyDescent="0.25">
      <c r="F153" s="226"/>
      <c r="G153" s="226"/>
      <c r="H153" s="226"/>
      <c r="I153" s="226"/>
      <c r="J153" s="226"/>
      <c r="K153" s="226"/>
      <c r="L153" s="226"/>
    </row>
    <row r="154" spans="6:12" x14ac:dyDescent="0.25">
      <c r="F154" s="226"/>
      <c r="G154" s="226"/>
      <c r="H154" s="226"/>
      <c r="I154" s="226"/>
      <c r="J154" s="226"/>
      <c r="K154" s="226"/>
      <c r="L154" s="226"/>
    </row>
    <row r="155" spans="6:12" x14ac:dyDescent="0.25">
      <c r="F155" s="226"/>
      <c r="G155" s="226"/>
      <c r="H155" s="226"/>
      <c r="I155" s="226"/>
      <c r="J155" s="226"/>
      <c r="K155" s="226"/>
      <c r="L155" s="226"/>
    </row>
    <row r="156" spans="6:12" x14ac:dyDescent="0.25">
      <c r="F156" s="226"/>
      <c r="G156" s="226"/>
      <c r="H156" s="226"/>
      <c r="I156" s="226"/>
      <c r="J156" s="226"/>
      <c r="K156" s="226"/>
      <c r="L156" s="226"/>
    </row>
    <row r="157" spans="6:12" x14ac:dyDescent="0.25">
      <c r="F157" s="226"/>
      <c r="G157" s="226"/>
      <c r="H157" s="226"/>
      <c r="I157" s="226"/>
      <c r="J157" s="226"/>
      <c r="K157" s="226"/>
      <c r="L157" s="226"/>
    </row>
    <row r="158" spans="6:12" x14ac:dyDescent="0.25">
      <c r="F158" s="226"/>
      <c r="G158" s="226"/>
      <c r="H158" s="226"/>
      <c r="I158" s="226"/>
      <c r="J158" s="226"/>
      <c r="K158" s="226"/>
      <c r="L158" s="226"/>
    </row>
    <row r="159" spans="6:12" x14ac:dyDescent="0.25">
      <c r="F159" s="226"/>
      <c r="G159" s="226"/>
      <c r="H159" s="226"/>
      <c r="I159" s="226"/>
      <c r="J159" s="226"/>
      <c r="K159" s="226"/>
      <c r="L159" s="226"/>
    </row>
    <row r="160" spans="6:12" x14ac:dyDescent="0.25">
      <c r="F160" s="226"/>
      <c r="G160" s="226"/>
      <c r="H160" s="226"/>
      <c r="I160" s="226"/>
      <c r="J160" s="226"/>
      <c r="K160" s="226"/>
      <c r="L160" s="226"/>
    </row>
    <row r="161" spans="6:12" x14ac:dyDescent="0.25">
      <c r="F161" s="226"/>
      <c r="G161" s="226"/>
      <c r="H161" s="226"/>
      <c r="I161" s="226"/>
      <c r="J161" s="226"/>
      <c r="K161" s="226"/>
      <c r="L161" s="226"/>
    </row>
    <row r="162" spans="6:12" x14ac:dyDescent="0.25">
      <c r="F162" s="226"/>
      <c r="G162" s="226"/>
      <c r="H162" s="226"/>
      <c r="I162" s="226"/>
      <c r="J162" s="226"/>
      <c r="K162" s="226"/>
      <c r="L162" s="226"/>
    </row>
    <row r="163" spans="6:12" x14ac:dyDescent="0.25">
      <c r="F163" s="226"/>
      <c r="G163" s="226"/>
      <c r="H163" s="226"/>
      <c r="I163" s="226"/>
      <c r="J163" s="226"/>
      <c r="K163" s="226"/>
      <c r="L163" s="226"/>
    </row>
    <row r="164" spans="6:12" x14ac:dyDescent="0.25">
      <c r="F164" s="226"/>
      <c r="G164" s="226"/>
      <c r="H164" s="226"/>
      <c r="I164" s="226"/>
      <c r="J164" s="226"/>
      <c r="K164" s="226"/>
      <c r="L164" s="226"/>
    </row>
    <row r="165" spans="6:12" x14ac:dyDescent="0.25">
      <c r="F165" s="226"/>
      <c r="G165" s="226"/>
      <c r="H165" s="226"/>
      <c r="I165" s="226"/>
      <c r="J165" s="226"/>
      <c r="K165" s="226"/>
      <c r="L165" s="226"/>
    </row>
    <row r="166" spans="6:12" x14ac:dyDescent="0.25">
      <c r="F166" s="226"/>
      <c r="G166" s="226"/>
      <c r="H166" s="226"/>
      <c r="I166" s="226"/>
      <c r="J166" s="226"/>
      <c r="K166" s="226"/>
      <c r="L166" s="226"/>
    </row>
    <row r="167" spans="6:12" x14ac:dyDescent="0.25">
      <c r="F167" s="226"/>
      <c r="G167" s="226"/>
      <c r="H167" s="226"/>
      <c r="I167" s="226"/>
      <c r="J167" s="226"/>
      <c r="K167" s="226"/>
      <c r="L167" s="226"/>
    </row>
    <row r="168" spans="6:12" x14ac:dyDescent="0.25">
      <c r="F168" s="226"/>
      <c r="G168" s="226"/>
      <c r="H168" s="226"/>
      <c r="I168" s="226"/>
      <c r="J168" s="226"/>
      <c r="K168" s="226"/>
      <c r="L168" s="226"/>
    </row>
    <row r="169" spans="6:12" x14ac:dyDescent="0.25">
      <c r="F169" s="226"/>
      <c r="G169" s="226"/>
      <c r="H169" s="226"/>
      <c r="I169" s="226"/>
      <c r="J169" s="226"/>
      <c r="K169" s="226"/>
      <c r="L169" s="226"/>
    </row>
    <row r="170" spans="6:12" x14ac:dyDescent="0.25">
      <c r="F170" s="226"/>
      <c r="G170" s="226"/>
      <c r="H170" s="226"/>
      <c r="I170" s="226"/>
      <c r="J170" s="226"/>
      <c r="K170" s="226"/>
      <c r="L170" s="226"/>
    </row>
    <row r="171" spans="6:12" x14ac:dyDescent="0.25">
      <c r="F171" s="226"/>
      <c r="G171" s="226"/>
      <c r="H171" s="226"/>
      <c r="I171" s="226"/>
      <c r="J171" s="226"/>
      <c r="K171" s="226"/>
      <c r="L171" s="226"/>
    </row>
    <row r="172" spans="6:12" x14ac:dyDescent="0.25">
      <c r="F172" s="226"/>
      <c r="G172" s="226"/>
      <c r="H172" s="226"/>
      <c r="I172" s="226"/>
      <c r="J172" s="226"/>
      <c r="K172" s="226"/>
      <c r="L172" s="226"/>
    </row>
    <row r="173" spans="6:12" x14ac:dyDescent="0.25">
      <c r="F173" s="226"/>
      <c r="G173" s="226"/>
      <c r="H173" s="226"/>
      <c r="I173" s="226"/>
      <c r="J173" s="226"/>
      <c r="K173" s="226"/>
      <c r="L173" s="226"/>
    </row>
    <row r="174" spans="6:12" x14ac:dyDescent="0.25">
      <c r="F174" s="226"/>
      <c r="G174" s="226"/>
      <c r="H174" s="226"/>
      <c r="I174" s="226"/>
      <c r="J174" s="226"/>
      <c r="K174" s="226"/>
      <c r="L174" s="226"/>
    </row>
    <row r="175" spans="6:12" x14ac:dyDescent="0.25">
      <c r="F175" s="226"/>
      <c r="G175" s="226"/>
      <c r="H175" s="226"/>
      <c r="I175" s="226"/>
      <c r="J175" s="226"/>
      <c r="K175" s="226"/>
      <c r="L175" s="226"/>
    </row>
    <row r="176" spans="6:12" x14ac:dyDescent="0.25">
      <c r="F176" s="226"/>
      <c r="G176" s="226"/>
      <c r="H176" s="226"/>
      <c r="I176" s="226"/>
      <c r="J176" s="226"/>
      <c r="K176" s="226"/>
      <c r="L176" s="226"/>
    </row>
    <row r="177" spans="6:12" x14ac:dyDescent="0.25">
      <c r="F177" s="226"/>
      <c r="G177" s="226"/>
      <c r="H177" s="226"/>
      <c r="I177" s="226"/>
      <c r="J177" s="226"/>
      <c r="K177" s="226"/>
      <c r="L177" s="226"/>
    </row>
    <row r="178" spans="6:12" x14ac:dyDescent="0.25">
      <c r="F178" s="226"/>
      <c r="G178" s="226"/>
      <c r="H178" s="226"/>
      <c r="I178" s="226"/>
      <c r="J178" s="226"/>
      <c r="K178" s="226"/>
      <c r="L178" s="226"/>
    </row>
    <row r="179" spans="6:12" x14ac:dyDescent="0.25">
      <c r="F179" s="226"/>
      <c r="G179" s="226"/>
      <c r="H179" s="226"/>
      <c r="I179" s="226"/>
      <c r="J179" s="226"/>
      <c r="K179" s="226"/>
      <c r="L179" s="226"/>
    </row>
    <row r="180" spans="6:12" x14ac:dyDescent="0.25">
      <c r="F180" s="226"/>
      <c r="G180" s="226"/>
      <c r="H180" s="226"/>
      <c r="I180" s="226"/>
      <c r="J180" s="226"/>
      <c r="K180" s="226"/>
      <c r="L180" s="226"/>
    </row>
    <row r="181" spans="6:12" x14ac:dyDescent="0.25">
      <c r="F181" s="226"/>
      <c r="G181" s="226"/>
      <c r="H181" s="226"/>
      <c r="I181" s="226"/>
      <c r="J181" s="226"/>
      <c r="K181" s="226"/>
      <c r="L181" s="226"/>
    </row>
    <row r="182" spans="6:12" x14ac:dyDescent="0.25">
      <c r="F182" s="226"/>
      <c r="G182" s="226"/>
      <c r="H182" s="226"/>
      <c r="I182" s="226"/>
      <c r="J182" s="226"/>
      <c r="K182" s="226"/>
      <c r="L182" s="226"/>
    </row>
    <row r="183" spans="6:12" x14ac:dyDescent="0.25">
      <c r="F183" s="226"/>
      <c r="G183" s="226"/>
      <c r="H183" s="226"/>
      <c r="I183" s="226"/>
      <c r="J183" s="226"/>
      <c r="K183" s="226"/>
      <c r="L183" s="226"/>
    </row>
    <row r="184" spans="6:12" x14ac:dyDescent="0.25">
      <c r="F184" s="226"/>
      <c r="G184" s="226"/>
      <c r="H184" s="226"/>
      <c r="I184" s="226"/>
      <c r="J184" s="226"/>
      <c r="K184" s="226"/>
      <c r="L184" s="226"/>
    </row>
    <row r="185" spans="6:12" x14ac:dyDescent="0.25">
      <c r="F185" s="226"/>
      <c r="G185" s="226"/>
      <c r="H185" s="226"/>
      <c r="I185" s="226"/>
      <c r="J185" s="226"/>
      <c r="K185" s="226"/>
      <c r="L185" s="226"/>
    </row>
    <row r="186" spans="6:12" x14ac:dyDescent="0.25">
      <c r="F186" s="226"/>
      <c r="G186" s="226"/>
      <c r="H186" s="226"/>
      <c r="I186" s="226"/>
      <c r="J186" s="226"/>
      <c r="K186" s="226"/>
      <c r="L186" s="226"/>
    </row>
    <row r="187" spans="6:12" x14ac:dyDescent="0.25">
      <c r="F187" s="226"/>
      <c r="G187" s="226"/>
      <c r="H187" s="226"/>
      <c r="I187" s="226"/>
      <c r="J187" s="226"/>
      <c r="K187" s="226"/>
      <c r="L187" s="226"/>
    </row>
    <row r="188" spans="6:12" x14ac:dyDescent="0.25">
      <c r="F188" s="226"/>
      <c r="G188" s="226"/>
      <c r="H188" s="226"/>
      <c r="I188" s="226"/>
      <c r="J188" s="226"/>
      <c r="K188" s="226"/>
      <c r="L188" s="226"/>
    </row>
    <row r="189" spans="6:12" x14ac:dyDescent="0.25">
      <c r="F189" s="226"/>
      <c r="G189" s="226"/>
      <c r="H189" s="226"/>
      <c r="I189" s="226"/>
      <c r="J189" s="226"/>
      <c r="K189" s="226"/>
      <c r="L189" s="226"/>
    </row>
    <row r="190" spans="6:12" x14ac:dyDescent="0.25">
      <c r="F190" s="226"/>
      <c r="G190" s="226"/>
      <c r="H190" s="226"/>
      <c r="I190" s="226"/>
      <c r="J190" s="226"/>
      <c r="K190" s="226"/>
      <c r="L190" s="226"/>
    </row>
    <row r="191" spans="6:12" x14ac:dyDescent="0.25">
      <c r="F191" s="226"/>
      <c r="G191" s="226"/>
      <c r="H191" s="226"/>
      <c r="I191" s="226"/>
      <c r="J191" s="226"/>
      <c r="K191" s="226"/>
      <c r="L191" s="226"/>
    </row>
    <row r="192" spans="6:12" x14ac:dyDescent="0.25">
      <c r="F192" s="226"/>
      <c r="G192" s="226"/>
      <c r="H192" s="226"/>
      <c r="I192" s="226"/>
      <c r="J192" s="226"/>
      <c r="K192" s="226"/>
      <c r="L192" s="226"/>
    </row>
    <row r="193" spans="6:12" x14ac:dyDescent="0.25">
      <c r="F193" s="226"/>
      <c r="G193" s="226"/>
      <c r="H193" s="226"/>
      <c r="I193" s="226"/>
      <c r="J193" s="226"/>
      <c r="K193" s="226"/>
      <c r="L193" s="226"/>
    </row>
    <row r="194" spans="6:12" x14ac:dyDescent="0.25">
      <c r="F194" s="226"/>
      <c r="G194" s="226"/>
      <c r="H194" s="226"/>
      <c r="I194" s="226"/>
      <c r="J194" s="226"/>
      <c r="K194" s="226"/>
      <c r="L194" s="226"/>
    </row>
    <row r="195" spans="6:12" x14ac:dyDescent="0.25">
      <c r="F195" s="226"/>
      <c r="G195" s="226"/>
      <c r="H195" s="226"/>
      <c r="I195" s="226"/>
      <c r="J195" s="226"/>
      <c r="K195" s="226"/>
      <c r="L195" s="226"/>
    </row>
    <row r="196" spans="6:12" x14ac:dyDescent="0.25">
      <c r="F196" s="226"/>
      <c r="G196" s="226"/>
      <c r="H196" s="226"/>
      <c r="I196" s="226"/>
      <c r="J196" s="226"/>
      <c r="K196" s="226"/>
      <c r="L196" s="226"/>
    </row>
    <row r="197" spans="6:12" x14ac:dyDescent="0.25">
      <c r="F197" s="226"/>
      <c r="G197" s="226"/>
      <c r="H197" s="226"/>
      <c r="I197" s="226"/>
      <c r="J197" s="226"/>
      <c r="K197" s="226"/>
      <c r="L197" s="226"/>
    </row>
    <row r="198" spans="6:12" x14ac:dyDescent="0.25">
      <c r="F198" s="226"/>
      <c r="G198" s="226"/>
      <c r="H198" s="226"/>
      <c r="I198" s="226"/>
      <c r="J198" s="226"/>
      <c r="K198" s="226"/>
      <c r="L198" s="226"/>
    </row>
    <row r="199" spans="6:12" x14ac:dyDescent="0.25">
      <c r="F199" s="226"/>
      <c r="G199" s="226"/>
      <c r="H199" s="226"/>
      <c r="I199" s="226"/>
      <c r="J199" s="226"/>
      <c r="K199" s="226"/>
      <c r="L199" s="226"/>
    </row>
    <row r="200" spans="6:12" x14ac:dyDescent="0.25">
      <c r="F200" s="226"/>
      <c r="G200" s="226"/>
      <c r="H200" s="226"/>
      <c r="I200" s="226"/>
      <c r="J200" s="226"/>
      <c r="K200" s="226"/>
      <c r="L200" s="226"/>
    </row>
    <row r="201" spans="6:12" x14ac:dyDescent="0.25">
      <c r="F201" s="226"/>
      <c r="G201" s="226"/>
      <c r="H201" s="226"/>
      <c r="I201" s="226"/>
      <c r="J201" s="226"/>
      <c r="K201" s="226"/>
      <c r="L201" s="226"/>
    </row>
    <row r="202" spans="6:12" x14ac:dyDescent="0.25">
      <c r="F202" s="226"/>
      <c r="G202" s="226"/>
      <c r="H202" s="226"/>
      <c r="I202" s="226"/>
      <c r="J202" s="226"/>
      <c r="K202" s="226"/>
      <c r="L202" s="226"/>
    </row>
    <row r="203" spans="6:12" x14ac:dyDescent="0.25">
      <c r="F203" s="226"/>
      <c r="G203" s="226"/>
      <c r="H203" s="226"/>
      <c r="I203" s="226"/>
      <c r="J203" s="226"/>
      <c r="K203" s="226"/>
      <c r="L203" s="226"/>
    </row>
    <row r="204" spans="6:12" x14ac:dyDescent="0.25">
      <c r="F204" s="226"/>
      <c r="G204" s="226"/>
      <c r="H204" s="226"/>
      <c r="I204" s="226"/>
      <c r="J204" s="226"/>
      <c r="K204" s="226"/>
      <c r="L204" s="226"/>
    </row>
    <row r="205" spans="6:12" x14ac:dyDescent="0.25">
      <c r="F205" s="226"/>
      <c r="G205" s="226"/>
      <c r="H205" s="226"/>
      <c r="I205" s="226"/>
      <c r="J205" s="226"/>
      <c r="K205" s="226"/>
      <c r="L205" s="226"/>
    </row>
    <row r="206" spans="6:12" x14ac:dyDescent="0.25">
      <c r="F206" s="226"/>
      <c r="G206" s="226"/>
      <c r="H206" s="226"/>
      <c r="I206" s="226"/>
      <c r="J206" s="226"/>
      <c r="K206" s="226"/>
      <c r="L206" s="226"/>
    </row>
    <row r="207" spans="6:12" x14ac:dyDescent="0.25">
      <c r="F207" s="226"/>
      <c r="G207" s="226"/>
      <c r="H207" s="226"/>
      <c r="I207" s="226"/>
      <c r="J207" s="226"/>
      <c r="K207" s="226"/>
      <c r="L207" s="226"/>
    </row>
    <row r="208" spans="6:12" x14ac:dyDescent="0.25">
      <c r="F208" s="226"/>
      <c r="G208" s="226"/>
      <c r="H208" s="226"/>
      <c r="I208" s="226"/>
      <c r="J208" s="226"/>
      <c r="K208" s="226"/>
      <c r="L208" s="226"/>
    </row>
    <row r="209" spans="6:12" x14ac:dyDescent="0.25">
      <c r="F209" s="226"/>
      <c r="G209" s="226"/>
      <c r="H209" s="226"/>
      <c r="I209" s="226"/>
      <c r="J209" s="226"/>
      <c r="K209" s="226"/>
      <c r="L209" s="226"/>
    </row>
    <row r="210" spans="6:12" x14ac:dyDescent="0.25">
      <c r="F210" s="226"/>
      <c r="G210" s="226"/>
      <c r="H210" s="226"/>
      <c r="I210" s="226"/>
      <c r="J210" s="226"/>
      <c r="K210" s="226"/>
      <c r="L210" s="226"/>
    </row>
    <row r="211" spans="6:12" x14ac:dyDescent="0.25">
      <c r="F211" s="226"/>
      <c r="G211" s="226"/>
      <c r="H211" s="226"/>
      <c r="I211" s="226"/>
      <c r="J211" s="226"/>
      <c r="K211" s="226"/>
      <c r="L211" s="226"/>
    </row>
    <row r="212" spans="6:12" x14ac:dyDescent="0.25">
      <c r="F212" s="226"/>
      <c r="G212" s="226"/>
      <c r="H212" s="226"/>
      <c r="I212" s="226"/>
      <c r="J212" s="226"/>
      <c r="K212" s="226"/>
      <c r="L212" s="226"/>
    </row>
    <row r="213" spans="6:12" x14ac:dyDescent="0.25">
      <c r="F213" s="226"/>
      <c r="G213" s="226"/>
      <c r="H213" s="226"/>
      <c r="I213" s="226"/>
      <c r="J213" s="226"/>
      <c r="K213" s="226"/>
      <c r="L213" s="226"/>
    </row>
    <row r="214" spans="6:12" x14ac:dyDescent="0.25">
      <c r="F214" s="226"/>
      <c r="G214" s="226"/>
      <c r="H214" s="226"/>
      <c r="I214" s="226"/>
      <c r="J214" s="226"/>
      <c r="K214" s="226"/>
      <c r="L214" s="226"/>
    </row>
    <row r="215" spans="6:12" x14ac:dyDescent="0.25">
      <c r="F215" s="226"/>
      <c r="G215" s="226"/>
      <c r="H215" s="226"/>
      <c r="I215" s="226"/>
      <c r="J215" s="226"/>
      <c r="K215" s="226"/>
      <c r="L215" s="226"/>
    </row>
    <row r="216" spans="6:12" x14ac:dyDescent="0.25">
      <c r="F216" s="226"/>
      <c r="G216" s="226"/>
      <c r="H216" s="226"/>
      <c r="I216" s="226"/>
      <c r="J216" s="226"/>
      <c r="K216" s="226"/>
      <c r="L216" s="226"/>
    </row>
    <row r="217" spans="6:12" x14ac:dyDescent="0.25">
      <c r="F217" s="226"/>
      <c r="G217" s="226"/>
      <c r="H217" s="226"/>
      <c r="I217" s="226"/>
      <c r="J217" s="226"/>
      <c r="K217" s="226"/>
      <c r="L217" s="226"/>
    </row>
    <row r="218" spans="6:12" x14ac:dyDescent="0.25">
      <c r="F218" s="226"/>
      <c r="G218" s="226"/>
      <c r="H218" s="226"/>
      <c r="I218" s="226"/>
      <c r="J218" s="226"/>
      <c r="K218" s="226"/>
      <c r="L218" s="226"/>
    </row>
    <row r="219" spans="6:12" x14ac:dyDescent="0.25">
      <c r="F219" s="226"/>
      <c r="G219" s="226"/>
      <c r="H219" s="226"/>
      <c r="I219" s="226"/>
      <c r="J219" s="226"/>
      <c r="K219" s="226"/>
      <c r="L219" s="226"/>
    </row>
    <row r="220" spans="6:12" x14ac:dyDescent="0.25">
      <c r="F220" s="226"/>
      <c r="G220" s="226"/>
      <c r="H220" s="226"/>
      <c r="I220" s="226"/>
      <c r="J220" s="226"/>
      <c r="K220" s="226"/>
      <c r="L220" s="226"/>
    </row>
    <row r="221" spans="6:12" x14ac:dyDescent="0.25">
      <c r="F221" s="226"/>
      <c r="G221" s="226"/>
      <c r="H221" s="226"/>
      <c r="I221" s="226"/>
      <c r="J221" s="226"/>
      <c r="K221" s="226"/>
      <c r="L221" s="226"/>
    </row>
    <row r="222" spans="6:12" x14ac:dyDescent="0.25">
      <c r="F222" s="226"/>
      <c r="G222" s="226"/>
      <c r="H222" s="226"/>
      <c r="I222" s="226"/>
      <c r="J222" s="226"/>
      <c r="K222" s="226"/>
      <c r="L222" s="226"/>
    </row>
    <row r="223" spans="6:12" x14ac:dyDescent="0.25">
      <c r="F223" s="226"/>
      <c r="G223" s="226"/>
      <c r="H223" s="226"/>
      <c r="I223" s="226"/>
      <c r="J223" s="226"/>
      <c r="K223" s="226"/>
      <c r="L223" s="226"/>
    </row>
    <row r="224" spans="6:12" x14ac:dyDescent="0.25">
      <c r="F224" s="226"/>
      <c r="G224" s="226"/>
      <c r="H224" s="226"/>
      <c r="I224" s="226"/>
      <c r="J224" s="226"/>
      <c r="K224" s="226"/>
      <c r="L224" s="226"/>
    </row>
    <row r="225" spans="6:12" x14ac:dyDescent="0.25">
      <c r="F225" s="226"/>
      <c r="G225" s="226"/>
      <c r="H225" s="226"/>
      <c r="I225" s="226"/>
      <c r="J225" s="226"/>
      <c r="K225" s="226"/>
      <c r="L225" s="226"/>
    </row>
    <row r="226" spans="6:12" x14ac:dyDescent="0.25">
      <c r="F226" s="226"/>
      <c r="G226" s="226"/>
      <c r="H226" s="226"/>
      <c r="I226" s="226"/>
      <c r="J226" s="226"/>
      <c r="K226" s="226"/>
      <c r="L226" s="226"/>
    </row>
    <row r="227" spans="6:12" x14ac:dyDescent="0.25">
      <c r="F227" s="226"/>
      <c r="G227" s="226"/>
      <c r="H227" s="226"/>
      <c r="I227" s="226"/>
      <c r="J227" s="226"/>
      <c r="K227" s="226"/>
      <c r="L227" s="226"/>
    </row>
    <row r="228" spans="6:12" x14ac:dyDescent="0.25">
      <c r="F228" s="226"/>
      <c r="G228" s="226"/>
      <c r="H228" s="226"/>
      <c r="I228" s="226"/>
      <c r="J228" s="226"/>
      <c r="K228" s="226"/>
      <c r="L228" s="226"/>
    </row>
    <row r="229" spans="6:12" x14ac:dyDescent="0.25">
      <c r="F229" s="226"/>
      <c r="G229" s="226"/>
      <c r="H229" s="226"/>
      <c r="I229" s="226"/>
      <c r="J229" s="226"/>
      <c r="K229" s="226"/>
      <c r="L229" s="226"/>
    </row>
    <row r="230" spans="6:12" x14ac:dyDescent="0.25">
      <c r="F230" s="226"/>
      <c r="G230" s="226"/>
      <c r="H230" s="226"/>
      <c r="I230" s="226"/>
      <c r="J230" s="226"/>
      <c r="K230" s="226"/>
      <c r="L230" s="226"/>
    </row>
    <row r="231" spans="6:12" x14ac:dyDescent="0.25">
      <c r="F231" s="226"/>
      <c r="G231" s="226"/>
      <c r="H231" s="226"/>
      <c r="I231" s="226"/>
      <c r="J231" s="226"/>
      <c r="K231" s="226"/>
      <c r="L231" s="226"/>
    </row>
    <row r="232" spans="6:12" x14ac:dyDescent="0.25">
      <c r="F232" s="226"/>
      <c r="G232" s="226"/>
      <c r="H232" s="226"/>
      <c r="I232" s="226"/>
      <c r="J232" s="226"/>
      <c r="K232" s="226"/>
      <c r="L232" s="226"/>
    </row>
    <row r="233" spans="6:12" x14ac:dyDescent="0.25">
      <c r="F233" s="226"/>
      <c r="G233" s="226"/>
      <c r="H233" s="226"/>
      <c r="I233" s="226"/>
      <c r="J233" s="226"/>
      <c r="K233" s="226"/>
      <c r="L233" s="226"/>
    </row>
    <row r="234" spans="6:12" x14ac:dyDescent="0.25">
      <c r="F234" s="226"/>
      <c r="G234" s="226"/>
      <c r="H234" s="226"/>
      <c r="I234" s="226"/>
      <c r="J234" s="226"/>
      <c r="K234" s="226"/>
      <c r="L234" s="226"/>
    </row>
    <row r="235" spans="6:12" x14ac:dyDescent="0.25">
      <c r="F235" s="226"/>
      <c r="G235" s="226"/>
      <c r="H235" s="226"/>
      <c r="I235" s="226"/>
      <c r="J235" s="226"/>
      <c r="K235" s="226"/>
      <c r="L235" s="226"/>
    </row>
    <row r="236" spans="6:12" x14ac:dyDescent="0.25">
      <c r="F236" s="226"/>
      <c r="G236" s="226"/>
      <c r="H236" s="226"/>
      <c r="I236" s="226"/>
      <c r="J236" s="226"/>
      <c r="K236" s="226"/>
      <c r="L236" s="226"/>
    </row>
    <row r="237" spans="6:12" x14ac:dyDescent="0.25">
      <c r="F237" s="226"/>
      <c r="G237" s="226"/>
      <c r="H237" s="226"/>
      <c r="I237" s="226"/>
      <c r="J237" s="226"/>
      <c r="K237" s="226"/>
      <c r="L237" s="226"/>
    </row>
    <row r="238" spans="6:12" x14ac:dyDescent="0.25">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2948</v>
      </c>
      <c r="B15" s="10" t="s">
        <v>2949</v>
      </c>
      <c r="C15" s="10" t="s">
        <v>1688</v>
      </c>
      <c r="E15" s="10" t="s">
        <v>1689</v>
      </c>
    </row>
    <row r="16" spans="1:5" ht="20.100000000000001" customHeight="1" x14ac:dyDescent="0.2">
      <c r="A16" s="111" t="s">
        <v>1730</v>
      </c>
      <c r="B16" s="10" t="s">
        <v>2950</v>
      </c>
    </row>
    <row r="17" spans="1:2" ht="20.100000000000001" customHeight="1" x14ac:dyDescent="0.2">
      <c r="A17" s="111" t="s">
        <v>2951</v>
      </c>
      <c r="B17" s="10" t="s">
        <v>2952</v>
      </c>
    </row>
    <row r="18" spans="1:2" ht="20.100000000000001" customHeight="1" x14ac:dyDescent="0.2"/>
    <row r="19" spans="1:2" ht="20.100000000000001" customHeight="1" x14ac:dyDescent="0.25"/>
    <row r="20" spans="1:2" ht="20.100000000000001" customHeight="1" x14ac:dyDescent="0.25"/>
    <row r="21" spans="1:2" ht="20.100000000000001" customHeight="1" x14ac:dyDescent="0.25"/>
    <row r="22" spans="1:2" ht="20.100000000000001" customHeight="1" x14ac:dyDescent="0.25"/>
    <row r="23" spans="1:2" ht="20.100000000000001" customHeight="1" x14ac:dyDescent="0.25"/>
    <row r="24" spans="1:2" ht="20.100000000000001" customHeight="1" x14ac:dyDescent="0.25"/>
    <row r="25" spans="1:2" ht="20.100000000000001" customHeight="1" x14ac:dyDescent="0.25"/>
    <row r="26" spans="1:2" ht="20.100000000000001" customHeight="1" x14ac:dyDescent="0.25"/>
    <row r="27" spans="1:2" ht="20.100000000000001" customHeight="1" x14ac:dyDescent="0.25"/>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
      <c r="A9" s="3" t="s">
        <v>1441</v>
      </c>
      <c r="B9" s="10" t="s">
        <v>1379</v>
      </c>
      <c r="C9" s="10" t="s">
        <v>1387</v>
      </c>
      <c r="I9" s="324" t="s">
        <v>3051</v>
      </c>
      <c r="J9" s="3" t="s">
        <v>2771</v>
      </c>
    </row>
    <row r="10" spans="1:10" ht="24.95" customHeight="1" x14ac:dyDescent="0.2">
      <c r="A10" s="3" t="s">
        <v>1442</v>
      </c>
      <c r="B10" s="10" t="s">
        <v>1380</v>
      </c>
      <c r="C10" s="10" t="s">
        <v>1388</v>
      </c>
      <c r="I10" s="324" t="s">
        <v>3052</v>
      </c>
      <c r="J10" s="3" t="s">
        <v>2772</v>
      </c>
    </row>
    <row r="11" spans="1:10" ht="24.95" customHeight="1" x14ac:dyDescent="0.2">
      <c r="A11" s="3" t="s">
        <v>2770</v>
      </c>
      <c r="I11" s="324" t="s">
        <v>3053</v>
      </c>
      <c r="J11" s="276" t="s">
        <v>2785</v>
      </c>
    </row>
    <row r="12" spans="1:10" ht="24.95" customHeight="1" x14ac:dyDescent="0.2">
      <c r="A12" s="3" t="s">
        <v>2771</v>
      </c>
      <c r="I12" s="324" t="s">
        <v>3054</v>
      </c>
      <c r="J12" s="276" t="s">
        <v>2835</v>
      </c>
    </row>
    <row r="13" spans="1:10" ht="24.95" customHeight="1" x14ac:dyDescent="0.2">
      <c r="A13" s="3" t="s">
        <v>2772</v>
      </c>
    </row>
    <row r="14" spans="1:10" x14ac:dyDescent="0.2">
      <c r="A14" s="276" t="s">
        <v>2785</v>
      </c>
    </row>
    <row r="15" spans="1:10" ht="24.95" customHeight="1" x14ac:dyDescent="0.2">
      <c r="A15" s="276" t="s">
        <v>2835</v>
      </c>
    </row>
    <row r="16" spans="1:10" x14ac:dyDescent="0.25">
      <c r="A16" s="1" t="s">
        <v>3361</v>
      </c>
    </row>
    <row r="17" spans="1:1" x14ac:dyDescent="0.25">
      <c r="A17" s="1" t="s">
        <v>3362</v>
      </c>
    </row>
    <row r="18" spans="1:1" x14ac:dyDescent="0.25">
      <c r="A18" s="276" t="s">
        <v>3679</v>
      </c>
    </row>
    <row r="19" spans="1:1" x14ac:dyDescent="0.25">
      <c r="A19" s="276" t="s">
        <v>3833</v>
      </c>
    </row>
    <row r="20" spans="1:1" x14ac:dyDescent="0.25">
      <c r="A20" s="276" t="s">
        <v>3913</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2235</v>
      </c>
    </row>
    <row r="15" spans="1:1" ht="20.100000000000001" customHeight="1" x14ac:dyDescent="0.2">
      <c r="A15" s="44" t="s">
        <v>1413</v>
      </c>
    </row>
    <row r="16" spans="1:1" ht="20.100000000000001" customHeight="1" x14ac:dyDescent="0.2">
      <c r="A16" s="44" t="s">
        <v>3678</v>
      </c>
    </row>
    <row r="17" spans="1:2" ht="20.100000000000001" customHeight="1" x14ac:dyDescent="0.2">
      <c r="A17" s="44" t="s">
        <v>1700</v>
      </c>
    </row>
    <row r="18" spans="1:2" ht="20.100000000000001" customHeight="1" x14ac:dyDescent="0.2">
      <c r="A18" s="17" t="s">
        <v>4097</v>
      </c>
    </row>
    <row r="19" spans="1:2" ht="20.100000000000001" customHeight="1" x14ac:dyDescent="0.25">
      <c r="A19" s="17" t="s">
        <v>829</v>
      </c>
    </row>
    <row r="20" spans="1:2" ht="20.100000000000001" customHeight="1" x14ac:dyDescent="0.25">
      <c r="A20" s="44" t="s">
        <v>2090</v>
      </c>
      <c r="B20" s="10" t="s">
        <v>2091</v>
      </c>
    </row>
    <row r="21" spans="1:2" ht="20.100000000000001" customHeight="1" x14ac:dyDescent="0.25">
      <c r="A21" s="44" t="s">
        <v>788</v>
      </c>
    </row>
    <row r="22" spans="1:2" ht="20.100000000000001" customHeight="1" x14ac:dyDescent="0.25">
      <c r="A22" s="43" t="s">
        <v>1179</v>
      </c>
    </row>
    <row r="23" spans="1:2" ht="20.100000000000001" customHeight="1" x14ac:dyDescent="0.25">
      <c r="A23" s="16" t="s">
        <v>789</v>
      </c>
    </row>
    <row r="24" spans="1:2" ht="20.100000000000001" customHeight="1" x14ac:dyDescent="0.25">
      <c r="A24" s="17" t="s">
        <v>792</v>
      </c>
    </row>
    <row r="25" spans="1:2" ht="20.100000000000001" customHeight="1" x14ac:dyDescent="0.25">
      <c r="A25" s="17" t="s">
        <v>790</v>
      </c>
    </row>
    <row r="26" spans="1:2" ht="20.100000000000001" customHeight="1" x14ac:dyDescent="0.25">
      <c r="A26" s="16" t="s">
        <v>791</v>
      </c>
    </row>
    <row r="27" spans="1:2" ht="20.100000000000001" customHeight="1" x14ac:dyDescent="0.25">
      <c r="A27" s="44" t="s">
        <v>1501</v>
      </c>
    </row>
    <row r="28" spans="1:2" ht="20.100000000000001" customHeight="1" x14ac:dyDescent="0.25">
      <c r="A28" s="16" t="s">
        <v>793</v>
      </c>
    </row>
    <row r="29" spans="1:2" ht="20.100000000000001" customHeight="1" x14ac:dyDescent="0.25">
      <c r="A29" s="16" t="s">
        <v>794</v>
      </c>
    </row>
    <row r="30" spans="1:2" ht="20.100000000000001" customHeight="1" x14ac:dyDescent="0.25">
      <c r="A30" s="44" t="s">
        <v>1452</v>
      </c>
    </row>
    <row r="31" spans="1:2" ht="20.100000000000001" customHeight="1" x14ac:dyDescent="0.25">
      <c r="A31" s="17" t="s">
        <v>1148</v>
      </c>
    </row>
    <row r="32" spans="1:2" ht="20.100000000000001" customHeight="1" x14ac:dyDescent="0.25">
      <c r="A32" s="17" t="s">
        <v>803</v>
      </c>
    </row>
    <row r="33" spans="1:2" ht="20.100000000000001" customHeight="1" x14ac:dyDescent="0.25">
      <c r="A33" s="17" t="s">
        <v>2092</v>
      </c>
      <c r="B33" s="10" t="s">
        <v>2093</v>
      </c>
    </row>
    <row r="34" spans="1:2" ht="20.100000000000001" customHeight="1" x14ac:dyDescent="0.25">
      <c r="A34" s="17" t="s">
        <v>795</v>
      </c>
    </row>
    <row r="35" spans="1:2" ht="20.100000000000001" customHeight="1" x14ac:dyDescent="0.25">
      <c r="A35" s="17" t="s">
        <v>796</v>
      </c>
    </row>
    <row r="36" spans="1:2" ht="20.100000000000001" customHeight="1" x14ac:dyDescent="0.25">
      <c r="A36" s="17" t="s">
        <v>802</v>
      </c>
    </row>
    <row r="37" spans="1:2" ht="20.100000000000001" customHeight="1" x14ac:dyDescent="0.25">
      <c r="A37" s="17" t="s">
        <v>801</v>
      </c>
    </row>
    <row r="38" spans="1:2" ht="20.100000000000001" customHeight="1" x14ac:dyDescent="0.25">
      <c r="A38" s="17" t="s">
        <v>2088</v>
      </c>
      <c r="B38" s="10" t="s">
        <v>2089</v>
      </c>
    </row>
    <row r="39" spans="1:2" ht="20.100000000000001" customHeight="1" x14ac:dyDescent="0.25">
      <c r="A39" s="44" t="s">
        <v>810</v>
      </c>
    </row>
    <row r="40" spans="1:2" ht="20.100000000000001" customHeight="1" x14ac:dyDescent="0.25">
      <c r="A40" s="17" t="s">
        <v>798</v>
      </c>
    </row>
    <row r="41" spans="1:2" ht="20.100000000000001" customHeight="1" x14ac:dyDescent="0.25">
      <c r="A41" s="17" t="s">
        <v>799</v>
      </c>
    </row>
    <row r="42" spans="1:2" ht="20.100000000000001" customHeight="1" x14ac:dyDescent="0.25">
      <c r="A42" s="17" t="s">
        <v>800</v>
      </c>
    </row>
    <row r="43" spans="1:2" ht="20.100000000000001" customHeight="1" x14ac:dyDescent="0.25">
      <c r="A43" s="44" t="s">
        <v>1833</v>
      </c>
    </row>
    <row r="44" spans="1:2" ht="20.100000000000001" customHeight="1" x14ac:dyDescent="0.25">
      <c r="A44" s="17" t="s">
        <v>688</v>
      </c>
    </row>
    <row r="45" spans="1:2" ht="20.100000000000001" customHeight="1" x14ac:dyDescent="0.25">
      <c r="A45" s="44" t="s">
        <v>2086</v>
      </c>
      <c r="B45" s="10" t="s">
        <v>2087</v>
      </c>
    </row>
    <row r="46" spans="1:2" ht="20.100000000000001" customHeight="1" x14ac:dyDescent="0.25">
      <c r="A46" s="44" t="s">
        <v>814</v>
      </c>
    </row>
    <row r="47" spans="1:2" ht="20.100000000000001" customHeight="1" x14ac:dyDescent="0.25">
      <c r="A47" s="44" t="s">
        <v>1971</v>
      </c>
    </row>
    <row r="48" spans="1:2" ht="20.100000000000001" customHeight="1" x14ac:dyDescent="0.25">
      <c r="A48" s="44" t="s">
        <v>1654</v>
      </c>
    </row>
    <row r="49" spans="1:1" ht="20.100000000000001" customHeight="1" x14ac:dyDescent="0.25">
      <c r="A49" s="17" t="s">
        <v>1070</v>
      </c>
    </row>
    <row r="50" spans="1:1" ht="20.100000000000001" customHeight="1" x14ac:dyDescent="0.25">
      <c r="A50" s="43" t="s">
        <v>569</v>
      </c>
    </row>
    <row r="51" spans="1:1" ht="20.100000000000001" customHeight="1" x14ac:dyDescent="0.25">
      <c r="A51" s="44" t="s">
        <v>582</v>
      </c>
    </row>
    <row r="52" spans="1:1" x14ac:dyDescent="0.25">
      <c r="A52" s="44" t="s">
        <v>2108</v>
      </c>
    </row>
    <row r="53" spans="1:1" x14ac:dyDescent="0.25">
      <c r="A53" s="44" t="s">
        <v>2428</v>
      </c>
    </row>
    <row r="54" spans="1:1" x14ac:dyDescent="0.25">
      <c r="A54" s="44" t="s">
        <v>2734</v>
      </c>
    </row>
    <row r="55" spans="1:1" x14ac:dyDescent="0.25">
      <c r="A55" s="44" t="s">
        <v>3017</v>
      </c>
    </row>
    <row r="56" spans="1:1" x14ac:dyDescent="0.25">
      <c r="A56" s="43" t="s">
        <v>3068</v>
      </c>
    </row>
    <row r="57" spans="1:1" x14ac:dyDescent="0.25">
      <c r="A57" s="338" t="s">
        <v>3118</v>
      </c>
    </row>
    <row r="58" spans="1:1" x14ac:dyDescent="0.25">
      <c r="A58" s="44" t="s">
        <v>3956</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4115</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3797</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4263</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3785</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3099</v>
      </c>
    </row>
    <row r="149" spans="1:1" x14ac:dyDescent="0.2">
      <c r="A149" s="65" t="s">
        <v>3214</v>
      </c>
    </row>
    <row r="150" spans="1:1" x14ac:dyDescent="0.2">
      <c r="A150" s="65" t="s">
        <v>3215</v>
      </c>
    </row>
    <row r="151" spans="1:1" x14ac:dyDescent="0.2">
      <c r="A151" s="65" t="s">
        <v>3246</v>
      </c>
    </row>
    <row r="152" spans="1:1" x14ac:dyDescent="0.2">
      <c r="A152" s="65" t="s">
        <v>3330</v>
      </c>
    </row>
    <row r="153" spans="1:1" x14ac:dyDescent="0.2">
      <c r="A153" s="65" t="s">
        <v>3338</v>
      </c>
    </row>
    <row r="154" spans="1:1" x14ac:dyDescent="0.2">
      <c r="A154" s="42" t="s">
        <v>3365</v>
      </c>
    </row>
    <row r="155" spans="1:1" x14ac:dyDescent="0.2">
      <c r="A155" s="65" t="s">
        <v>3388</v>
      </c>
    </row>
    <row r="156" spans="1:1" x14ac:dyDescent="0.2">
      <c r="A156" s="65" t="s">
        <v>3420</v>
      </c>
    </row>
    <row r="157" spans="1:1" x14ac:dyDescent="0.2">
      <c r="A157" s="65" t="s">
        <v>3423</v>
      </c>
    </row>
    <row r="158" spans="1:1" x14ac:dyDescent="0.2">
      <c r="A158" s="65" t="s">
        <v>3433</v>
      </c>
    </row>
    <row r="159" spans="1:1" x14ac:dyDescent="0.2">
      <c r="A159" s="65" t="s">
        <v>3454</v>
      </c>
    </row>
    <row r="160" spans="1:1" x14ac:dyDescent="0.2">
      <c r="A160" s="65" t="s">
        <v>3482</v>
      </c>
    </row>
    <row r="161" spans="1:1" x14ac:dyDescent="0.2">
      <c r="A161" s="65" t="s">
        <v>4258</v>
      </c>
    </row>
    <row r="162" spans="1:1" x14ac:dyDescent="0.2">
      <c r="A162" s="65" t="s">
        <v>3607</v>
      </c>
    </row>
    <row r="163" spans="1:1" x14ac:dyDescent="0.2">
      <c r="A163" s="65" t="s">
        <v>3631</v>
      </c>
    </row>
    <row r="164" spans="1:1" x14ac:dyDescent="0.2">
      <c r="A164" s="42" t="s">
        <v>3671</v>
      </c>
    </row>
    <row r="165" spans="1:1" x14ac:dyDescent="0.2">
      <c r="A165" s="65" t="s">
        <v>3709</v>
      </c>
    </row>
    <row r="166" spans="1:1" x14ac:dyDescent="0.2">
      <c r="A166" s="65" t="s">
        <v>3737</v>
      </c>
    </row>
    <row r="167" spans="1:1" x14ac:dyDescent="0.2">
      <c r="A167" s="65" t="s">
        <v>3740</v>
      </c>
    </row>
    <row r="168" spans="1:1" x14ac:dyDescent="0.2">
      <c r="A168" s="65" t="s">
        <v>3746</v>
      </c>
    </row>
    <row r="169" spans="1:1" x14ac:dyDescent="0.2">
      <c r="A169" s="65" t="s">
        <v>3767</v>
      </c>
    </row>
    <row r="170" spans="1:1" x14ac:dyDescent="0.2">
      <c r="A170" s="65" t="s">
        <v>3771</v>
      </c>
    </row>
    <row r="171" spans="1:1" x14ac:dyDescent="0.2">
      <c r="A171" s="65" t="s">
        <v>3772</v>
      </c>
    </row>
    <row r="172" spans="1:1" x14ac:dyDescent="0.2">
      <c r="A172" s="65" t="s">
        <v>3805</v>
      </c>
    </row>
    <row r="173" spans="1:1" x14ac:dyDescent="0.2">
      <c r="A173" s="65" t="s">
        <v>3861</v>
      </c>
    </row>
    <row r="174" spans="1:1" x14ac:dyDescent="0.2">
      <c r="A174" s="376" t="s">
        <v>3878</v>
      </c>
    </row>
    <row r="175" spans="1:1" x14ac:dyDescent="0.2">
      <c r="A175" s="65" t="s">
        <v>3915</v>
      </c>
    </row>
    <row r="176" spans="1:1" x14ac:dyDescent="0.2">
      <c r="A176" s="65" t="s">
        <v>3919</v>
      </c>
    </row>
    <row r="177" spans="1:1" x14ac:dyDescent="0.2">
      <c r="A177" s="65" t="s">
        <v>4005</v>
      </c>
    </row>
    <row r="178" spans="1:1" x14ac:dyDescent="0.2">
      <c r="A178" s="65" t="s">
        <v>4024</v>
      </c>
    </row>
    <row r="179" spans="1:1" x14ac:dyDescent="0.2">
      <c r="A179" s="65" t="s">
        <v>4025</v>
      </c>
    </row>
    <row r="180" spans="1:1" x14ac:dyDescent="0.2">
      <c r="A180" s="65" t="s">
        <v>4077</v>
      </c>
    </row>
    <row r="181" spans="1:1" x14ac:dyDescent="0.2">
      <c r="A181" s="65" t="s">
        <v>4085</v>
      </c>
    </row>
    <row r="182" spans="1:1" x14ac:dyDescent="0.2">
      <c r="A182" s="42" t="s">
        <v>4091</v>
      </c>
    </row>
    <row r="183" spans="1:1" x14ac:dyDescent="0.2">
      <c r="A183" s="65" t="s">
        <v>1860</v>
      </c>
    </row>
    <row r="184" spans="1:1" x14ac:dyDescent="0.2">
      <c r="A184" s="65" t="s">
        <v>4140</v>
      </c>
    </row>
    <row r="185" spans="1:1" x14ac:dyDescent="0.2">
      <c r="A185" s="65" t="s">
        <v>4143</v>
      </c>
    </row>
    <row r="186" spans="1:1" x14ac:dyDescent="0.2">
      <c r="A186" s="65" t="s">
        <v>4182</v>
      </c>
    </row>
    <row r="187" spans="1:1" x14ac:dyDescent="0.2">
      <c r="A187" s="65" t="s">
        <v>4190</v>
      </c>
    </row>
    <row r="188" spans="1:1" x14ac:dyDescent="0.2">
      <c r="A188" s="65" t="s">
        <v>4261</v>
      </c>
    </row>
    <row r="189" spans="1:1" x14ac:dyDescent="0.2">
      <c r="A189" s="65" t="s">
        <v>4284</v>
      </c>
    </row>
    <row r="190" spans="1:1" x14ac:dyDescent="0.2">
      <c r="A190" s="65" t="s">
        <v>4290</v>
      </c>
    </row>
    <row r="191" spans="1:1" x14ac:dyDescent="0.2">
      <c r="A191" s="65" t="s">
        <v>4305</v>
      </c>
    </row>
    <row r="192" spans="1:1" x14ac:dyDescent="0.2">
      <c r="A192" s="199" t="s">
        <v>4307</v>
      </c>
    </row>
    <row r="193" spans="1:1" x14ac:dyDescent="0.2">
      <c r="A193" s="199"/>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1900</v>
      </c>
      <c r="B17" s="61" t="s">
        <v>1900</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5">
      <c r="A29" s="61" t="s">
        <v>951</v>
      </c>
      <c r="B29" s="61" t="s">
        <v>951</v>
      </c>
    </row>
    <row r="30" spans="1:2" x14ac:dyDescent="0.25">
      <c r="A30" s="61" t="s">
        <v>951</v>
      </c>
      <c r="B30" s="61" t="s">
        <v>951</v>
      </c>
    </row>
    <row r="31" spans="1:2" x14ac:dyDescent="0.25">
      <c r="A31" s="61"/>
    </row>
    <row r="32" spans="1:2" x14ac:dyDescent="0.25">
      <c r="A32" s="61"/>
    </row>
    <row r="33" spans="1:1" x14ac:dyDescent="0.25">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27" zoomScale="85" zoomScaleNormal="85" workbookViewId="0">
      <selection activeCell="K32" sqref="K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x14ac:dyDescent="0.2">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3572</v>
      </c>
    </row>
    <row r="26" spans="1:50" ht="76.5" x14ac:dyDescent="0.2">
      <c r="A26" s="83" t="s">
        <v>2907</v>
      </c>
      <c r="B26" s="84" t="s">
        <v>2908</v>
      </c>
      <c r="C26" s="83">
        <v>8</v>
      </c>
      <c r="D26" s="83" t="s">
        <v>2770</v>
      </c>
      <c r="E26" s="85"/>
      <c r="F26" s="85"/>
      <c r="G26" s="85" t="s">
        <v>2951</v>
      </c>
      <c r="H26" s="83" t="s">
        <v>1924</v>
      </c>
      <c r="I26" s="83" t="s">
        <v>793</v>
      </c>
      <c r="J26" s="83" t="s">
        <v>2119</v>
      </c>
      <c r="K26" s="83" t="s">
        <v>3196</v>
      </c>
    </row>
    <row r="27" spans="1:50" ht="127.5" x14ac:dyDescent="0.2">
      <c r="A27" s="81" t="s">
        <v>1313</v>
      </c>
      <c r="B27" s="211" t="s">
        <v>3605</v>
      </c>
      <c r="C27" s="81">
        <v>2</v>
      </c>
      <c r="D27" s="81" t="s">
        <v>3362</v>
      </c>
      <c r="E27" s="246">
        <v>45243</v>
      </c>
      <c r="F27" s="246" t="s">
        <v>73</v>
      </c>
      <c r="G27" s="246" t="s">
        <v>78</v>
      </c>
      <c r="H27" s="81">
        <f>IFERROR(VLOOKUP(G27,Jueces!$A$1:$B$11,2,FALSE),"")</f>
        <v>8</v>
      </c>
      <c r="I27" s="81" t="s">
        <v>582</v>
      </c>
      <c r="J27" s="81" t="s">
        <v>712</v>
      </c>
      <c r="K27" s="81" t="s">
        <v>3932</v>
      </c>
    </row>
    <row r="28" spans="1:50" s="1" customFormat="1" ht="39.950000000000003" customHeight="1" x14ac:dyDescent="0.2">
      <c r="A28" s="262" t="s">
        <v>3896</v>
      </c>
      <c r="B28" s="263" t="s">
        <v>3918</v>
      </c>
      <c r="C28" s="262">
        <v>3</v>
      </c>
      <c r="D28" s="262" t="s">
        <v>3361</v>
      </c>
      <c r="E28" s="391">
        <v>45257</v>
      </c>
      <c r="F28" s="391" t="s">
        <v>1086</v>
      </c>
      <c r="G28" s="391" t="s">
        <v>1224</v>
      </c>
      <c r="H28" s="50" t="s">
        <v>4065</v>
      </c>
      <c r="I28" s="359"/>
      <c r="J28" s="359"/>
      <c r="K28" s="262" t="s">
        <v>4013</v>
      </c>
      <c r="L28" s="117"/>
      <c r="M28" s="388"/>
      <c r="N28" s="389"/>
      <c r="O28" s="117"/>
      <c r="P28" s="117"/>
      <c r="Q28" s="117"/>
      <c r="R28" s="117"/>
      <c r="S28" s="117"/>
      <c r="T28" s="118"/>
      <c r="U28" s="118"/>
      <c r="V28" s="117"/>
      <c r="W28" s="117"/>
      <c r="X28" s="117"/>
      <c r="Y28" s="117"/>
      <c r="Z28" s="117"/>
      <c r="AA28" s="390"/>
      <c r="AB28" s="117"/>
      <c r="AC28" s="119"/>
    </row>
    <row r="29" spans="1:50" s="1" customFormat="1" ht="39.950000000000003" customHeight="1" x14ac:dyDescent="0.2">
      <c r="A29" s="262" t="s">
        <v>3149</v>
      </c>
      <c r="B29" s="263" t="s">
        <v>3212</v>
      </c>
      <c r="C29" s="262">
        <v>1</v>
      </c>
      <c r="D29" s="262" t="s">
        <v>1440</v>
      </c>
      <c r="E29" s="391">
        <v>45245</v>
      </c>
      <c r="F29" s="391" t="s">
        <v>73</v>
      </c>
      <c r="G29" s="391" t="s">
        <v>1220</v>
      </c>
      <c r="H29" s="262" t="s">
        <v>1924</v>
      </c>
      <c r="I29" s="262" t="s">
        <v>789</v>
      </c>
      <c r="J29" s="262" t="s">
        <v>712</v>
      </c>
      <c r="K29" s="262" t="s">
        <v>4078</v>
      </c>
      <c r="L29" s="119"/>
      <c r="M29" s="119"/>
      <c r="N29" s="119"/>
      <c r="O29" s="117"/>
      <c r="P29" s="117"/>
      <c r="Q29" s="117"/>
      <c r="R29" s="117"/>
      <c r="S29" s="117"/>
      <c r="T29" s="118"/>
      <c r="U29" s="118"/>
      <c r="V29" s="117"/>
      <c r="W29" s="117"/>
      <c r="X29" s="117"/>
      <c r="Y29" s="117"/>
      <c r="Z29" s="117"/>
      <c r="AA29" s="390"/>
      <c r="AB29" s="117"/>
      <c r="AC29" s="119"/>
      <c r="AD29" s="8"/>
      <c r="AE29" s="8"/>
      <c r="AF29" s="8"/>
      <c r="AG29" s="8"/>
      <c r="AH29" s="8"/>
    </row>
    <row r="30" spans="1:50" ht="102" x14ac:dyDescent="0.2">
      <c r="A30" s="83" t="s">
        <v>3770</v>
      </c>
      <c r="B30" s="84" t="s">
        <v>3786</v>
      </c>
      <c r="C30" s="83">
        <v>6</v>
      </c>
      <c r="D30" s="83" t="s">
        <v>1442</v>
      </c>
      <c r="E30" s="85">
        <v>45245</v>
      </c>
      <c r="F30" s="85" t="s">
        <v>73</v>
      </c>
      <c r="G30" s="85" t="s">
        <v>2951</v>
      </c>
      <c r="H30" s="83" t="s">
        <v>3818</v>
      </c>
      <c r="I30" s="83" t="s">
        <v>2092</v>
      </c>
      <c r="J30" s="367" t="s">
        <v>3771</v>
      </c>
      <c r="K30" s="83" t="s">
        <v>4080</v>
      </c>
    </row>
    <row r="31" spans="1:50" ht="63.75" x14ac:dyDescent="0.2">
      <c r="A31" s="83" t="s">
        <v>3825</v>
      </c>
      <c r="B31" s="84" t="s">
        <v>3849</v>
      </c>
      <c r="C31" s="83">
        <v>4</v>
      </c>
      <c r="D31" s="83" t="s">
        <v>1441</v>
      </c>
      <c r="E31" s="85">
        <v>45253</v>
      </c>
      <c r="F31" s="85" t="s">
        <v>1209</v>
      </c>
      <c r="G31" s="85" t="s">
        <v>31</v>
      </c>
      <c r="H31" s="83">
        <f>IFERROR(VLOOKUP(G31,Jueces!$A$1:$B$11,2,FALSE),"")</f>
        <v>2</v>
      </c>
      <c r="I31" s="83" t="s">
        <v>813</v>
      </c>
      <c r="J31" s="83" t="s">
        <v>3797</v>
      </c>
      <c r="K31" s="418" t="s">
        <v>4217</v>
      </c>
    </row>
    <row r="32" spans="1:50" ht="178.5" x14ac:dyDescent="0.2">
      <c r="A32" s="360" t="s">
        <v>159</v>
      </c>
      <c r="B32" s="84" t="s">
        <v>4076</v>
      </c>
      <c r="C32" s="80">
        <v>3</v>
      </c>
      <c r="D32" s="80" t="s">
        <v>43</v>
      </c>
      <c r="E32" s="82">
        <v>45254</v>
      </c>
      <c r="F32" s="85" t="s">
        <v>1209</v>
      </c>
      <c r="G32" s="82" t="s">
        <v>1220</v>
      </c>
      <c r="H32" s="80">
        <f>IFERROR(VLOOKUP(G32,Jueces!$A$1:$B$11,2,FALSE),"")</f>
        <v>7</v>
      </c>
      <c r="I32" s="83" t="s">
        <v>793</v>
      </c>
      <c r="J32" s="381" t="s">
        <v>4077</v>
      </c>
      <c r="K32" s="83" t="s">
        <v>4265</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62" t="s">
        <v>732</v>
      </c>
      <c r="I1" s="462"/>
      <c r="J1" s="462"/>
      <c r="K1" s="462"/>
      <c r="L1" s="462"/>
      <c r="M1" s="462"/>
      <c r="N1" s="462"/>
      <c r="O1" s="462"/>
      <c r="P1" s="462"/>
      <c r="Q1" s="462"/>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45255</v>
      </c>
    </row>
    <row r="2" spans="2:3" ht="24.95" customHeight="1" x14ac:dyDescent="0.2">
      <c r="B2" s="461" t="s">
        <v>393</v>
      </c>
      <c r="C2" s="461"/>
    </row>
    <row r="3" spans="2:3" ht="24.95" customHeight="1" x14ac:dyDescent="0.2">
      <c r="B3" s="13" t="s">
        <v>3</v>
      </c>
      <c r="C3" s="13" t="s">
        <v>362</v>
      </c>
    </row>
    <row r="4" spans="2:3" ht="24.95" customHeight="1" x14ac:dyDescent="0.2">
      <c r="B4" s="11" t="s">
        <v>43</v>
      </c>
      <c r="C4" s="11">
        <f ca="1">COUNTIFS(EXPEDIENTES!G:G,B4,EXPEDIENTES!O:O,"NO")</f>
        <v>4</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18</v>
      </c>
    </row>
    <row r="13" spans="2:3" ht="24.95" customHeight="1" x14ac:dyDescent="0.2">
      <c r="B13" s="14"/>
      <c r="C13" s="14"/>
    </row>
    <row r="14" spans="2:3" ht="24.95" customHeight="1" x14ac:dyDescent="0.2">
      <c r="B14" s="461" t="s">
        <v>448</v>
      </c>
      <c r="C14" s="461"/>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121</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88</v>
      </c>
    </row>
    <row r="23" spans="2:3" ht="24.95" customHeight="1" x14ac:dyDescent="0.2">
      <c r="B23" s="25" t="s">
        <v>370</v>
      </c>
      <c r="C23" s="28">
        <f>SUM(C16:C22)</f>
        <v>521</v>
      </c>
    </row>
    <row r="24" spans="2:3" ht="23.25" customHeight="1" x14ac:dyDescent="0.2">
      <c r="B24" s="11" t="s">
        <v>450</v>
      </c>
      <c r="C24" s="11">
        <f>'no realizadas'!N10</f>
        <v>0</v>
      </c>
    </row>
    <row r="25" spans="2:3" ht="24.95" customHeight="1" x14ac:dyDescent="0.2">
      <c r="B25" s="14"/>
      <c r="C25" s="14"/>
    </row>
    <row r="26" spans="2:3" ht="24.95" customHeight="1" x14ac:dyDescent="0.2">
      <c r="B26" s="461" t="s">
        <v>449</v>
      </c>
      <c r="C26" s="461"/>
    </row>
    <row r="27" spans="2:3" ht="24.95" customHeight="1" x14ac:dyDescent="0.2">
      <c r="B27" s="13" t="s">
        <v>3</v>
      </c>
      <c r="C27" s="13" t="s">
        <v>362</v>
      </c>
    </row>
    <row r="28" spans="2:3" ht="24.95" customHeight="1" x14ac:dyDescent="0.2">
      <c r="B28" s="11" t="s">
        <v>43</v>
      </c>
      <c r="C28" s="11">
        <f ca="1">COUNTIFS(EXPEDIENTES!G:G,B28,EXPEDIENTES!O:O,"SI")</f>
        <v>105</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5">
      <c r="B31" s="11" t="s">
        <v>283</v>
      </c>
      <c r="C31" s="11">
        <f ca="1">COUNTIFS(EXPEDIENTES!G:G,B31,EXPEDIENTES!O:O,"SI")</f>
        <v>115</v>
      </c>
    </row>
    <row r="32" spans="2:3" ht="24.95" customHeight="1" x14ac:dyDescent="0.25">
      <c r="B32" s="11" t="s">
        <v>32</v>
      </c>
      <c r="C32" s="11">
        <f ca="1">COUNTIFS(EXPEDIENTES!G:G,B32,EXPEDIENTES!O:O,"SI")</f>
        <v>78</v>
      </c>
    </row>
    <row r="33" spans="2:3" ht="24.95" customHeight="1" x14ac:dyDescent="0.25">
      <c r="B33" s="11" t="s">
        <v>320</v>
      </c>
      <c r="C33" s="11">
        <f>COUNTIFS(EXPEDIENTES!G:G,B33,EXPEDIENTES!O:O,"SI")</f>
        <v>0</v>
      </c>
    </row>
    <row r="34" spans="2:3" ht="24.95" customHeight="1" x14ac:dyDescent="0.25">
      <c r="B34" s="11" t="s">
        <v>568</v>
      </c>
      <c r="C34" s="11">
        <f ca="1">COUNTIFS(EXPEDIENTES!G:G,B34,EXPEDIENTES!O:O,"SI")</f>
        <v>81</v>
      </c>
    </row>
    <row r="35" spans="2:3" ht="24.95" customHeight="1" x14ac:dyDescent="0.25">
      <c r="B35" s="25" t="s">
        <v>371</v>
      </c>
      <c r="C35" s="28">
        <f ca="1">SUM(C28:C34)</f>
        <v>503</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5">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5">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5">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5">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5">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5">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5">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5">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5">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5">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5">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5">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5">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5">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5">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5">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5">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5">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5">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5">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5">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5">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5">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5">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5">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5">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5">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5">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5">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5">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5">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5">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5">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5">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5">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5">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5">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5">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5">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5">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5">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5">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5">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5">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5">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5">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5">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5">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5">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5">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5">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5">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5">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5">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5">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5">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5">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5">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5">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5">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5">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5">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5">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5">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5">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5">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5">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5">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5">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5">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5">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5">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5">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5">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5">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5">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5">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5">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5">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5">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5">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5">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5">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5">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5">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5">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5">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5">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5">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5">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5">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5">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5">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5">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5">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5">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5">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5">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5">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5">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5">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5">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5">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5">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5">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5">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5">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5">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5">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5">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5">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5">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5">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5">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5">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5">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5">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5">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5">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5">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5">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5">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5">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5">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5">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5">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5">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5">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5">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5">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5">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5">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5">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5">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5">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5">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5">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5">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5">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5">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5">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5">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5">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5">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5">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5">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5">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5">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5">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5">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5">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5">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5">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5">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5">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5">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5">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5">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5">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5">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5">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5">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5">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5">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5">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5">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5">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5">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5">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5">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5">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5">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5">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5">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5">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5">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5">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5">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5">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5">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5">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5">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5">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5">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5">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5">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5">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5">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5">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5">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5">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5">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5">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5">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5">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5">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5">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5">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5">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5">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5">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5">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5">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5">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5">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5">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5">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5">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5">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5">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5">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5">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5">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5">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5">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5">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5">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5">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5">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5">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5">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5">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5">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5">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5">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5">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5">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5">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5">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5">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5">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5">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5">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5">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5">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5">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5">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5">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5">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5">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5">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5">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5">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5">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5">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5">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5">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5">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5">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5">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5">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5">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5">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5">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5">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5">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5">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5">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5">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5">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5">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5">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5">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5">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5">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5">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5">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5">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5">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5">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5">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5">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5">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5">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5">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5">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5">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5">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5">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5">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5">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5">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5">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5">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5">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5">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5">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5">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5">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5">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5">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5">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5">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5">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5">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5">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5">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5">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5">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5">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5">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5">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5">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5">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5">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5">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5">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5">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5">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5">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5">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5">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5">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5">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5">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5">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5">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5">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5">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5">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5">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5">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5">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5">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5">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5">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5">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5">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5">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5">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5">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5">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5">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5">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5">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5">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5">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5">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5">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5">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5">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5">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5">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5">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5">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5">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5">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5">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5">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5">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5">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5">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5">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5">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5">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5">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5">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5">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5">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5">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5">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5">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5">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5">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5">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5">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5">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5">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5">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5">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5">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5">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5">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5">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5">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5">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5">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5">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5">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5">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5">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5">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5">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5">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5">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5">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5">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5">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5">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5">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5">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5">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5">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5">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5">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5">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5">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5">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5">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5">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5">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5">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5">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5">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5">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5">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5">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5">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5">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5">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5">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5">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5">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5">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5">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5">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5">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5">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5">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5">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5">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5">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5">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5">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5">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5">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5">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5">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5">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5">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5">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5">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5">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5">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5">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5">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5">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5">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5">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5">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5">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5">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5">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5">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5">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5">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5">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5">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5">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5">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5">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5">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5">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5">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5">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5">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5">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5">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5">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5">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5">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5">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5">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5">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5">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5">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5">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5">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5">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5">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5">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5">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5">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5">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5">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5">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5">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5">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5">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5">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5">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5">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5">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5">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5">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5">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5">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5">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5">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5">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5">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5">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5">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5">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5">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5">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5">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5">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5">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5">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5">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5">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5">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5">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5">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5">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5">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5">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5">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5">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5">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5">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5">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5">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5">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5">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5">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5">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5">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5">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5">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5">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5">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5">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5">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5">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5">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5">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5">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5">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5">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5">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5">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5">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5">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5">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5">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5">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5">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5">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5">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5">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5">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5">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5">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5">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5">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5">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5">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5">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5">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5">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5">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5">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5">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5">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5">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5">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5">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5">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5">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5">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5">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5">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5">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5">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5">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5">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5">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5">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5">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5">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5">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5">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5">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5">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5">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5">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5">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5">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5">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5">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5">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5">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5">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5">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5">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5">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5">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5">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5">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5">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5">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5">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5">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5">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5">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5">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5">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5">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5">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5">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5">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5">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5">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5">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5">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5">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5">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5">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5">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5">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5">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5">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5">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5">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5">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5">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5">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5">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5">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5">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5">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5">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5">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5">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5">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5">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5">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5">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5">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5">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5">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5">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5">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5">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5">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5">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5">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5">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5">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5">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5">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5">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5">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5">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5">
      <c r="A661" s="178" t="str">
        <f t="shared" si="20"/>
        <v>02/10/yyyy5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x14ac:dyDescent="0.25">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5">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5">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5">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5">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5">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5">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5">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5">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5">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5">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5">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5">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5">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5">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5">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5">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5">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5">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5">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5">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5">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5">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5">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5">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5">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5">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5">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5">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5">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5">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5">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5">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5">
      <c r="A695" s="178" t="str">
        <f t="shared" si="20"/>
        <v>06/10/yyyy5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x14ac:dyDescent="0.25">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5">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5">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5">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5">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5">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5">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5">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5">
      <c r="A704" s="178" t="str">
        <f t="shared" si="20"/>
        <v>09/10/yyyy5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x14ac:dyDescent="0.25">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5">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5">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5">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5">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5">
      <c r="A710" s="178" t="str">
        <f t="shared" si="22"/>
        <v>10/10/yyyy3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x14ac:dyDescent="0.25">
      <c r="A711" s="178" t="str">
        <f t="shared" si="22"/>
        <v>10/10/yyyy4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x14ac:dyDescent="0.25">
      <c r="A712" s="178" t="str">
        <f t="shared" si="22"/>
        <v>10/10/yyyy5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x14ac:dyDescent="0.25">
      <c r="A713" s="178" t="str">
        <f t="shared" si="22"/>
        <v>10/10/yyyy6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x14ac:dyDescent="0.25">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5">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5">
      <c r="A716" s="178" t="str">
        <f t="shared" si="22"/>
        <v>10/10/yyyy9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x14ac:dyDescent="0.25">
      <c r="A717" s="178" t="str">
        <f t="shared" si="22"/>
        <v>11/10/yyyy1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x14ac:dyDescent="0.25">
      <c r="A718" s="178" t="str">
        <f t="shared" si="22"/>
        <v>11/10/yyyy2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x14ac:dyDescent="0.25">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5">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5">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x14ac:dyDescent="0.25">
      <c r="A722" s="178" t="str">
        <f t="shared" si="22"/>
        <v>11/10/yyyy6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x14ac:dyDescent="0.25">
      <c r="A723" s="178" t="str">
        <f t="shared" si="22"/>
        <v>11/10/yyyy7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x14ac:dyDescent="0.25">
      <c r="A724" s="178" t="str">
        <f t="shared" si="22"/>
        <v>11/10/yyyy8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x14ac:dyDescent="0.25">
      <c r="A725" s="178" t="str">
        <f t="shared" si="22"/>
        <v>12/10/yyyy1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x14ac:dyDescent="0.25">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5">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5">
      <c r="A728" s="178" t="str">
        <f t="shared" si="22"/>
        <v>00/01/yyyy2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x14ac:dyDescent="0.25">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5">
      <c r="A730" s="178" t="str">
        <f t="shared" si="22"/>
        <v>00/01/yyyy4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x14ac:dyDescent="0.25">
      <c r="A731" s="178" t="str">
        <f t="shared" si="22"/>
        <v>00/01/yyyy5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x14ac:dyDescent="0.25">
      <c r="A732" s="178" t="str">
        <f t="shared" si="22"/>
        <v>00/01/yyyy6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x14ac:dyDescent="0.25">
      <c r="A733" s="178" t="str">
        <f t="shared" si="22"/>
        <v>00/01/yyyy7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x14ac:dyDescent="0.25">
      <c r="A734" s="178" t="str">
        <f t="shared" si="22"/>
        <v>00/01/yyyy8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x14ac:dyDescent="0.25">
      <c r="A735" s="178" t="str">
        <f t="shared" si="22"/>
        <v>00/01/yyyy9</v>
      </c>
      <c r="B735" s="171">
        <f t="shared" si="23"/>
        <v>9</v>
      </c>
    </row>
    <row r="736" spans="1:12" ht="30" customHeight="1" x14ac:dyDescent="0.25">
      <c r="A736" s="178" t="str">
        <f t="shared" si="22"/>
        <v>00/01/yyyy10</v>
      </c>
      <c r="B736" s="171">
        <f t="shared" si="23"/>
        <v>10</v>
      </c>
    </row>
    <row r="737" spans="1:2" ht="30" customHeight="1" x14ac:dyDescent="0.25">
      <c r="A737" s="178" t="str">
        <f t="shared" si="22"/>
        <v>00/01/yyyy11</v>
      </c>
      <c r="B737" s="171">
        <f t="shared" si="23"/>
        <v>11</v>
      </c>
    </row>
    <row r="738" spans="1:2" ht="30" customHeight="1" x14ac:dyDescent="0.25">
      <c r="A738" s="178" t="str">
        <f t="shared" si="22"/>
        <v>00/01/yyyy12</v>
      </c>
      <c r="B738" s="171">
        <f t="shared" si="23"/>
        <v>12</v>
      </c>
    </row>
    <row r="739" spans="1:2" ht="30" customHeight="1" x14ac:dyDescent="0.25">
      <c r="A739" s="178" t="str">
        <f t="shared" si="22"/>
        <v>00/01/yyyy13</v>
      </c>
      <c r="B739" s="171">
        <f t="shared" si="23"/>
        <v>13</v>
      </c>
    </row>
    <row r="740" spans="1:2" ht="30" customHeight="1" x14ac:dyDescent="0.25">
      <c r="A740" s="178" t="str">
        <f t="shared" si="22"/>
        <v>00/01/yyyy14</v>
      </c>
      <c r="B740" s="171">
        <f t="shared" si="23"/>
        <v>14</v>
      </c>
    </row>
    <row r="741" spans="1:2" ht="30" customHeight="1" x14ac:dyDescent="0.25">
      <c r="A741" s="178" t="str">
        <f t="shared" si="22"/>
        <v>00/01/yyyy15</v>
      </c>
      <c r="B741" s="171">
        <f t="shared" si="23"/>
        <v>15</v>
      </c>
    </row>
    <row r="742" spans="1:2" ht="30" customHeight="1" x14ac:dyDescent="0.25">
      <c r="A742" s="178" t="str">
        <f t="shared" si="22"/>
        <v>00/01/yyyy16</v>
      </c>
      <c r="B742" s="171">
        <f t="shared" si="23"/>
        <v>16</v>
      </c>
    </row>
    <row r="743" spans="1:2" ht="30" customHeight="1" x14ac:dyDescent="0.25">
      <c r="A743" s="178" t="str">
        <f t="shared" si="22"/>
        <v>00/01/yyyy17</v>
      </c>
      <c r="B743" s="171">
        <f t="shared" si="23"/>
        <v>17</v>
      </c>
    </row>
    <row r="744" spans="1:2" ht="30" customHeight="1" x14ac:dyDescent="0.25">
      <c r="A744" s="178" t="str">
        <f t="shared" si="22"/>
        <v>00/01/yyyy18</v>
      </c>
      <c r="B744" s="171">
        <f t="shared" si="23"/>
        <v>18</v>
      </c>
    </row>
    <row r="745" spans="1:2" ht="30" customHeight="1" x14ac:dyDescent="0.25">
      <c r="A745" s="178" t="str">
        <f t="shared" si="22"/>
        <v>00/01/yyyy19</v>
      </c>
      <c r="B745" s="171">
        <f t="shared" si="23"/>
        <v>19</v>
      </c>
    </row>
    <row r="746" spans="1:2" ht="30" customHeight="1" x14ac:dyDescent="0.25">
      <c r="A746" s="178" t="str">
        <f t="shared" si="22"/>
        <v>00/01/yyyy20</v>
      </c>
      <c r="B746" s="171">
        <f t="shared" si="23"/>
        <v>20</v>
      </c>
    </row>
    <row r="747" spans="1:2" ht="30" customHeight="1" x14ac:dyDescent="0.25">
      <c r="A747" s="178" t="str">
        <f t="shared" si="22"/>
        <v>00/01/yyyy21</v>
      </c>
      <c r="B747" s="171">
        <f t="shared" si="23"/>
        <v>21</v>
      </c>
    </row>
    <row r="748" spans="1:2" ht="30" customHeight="1" x14ac:dyDescent="0.25">
      <c r="A748" s="178" t="str">
        <f t="shared" si="22"/>
        <v>00/01/yyyy22</v>
      </c>
      <c r="B748" s="171">
        <f t="shared" si="23"/>
        <v>22</v>
      </c>
    </row>
    <row r="749" spans="1:2" ht="30" customHeight="1" x14ac:dyDescent="0.25">
      <c r="A749" s="178" t="str">
        <f t="shared" si="22"/>
        <v>00/01/yyyy23</v>
      </c>
      <c r="B749" s="171">
        <f t="shared" si="23"/>
        <v>23</v>
      </c>
    </row>
    <row r="750" spans="1:2" ht="30" customHeight="1" x14ac:dyDescent="0.25">
      <c r="A750" s="178" t="str">
        <f t="shared" si="22"/>
        <v>00/01/yyyy24</v>
      </c>
      <c r="B750" s="171">
        <f t="shared" si="23"/>
        <v>24</v>
      </c>
    </row>
    <row r="751" spans="1:2" ht="30" customHeight="1" x14ac:dyDescent="0.25">
      <c r="A751" s="178" t="str">
        <f t="shared" si="22"/>
        <v>00/01/yyyy25</v>
      </c>
      <c r="B751" s="171">
        <f t="shared" si="23"/>
        <v>25</v>
      </c>
    </row>
    <row r="752" spans="1:2" ht="30" customHeight="1" x14ac:dyDescent="0.25">
      <c r="A752" s="178" t="str">
        <f t="shared" si="22"/>
        <v>00/01/yyyy26</v>
      </c>
      <c r="B752" s="171">
        <f t="shared" si="23"/>
        <v>26</v>
      </c>
    </row>
    <row r="753" spans="1:2" ht="30" customHeight="1" x14ac:dyDescent="0.25">
      <c r="A753" s="178" t="str">
        <f t="shared" si="22"/>
        <v>00/01/yyyy27</v>
      </c>
      <c r="B753" s="171">
        <f t="shared" si="23"/>
        <v>27</v>
      </c>
    </row>
    <row r="754" spans="1:2" ht="30" customHeight="1" x14ac:dyDescent="0.25">
      <c r="A754" s="178" t="str">
        <f t="shared" si="22"/>
        <v>00/01/yyyy28</v>
      </c>
      <c r="B754" s="171">
        <f t="shared" si="23"/>
        <v>28</v>
      </c>
    </row>
    <row r="755" spans="1:2" ht="30" customHeight="1" x14ac:dyDescent="0.25">
      <c r="A755" s="178" t="str">
        <f t="shared" si="22"/>
        <v>00/01/yyyy29</v>
      </c>
      <c r="B755" s="171">
        <f t="shared" si="23"/>
        <v>29</v>
      </c>
    </row>
    <row r="756" spans="1:2" ht="30" customHeight="1" x14ac:dyDescent="0.25">
      <c r="A756" s="178" t="str">
        <f t="shared" si="22"/>
        <v>00/01/yyyy30</v>
      </c>
      <c r="B756" s="171">
        <f t="shared" si="23"/>
        <v>30</v>
      </c>
    </row>
    <row r="757" spans="1:2" ht="30" customHeight="1" x14ac:dyDescent="0.25">
      <c r="A757" s="178" t="str">
        <f t="shared" si="22"/>
        <v>00/01/yyyy31</v>
      </c>
      <c r="B757" s="171">
        <f t="shared" si="23"/>
        <v>31</v>
      </c>
    </row>
    <row r="758" spans="1:2" ht="30" customHeight="1" x14ac:dyDescent="0.25">
      <c r="A758" s="178" t="str">
        <f t="shared" si="22"/>
        <v>00/01/yyyy32</v>
      </c>
      <c r="B758" s="171">
        <f t="shared" si="23"/>
        <v>32</v>
      </c>
    </row>
    <row r="759" spans="1:2" ht="30" customHeight="1" x14ac:dyDescent="0.25">
      <c r="A759" s="178" t="str">
        <f t="shared" si="22"/>
        <v>00/01/yyyy33</v>
      </c>
      <c r="B759" s="171">
        <f t="shared" si="23"/>
        <v>33</v>
      </c>
    </row>
    <row r="760" spans="1:2" ht="30" customHeight="1" x14ac:dyDescent="0.25">
      <c r="A760" s="178" t="str">
        <f t="shared" si="22"/>
        <v>00/01/yyyy34</v>
      </c>
      <c r="B760" s="171">
        <f t="shared" si="23"/>
        <v>34</v>
      </c>
    </row>
    <row r="761" spans="1:2" ht="30" customHeight="1" x14ac:dyDescent="0.25">
      <c r="A761" s="178" t="str">
        <f t="shared" si="22"/>
        <v>00/01/yyyy35</v>
      </c>
      <c r="B761" s="171">
        <f t="shared" si="23"/>
        <v>35</v>
      </c>
    </row>
    <row r="762" spans="1:2" ht="30" customHeight="1" x14ac:dyDescent="0.25">
      <c r="A762" s="178" t="str">
        <f t="shared" si="22"/>
        <v>00/01/yyyy36</v>
      </c>
      <c r="B762" s="171">
        <f t="shared" si="23"/>
        <v>36</v>
      </c>
    </row>
    <row r="763" spans="1:2" ht="30" customHeight="1" x14ac:dyDescent="0.25">
      <c r="A763" s="178" t="str">
        <f t="shared" si="22"/>
        <v>00/01/yyyy37</v>
      </c>
      <c r="B763" s="171">
        <f t="shared" si="23"/>
        <v>37</v>
      </c>
    </row>
    <row r="764" spans="1:2" ht="30" customHeight="1" x14ac:dyDescent="0.25">
      <c r="A764" s="178" t="str">
        <f t="shared" si="22"/>
        <v>00/01/yyyy38</v>
      </c>
      <c r="B764" s="171">
        <f t="shared" si="23"/>
        <v>38</v>
      </c>
    </row>
    <row r="765" spans="1:2" ht="30" customHeight="1" x14ac:dyDescent="0.25">
      <c r="A765" s="178" t="str">
        <f t="shared" si="22"/>
        <v>00/01/yyyy39</v>
      </c>
      <c r="B765" s="171">
        <f t="shared" si="23"/>
        <v>39</v>
      </c>
    </row>
    <row r="766" spans="1:2" ht="30" customHeight="1" x14ac:dyDescent="0.25">
      <c r="A766" s="178" t="str">
        <f t="shared" si="22"/>
        <v>00/01/yyyy40</v>
      </c>
      <c r="B766" s="171">
        <f t="shared" si="23"/>
        <v>40</v>
      </c>
    </row>
    <row r="767" spans="1:2" ht="30" customHeight="1" x14ac:dyDescent="0.25">
      <c r="A767" s="178" t="str">
        <f t="shared" si="22"/>
        <v>00/01/yyyy41</v>
      </c>
      <c r="B767" s="171">
        <f t="shared" si="23"/>
        <v>41</v>
      </c>
    </row>
    <row r="768" spans="1:2" ht="30" customHeight="1" x14ac:dyDescent="0.25">
      <c r="A768" s="178" t="str">
        <f t="shared" si="22"/>
        <v>00/01/yyyy42</v>
      </c>
      <c r="B768" s="171">
        <f t="shared" si="23"/>
        <v>42</v>
      </c>
    </row>
    <row r="769" spans="1:2" ht="30" customHeight="1" x14ac:dyDescent="0.25">
      <c r="A769" s="178" t="str">
        <f t="shared" si="22"/>
        <v>00/01/yyyy43</v>
      </c>
      <c r="B769" s="171">
        <f t="shared" si="23"/>
        <v>43</v>
      </c>
    </row>
    <row r="770" spans="1:2" ht="30" customHeight="1" x14ac:dyDescent="0.25">
      <c r="A770" s="178" t="str">
        <f t="shared" si="22"/>
        <v>00/01/yyyy44</v>
      </c>
      <c r="B770" s="171">
        <f t="shared" si="23"/>
        <v>44</v>
      </c>
    </row>
    <row r="771" spans="1:2" ht="30" customHeight="1" x14ac:dyDescent="0.25">
      <c r="A771" s="178" t="str">
        <f t="shared" ref="A771:A834" si="24">CONCATENATE(TEXT($G771,"dd/mm/yyyy"),$B771)</f>
        <v>00/01/yyyy45</v>
      </c>
      <c r="B771" s="171">
        <f t="shared" si="23"/>
        <v>45</v>
      </c>
    </row>
    <row r="772" spans="1:2" ht="30" customHeight="1" x14ac:dyDescent="0.25">
      <c r="A772" s="178" t="str">
        <f t="shared" si="24"/>
        <v>00/01/yyyy46</v>
      </c>
      <c r="B772" s="171">
        <f t="shared" ref="B772:B835" si="25">IF($G772=$G771,$B771+1,1)</f>
        <v>46</v>
      </c>
    </row>
    <row r="773" spans="1:2" ht="30" customHeight="1" x14ac:dyDescent="0.25">
      <c r="A773" s="178" t="str">
        <f t="shared" si="24"/>
        <v>00/01/yyyy47</v>
      </c>
      <c r="B773" s="171">
        <f t="shared" si="25"/>
        <v>47</v>
      </c>
    </row>
    <row r="774" spans="1:2" ht="30" customHeight="1" x14ac:dyDescent="0.25">
      <c r="A774" s="178" t="str">
        <f t="shared" si="24"/>
        <v>00/01/yyyy48</v>
      </c>
      <c r="B774" s="171">
        <f t="shared" si="25"/>
        <v>48</v>
      </c>
    </row>
    <row r="775" spans="1:2" ht="30" customHeight="1" x14ac:dyDescent="0.25">
      <c r="A775" s="178" t="str">
        <f t="shared" si="24"/>
        <v>00/01/yyyy49</v>
      </c>
      <c r="B775" s="171">
        <f t="shared" si="25"/>
        <v>49</v>
      </c>
    </row>
    <row r="776" spans="1:2" ht="30" customHeight="1" x14ac:dyDescent="0.25">
      <c r="A776" s="178" t="str">
        <f t="shared" si="24"/>
        <v>00/01/yyyy50</v>
      </c>
      <c r="B776" s="171">
        <f t="shared" si="25"/>
        <v>50</v>
      </c>
    </row>
    <row r="777" spans="1:2" ht="30" customHeight="1" x14ac:dyDescent="0.25">
      <c r="A777" s="178" t="str">
        <f t="shared" si="24"/>
        <v>00/01/yyyy51</v>
      </c>
      <c r="B777" s="171">
        <f t="shared" si="25"/>
        <v>51</v>
      </c>
    </row>
    <row r="778" spans="1:2" ht="30" customHeight="1" x14ac:dyDescent="0.25">
      <c r="A778" s="178" t="str">
        <f t="shared" si="24"/>
        <v>00/01/yyyy52</v>
      </c>
      <c r="B778" s="171">
        <f t="shared" si="25"/>
        <v>52</v>
      </c>
    </row>
    <row r="779" spans="1:2" ht="30" customHeight="1" x14ac:dyDescent="0.25">
      <c r="A779" s="178" t="str">
        <f t="shared" si="24"/>
        <v>00/01/yyyy53</v>
      </c>
      <c r="B779" s="171">
        <f t="shared" si="25"/>
        <v>53</v>
      </c>
    </row>
    <row r="780" spans="1:2" ht="30" customHeight="1" x14ac:dyDescent="0.25">
      <c r="A780" s="178" t="str">
        <f t="shared" si="24"/>
        <v>00/01/yyyy54</v>
      </c>
      <c r="B780" s="171">
        <f t="shared" si="25"/>
        <v>54</v>
      </c>
    </row>
    <row r="781" spans="1:2" ht="30" customHeight="1" x14ac:dyDescent="0.25">
      <c r="A781" s="178" t="str">
        <f t="shared" si="24"/>
        <v>00/01/yyyy55</v>
      </c>
      <c r="B781" s="171">
        <f t="shared" si="25"/>
        <v>55</v>
      </c>
    </row>
    <row r="782" spans="1:2" ht="30" customHeight="1" x14ac:dyDescent="0.25">
      <c r="A782" s="178" t="str">
        <f t="shared" si="24"/>
        <v>00/01/yyyy56</v>
      </c>
      <c r="B782" s="171">
        <f t="shared" si="25"/>
        <v>56</v>
      </c>
    </row>
    <row r="783" spans="1:2" ht="30" customHeight="1" x14ac:dyDescent="0.25">
      <c r="A783" s="178" t="str">
        <f t="shared" si="24"/>
        <v>00/01/yyyy57</v>
      </c>
      <c r="B783" s="171">
        <f t="shared" si="25"/>
        <v>57</v>
      </c>
    </row>
    <row r="784" spans="1:2" ht="30" customHeight="1" x14ac:dyDescent="0.25">
      <c r="A784" s="178" t="str">
        <f t="shared" si="24"/>
        <v>00/01/yyyy58</v>
      </c>
      <c r="B784" s="171">
        <f t="shared" si="25"/>
        <v>58</v>
      </c>
    </row>
    <row r="785" spans="1:2" ht="30" customHeight="1" x14ac:dyDescent="0.25">
      <c r="A785" s="178" t="str">
        <f t="shared" si="24"/>
        <v>00/01/yyyy59</v>
      </c>
      <c r="B785" s="171">
        <f t="shared" si="25"/>
        <v>59</v>
      </c>
    </row>
    <row r="786" spans="1:2" ht="30" customHeight="1" x14ac:dyDescent="0.25">
      <c r="A786" s="178" t="str">
        <f t="shared" si="24"/>
        <v>00/01/yyyy60</v>
      </c>
      <c r="B786" s="171">
        <f t="shared" si="25"/>
        <v>60</v>
      </c>
    </row>
    <row r="787" spans="1:2" ht="30" customHeight="1" x14ac:dyDescent="0.25">
      <c r="A787" s="178" t="str">
        <f t="shared" si="24"/>
        <v>00/01/yyyy61</v>
      </c>
      <c r="B787" s="171">
        <f t="shared" si="25"/>
        <v>61</v>
      </c>
    </row>
    <row r="788" spans="1:2" ht="30" customHeight="1" x14ac:dyDescent="0.25">
      <c r="A788" s="178" t="str">
        <f t="shared" si="24"/>
        <v>00/01/yyyy62</v>
      </c>
      <c r="B788" s="171">
        <f t="shared" si="25"/>
        <v>62</v>
      </c>
    </row>
    <row r="789" spans="1:2" ht="30" customHeight="1" x14ac:dyDescent="0.25">
      <c r="A789" s="178" t="str">
        <f t="shared" si="24"/>
        <v>00/01/yyyy63</v>
      </c>
      <c r="B789" s="171">
        <f t="shared" si="25"/>
        <v>63</v>
      </c>
    </row>
    <row r="790" spans="1:2" ht="30" customHeight="1" x14ac:dyDescent="0.25">
      <c r="A790" s="178" t="str">
        <f t="shared" si="24"/>
        <v>00/01/yyyy64</v>
      </c>
      <c r="B790" s="171">
        <f t="shared" si="25"/>
        <v>64</v>
      </c>
    </row>
    <row r="791" spans="1:2" ht="30" customHeight="1" x14ac:dyDescent="0.25">
      <c r="A791" s="178" t="str">
        <f t="shared" si="24"/>
        <v>00/01/yyyy65</v>
      </c>
      <c r="B791" s="171">
        <f t="shared" si="25"/>
        <v>65</v>
      </c>
    </row>
    <row r="792" spans="1:2" ht="30" customHeight="1" x14ac:dyDescent="0.25">
      <c r="A792" s="178" t="str">
        <f t="shared" si="24"/>
        <v>00/01/yyyy66</v>
      </c>
      <c r="B792" s="171">
        <f t="shared" si="25"/>
        <v>66</v>
      </c>
    </row>
    <row r="793" spans="1:2" ht="30" customHeight="1" x14ac:dyDescent="0.25">
      <c r="A793" s="178" t="str">
        <f t="shared" si="24"/>
        <v>00/01/yyyy67</v>
      </c>
      <c r="B793" s="171">
        <f t="shared" si="25"/>
        <v>67</v>
      </c>
    </row>
    <row r="794" spans="1:2" ht="30" customHeight="1" x14ac:dyDescent="0.25">
      <c r="A794" s="178" t="str">
        <f t="shared" si="24"/>
        <v>00/01/yyyy68</v>
      </c>
      <c r="B794" s="171">
        <f t="shared" si="25"/>
        <v>68</v>
      </c>
    </row>
    <row r="795" spans="1:2" ht="30" customHeight="1" x14ac:dyDescent="0.25">
      <c r="A795" s="178" t="str">
        <f t="shared" si="24"/>
        <v>00/01/yyyy69</v>
      </c>
      <c r="B795" s="171">
        <f t="shared" si="25"/>
        <v>69</v>
      </c>
    </row>
    <row r="796" spans="1:2" ht="30" customHeight="1" x14ac:dyDescent="0.25">
      <c r="A796" s="178" t="str">
        <f t="shared" si="24"/>
        <v>00/01/yyyy70</v>
      </c>
      <c r="B796" s="171">
        <f t="shared" si="25"/>
        <v>70</v>
      </c>
    </row>
    <row r="797" spans="1:2" ht="30" customHeight="1" x14ac:dyDescent="0.25">
      <c r="A797" s="178" t="str">
        <f t="shared" si="24"/>
        <v>00/01/yyyy71</v>
      </c>
      <c r="B797" s="171">
        <f t="shared" si="25"/>
        <v>71</v>
      </c>
    </row>
    <row r="798" spans="1:2" ht="30" customHeight="1" x14ac:dyDescent="0.25">
      <c r="A798" s="178" t="str">
        <f t="shared" si="24"/>
        <v>00/01/yyyy72</v>
      </c>
      <c r="B798" s="171">
        <f t="shared" si="25"/>
        <v>72</v>
      </c>
    </row>
    <row r="799" spans="1:2" ht="30" customHeight="1" x14ac:dyDescent="0.25">
      <c r="A799" s="178" t="str">
        <f t="shared" si="24"/>
        <v>00/01/yyyy73</v>
      </c>
      <c r="B799" s="171">
        <f t="shared" si="25"/>
        <v>73</v>
      </c>
    </row>
    <row r="800" spans="1:2" ht="30" customHeight="1" x14ac:dyDescent="0.25">
      <c r="A800" s="178" t="str">
        <f t="shared" si="24"/>
        <v>00/01/yyyy74</v>
      </c>
      <c r="B800" s="171">
        <f t="shared" si="25"/>
        <v>74</v>
      </c>
    </row>
    <row r="801" spans="1:2" ht="30" customHeight="1" x14ac:dyDescent="0.25">
      <c r="A801" s="178" t="str">
        <f t="shared" si="24"/>
        <v>00/01/yyyy75</v>
      </c>
      <c r="B801" s="171">
        <f t="shared" si="25"/>
        <v>75</v>
      </c>
    </row>
    <row r="802" spans="1:2" ht="30" customHeight="1" x14ac:dyDescent="0.25">
      <c r="A802" s="178" t="str">
        <f t="shared" si="24"/>
        <v>00/01/yyyy76</v>
      </c>
      <c r="B802" s="171">
        <f t="shared" si="25"/>
        <v>76</v>
      </c>
    </row>
    <row r="803" spans="1:2" ht="30" customHeight="1" x14ac:dyDescent="0.25">
      <c r="A803" s="178" t="str">
        <f t="shared" si="24"/>
        <v>00/01/yyyy77</v>
      </c>
      <c r="B803" s="171">
        <f t="shared" si="25"/>
        <v>77</v>
      </c>
    </row>
    <row r="804" spans="1:2" ht="30" customHeight="1" x14ac:dyDescent="0.25">
      <c r="A804" s="178" t="str">
        <f t="shared" si="24"/>
        <v>00/01/yyyy78</v>
      </c>
      <c r="B804" s="171">
        <f t="shared" si="25"/>
        <v>78</v>
      </c>
    </row>
    <row r="805" spans="1:2" ht="30" customHeight="1" x14ac:dyDescent="0.25">
      <c r="A805" s="178" t="str">
        <f t="shared" si="24"/>
        <v>00/01/yyyy79</v>
      </c>
      <c r="B805" s="171">
        <f t="shared" si="25"/>
        <v>79</v>
      </c>
    </row>
    <row r="806" spans="1:2" ht="30" customHeight="1" x14ac:dyDescent="0.25">
      <c r="A806" s="178" t="str">
        <f t="shared" si="24"/>
        <v>00/01/yyyy80</v>
      </c>
      <c r="B806" s="171">
        <f t="shared" si="25"/>
        <v>80</v>
      </c>
    </row>
    <row r="807" spans="1:2" ht="30" customHeight="1" x14ac:dyDescent="0.25">
      <c r="A807" s="178" t="str">
        <f t="shared" si="24"/>
        <v>00/01/yyyy81</v>
      </c>
      <c r="B807" s="171">
        <f t="shared" si="25"/>
        <v>81</v>
      </c>
    </row>
    <row r="808" spans="1:2" ht="30" customHeight="1" x14ac:dyDescent="0.25">
      <c r="A808" s="178" t="str">
        <f t="shared" si="24"/>
        <v>00/01/yyyy82</v>
      </c>
      <c r="B808" s="171">
        <f t="shared" si="25"/>
        <v>82</v>
      </c>
    </row>
    <row r="809" spans="1:2" ht="30" customHeight="1" x14ac:dyDescent="0.25">
      <c r="A809" s="178" t="str">
        <f t="shared" si="24"/>
        <v>00/01/yyyy83</v>
      </c>
      <c r="B809" s="171">
        <f t="shared" si="25"/>
        <v>83</v>
      </c>
    </row>
    <row r="810" spans="1:2" ht="30" customHeight="1" x14ac:dyDescent="0.25">
      <c r="A810" s="178" t="str">
        <f t="shared" si="24"/>
        <v>00/01/yyyy84</v>
      </c>
      <c r="B810" s="171">
        <f t="shared" si="25"/>
        <v>84</v>
      </c>
    </row>
    <row r="811" spans="1:2" ht="30" customHeight="1" x14ac:dyDescent="0.25">
      <c r="A811" s="178" t="str">
        <f t="shared" si="24"/>
        <v>00/01/yyyy85</v>
      </c>
      <c r="B811" s="171">
        <f t="shared" si="25"/>
        <v>85</v>
      </c>
    </row>
    <row r="812" spans="1:2" ht="30" customHeight="1" x14ac:dyDescent="0.25">
      <c r="A812" s="178" t="str">
        <f t="shared" si="24"/>
        <v>00/01/yyyy86</v>
      </c>
      <c r="B812" s="171">
        <f t="shared" si="25"/>
        <v>86</v>
      </c>
    </row>
    <row r="813" spans="1:2" ht="30" customHeight="1" x14ac:dyDescent="0.25">
      <c r="A813" s="178" t="str">
        <f t="shared" si="24"/>
        <v>00/01/yyyy87</v>
      </c>
      <c r="B813" s="171">
        <f t="shared" si="25"/>
        <v>87</v>
      </c>
    </row>
    <row r="814" spans="1:2" ht="30" customHeight="1" x14ac:dyDescent="0.25">
      <c r="A814" s="178" t="str">
        <f t="shared" si="24"/>
        <v>00/01/yyyy88</v>
      </c>
      <c r="B814" s="171">
        <f t="shared" si="25"/>
        <v>88</v>
      </c>
    </row>
    <row r="815" spans="1:2" ht="30" customHeight="1" x14ac:dyDescent="0.25">
      <c r="A815" s="178" t="str">
        <f t="shared" si="24"/>
        <v>00/01/yyyy89</v>
      </c>
      <c r="B815" s="171">
        <f t="shared" si="25"/>
        <v>89</v>
      </c>
    </row>
    <row r="816" spans="1:2" ht="30" customHeight="1" x14ac:dyDescent="0.25">
      <c r="A816" s="178" t="str">
        <f t="shared" si="24"/>
        <v>00/01/yyyy90</v>
      </c>
      <c r="B816" s="171">
        <f t="shared" si="25"/>
        <v>90</v>
      </c>
    </row>
    <row r="817" spans="1:2" ht="30" customHeight="1" x14ac:dyDescent="0.25">
      <c r="A817" s="178" t="str">
        <f t="shared" si="24"/>
        <v>00/01/yyyy91</v>
      </c>
      <c r="B817" s="171">
        <f t="shared" si="25"/>
        <v>91</v>
      </c>
    </row>
    <row r="818" spans="1:2" ht="30" customHeight="1" x14ac:dyDescent="0.25">
      <c r="A818" s="178" t="str">
        <f t="shared" si="24"/>
        <v>00/01/yyyy92</v>
      </c>
      <c r="B818" s="171">
        <f t="shared" si="25"/>
        <v>92</v>
      </c>
    </row>
    <row r="819" spans="1:2" ht="30" customHeight="1" x14ac:dyDescent="0.25">
      <c r="A819" s="178" t="str">
        <f t="shared" si="24"/>
        <v>00/01/yyyy93</v>
      </c>
      <c r="B819" s="171">
        <f t="shared" si="25"/>
        <v>93</v>
      </c>
    </row>
    <row r="820" spans="1:2" ht="30" customHeight="1" x14ac:dyDescent="0.25">
      <c r="A820" s="178" t="str">
        <f t="shared" si="24"/>
        <v>00/01/yyyy94</v>
      </c>
      <c r="B820" s="171">
        <f t="shared" si="25"/>
        <v>94</v>
      </c>
    </row>
    <row r="821" spans="1:2" ht="30" customHeight="1" x14ac:dyDescent="0.25">
      <c r="A821" s="178" t="str">
        <f t="shared" si="24"/>
        <v>00/01/yyyy95</v>
      </c>
      <c r="B821" s="171">
        <f t="shared" si="25"/>
        <v>95</v>
      </c>
    </row>
    <row r="822" spans="1:2" ht="30" customHeight="1" x14ac:dyDescent="0.25">
      <c r="A822" s="178" t="str">
        <f t="shared" si="24"/>
        <v>00/01/yyyy96</v>
      </c>
      <c r="B822" s="171">
        <f t="shared" si="25"/>
        <v>96</v>
      </c>
    </row>
    <row r="823" spans="1:2" ht="30" customHeight="1" x14ac:dyDescent="0.25">
      <c r="A823" s="178" t="str">
        <f t="shared" si="24"/>
        <v>00/01/yyyy97</v>
      </c>
      <c r="B823" s="171">
        <f t="shared" si="25"/>
        <v>97</v>
      </c>
    </row>
    <row r="824" spans="1:2" ht="30" customHeight="1" x14ac:dyDescent="0.25">
      <c r="A824" s="178" t="str">
        <f t="shared" si="24"/>
        <v>00/01/yyyy98</v>
      </c>
      <c r="B824" s="171">
        <f t="shared" si="25"/>
        <v>98</v>
      </c>
    </row>
    <row r="825" spans="1:2" ht="30" customHeight="1" x14ac:dyDescent="0.25">
      <c r="A825" s="178" t="str">
        <f t="shared" si="24"/>
        <v>00/01/yyyy99</v>
      </c>
      <c r="B825" s="171">
        <f t="shared" si="25"/>
        <v>99</v>
      </c>
    </row>
    <row r="826" spans="1:2" ht="30" customHeight="1" x14ac:dyDescent="0.25">
      <c r="A826" s="178" t="str">
        <f t="shared" si="24"/>
        <v>00/01/yyyy100</v>
      </c>
      <c r="B826" s="171">
        <f t="shared" si="25"/>
        <v>100</v>
      </c>
    </row>
    <row r="827" spans="1:2" ht="30" customHeight="1" x14ac:dyDescent="0.25">
      <c r="A827" s="178" t="str">
        <f t="shared" si="24"/>
        <v>00/01/yyyy101</v>
      </c>
      <c r="B827" s="171">
        <f t="shared" si="25"/>
        <v>101</v>
      </c>
    </row>
    <row r="828" spans="1:2" ht="30" customHeight="1" x14ac:dyDescent="0.25">
      <c r="A828" s="178" t="str">
        <f t="shared" si="24"/>
        <v>00/01/yyyy102</v>
      </c>
      <c r="B828" s="171">
        <f t="shared" si="25"/>
        <v>102</v>
      </c>
    </row>
    <row r="829" spans="1:2" ht="30" customHeight="1" x14ac:dyDescent="0.25">
      <c r="A829" s="178" t="str">
        <f t="shared" si="24"/>
        <v>00/01/yyyy103</v>
      </c>
      <c r="B829" s="171">
        <f t="shared" si="25"/>
        <v>103</v>
      </c>
    </row>
    <row r="830" spans="1:2" ht="30" customHeight="1" x14ac:dyDescent="0.25">
      <c r="A830" s="178" t="str">
        <f t="shared" si="24"/>
        <v>00/01/yyyy104</v>
      </c>
      <c r="B830" s="171">
        <f t="shared" si="25"/>
        <v>104</v>
      </c>
    </row>
    <row r="831" spans="1:2" ht="30" customHeight="1" x14ac:dyDescent="0.25">
      <c r="A831" s="178" t="str">
        <f t="shared" si="24"/>
        <v>00/01/yyyy105</v>
      </c>
      <c r="B831" s="171">
        <f t="shared" si="25"/>
        <v>105</v>
      </c>
    </row>
    <row r="832" spans="1:2" ht="30" customHeight="1" x14ac:dyDescent="0.25">
      <c r="A832" s="178" t="str">
        <f t="shared" si="24"/>
        <v>00/01/yyyy106</v>
      </c>
      <c r="B832" s="171">
        <f t="shared" si="25"/>
        <v>106</v>
      </c>
    </row>
    <row r="833" spans="1:2" ht="30" customHeight="1" x14ac:dyDescent="0.25">
      <c r="A833" s="178" t="str">
        <f t="shared" si="24"/>
        <v>00/01/yyyy107</v>
      </c>
      <c r="B833" s="171">
        <f t="shared" si="25"/>
        <v>107</v>
      </c>
    </row>
    <row r="834" spans="1:2" ht="30" customHeight="1" x14ac:dyDescent="0.25">
      <c r="A834" s="178" t="str">
        <f t="shared" si="24"/>
        <v>00/01/yyyy108</v>
      </c>
      <c r="B834" s="171">
        <f t="shared" si="25"/>
        <v>108</v>
      </c>
    </row>
    <row r="835" spans="1:2" ht="30" customHeight="1" x14ac:dyDescent="0.25">
      <c r="A835" s="178" t="str">
        <f t="shared" ref="A835:A898" si="26">CONCATENATE(TEXT($G835,"dd/mm/yyyy"),$B835)</f>
        <v>00/01/yyyy109</v>
      </c>
      <c r="B835" s="171">
        <f t="shared" si="25"/>
        <v>109</v>
      </c>
    </row>
    <row r="836" spans="1:2" ht="30" customHeight="1" x14ac:dyDescent="0.25">
      <c r="A836" s="178" t="str">
        <f t="shared" si="26"/>
        <v>00/01/yyyy110</v>
      </c>
      <c r="B836" s="171">
        <f t="shared" ref="B836:B899" si="27">IF($G836=$G835,$B835+1,1)</f>
        <v>110</v>
      </c>
    </row>
    <row r="837" spans="1:2" ht="30" customHeight="1" x14ac:dyDescent="0.25">
      <c r="A837" s="178" t="str">
        <f t="shared" si="26"/>
        <v>00/01/yyyy111</v>
      </c>
      <c r="B837" s="171">
        <f t="shared" si="27"/>
        <v>111</v>
      </c>
    </row>
    <row r="838" spans="1:2" ht="30" customHeight="1" x14ac:dyDescent="0.25">
      <c r="A838" s="178" t="str">
        <f t="shared" si="26"/>
        <v>00/01/yyyy112</v>
      </c>
      <c r="B838" s="171">
        <f t="shared" si="27"/>
        <v>112</v>
      </c>
    </row>
    <row r="839" spans="1:2" ht="30" customHeight="1" x14ac:dyDescent="0.25">
      <c r="A839" s="178" t="str">
        <f t="shared" si="26"/>
        <v>00/01/yyyy113</v>
      </c>
      <c r="B839" s="171">
        <f t="shared" si="27"/>
        <v>113</v>
      </c>
    </row>
    <row r="840" spans="1:2" ht="30" customHeight="1" x14ac:dyDescent="0.25">
      <c r="A840" s="178" t="str">
        <f t="shared" si="26"/>
        <v>00/01/yyyy114</v>
      </c>
      <c r="B840" s="171">
        <f t="shared" si="27"/>
        <v>114</v>
      </c>
    </row>
    <row r="841" spans="1:2" ht="30" customHeight="1" x14ac:dyDescent="0.25">
      <c r="A841" s="178" t="str">
        <f t="shared" si="26"/>
        <v>00/01/yyyy115</v>
      </c>
      <c r="B841" s="171">
        <f t="shared" si="27"/>
        <v>115</v>
      </c>
    </row>
    <row r="842" spans="1:2" ht="30" customHeight="1" x14ac:dyDescent="0.25">
      <c r="A842" s="178" t="str">
        <f t="shared" si="26"/>
        <v>00/01/yyyy116</v>
      </c>
      <c r="B842" s="171">
        <f t="shared" si="27"/>
        <v>116</v>
      </c>
    </row>
    <row r="843" spans="1:2" ht="30" customHeight="1" x14ac:dyDescent="0.25">
      <c r="A843" s="178" t="str">
        <f t="shared" si="26"/>
        <v>00/01/yyyy117</v>
      </c>
      <c r="B843" s="171">
        <f t="shared" si="27"/>
        <v>117</v>
      </c>
    </row>
    <row r="844" spans="1:2" ht="30" customHeight="1" x14ac:dyDescent="0.25">
      <c r="A844" s="178" t="str">
        <f t="shared" si="26"/>
        <v>00/01/yyyy118</v>
      </c>
      <c r="B844" s="171">
        <f t="shared" si="27"/>
        <v>118</v>
      </c>
    </row>
    <row r="845" spans="1:2" ht="30" customHeight="1" x14ac:dyDescent="0.25">
      <c r="A845" s="178" t="str">
        <f t="shared" si="26"/>
        <v>00/01/yyyy119</v>
      </c>
      <c r="B845" s="171">
        <f t="shared" si="27"/>
        <v>119</v>
      </c>
    </row>
    <row r="846" spans="1:2" ht="30" customHeight="1" x14ac:dyDescent="0.25">
      <c r="A846" s="178" t="str">
        <f t="shared" si="26"/>
        <v>00/01/yyyy120</v>
      </c>
      <c r="B846" s="171">
        <f t="shared" si="27"/>
        <v>120</v>
      </c>
    </row>
    <row r="847" spans="1:2" ht="30" customHeight="1" x14ac:dyDescent="0.25">
      <c r="A847" s="178" t="str">
        <f t="shared" si="26"/>
        <v>00/01/yyyy121</v>
      </c>
      <c r="B847" s="171">
        <f t="shared" si="27"/>
        <v>121</v>
      </c>
    </row>
    <row r="848" spans="1:2" ht="30" customHeight="1" x14ac:dyDescent="0.25">
      <c r="A848" s="178" t="str">
        <f t="shared" si="26"/>
        <v>00/01/yyyy122</v>
      </c>
      <c r="B848" s="171">
        <f t="shared" si="27"/>
        <v>122</v>
      </c>
    </row>
    <row r="849" spans="1:2" ht="30" customHeight="1" x14ac:dyDescent="0.25">
      <c r="A849" s="178" t="str">
        <f t="shared" si="26"/>
        <v>00/01/yyyy123</v>
      </c>
      <c r="B849" s="171">
        <f t="shared" si="27"/>
        <v>123</v>
      </c>
    </row>
    <row r="850" spans="1:2" ht="30" customHeight="1" x14ac:dyDescent="0.25">
      <c r="A850" s="178" t="str">
        <f t="shared" si="26"/>
        <v>00/01/yyyy124</v>
      </c>
      <c r="B850" s="171">
        <f t="shared" si="27"/>
        <v>124</v>
      </c>
    </row>
    <row r="851" spans="1:2" ht="30" customHeight="1" x14ac:dyDescent="0.25">
      <c r="A851" s="178" t="str">
        <f t="shared" si="26"/>
        <v>00/01/yyyy125</v>
      </c>
      <c r="B851" s="171">
        <f t="shared" si="27"/>
        <v>125</v>
      </c>
    </row>
    <row r="852" spans="1:2" ht="30" customHeight="1" x14ac:dyDescent="0.25">
      <c r="A852" s="178" t="str">
        <f t="shared" si="26"/>
        <v>00/01/yyyy126</v>
      </c>
      <c r="B852" s="171">
        <f t="shared" si="27"/>
        <v>126</v>
      </c>
    </row>
    <row r="853" spans="1:2" ht="30" customHeight="1" x14ac:dyDescent="0.25">
      <c r="A853" s="178" t="str">
        <f t="shared" si="26"/>
        <v>00/01/yyyy127</v>
      </c>
      <c r="B853" s="171">
        <f t="shared" si="27"/>
        <v>127</v>
      </c>
    </row>
    <row r="854" spans="1:2" ht="30" customHeight="1" x14ac:dyDescent="0.25">
      <c r="A854" s="178" t="str">
        <f t="shared" si="26"/>
        <v>00/01/yyyy128</v>
      </c>
      <c r="B854" s="171">
        <f t="shared" si="27"/>
        <v>128</v>
      </c>
    </row>
    <row r="855" spans="1:2" ht="30" customHeight="1" x14ac:dyDescent="0.25">
      <c r="A855" s="178" t="str">
        <f t="shared" si="26"/>
        <v>00/01/yyyy129</v>
      </c>
      <c r="B855" s="171">
        <f t="shared" si="27"/>
        <v>129</v>
      </c>
    </row>
    <row r="856" spans="1:2" ht="30" customHeight="1" x14ac:dyDescent="0.25">
      <c r="A856" s="178" t="str">
        <f t="shared" si="26"/>
        <v>00/01/yyyy130</v>
      </c>
      <c r="B856" s="171">
        <f t="shared" si="27"/>
        <v>130</v>
      </c>
    </row>
    <row r="857" spans="1:2" ht="30" customHeight="1" x14ac:dyDescent="0.25">
      <c r="A857" s="178" t="str">
        <f t="shared" si="26"/>
        <v>00/01/yyyy131</v>
      </c>
      <c r="B857" s="171">
        <f t="shared" si="27"/>
        <v>131</v>
      </c>
    </row>
    <row r="858" spans="1:2" ht="30" customHeight="1" x14ac:dyDescent="0.25">
      <c r="A858" s="178" t="str">
        <f t="shared" si="26"/>
        <v>00/01/yyyy132</v>
      </c>
      <c r="B858" s="171">
        <f t="shared" si="27"/>
        <v>132</v>
      </c>
    </row>
    <row r="859" spans="1:2" ht="30" customHeight="1" x14ac:dyDescent="0.25">
      <c r="A859" s="178" t="str">
        <f t="shared" si="26"/>
        <v>00/01/yyyy133</v>
      </c>
      <c r="B859" s="171">
        <f t="shared" si="27"/>
        <v>133</v>
      </c>
    </row>
    <row r="860" spans="1:2" ht="30" customHeight="1" x14ac:dyDescent="0.25">
      <c r="A860" s="178" t="str">
        <f t="shared" si="26"/>
        <v>00/01/yyyy134</v>
      </c>
      <c r="B860" s="171">
        <f t="shared" si="27"/>
        <v>134</v>
      </c>
    </row>
    <row r="861" spans="1:2" ht="30" customHeight="1" x14ac:dyDescent="0.25">
      <c r="A861" s="178" t="str">
        <f t="shared" si="26"/>
        <v>00/01/yyyy135</v>
      </c>
      <c r="B861" s="171">
        <f t="shared" si="27"/>
        <v>135</v>
      </c>
    </row>
    <row r="862" spans="1:2" ht="30" customHeight="1" x14ac:dyDescent="0.25">
      <c r="A862" s="178" t="str">
        <f t="shared" si="26"/>
        <v>00/01/yyyy136</v>
      </c>
      <c r="B862" s="171">
        <f t="shared" si="27"/>
        <v>136</v>
      </c>
    </row>
    <row r="863" spans="1:2" ht="30" customHeight="1" x14ac:dyDescent="0.25">
      <c r="A863" s="178" t="str">
        <f t="shared" si="26"/>
        <v>00/01/yyyy137</v>
      </c>
      <c r="B863" s="171">
        <f t="shared" si="27"/>
        <v>137</v>
      </c>
    </row>
    <row r="864" spans="1:2" ht="30" customHeight="1" x14ac:dyDescent="0.25">
      <c r="A864" s="178" t="str">
        <f t="shared" si="26"/>
        <v>00/01/yyyy138</v>
      </c>
      <c r="B864" s="171">
        <f t="shared" si="27"/>
        <v>138</v>
      </c>
    </row>
    <row r="865" spans="1:2" ht="30" customHeight="1" x14ac:dyDescent="0.25">
      <c r="A865" s="178" t="str">
        <f t="shared" si="26"/>
        <v>00/01/yyyy139</v>
      </c>
      <c r="B865" s="171">
        <f t="shared" si="27"/>
        <v>139</v>
      </c>
    </row>
    <row r="866" spans="1:2" ht="30" customHeight="1" x14ac:dyDescent="0.25">
      <c r="A866" s="178" t="str">
        <f t="shared" si="26"/>
        <v>00/01/yyyy140</v>
      </c>
      <c r="B866" s="171">
        <f t="shared" si="27"/>
        <v>140</v>
      </c>
    </row>
    <row r="867" spans="1:2" ht="30" customHeight="1" x14ac:dyDescent="0.25">
      <c r="A867" s="178" t="str">
        <f t="shared" si="26"/>
        <v>00/01/yyyy141</v>
      </c>
      <c r="B867" s="171">
        <f t="shared" si="27"/>
        <v>141</v>
      </c>
    </row>
    <row r="868" spans="1:2" ht="30" customHeight="1" x14ac:dyDescent="0.25">
      <c r="A868" s="178" t="str">
        <f t="shared" si="26"/>
        <v>00/01/yyyy142</v>
      </c>
      <c r="B868" s="171">
        <f t="shared" si="27"/>
        <v>142</v>
      </c>
    </row>
    <row r="869" spans="1:2" ht="30" customHeight="1" x14ac:dyDescent="0.25">
      <c r="A869" s="178" t="str">
        <f t="shared" si="26"/>
        <v>00/01/yyyy143</v>
      </c>
      <c r="B869" s="171">
        <f t="shared" si="27"/>
        <v>143</v>
      </c>
    </row>
    <row r="870" spans="1:2" ht="30" customHeight="1" x14ac:dyDescent="0.25">
      <c r="A870" s="178" t="str">
        <f t="shared" si="26"/>
        <v>00/01/yyyy144</v>
      </c>
      <c r="B870" s="171">
        <f t="shared" si="27"/>
        <v>144</v>
      </c>
    </row>
    <row r="871" spans="1:2" ht="30" customHeight="1" x14ac:dyDescent="0.25">
      <c r="A871" s="178" t="str">
        <f t="shared" si="26"/>
        <v>00/01/yyyy145</v>
      </c>
      <c r="B871" s="171">
        <f t="shared" si="27"/>
        <v>145</v>
      </c>
    </row>
    <row r="872" spans="1:2" ht="30" customHeight="1" x14ac:dyDescent="0.25">
      <c r="A872" s="178" t="str">
        <f t="shared" si="26"/>
        <v>00/01/yyyy146</v>
      </c>
      <c r="B872" s="171">
        <f t="shared" si="27"/>
        <v>146</v>
      </c>
    </row>
    <row r="873" spans="1:2" ht="30" customHeight="1" x14ac:dyDescent="0.25">
      <c r="A873" s="178" t="str">
        <f t="shared" si="26"/>
        <v>00/01/yyyy147</v>
      </c>
      <c r="B873" s="171">
        <f t="shared" si="27"/>
        <v>147</v>
      </c>
    </row>
    <row r="874" spans="1:2" ht="30" customHeight="1" x14ac:dyDescent="0.25">
      <c r="A874" s="178" t="str">
        <f t="shared" si="26"/>
        <v>00/01/yyyy148</v>
      </c>
      <c r="B874" s="171">
        <f t="shared" si="27"/>
        <v>148</v>
      </c>
    </row>
    <row r="875" spans="1:2" ht="30" customHeight="1" x14ac:dyDescent="0.25">
      <c r="A875" s="178" t="str">
        <f t="shared" si="26"/>
        <v>00/01/yyyy149</v>
      </c>
      <c r="B875" s="171">
        <f t="shared" si="27"/>
        <v>149</v>
      </c>
    </row>
    <row r="876" spans="1:2" ht="30" customHeight="1" x14ac:dyDescent="0.25">
      <c r="A876" s="178" t="str">
        <f t="shared" si="26"/>
        <v>00/01/yyyy150</v>
      </c>
      <c r="B876" s="171">
        <f t="shared" si="27"/>
        <v>150</v>
      </c>
    </row>
    <row r="877" spans="1:2" ht="30" customHeight="1" x14ac:dyDescent="0.25">
      <c r="A877" s="178" t="str">
        <f t="shared" si="26"/>
        <v>00/01/yyyy151</v>
      </c>
      <c r="B877" s="171">
        <f t="shared" si="27"/>
        <v>151</v>
      </c>
    </row>
    <row r="878" spans="1:2" ht="30" customHeight="1" x14ac:dyDescent="0.25">
      <c r="A878" s="178" t="str">
        <f t="shared" si="26"/>
        <v>00/01/yyyy152</v>
      </c>
      <c r="B878" s="171">
        <f t="shared" si="27"/>
        <v>152</v>
      </c>
    </row>
    <row r="879" spans="1:2" ht="30" customHeight="1" x14ac:dyDescent="0.25">
      <c r="A879" s="178" t="str">
        <f t="shared" si="26"/>
        <v>00/01/yyyy153</v>
      </c>
      <c r="B879" s="171">
        <f t="shared" si="27"/>
        <v>153</v>
      </c>
    </row>
    <row r="880" spans="1:2" ht="30" customHeight="1" x14ac:dyDescent="0.25">
      <c r="A880" s="178" t="str">
        <f t="shared" si="26"/>
        <v>00/01/yyyy154</v>
      </c>
      <c r="B880" s="171">
        <f t="shared" si="27"/>
        <v>154</v>
      </c>
    </row>
    <row r="881" spans="1:2" ht="30" customHeight="1" x14ac:dyDescent="0.25">
      <c r="A881" s="178" t="str">
        <f t="shared" si="26"/>
        <v>00/01/yyyy155</v>
      </c>
      <c r="B881" s="171">
        <f t="shared" si="27"/>
        <v>155</v>
      </c>
    </row>
    <row r="882" spans="1:2" ht="30" customHeight="1" x14ac:dyDescent="0.25">
      <c r="A882" s="178" t="str">
        <f t="shared" si="26"/>
        <v>00/01/yyyy156</v>
      </c>
      <c r="B882" s="171">
        <f t="shared" si="27"/>
        <v>156</v>
      </c>
    </row>
    <row r="883" spans="1:2" ht="30" customHeight="1" x14ac:dyDescent="0.25">
      <c r="A883" s="178" t="str">
        <f t="shared" si="26"/>
        <v>00/01/yyyy157</v>
      </c>
      <c r="B883" s="171">
        <f t="shared" si="27"/>
        <v>157</v>
      </c>
    </row>
    <row r="884" spans="1:2" ht="30" customHeight="1" x14ac:dyDescent="0.25">
      <c r="A884" s="178" t="str">
        <f t="shared" si="26"/>
        <v>00/01/yyyy158</v>
      </c>
      <c r="B884" s="171">
        <f t="shared" si="27"/>
        <v>158</v>
      </c>
    </row>
    <row r="885" spans="1:2" ht="30" customHeight="1" x14ac:dyDescent="0.25">
      <c r="A885" s="178" t="str">
        <f t="shared" si="26"/>
        <v>00/01/yyyy159</v>
      </c>
      <c r="B885" s="171">
        <f t="shared" si="27"/>
        <v>159</v>
      </c>
    </row>
    <row r="886" spans="1:2" ht="30" customHeight="1" x14ac:dyDescent="0.25">
      <c r="A886" s="178" t="str">
        <f t="shared" si="26"/>
        <v>00/01/yyyy160</v>
      </c>
      <c r="B886" s="171">
        <f t="shared" si="27"/>
        <v>160</v>
      </c>
    </row>
    <row r="887" spans="1:2" ht="30" customHeight="1" x14ac:dyDescent="0.25">
      <c r="A887" s="178" t="str">
        <f t="shared" si="26"/>
        <v>00/01/yyyy161</v>
      </c>
      <c r="B887" s="171">
        <f t="shared" si="27"/>
        <v>161</v>
      </c>
    </row>
    <row r="888" spans="1:2" ht="30" customHeight="1" x14ac:dyDescent="0.25">
      <c r="A888" s="178" t="str">
        <f t="shared" si="26"/>
        <v>00/01/yyyy162</v>
      </c>
      <c r="B888" s="171">
        <f t="shared" si="27"/>
        <v>162</v>
      </c>
    </row>
    <row r="889" spans="1:2" ht="30" customHeight="1" x14ac:dyDescent="0.25">
      <c r="A889" s="178" t="str">
        <f t="shared" si="26"/>
        <v>00/01/yyyy163</v>
      </c>
      <c r="B889" s="171">
        <f t="shared" si="27"/>
        <v>163</v>
      </c>
    </row>
    <row r="890" spans="1:2" ht="30" customHeight="1" x14ac:dyDescent="0.25">
      <c r="A890" s="178" t="str">
        <f t="shared" si="26"/>
        <v>00/01/yyyy164</v>
      </c>
      <c r="B890" s="171">
        <f t="shared" si="27"/>
        <v>164</v>
      </c>
    </row>
    <row r="891" spans="1:2" ht="30" customHeight="1" x14ac:dyDescent="0.25">
      <c r="A891" s="178" t="str">
        <f t="shared" si="26"/>
        <v>00/01/yyyy165</v>
      </c>
      <c r="B891" s="171">
        <f t="shared" si="27"/>
        <v>165</v>
      </c>
    </row>
    <row r="892" spans="1:2" ht="30" customHeight="1" x14ac:dyDescent="0.25">
      <c r="A892" s="178" t="str">
        <f t="shared" si="26"/>
        <v>00/01/yyyy166</v>
      </c>
      <c r="B892" s="171">
        <f t="shared" si="27"/>
        <v>166</v>
      </c>
    </row>
    <row r="893" spans="1:2" ht="30" customHeight="1" x14ac:dyDescent="0.25">
      <c r="A893" s="178" t="str">
        <f t="shared" si="26"/>
        <v>00/01/yyyy167</v>
      </c>
      <c r="B893" s="171">
        <f t="shared" si="27"/>
        <v>167</v>
      </c>
    </row>
    <row r="894" spans="1:2" ht="30" customHeight="1" x14ac:dyDescent="0.25">
      <c r="A894" s="178" t="str">
        <f t="shared" si="26"/>
        <v>00/01/yyyy168</v>
      </c>
      <c r="B894" s="171">
        <f t="shared" si="27"/>
        <v>168</v>
      </c>
    </row>
    <row r="895" spans="1:2" ht="30" customHeight="1" x14ac:dyDescent="0.25">
      <c r="A895" s="178" t="str">
        <f t="shared" si="26"/>
        <v>00/01/yyyy169</v>
      </c>
      <c r="B895" s="171">
        <f t="shared" si="27"/>
        <v>169</v>
      </c>
    </row>
    <row r="896" spans="1:2" ht="30" customHeight="1" x14ac:dyDescent="0.25">
      <c r="A896" s="178" t="str">
        <f t="shared" si="26"/>
        <v>00/01/yyyy170</v>
      </c>
      <c r="B896" s="171">
        <f t="shared" si="27"/>
        <v>170</v>
      </c>
    </row>
    <row r="897" spans="1:2" ht="30" customHeight="1" x14ac:dyDescent="0.25">
      <c r="A897" s="178" t="str">
        <f t="shared" si="26"/>
        <v>00/01/yyyy171</v>
      </c>
      <c r="B897" s="171">
        <f t="shared" si="27"/>
        <v>171</v>
      </c>
    </row>
    <row r="898" spans="1:2" ht="30" customHeight="1" x14ac:dyDescent="0.25">
      <c r="A898" s="178" t="str">
        <f t="shared" si="26"/>
        <v>00/01/yyyy172</v>
      </c>
      <c r="B898" s="171">
        <f t="shared" si="27"/>
        <v>172</v>
      </c>
    </row>
    <row r="899" spans="1:2" ht="30" customHeight="1" x14ac:dyDescent="0.25">
      <c r="A899" s="178" t="str">
        <f t="shared" ref="A899:A962" si="28">CONCATENATE(TEXT($G899,"dd/mm/yyyy"),$B899)</f>
        <v>00/01/yyyy173</v>
      </c>
      <c r="B899" s="171">
        <f t="shared" si="27"/>
        <v>173</v>
      </c>
    </row>
    <row r="900" spans="1:2" ht="30" customHeight="1" x14ac:dyDescent="0.25">
      <c r="A900" s="178" t="str">
        <f t="shared" si="28"/>
        <v>00/01/yyyy174</v>
      </c>
      <c r="B900" s="171">
        <f t="shared" ref="B900:B963" si="29">IF($G900=$G899,$B899+1,1)</f>
        <v>174</v>
      </c>
    </row>
    <row r="901" spans="1:2" ht="30" customHeight="1" x14ac:dyDescent="0.25">
      <c r="A901" s="178" t="str">
        <f t="shared" si="28"/>
        <v>00/01/yyyy175</v>
      </c>
      <c r="B901" s="171">
        <f t="shared" si="29"/>
        <v>175</v>
      </c>
    </row>
    <row r="902" spans="1:2" ht="30" customHeight="1" x14ac:dyDescent="0.25">
      <c r="A902" s="178" t="str">
        <f t="shared" si="28"/>
        <v>00/01/yyyy176</v>
      </c>
      <c r="B902" s="171">
        <f t="shared" si="29"/>
        <v>176</v>
      </c>
    </row>
    <row r="903" spans="1:2" ht="30" customHeight="1" x14ac:dyDescent="0.25">
      <c r="A903" s="178" t="str">
        <f t="shared" si="28"/>
        <v>00/01/yyyy177</v>
      </c>
      <c r="B903" s="171">
        <f t="shared" si="29"/>
        <v>177</v>
      </c>
    </row>
    <row r="904" spans="1:2" ht="30" customHeight="1" x14ac:dyDescent="0.25">
      <c r="A904" s="178" t="str">
        <f t="shared" si="28"/>
        <v>00/01/yyyy178</v>
      </c>
      <c r="B904" s="171">
        <f t="shared" si="29"/>
        <v>178</v>
      </c>
    </row>
    <row r="905" spans="1:2" ht="30" customHeight="1" x14ac:dyDescent="0.25">
      <c r="A905" s="178" t="str">
        <f t="shared" si="28"/>
        <v>00/01/yyyy179</v>
      </c>
      <c r="B905" s="171">
        <f t="shared" si="29"/>
        <v>179</v>
      </c>
    </row>
    <row r="906" spans="1:2" ht="30" customHeight="1" x14ac:dyDescent="0.25">
      <c r="A906" s="178" t="str">
        <f t="shared" si="28"/>
        <v>00/01/yyyy180</v>
      </c>
      <c r="B906" s="171">
        <f t="shared" si="29"/>
        <v>180</v>
      </c>
    </row>
    <row r="907" spans="1:2" ht="30" customHeight="1" x14ac:dyDescent="0.25">
      <c r="A907" s="178" t="str">
        <f t="shared" si="28"/>
        <v>00/01/yyyy181</v>
      </c>
      <c r="B907" s="171">
        <f t="shared" si="29"/>
        <v>181</v>
      </c>
    </row>
    <row r="908" spans="1:2" ht="30" customHeight="1" x14ac:dyDescent="0.25">
      <c r="A908" s="178" t="str">
        <f t="shared" si="28"/>
        <v>00/01/yyyy182</v>
      </c>
      <c r="B908" s="171">
        <f t="shared" si="29"/>
        <v>182</v>
      </c>
    </row>
    <row r="909" spans="1:2" ht="30" customHeight="1" x14ac:dyDescent="0.25">
      <c r="A909" s="178" t="str">
        <f t="shared" si="28"/>
        <v>00/01/yyyy183</v>
      </c>
      <c r="B909" s="171">
        <f t="shared" si="29"/>
        <v>183</v>
      </c>
    </row>
    <row r="910" spans="1:2" ht="30" customHeight="1" x14ac:dyDescent="0.25">
      <c r="A910" s="178" t="str">
        <f t="shared" si="28"/>
        <v>00/01/yyyy184</v>
      </c>
      <c r="B910" s="171">
        <f t="shared" si="29"/>
        <v>184</v>
      </c>
    </row>
    <row r="911" spans="1:2" ht="30" customHeight="1" x14ac:dyDescent="0.25">
      <c r="A911" s="178" t="str">
        <f t="shared" si="28"/>
        <v>00/01/yyyy185</v>
      </c>
      <c r="B911" s="171">
        <f t="shared" si="29"/>
        <v>185</v>
      </c>
    </row>
    <row r="912" spans="1:2" ht="30" customHeight="1" x14ac:dyDescent="0.25">
      <c r="A912" s="178" t="str">
        <f t="shared" si="28"/>
        <v>00/01/yyyy186</v>
      </c>
      <c r="B912" s="171">
        <f t="shared" si="29"/>
        <v>186</v>
      </c>
    </row>
    <row r="913" spans="1:2" ht="30" customHeight="1" x14ac:dyDescent="0.25">
      <c r="A913" s="178" t="str">
        <f t="shared" si="28"/>
        <v>00/01/yyyy187</v>
      </c>
      <c r="B913" s="171">
        <f t="shared" si="29"/>
        <v>187</v>
      </c>
    </row>
    <row r="914" spans="1:2" ht="30" customHeight="1" x14ac:dyDescent="0.25">
      <c r="A914" s="178" t="str">
        <f t="shared" si="28"/>
        <v>00/01/yyyy188</v>
      </c>
      <c r="B914" s="171">
        <f t="shared" si="29"/>
        <v>188</v>
      </c>
    </row>
    <row r="915" spans="1:2" ht="30" customHeight="1" x14ac:dyDescent="0.25">
      <c r="A915" s="178" t="str">
        <f t="shared" si="28"/>
        <v>00/01/yyyy189</v>
      </c>
      <c r="B915" s="171">
        <f t="shared" si="29"/>
        <v>189</v>
      </c>
    </row>
    <row r="916" spans="1:2" ht="30" customHeight="1" x14ac:dyDescent="0.25">
      <c r="A916" s="178" t="str">
        <f t="shared" si="28"/>
        <v>00/01/yyyy190</v>
      </c>
      <c r="B916" s="171">
        <f t="shared" si="29"/>
        <v>190</v>
      </c>
    </row>
    <row r="917" spans="1:2" ht="30" customHeight="1" x14ac:dyDescent="0.25">
      <c r="A917" s="178" t="str">
        <f t="shared" si="28"/>
        <v>00/01/yyyy191</v>
      </c>
      <c r="B917" s="171">
        <f t="shared" si="29"/>
        <v>191</v>
      </c>
    </row>
    <row r="918" spans="1:2" ht="30" customHeight="1" x14ac:dyDescent="0.25">
      <c r="A918" s="178" t="str">
        <f t="shared" si="28"/>
        <v>00/01/yyyy192</v>
      </c>
      <c r="B918" s="171">
        <f t="shared" si="29"/>
        <v>192</v>
      </c>
    </row>
    <row r="919" spans="1:2" ht="30" customHeight="1" x14ac:dyDescent="0.25">
      <c r="A919" s="178" t="str">
        <f t="shared" si="28"/>
        <v>00/01/yyyy193</v>
      </c>
      <c r="B919" s="171">
        <f t="shared" si="29"/>
        <v>193</v>
      </c>
    </row>
    <row r="920" spans="1:2" ht="30" customHeight="1" x14ac:dyDescent="0.25">
      <c r="A920" s="178" t="str">
        <f t="shared" si="28"/>
        <v>00/01/yyyy194</v>
      </c>
      <c r="B920" s="171">
        <f t="shared" si="29"/>
        <v>194</v>
      </c>
    </row>
    <row r="921" spans="1:2" ht="30" customHeight="1" x14ac:dyDescent="0.25">
      <c r="A921" s="178" t="str">
        <f t="shared" si="28"/>
        <v>00/01/yyyy195</v>
      </c>
      <c r="B921" s="171">
        <f t="shared" si="29"/>
        <v>195</v>
      </c>
    </row>
    <row r="922" spans="1:2" ht="30" customHeight="1" x14ac:dyDescent="0.25">
      <c r="A922" s="178" t="str">
        <f t="shared" si="28"/>
        <v>00/01/yyyy196</v>
      </c>
      <c r="B922" s="171">
        <f t="shared" si="29"/>
        <v>196</v>
      </c>
    </row>
    <row r="923" spans="1:2" ht="30" customHeight="1" x14ac:dyDescent="0.25">
      <c r="A923" s="178" t="str">
        <f t="shared" si="28"/>
        <v>00/01/yyyy197</v>
      </c>
      <c r="B923" s="171">
        <f t="shared" si="29"/>
        <v>197</v>
      </c>
    </row>
    <row r="924" spans="1:2" ht="30" customHeight="1" x14ac:dyDescent="0.25">
      <c r="A924" s="178" t="str">
        <f t="shared" si="28"/>
        <v>00/01/yyyy198</v>
      </c>
      <c r="B924" s="171">
        <f t="shared" si="29"/>
        <v>198</v>
      </c>
    </row>
    <row r="925" spans="1:2" ht="30" customHeight="1" x14ac:dyDescent="0.25">
      <c r="A925" s="178" t="str">
        <f t="shared" si="28"/>
        <v>00/01/yyyy199</v>
      </c>
      <c r="B925" s="171">
        <f t="shared" si="29"/>
        <v>199</v>
      </c>
    </row>
    <row r="926" spans="1:2" ht="30" customHeight="1" x14ac:dyDescent="0.25">
      <c r="A926" s="178" t="str">
        <f t="shared" si="28"/>
        <v>00/01/yyyy200</v>
      </c>
      <c r="B926" s="171">
        <f t="shared" si="29"/>
        <v>200</v>
      </c>
    </row>
    <row r="927" spans="1:2" ht="30" customHeight="1" x14ac:dyDescent="0.25">
      <c r="A927" s="178" t="str">
        <f t="shared" si="28"/>
        <v>00/01/yyyy201</v>
      </c>
      <c r="B927" s="171">
        <f t="shared" si="29"/>
        <v>201</v>
      </c>
    </row>
    <row r="928" spans="1:2" ht="30" customHeight="1" x14ac:dyDescent="0.25">
      <c r="A928" s="178" t="str">
        <f t="shared" si="28"/>
        <v>00/01/yyyy202</v>
      </c>
      <c r="B928" s="171">
        <f t="shared" si="29"/>
        <v>202</v>
      </c>
    </row>
    <row r="929" spans="1:2" ht="30" customHeight="1" x14ac:dyDescent="0.25">
      <c r="A929" s="178" t="str">
        <f t="shared" si="28"/>
        <v>00/01/yyyy203</v>
      </c>
      <c r="B929" s="171">
        <f t="shared" si="29"/>
        <v>203</v>
      </c>
    </row>
    <row r="930" spans="1:2" ht="30" customHeight="1" x14ac:dyDescent="0.25">
      <c r="A930" s="178" t="str">
        <f t="shared" si="28"/>
        <v>00/01/yyyy204</v>
      </c>
      <c r="B930" s="171">
        <f t="shared" si="29"/>
        <v>204</v>
      </c>
    </row>
    <row r="931" spans="1:2" ht="30" customHeight="1" x14ac:dyDescent="0.25">
      <c r="A931" s="178" t="str">
        <f t="shared" si="28"/>
        <v>00/01/yyyy205</v>
      </c>
      <c r="B931" s="171">
        <f t="shared" si="29"/>
        <v>205</v>
      </c>
    </row>
    <row r="932" spans="1:2" ht="30" customHeight="1" x14ac:dyDescent="0.25">
      <c r="A932" s="178" t="str">
        <f t="shared" si="28"/>
        <v>00/01/yyyy206</v>
      </c>
      <c r="B932" s="171">
        <f t="shared" si="29"/>
        <v>206</v>
      </c>
    </row>
    <row r="933" spans="1:2" ht="30" customHeight="1" x14ac:dyDescent="0.25">
      <c r="A933" s="178" t="str">
        <f t="shared" si="28"/>
        <v>00/01/yyyy207</v>
      </c>
      <c r="B933" s="171">
        <f t="shared" si="29"/>
        <v>207</v>
      </c>
    </row>
    <row r="934" spans="1:2" ht="30" customHeight="1" x14ac:dyDescent="0.25">
      <c r="A934" s="178" t="str">
        <f t="shared" si="28"/>
        <v>00/01/yyyy208</v>
      </c>
      <c r="B934" s="171">
        <f t="shared" si="29"/>
        <v>208</v>
      </c>
    </row>
    <row r="935" spans="1:2" ht="30" customHeight="1" x14ac:dyDescent="0.25">
      <c r="A935" s="178" t="str">
        <f t="shared" si="28"/>
        <v>00/01/yyyy209</v>
      </c>
      <c r="B935" s="171">
        <f t="shared" si="29"/>
        <v>209</v>
      </c>
    </row>
    <row r="936" spans="1:2" ht="30" customHeight="1" x14ac:dyDescent="0.25">
      <c r="A936" s="178" t="str">
        <f t="shared" si="28"/>
        <v>00/01/yyyy210</v>
      </c>
      <c r="B936" s="171">
        <f t="shared" si="29"/>
        <v>210</v>
      </c>
    </row>
    <row r="937" spans="1:2" ht="30" customHeight="1" x14ac:dyDescent="0.25">
      <c r="A937" s="178" t="str">
        <f t="shared" si="28"/>
        <v>00/01/yyyy211</v>
      </c>
      <c r="B937" s="171">
        <f t="shared" si="29"/>
        <v>211</v>
      </c>
    </row>
    <row r="938" spans="1:2" ht="30" customHeight="1" x14ac:dyDescent="0.25">
      <c r="A938" s="178" t="str">
        <f t="shared" si="28"/>
        <v>00/01/yyyy212</v>
      </c>
      <c r="B938" s="171">
        <f t="shared" si="29"/>
        <v>212</v>
      </c>
    </row>
    <row r="939" spans="1:2" ht="30" customHeight="1" x14ac:dyDescent="0.25">
      <c r="A939" s="178" t="str">
        <f t="shared" si="28"/>
        <v>00/01/yyyy213</v>
      </c>
      <c r="B939" s="171">
        <f t="shared" si="29"/>
        <v>213</v>
      </c>
    </row>
    <row r="940" spans="1:2" ht="30" customHeight="1" x14ac:dyDescent="0.25">
      <c r="A940" s="178" t="str">
        <f t="shared" si="28"/>
        <v>00/01/yyyy214</v>
      </c>
      <c r="B940" s="171">
        <f t="shared" si="29"/>
        <v>214</v>
      </c>
    </row>
    <row r="941" spans="1:2" ht="30" customHeight="1" x14ac:dyDescent="0.25">
      <c r="A941" s="178" t="str">
        <f t="shared" si="28"/>
        <v>00/01/yyyy215</v>
      </c>
      <c r="B941" s="171">
        <f t="shared" si="29"/>
        <v>215</v>
      </c>
    </row>
    <row r="942" spans="1:2" ht="30" customHeight="1" x14ac:dyDescent="0.25">
      <c r="A942" s="178" t="str">
        <f t="shared" si="28"/>
        <v>00/01/yyyy216</v>
      </c>
      <c r="B942" s="171">
        <f t="shared" si="29"/>
        <v>216</v>
      </c>
    </row>
    <row r="943" spans="1:2" ht="30" customHeight="1" x14ac:dyDescent="0.25">
      <c r="A943" s="178" t="str">
        <f t="shared" si="28"/>
        <v>00/01/yyyy217</v>
      </c>
      <c r="B943" s="171">
        <f t="shared" si="29"/>
        <v>217</v>
      </c>
    </row>
    <row r="944" spans="1:2" ht="30" customHeight="1" x14ac:dyDescent="0.25">
      <c r="A944" s="178" t="str">
        <f t="shared" si="28"/>
        <v>00/01/yyyy218</v>
      </c>
      <c r="B944" s="171">
        <f t="shared" si="29"/>
        <v>218</v>
      </c>
    </row>
    <row r="945" spans="1:2" ht="30" customHeight="1" x14ac:dyDescent="0.25">
      <c r="A945" s="178" t="str">
        <f t="shared" si="28"/>
        <v>00/01/yyyy219</v>
      </c>
      <c r="B945" s="171">
        <f t="shared" si="29"/>
        <v>219</v>
      </c>
    </row>
    <row r="946" spans="1:2" ht="30" customHeight="1" x14ac:dyDescent="0.25">
      <c r="A946" s="178" t="str">
        <f t="shared" si="28"/>
        <v>00/01/yyyy220</v>
      </c>
      <c r="B946" s="171">
        <f t="shared" si="29"/>
        <v>220</v>
      </c>
    </row>
    <row r="947" spans="1:2" ht="30" customHeight="1" x14ac:dyDescent="0.25">
      <c r="A947" s="178" t="str">
        <f t="shared" si="28"/>
        <v>00/01/yyyy221</v>
      </c>
      <c r="B947" s="171">
        <f t="shared" si="29"/>
        <v>221</v>
      </c>
    </row>
    <row r="948" spans="1:2" ht="30" customHeight="1" x14ac:dyDescent="0.25">
      <c r="A948" s="178" t="str">
        <f t="shared" si="28"/>
        <v>00/01/yyyy222</v>
      </c>
      <c r="B948" s="171">
        <f t="shared" si="29"/>
        <v>222</v>
      </c>
    </row>
    <row r="949" spans="1:2" ht="30" customHeight="1" x14ac:dyDescent="0.25">
      <c r="A949" s="178" t="str">
        <f t="shared" si="28"/>
        <v>00/01/yyyy223</v>
      </c>
      <c r="B949" s="171">
        <f t="shared" si="29"/>
        <v>223</v>
      </c>
    </row>
    <row r="950" spans="1:2" ht="30" customHeight="1" x14ac:dyDescent="0.25">
      <c r="A950" s="178" t="str">
        <f t="shared" si="28"/>
        <v>00/01/yyyy224</v>
      </c>
      <c r="B950" s="171">
        <f t="shared" si="29"/>
        <v>224</v>
      </c>
    </row>
    <row r="951" spans="1:2" ht="30" customHeight="1" x14ac:dyDescent="0.25">
      <c r="A951" s="178" t="str">
        <f t="shared" si="28"/>
        <v>00/01/yyyy225</v>
      </c>
      <c r="B951" s="171">
        <f t="shared" si="29"/>
        <v>225</v>
      </c>
    </row>
    <row r="952" spans="1:2" ht="30" customHeight="1" x14ac:dyDescent="0.25">
      <c r="A952" s="178" t="str">
        <f t="shared" si="28"/>
        <v>00/01/yyyy226</v>
      </c>
      <c r="B952" s="171">
        <f t="shared" si="29"/>
        <v>226</v>
      </c>
    </row>
    <row r="953" spans="1:2" ht="30" customHeight="1" x14ac:dyDescent="0.25">
      <c r="A953" s="178" t="str">
        <f t="shared" si="28"/>
        <v>00/01/yyyy227</v>
      </c>
      <c r="B953" s="171">
        <f t="shared" si="29"/>
        <v>227</v>
      </c>
    </row>
    <row r="954" spans="1:2" ht="30" customHeight="1" x14ac:dyDescent="0.25">
      <c r="A954" s="178" t="str">
        <f t="shared" si="28"/>
        <v>00/01/yyyy228</v>
      </c>
      <c r="B954" s="171">
        <f t="shared" si="29"/>
        <v>228</v>
      </c>
    </row>
    <row r="955" spans="1:2" ht="30" customHeight="1" x14ac:dyDescent="0.25">
      <c r="A955" s="178" t="str">
        <f t="shared" si="28"/>
        <v>00/01/yyyy229</v>
      </c>
      <c r="B955" s="171">
        <f t="shared" si="29"/>
        <v>229</v>
      </c>
    </row>
    <row r="956" spans="1:2" ht="30" customHeight="1" x14ac:dyDescent="0.25">
      <c r="A956" s="178" t="str">
        <f t="shared" si="28"/>
        <v>00/01/yyyy230</v>
      </c>
      <c r="B956" s="171">
        <f t="shared" si="29"/>
        <v>230</v>
      </c>
    </row>
    <row r="957" spans="1:2" ht="30" customHeight="1" x14ac:dyDescent="0.25">
      <c r="A957" s="178" t="str">
        <f t="shared" si="28"/>
        <v>00/01/yyyy231</v>
      </c>
      <c r="B957" s="171">
        <f t="shared" si="29"/>
        <v>231</v>
      </c>
    </row>
    <row r="958" spans="1:2" ht="30" customHeight="1" x14ac:dyDescent="0.25">
      <c r="A958" s="178" t="str">
        <f t="shared" si="28"/>
        <v>00/01/yyyy232</v>
      </c>
      <c r="B958" s="171">
        <f t="shared" si="29"/>
        <v>232</v>
      </c>
    </row>
    <row r="959" spans="1:2" ht="30" customHeight="1" x14ac:dyDescent="0.25">
      <c r="A959" s="178" t="str">
        <f t="shared" si="28"/>
        <v>00/01/yyyy233</v>
      </c>
      <c r="B959" s="171">
        <f t="shared" si="29"/>
        <v>233</v>
      </c>
    </row>
    <row r="960" spans="1:2" ht="30" customHeight="1" x14ac:dyDescent="0.25">
      <c r="A960" s="178" t="str">
        <f t="shared" si="28"/>
        <v>00/01/yyyy234</v>
      </c>
      <c r="B960" s="171">
        <f t="shared" si="29"/>
        <v>234</v>
      </c>
    </row>
    <row r="961" spans="1:2" ht="30" customHeight="1" x14ac:dyDescent="0.25">
      <c r="A961" s="178" t="str">
        <f t="shared" si="28"/>
        <v>00/01/yyyy235</v>
      </c>
      <c r="B961" s="171">
        <f t="shared" si="29"/>
        <v>235</v>
      </c>
    </row>
    <row r="962" spans="1:2" ht="30" customHeight="1" x14ac:dyDescent="0.25">
      <c r="A962" s="178" t="str">
        <f t="shared" si="28"/>
        <v>00/01/yyyy236</v>
      </c>
      <c r="B962" s="171">
        <f t="shared" si="29"/>
        <v>236</v>
      </c>
    </row>
    <row r="963" spans="1:2" ht="30" customHeight="1" x14ac:dyDescent="0.25">
      <c r="A963" s="178" t="str">
        <f t="shared" ref="A963:A1026" si="30">CONCATENATE(TEXT($G963,"dd/mm/yyyy"),$B963)</f>
        <v>00/01/yyyy237</v>
      </c>
      <c r="B963" s="171">
        <f t="shared" si="29"/>
        <v>237</v>
      </c>
    </row>
    <row r="964" spans="1:2" ht="30" customHeight="1" x14ac:dyDescent="0.25">
      <c r="A964" s="178" t="str">
        <f t="shared" si="30"/>
        <v>00/01/yyyy238</v>
      </c>
      <c r="B964" s="171">
        <f t="shared" ref="B964:B1027" si="31">IF($G964=$G963,$B963+1,1)</f>
        <v>238</v>
      </c>
    </row>
    <row r="965" spans="1:2" ht="30" customHeight="1" x14ac:dyDescent="0.25">
      <c r="A965" s="178" t="str">
        <f t="shared" si="30"/>
        <v>00/01/yyyy239</v>
      </c>
      <c r="B965" s="171">
        <f t="shared" si="31"/>
        <v>239</v>
      </c>
    </row>
    <row r="966" spans="1:2" ht="30" customHeight="1" x14ac:dyDescent="0.25">
      <c r="A966" s="178" t="str">
        <f t="shared" si="30"/>
        <v>00/01/yyyy240</v>
      </c>
      <c r="B966" s="171">
        <f t="shared" si="31"/>
        <v>240</v>
      </c>
    </row>
    <row r="967" spans="1:2" ht="30" customHeight="1" x14ac:dyDescent="0.25">
      <c r="A967" s="178" t="str">
        <f t="shared" si="30"/>
        <v>00/01/yyyy241</v>
      </c>
      <c r="B967" s="171">
        <f t="shared" si="31"/>
        <v>241</v>
      </c>
    </row>
    <row r="968" spans="1:2" ht="30" customHeight="1" x14ac:dyDescent="0.25">
      <c r="A968" s="178" t="str">
        <f t="shared" si="30"/>
        <v>00/01/yyyy242</v>
      </c>
      <c r="B968" s="171">
        <f t="shared" si="31"/>
        <v>242</v>
      </c>
    </row>
    <row r="969" spans="1:2" ht="30" customHeight="1" x14ac:dyDescent="0.25">
      <c r="A969" s="178" t="str">
        <f t="shared" si="30"/>
        <v>00/01/yyyy243</v>
      </c>
      <c r="B969" s="171">
        <f t="shared" si="31"/>
        <v>243</v>
      </c>
    </row>
    <row r="970" spans="1:2" ht="30" customHeight="1" x14ac:dyDescent="0.25">
      <c r="A970" s="178" t="str">
        <f t="shared" si="30"/>
        <v>00/01/yyyy244</v>
      </c>
      <c r="B970" s="171">
        <f t="shared" si="31"/>
        <v>244</v>
      </c>
    </row>
    <row r="971" spans="1:2" ht="30" customHeight="1" x14ac:dyDescent="0.25">
      <c r="A971" s="178" t="str">
        <f t="shared" si="30"/>
        <v>00/01/yyyy245</v>
      </c>
      <c r="B971" s="171">
        <f t="shared" si="31"/>
        <v>245</v>
      </c>
    </row>
    <row r="972" spans="1:2" ht="30" customHeight="1" x14ac:dyDescent="0.25">
      <c r="A972" s="178" t="str">
        <f t="shared" si="30"/>
        <v>00/01/yyyy246</v>
      </c>
      <c r="B972" s="171">
        <f t="shared" si="31"/>
        <v>246</v>
      </c>
    </row>
    <row r="973" spans="1:2" ht="30" customHeight="1" x14ac:dyDescent="0.25">
      <c r="A973" s="178" t="str">
        <f t="shared" si="30"/>
        <v>00/01/yyyy247</v>
      </c>
      <c r="B973" s="171">
        <f t="shared" si="31"/>
        <v>247</v>
      </c>
    </row>
    <row r="974" spans="1:2" ht="30" customHeight="1" x14ac:dyDescent="0.25">
      <c r="A974" s="178" t="str">
        <f t="shared" si="30"/>
        <v>00/01/yyyy248</v>
      </c>
      <c r="B974" s="171">
        <f t="shared" si="31"/>
        <v>248</v>
      </c>
    </row>
    <row r="975" spans="1:2" ht="30" customHeight="1" x14ac:dyDescent="0.25">
      <c r="A975" s="178" t="str">
        <f t="shared" si="30"/>
        <v>00/01/yyyy249</v>
      </c>
      <c r="B975" s="171">
        <f t="shared" si="31"/>
        <v>249</v>
      </c>
    </row>
    <row r="976" spans="1:2" ht="30" customHeight="1" x14ac:dyDescent="0.25">
      <c r="A976" s="178" t="str">
        <f t="shared" si="30"/>
        <v>00/01/yyyy250</v>
      </c>
      <c r="B976" s="171">
        <f t="shared" si="31"/>
        <v>250</v>
      </c>
    </row>
    <row r="977" spans="1:2" ht="30" customHeight="1" x14ac:dyDescent="0.25">
      <c r="A977" s="178" t="str">
        <f t="shared" si="30"/>
        <v>00/01/yyyy251</v>
      </c>
      <c r="B977" s="171">
        <f t="shared" si="31"/>
        <v>251</v>
      </c>
    </row>
    <row r="978" spans="1:2" ht="30" customHeight="1" x14ac:dyDescent="0.25">
      <c r="A978" s="178" t="str">
        <f t="shared" si="30"/>
        <v>00/01/yyyy252</v>
      </c>
      <c r="B978" s="171">
        <f t="shared" si="31"/>
        <v>252</v>
      </c>
    </row>
    <row r="979" spans="1:2" ht="30" customHeight="1" x14ac:dyDescent="0.25">
      <c r="A979" s="178" t="str">
        <f t="shared" si="30"/>
        <v>00/01/yyyy253</v>
      </c>
      <c r="B979" s="171">
        <f t="shared" si="31"/>
        <v>253</v>
      </c>
    </row>
    <row r="980" spans="1:2" ht="30" customHeight="1" x14ac:dyDescent="0.25">
      <c r="A980" s="178" t="str">
        <f t="shared" si="30"/>
        <v>00/01/yyyy254</v>
      </c>
      <c r="B980" s="171">
        <f t="shared" si="31"/>
        <v>254</v>
      </c>
    </row>
    <row r="981" spans="1:2" ht="30" customHeight="1" x14ac:dyDescent="0.25">
      <c r="A981" s="178" t="str">
        <f t="shared" si="30"/>
        <v>00/01/yyyy255</v>
      </c>
      <c r="B981" s="171">
        <f t="shared" si="31"/>
        <v>255</v>
      </c>
    </row>
    <row r="982" spans="1:2" ht="30" customHeight="1" x14ac:dyDescent="0.25">
      <c r="A982" s="178" t="str">
        <f t="shared" si="30"/>
        <v>00/01/yyyy256</v>
      </c>
      <c r="B982" s="171">
        <f t="shared" si="31"/>
        <v>256</v>
      </c>
    </row>
    <row r="983" spans="1:2" ht="30" customHeight="1" x14ac:dyDescent="0.25">
      <c r="A983" s="178" t="str">
        <f t="shared" si="30"/>
        <v>00/01/yyyy257</v>
      </c>
      <c r="B983" s="171">
        <f t="shared" si="31"/>
        <v>257</v>
      </c>
    </row>
    <row r="984" spans="1:2" ht="30" customHeight="1" x14ac:dyDescent="0.25">
      <c r="A984" s="178" t="str">
        <f t="shared" si="30"/>
        <v>00/01/yyyy258</v>
      </c>
      <c r="B984" s="171">
        <f t="shared" si="31"/>
        <v>258</v>
      </c>
    </row>
    <row r="985" spans="1:2" ht="30" customHeight="1" x14ac:dyDescent="0.25">
      <c r="A985" s="178" t="str">
        <f t="shared" si="30"/>
        <v>00/01/yyyy259</v>
      </c>
      <c r="B985" s="171">
        <f t="shared" si="31"/>
        <v>259</v>
      </c>
    </row>
    <row r="986" spans="1:2" ht="30" customHeight="1" x14ac:dyDescent="0.25">
      <c r="A986" s="178" t="str">
        <f t="shared" si="30"/>
        <v>00/01/yyyy260</v>
      </c>
      <c r="B986" s="171">
        <f t="shared" si="31"/>
        <v>260</v>
      </c>
    </row>
    <row r="987" spans="1:2" ht="30" customHeight="1" x14ac:dyDescent="0.25">
      <c r="A987" s="178" t="str">
        <f t="shared" si="30"/>
        <v>00/01/yyyy261</v>
      </c>
      <c r="B987" s="171">
        <f t="shared" si="31"/>
        <v>261</v>
      </c>
    </row>
    <row r="988" spans="1:2" ht="30" customHeight="1" x14ac:dyDescent="0.25">
      <c r="A988" s="178" t="str">
        <f t="shared" si="30"/>
        <v>00/01/yyyy262</v>
      </c>
      <c r="B988" s="171">
        <f t="shared" si="31"/>
        <v>262</v>
      </c>
    </row>
    <row r="989" spans="1:2" ht="30" customHeight="1" x14ac:dyDescent="0.25">
      <c r="A989" s="178" t="str">
        <f t="shared" si="30"/>
        <v>00/01/yyyy263</v>
      </c>
      <c r="B989" s="171">
        <f t="shared" si="31"/>
        <v>263</v>
      </c>
    </row>
    <row r="990" spans="1:2" ht="30" customHeight="1" x14ac:dyDescent="0.25">
      <c r="A990" s="178" t="str">
        <f t="shared" si="30"/>
        <v>00/01/yyyy264</v>
      </c>
      <c r="B990" s="171">
        <f t="shared" si="31"/>
        <v>264</v>
      </c>
    </row>
    <row r="991" spans="1:2" ht="30" customHeight="1" x14ac:dyDescent="0.25">
      <c r="A991" s="178" t="str">
        <f t="shared" si="30"/>
        <v>00/01/yyyy265</v>
      </c>
      <c r="B991" s="171">
        <f t="shared" si="31"/>
        <v>265</v>
      </c>
    </row>
    <row r="992" spans="1:2" ht="30" customHeight="1" x14ac:dyDescent="0.25">
      <c r="A992" s="178" t="str">
        <f t="shared" si="30"/>
        <v>00/01/yyyy266</v>
      </c>
      <c r="B992" s="171">
        <f t="shared" si="31"/>
        <v>266</v>
      </c>
    </row>
    <row r="993" spans="1:2" ht="30" customHeight="1" x14ac:dyDescent="0.25">
      <c r="A993" s="178" t="str">
        <f t="shared" si="30"/>
        <v>00/01/yyyy267</v>
      </c>
      <c r="B993" s="171">
        <f t="shared" si="31"/>
        <v>267</v>
      </c>
    </row>
    <row r="994" spans="1:2" ht="30" customHeight="1" x14ac:dyDescent="0.25">
      <c r="A994" s="178" t="str">
        <f t="shared" si="30"/>
        <v>00/01/yyyy268</v>
      </c>
      <c r="B994" s="171">
        <f t="shared" si="31"/>
        <v>268</v>
      </c>
    </row>
    <row r="995" spans="1:2" ht="30" customHeight="1" x14ac:dyDescent="0.25">
      <c r="A995" s="178" t="str">
        <f t="shared" si="30"/>
        <v>00/01/yyyy269</v>
      </c>
      <c r="B995" s="171">
        <f t="shared" si="31"/>
        <v>269</v>
      </c>
    </row>
    <row r="996" spans="1:2" ht="30" customHeight="1" x14ac:dyDescent="0.25">
      <c r="A996" s="178" t="str">
        <f t="shared" si="30"/>
        <v>00/01/yyyy270</v>
      </c>
      <c r="B996" s="171">
        <f t="shared" si="31"/>
        <v>270</v>
      </c>
    </row>
    <row r="997" spans="1:2" ht="30" customHeight="1" x14ac:dyDescent="0.25">
      <c r="A997" s="178" t="str">
        <f t="shared" si="30"/>
        <v>00/01/yyyy271</v>
      </c>
      <c r="B997" s="171">
        <f t="shared" si="31"/>
        <v>271</v>
      </c>
    </row>
    <row r="998" spans="1:2" ht="30" customHeight="1" x14ac:dyDescent="0.25">
      <c r="A998" s="178" t="str">
        <f t="shared" si="30"/>
        <v>00/01/yyyy272</v>
      </c>
      <c r="B998" s="171">
        <f t="shared" si="31"/>
        <v>272</v>
      </c>
    </row>
    <row r="999" spans="1:2" ht="30" customHeight="1" x14ac:dyDescent="0.25">
      <c r="A999" s="178" t="str">
        <f t="shared" si="30"/>
        <v>00/01/yyyy273</v>
      </c>
      <c r="B999" s="171">
        <f t="shared" si="31"/>
        <v>273</v>
      </c>
    </row>
    <row r="1000" spans="1:2" ht="30" customHeight="1" x14ac:dyDescent="0.25">
      <c r="A1000" s="178" t="str">
        <f t="shared" si="30"/>
        <v>00/01/yyyy274</v>
      </c>
      <c r="B1000" s="171">
        <f t="shared" si="31"/>
        <v>274</v>
      </c>
    </row>
    <row r="1001" spans="1:2" ht="30" customHeight="1" x14ac:dyDescent="0.25">
      <c r="A1001" s="178" t="str">
        <f t="shared" si="30"/>
        <v>00/01/yyyy275</v>
      </c>
      <c r="B1001" s="171">
        <f t="shared" si="31"/>
        <v>275</v>
      </c>
    </row>
    <row r="1002" spans="1:2" ht="30" customHeight="1" x14ac:dyDescent="0.25">
      <c r="A1002" s="178" t="str">
        <f t="shared" si="30"/>
        <v>00/01/yyyy276</v>
      </c>
      <c r="B1002" s="171">
        <f t="shared" si="31"/>
        <v>276</v>
      </c>
    </row>
    <row r="1003" spans="1:2" ht="30" customHeight="1" x14ac:dyDescent="0.25">
      <c r="A1003" s="178" t="str">
        <f t="shared" si="30"/>
        <v>00/01/yyyy277</v>
      </c>
      <c r="B1003" s="171">
        <f t="shared" si="31"/>
        <v>277</v>
      </c>
    </row>
    <row r="1004" spans="1:2" ht="30" customHeight="1" x14ac:dyDescent="0.25">
      <c r="A1004" s="178" t="str">
        <f t="shared" si="30"/>
        <v>00/01/yyyy278</v>
      </c>
      <c r="B1004" s="171">
        <f t="shared" si="31"/>
        <v>278</v>
      </c>
    </row>
    <row r="1005" spans="1:2" ht="30" customHeight="1" x14ac:dyDescent="0.25">
      <c r="A1005" s="178" t="str">
        <f t="shared" si="30"/>
        <v>00/01/yyyy279</v>
      </c>
      <c r="B1005" s="171">
        <f t="shared" si="31"/>
        <v>279</v>
      </c>
    </row>
    <row r="1006" spans="1:2" ht="30" customHeight="1" x14ac:dyDescent="0.25">
      <c r="A1006" s="178" t="str">
        <f t="shared" si="30"/>
        <v>00/01/yyyy280</v>
      </c>
      <c r="B1006" s="171">
        <f t="shared" si="31"/>
        <v>280</v>
      </c>
    </row>
    <row r="1007" spans="1:2" ht="30" customHeight="1" x14ac:dyDescent="0.25">
      <c r="A1007" s="178" t="str">
        <f t="shared" si="30"/>
        <v>00/01/yyyy281</v>
      </c>
      <c r="B1007" s="171">
        <f t="shared" si="31"/>
        <v>281</v>
      </c>
    </row>
    <row r="1008" spans="1:2" ht="30" customHeight="1" x14ac:dyDescent="0.25">
      <c r="A1008" s="178" t="str">
        <f t="shared" si="30"/>
        <v>00/01/yyyy282</v>
      </c>
      <c r="B1008" s="171">
        <f t="shared" si="31"/>
        <v>282</v>
      </c>
    </row>
    <row r="1009" spans="1:2" ht="30" customHeight="1" x14ac:dyDescent="0.25">
      <c r="A1009" s="178" t="str">
        <f t="shared" si="30"/>
        <v>00/01/yyyy283</v>
      </c>
      <c r="B1009" s="171">
        <f t="shared" si="31"/>
        <v>283</v>
      </c>
    </row>
    <row r="1010" spans="1:2" ht="30" customHeight="1" x14ac:dyDescent="0.25">
      <c r="A1010" s="178" t="str">
        <f t="shared" si="30"/>
        <v>00/01/yyyy284</v>
      </c>
      <c r="B1010" s="171">
        <f t="shared" si="31"/>
        <v>284</v>
      </c>
    </row>
    <row r="1011" spans="1:2" ht="30" customHeight="1" x14ac:dyDescent="0.25">
      <c r="A1011" s="178" t="str">
        <f t="shared" si="30"/>
        <v>00/01/yyyy285</v>
      </c>
      <c r="B1011" s="171">
        <f t="shared" si="31"/>
        <v>285</v>
      </c>
    </row>
    <row r="1012" spans="1:2" ht="30" customHeight="1" x14ac:dyDescent="0.25">
      <c r="A1012" s="178" t="str">
        <f t="shared" si="30"/>
        <v>00/01/yyyy286</v>
      </c>
      <c r="B1012" s="171">
        <f t="shared" si="31"/>
        <v>286</v>
      </c>
    </row>
    <row r="1013" spans="1:2" ht="30" customHeight="1" x14ac:dyDescent="0.25">
      <c r="A1013" s="178" t="str">
        <f t="shared" si="30"/>
        <v>00/01/yyyy287</v>
      </c>
      <c r="B1013" s="171">
        <f t="shared" si="31"/>
        <v>287</v>
      </c>
    </row>
    <row r="1014" spans="1:2" ht="30" customHeight="1" x14ac:dyDescent="0.25">
      <c r="A1014" s="178" t="str">
        <f t="shared" si="30"/>
        <v>00/01/yyyy288</v>
      </c>
      <c r="B1014" s="171">
        <f t="shared" si="31"/>
        <v>288</v>
      </c>
    </row>
    <row r="1015" spans="1:2" ht="30" customHeight="1" x14ac:dyDescent="0.25">
      <c r="A1015" s="178" t="str">
        <f t="shared" si="30"/>
        <v>00/01/yyyy289</v>
      </c>
      <c r="B1015" s="171">
        <f t="shared" si="31"/>
        <v>289</v>
      </c>
    </row>
    <row r="1016" spans="1:2" ht="30" customHeight="1" x14ac:dyDescent="0.25">
      <c r="A1016" s="178" t="str">
        <f t="shared" si="30"/>
        <v>00/01/yyyy290</v>
      </c>
      <c r="B1016" s="171">
        <f t="shared" si="31"/>
        <v>290</v>
      </c>
    </row>
    <row r="1017" spans="1:2" ht="30" customHeight="1" x14ac:dyDescent="0.25">
      <c r="A1017" s="178" t="str">
        <f t="shared" si="30"/>
        <v>00/01/yyyy291</v>
      </c>
      <c r="B1017" s="171">
        <f t="shared" si="31"/>
        <v>291</v>
      </c>
    </row>
    <row r="1018" spans="1:2" ht="30" customHeight="1" x14ac:dyDescent="0.25">
      <c r="A1018" s="178" t="str">
        <f t="shared" si="30"/>
        <v>00/01/yyyy292</v>
      </c>
      <c r="B1018" s="171">
        <f t="shared" si="31"/>
        <v>292</v>
      </c>
    </row>
    <row r="1019" spans="1:2" ht="30" customHeight="1" x14ac:dyDescent="0.25">
      <c r="A1019" s="178" t="str">
        <f t="shared" si="30"/>
        <v>00/01/yyyy293</v>
      </c>
      <c r="B1019" s="171">
        <f t="shared" si="31"/>
        <v>293</v>
      </c>
    </row>
    <row r="1020" spans="1:2" ht="30" customHeight="1" x14ac:dyDescent="0.25">
      <c r="A1020" s="178" t="str">
        <f t="shared" si="30"/>
        <v>00/01/yyyy294</v>
      </c>
      <c r="B1020" s="171">
        <f t="shared" si="31"/>
        <v>294</v>
      </c>
    </row>
    <row r="1021" spans="1:2" ht="30" customHeight="1" x14ac:dyDescent="0.25">
      <c r="A1021" s="178" t="str">
        <f t="shared" si="30"/>
        <v>00/01/yyyy295</v>
      </c>
      <c r="B1021" s="171">
        <f t="shared" si="31"/>
        <v>295</v>
      </c>
    </row>
    <row r="1022" spans="1:2" ht="30" customHeight="1" x14ac:dyDescent="0.25">
      <c r="A1022" s="178" t="str">
        <f t="shared" si="30"/>
        <v>00/01/yyyy296</v>
      </c>
      <c r="B1022" s="171">
        <f t="shared" si="31"/>
        <v>296</v>
      </c>
    </row>
    <row r="1023" spans="1:2" ht="30" customHeight="1" x14ac:dyDescent="0.25">
      <c r="A1023" s="178" t="str">
        <f t="shared" si="30"/>
        <v>00/01/yyyy297</v>
      </c>
      <c r="B1023" s="171">
        <f t="shared" si="31"/>
        <v>297</v>
      </c>
    </row>
    <row r="1024" spans="1:2" ht="30" customHeight="1" x14ac:dyDescent="0.25">
      <c r="A1024" s="178" t="str">
        <f t="shared" si="30"/>
        <v>00/01/yyyy298</v>
      </c>
      <c r="B1024" s="171">
        <f t="shared" si="31"/>
        <v>298</v>
      </c>
    </row>
    <row r="1025" spans="1:2" ht="30" customHeight="1" x14ac:dyDescent="0.25">
      <c r="A1025" s="178" t="str">
        <f t="shared" si="30"/>
        <v>00/01/yyyy299</v>
      </c>
      <c r="B1025" s="171">
        <f t="shared" si="31"/>
        <v>299</v>
      </c>
    </row>
    <row r="1026" spans="1:2" ht="30" customHeight="1" x14ac:dyDescent="0.25">
      <c r="A1026" s="178" t="str">
        <f t="shared" si="30"/>
        <v>00/01/yyyy300</v>
      </c>
      <c r="B1026" s="171">
        <f t="shared" si="31"/>
        <v>300</v>
      </c>
    </row>
    <row r="1027" spans="1:2" ht="30" customHeight="1" x14ac:dyDescent="0.25">
      <c r="A1027" s="178" t="str">
        <f t="shared" ref="A1027:A1090" si="32">CONCATENATE(TEXT($G1027,"dd/mm/yyyy"),$B1027)</f>
        <v>00/01/yyyy301</v>
      </c>
      <c r="B1027" s="171">
        <f t="shared" si="31"/>
        <v>301</v>
      </c>
    </row>
    <row r="1028" spans="1:2" ht="30" customHeight="1" x14ac:dyDescent="0.25">
      <c r="A1028" s="178" t="str">
        <f t="shared" si="32"/>
        <v>00/01/yyyy302</v>
      </c>
      <c r="B1028" s="171">
        <f t="shared" ref="B1028:B1091" si="33">IF($G1028=$G1027,$B1027+1,1)</f>
        <v>302</v>
      </c>
    </row>
    <row r="1029" spans="1:2" ht="30" customHeight="1" x14ac:dyDescent="0.25">
      <c r="A1029" s="178" t="str">
        <f t="shared" si="32"/>
        <v>00/01/yyyy303</v>
      </c>
      <c r="B1029" s="171">
        <f t="shared" si="33"/>
        <v>303</v>
      </c>
    </row>
    <row r="1030" spans="1:2" ht="30" customHeight="1" x14ac:dyDescent="0.25">
      <c r="A1030" s="178" t="str">
        <f t="shared" si="32"/>
        <v>00/01/yyyy304</v>
      </c>
      <c r="B1030" s="171">
        <f t="shared" si="33"/>
        <v>304</v>
      </c>
    </row>
    <row r="1031" spans="1:2" ht="30" customHeight="1" x14ac:dyDescent="0.25">
      <c r="A1031" s="178" t="str">
        <f t="shared" si="32"/>
        <v>00/01/yyyy305</v>
      </c>
      <c r="B1031" s="171">
        <f t="shared" si="33"/>
        <v>305</v>
      </c>
    </row>
    <row r="1032" spans="1:2" ht="30" customHeight="1" x14ac:dyDescent="0.25">
      <c r="A1032" s="178" t="str">
        <f t="shared" si="32"/>
        <v>00/01/yyyy306</v>
      </c>
      <c r="B1032" s="171">
        <f t="shared" si="33"/>
        <v>306</v>
      </c>
    </row>
    <row r="1033" spans="1:2" ht="30" customHeight="1" x14ac:dyDescent="0.25">
      <c r="A1033" s="178" t="str">
        <f t="shared" si="32"/>
        <v>00/01/yyyy307</v>
      </c>
      <c r="B1033" s="171">
        <f t="shared" si="33"/>
        <v>307</v>
      </c>
    </row>
    <row r="1034" spans="1:2" ht="30" customHeight="1" x14ac:dyDescent="0.25">
      <c r="A1034" s="178" t="str">
        <f t="shared" si="32"/>
        <v>00/01/yyyy308</v>
      </c>
      <c r="B1034" s="171">
        <f t="shared" si="33"/>
        <v>308</v>
      </c>
    </row>
    <row r="1035" spans="1:2" ht="30" customHeight="1" x14ac:dyDescent="0.25">
      <c r="A1035" s="178" t="str">
        <f t="shared" si="32"/>
        <v>00/01/yyyy309</v>
      </c>
      <c r="B1035" s="171">
        <f t="shared" si="33"/>
        <v>309</v>
      </c>
    </row>
    <row r="1036" spans="1:2" ht="30" customHeight="1" x14ac:dyDescent="0.25">
      <c r="A1036" s="178" t="str">
        <f t="shared" si="32"/>
        <v>00/01/yyyy310</v>
      </c>
      <c r="B1036" s="171">
        <f t="shared" si="33"/>
        <v>310</v>
      </c>
    </row>
    <row r="1037" spans="1:2" ht="30" customHeight="1" x14ac:dyDescent="0.25">
      <c r="A1037" s="178" t="str">
        <f t="shared" si="32"/>
        <v>00/01/yyyy311</v>
      </c>
      <c r="B1037" s="171">
        <f t="shared" si="33"/>
        <v>311</v>
      </c>
    </row>
    <row r="1038" spans="1:2" ht="30" customHeight="1" x14ac:dyDescent="0.25">
      <c r="A1038" s="178" t="str">
        <f t="shared" si="32"/>
        <v>00/01/yyyy312</v>
      </c>
      <c r="B1038" s="171">
        <f t="shared" si="33"/>
        <v>312</v>
      </c>
    </row>
    <row r="1039" spans="1:2" ht="30" customHeight="1" x14ac:dyDescent="0.25">
      <c r="A1039" s="178" t="str">
        <f t="shared" si="32"/>
        <v>00/01/yyyy313</v>
      </c>
      <c r="B1039" s="171">
        <f t="shared" si="33"/>
        <v>313</v>
      </c>
    </row>
    <row r="1040" spans="1:2" ht="30" customHeight="1" x14ac:dyDescent="0.25">
      <c r="A1040" s="178" t="str">
        <f t="shared" si="32"/>
        <v>00/01/yyyy314</v>
      </c>
      <c r="B1040" s="171">
        <f t="shared" si="33"/>
        <v>314</v>
      </c>
    </row>
    <row r="1041" spans="1:2" ht="30" customHeight="1" x14ac:dyDescent="0.25">
      <c r="A1041" s="178" t="str">
        <f t="shared" si="32"/>
        <v>00/01/yyyy315</v>
      </c>
      <c r="B1041" s="171">
        <f t="shared" si="33"/>
        <v>315</v>
      </c>
    </row>
    <row r="1042" spans="1:2" ht="30" customHeight="1" x14ac:dyDescent="0.25">
      <c r="A1042" s="178" t="str">
        <f t="shared" si="32"/>
        <v>00/01/yyyy316</v>
      </c>
      <c r="B1042" s="171">
        <f t="shared" si="33"/>
        <v>316</v>
      </c>
    </row>
    <row r="1043" spans="1:2" ht="30" customHeight="1" x14ac:dyDescent="0.25">
      <c r="A1043" s="178" t="str">
        <f t="shared" si="32"/>
        <v>00/01/yyyy317</v>
      </c>
      <c r="B1043" s="171">
        <f t="shared" si="33"/>
        <v>317</v>
      </c>
    </row>
    <row r="1044" spans="1:2" ht="30" customHeight="1" x14ac:dyDescent="0.25">
      <c r="A1044" s="178" t="str">
        <f t="shared" si="32"/>
        <v>00/01/yyyy318</v>
      </c>
      <c r="B1044" s="171">
        <f t="shared" si="33"/>
        <v>318</v>
      </c>
    </row>
    <row r="1045" spans="1:2" ht="30" customHeight="1" x14ac:dyDescent="0.25">
      <c r="A1045" s="178" t="str">
        <f t="shared" si="32"/>
        <v>00/01/yyyy319</v>
      </c>
      <c r="B1045" s="171">
        <f t="shared" si="33"/>
        <v>319</v>
      </c>
    </row>
    <row r="1046" spans="1:2" ht="30" customHeight="1" x14ac:dyDescent="0.25">
      <c r="A1046" s="178" t="str">
        <f t="shared" si="32"/>
        <v>00/01/yyyy320</v>
      </c>
      <c r="B1046" s="171">
        <f t="shared" si="33"/>
        <v>320</v>
      </c>
    </row>
    <row r="1047" spans="1:2" ht="30" customHeight="1" x14ac:dyDescent="0.25">
      <c r="A1047" s="178" t="str">
        <f t="shared" si="32"/>
        <v>00/01/yyyy321</v>
      </c>
      <c r="B1047" s="171">
        <f t="shared" si="33"/>
        <v>321</v>
      </c>
    </row>
    <row r="1048" spans="1:2" ht="30" customHeight="1" x14ac:dyDescent="0.25">
      <c r="A1048" s="178" t="str">
        <f t="shared" si="32"/>
        <v>00/01/yyyy322</v>
      </c>
      <c r="B1048" s="171">
        <f t="shared" si="33"/>
        <v>322</v>
      </c>
    </row>
    <row r="1049" spans="1:2" ht="30" customHeight="1" x14ac:dyDescent="0.25">
      <c r="A1049" s="178" t="str">
        <f t="shared" si="32"/>
        <v>00/01/yyyy323</v>
      </c>
      <c r="B1049" s="171">
        <f t="shared" si="33"/>
        <v>323</v>
      </c>
    </row>
    <row r="1050" spans="1:2" ht="30" customHeight="1" x14ac:dyDescent="0.25">
      <c r="A1050" s="178" t="str">
        <f t="shared" si="32"/>
        <v>00/01/yyyy324</v>
      </c>
      <c r="B1050" s="171">
        <f t="shared" si="33"/>
        <v>324</v>
      </c>
    </row>
    <row r="1051" spans="1:2" ht="30" customHeight="1" x14ac:dyDescent="0.25">
      <c r="A1051" s="178" t="str">
        <f t="shared" si="32"/>
        <v>00/01/yyyy325</v>
      </c>
      <c r="B1051" s="171">
        <f t="shared" si="33"/>
        <v>325</v>
      </c>
    </row>
    <row r="1052" spans="1:2" ht="30" customHeight="1" x14ac:dyDescent="0.25">
      <c r="A1052" s="178" t="str">
        <f t="shared" si="32"/>
        <v>00/01/yyyy326</v>
      </c>
      <c r="B1052" s="171">
        <f t="shared" si="33"/>
        <v>326</v>
      </c>
    </row>
    <row r="1053" spans="1:2" ht="30" customHeight="1" x14ac:dyDescent="0.25">
      <c r="A1053" s="178" t="str">
        <f t="shared" si="32"/>
        <v>00/01/yyyy327</v>
      </c>
      <c r="B1053" s="171">
        <f t="shared" si="33"/>
        <v>327</v>
      </c>
    </row>
    <row r="1054" spans="1:2" ht="30" customHeight="1" x14ac:dyDescent="0.25">
      <c r="A1054" s="178" t="str">
        <f t="shared" si="32"/>
        <v>00/01/yyyy328</v>
      </c>
      <c r="B1054" s="171">
        <f t="shared" si="33"/>
        <v>328</v>
      </c>
    </row>
    <row r="1055" spans="1:2" ht="30" customHeight="1" x14ac:dyDescent="0.25">
      <c r="A1055" s="178" t="str">
        <f t="shared" si="32"/>
        <v>00/01/yyyy329</v>
      </c>
      <c r="B1055" s="171">
        <f t="shared" si="33"/>
        <v>329</v>
      </c>
    </row>
    <row r="1056" spans="1:2" ht="30" customHeight="1" x14ac:dyDescent="0.25">
      <c r="A1056" s="178" t="str">
        <f t="shared" si="32"/>
        <v>00/01/yyyy330</v>
      </c>
      <c r="B1056" s="171">
        <f t="shared" si="33"/>
        <v>330</v>
      </c>
    </row>
    <row r="1057" spans="1:2" ht="30" customHeight="1" x14ac:dyDescent="0.25">
      <c r="A1057" s="178" t="str">
        <f t="shared" si="32"/>
        <v>00/01/yyyy331</v>
      </c>
      <c r="B1057" s="171">
        <f t="shared" si="33"/>
        <v>331</v>
      </c>
    </row>
    <row r="1058" spans="1:2" ht="30" customHeight="1" x14ac:dyDescent="0.25">
      <c r="A1058" s="178" t="str">
        <f t="shared" si="32"/>
        <v>00/01/yyyy332</v>
      </c>
      <c r="B1058" s="171">
        <f t="shared" si="33"/>
        <v>332</v>
      </c>
    </row>
    <row r="1059" spans="1:2" ht="30" customHeight="1" x14ac:dyDescent="0.25">
      <c r="A1059" s="178" t="str">
        <f t="shared" si="32"/>
        <v>00/01/yyyy333</v>
      </c>
      <c r="B1059" s="171">
        <f t="shared" si="33"/>
        <v>333</v>
      </c>
    </row>
    <row r="1060" spans="1:2" ht="30" customHeight="1" x14ac:dyDescent="0.25">
      <c r="A1060" s="178" t="str">
        <f t="shared" si="32"/>
        <v>00/01/yyyy334</v>
      </c>
      <c r="B1060" s="171">
        <f t="shared" si="33"/>
        <v>334</v>
      </c>
    </row>
    <row r="1061" spans="1:2" ht="30" customHeight="1" x14ac:dyDescent="0.25">
      <c r="A1061" s="178" t="str">
        <f t="shared" si="32"/>
        <v>00/01/yyyy335</v>
      </c>
      <c r="B1061" s="171">
        <f t="shared" si="33"/>
        <v>335</v>
      </c>
    </row>
    <row r="1062" spans="1:2" ht="30" customHeight="1" x14ac:dyDescent="0.25">
      <c r="A1062" s="178" t="str">
        <f t="shared" si="32"/>
        <v>00/01/yyyy336</v>
      </c>
      <c r="B1062" s="171">
        <f t="shared" si="33"/>
        <v>336</v>
      </c>
    </row>
    <row r="1063" spans="1:2" ht="30" customHeight="1" x14ac:dyDescent="0.25">
      <c r="A1063" s="178" t="str">
        <f t="shared" si="32"/>
        <v>00/01/yyyy337</v>
      </c>
      <c r="B1063" s="171">
        <f t="shared" si="33"/>
        <v>337</v>
      </c>
    </row>
    <row r="1064" spans="1:2" ht="30" customHeight="1" x14ac:dyDescent="0.25">
      <c r="A1064" s="178" t="str">
        <f t="shared" si="32"/>
        <v>00/01/yyyy338</v>
      </c>
      <c r="B1064" s="171">
        <f t="shared" si="33"/>
        <v>338</v>
      </c>
    </row>
    <row r="1065" spans="1:2" ht="30" customHeight="1" x14ac:dyDescent="0.25">
      <c r="A1065" s="178" t="str">
        <f t="shared" si="32"/>
        <v>00/01/yyyy339</v>
      </c>
      <c r="B1065" s="171">
        <f t="shared" si="33"/>
        <v>339</v>
      </c>
    </row>
    <row r="1066" spans="1:2" ht="30" customHeight="1" x14ac:dyDescent="0.25">
      <c r="A1066" s="178" t="str">
        <f t="shared" si="32"/>
        <v>00/01/yyyy340</v>
      </c>
      <c r="B1066" s="171">
        <f t="shared" si="33"/>
        <v>340</v>
      </c>
    </row>
    <row r="1067" spans="1:2" ht="30" customHeight="1" x14ac:dyDescent="0.25">
      <c r="A1067" s="178" t="str">
        <f t="shared" si="32"/>
        <v>00/01/yyyy341</v>
      </c>
      <c r="B1067" s="171">
        <f t="shared" si="33"/>
        <v>341</v>
      </c>
    </row>
    <row r="1068" spans="1:2" ht="30" customHeight="1" x14ac:dyDescent="0.25">
      <c r="A1068" s="178" t="str">
        <f t="shared" si="32"/>
        <v>00/01/yyyy342</v>
      </c>
      <c r="B1068" s="171">
        <f t="shared" si="33"/>
        <v>342</v>
      </c>
    </row>
    <row r="1069" spans="1:2" ht="30" customHeight="1" x14ac:dyDescent="0.25">
      <c r="A1069" s="178" t="str">
        <f t="shared" si="32"/>
        <v>00/01/yyyy343</v>
      </c>
      <c r="B1069" s="171">
        <f t="shared" si="33"/>
        <v>343</v>
      </c>
    </row>
    <row r="1070" spans="1:2" ht="30" customHeight="1" x14ac:dyDescent="0.25">
      <c r="A1070" s="178" t="str">
        <f t="shared" si="32"/>
        <v>00/01/yyyy344</v>
      </c>
      <c r="B1070" s="171">
        <f t="shared" si="33"/>
        <v>344</v>
      </c>
    </row>
    <row r="1071" spans="1:2" ht="30" customHeight="1" x14ac:dyDescent="0.25">
      <c r="A1071" s="178" t="str">
        <f t="shared" si="32"/>
        <v>00/01/yyyy345</v>
      </c>
      <c r="B1071" s="171">
        <f t="shared" si="33"/>
        <v>345</v>
      </c>
    </row>
    <row r="1072" spans="1:2" ht="30" customHeight="1" x14ac:dyDescent="0.25">
      <c r="A1072" s="178" t="str">
        <f t="shared" si="32"/>
        <v>00/01/yyyy346</v>
      </c>
      <c r="B1072" s="171">
        <f t="shared" si="33"/>
        <v>346</v>
      </c>
    </row>
    <row r="1073" spans="1:2" ht="30" customHeight="1" x14ac:dyDescent="0.25">
      <c r="A1073" s="178" t="str">
        <f t="shared" si="32"/>
        <v>00/01/yyyy347</v>
      </c>
      <c r="B1073" s="171">
        <f t="shared" si="33"/>
        <v>347</v>
      </c>
    </row>
    <row r="1074" spans="1:2" ht="30" customHeight="1" x14ac:dyDescent="0.25">
      <c r="A1074" s="178" t="str">
        <f t="shared" si="32"/>
        <v>00/01/yyyy348</v>
      </c>
      <c r="B1074" s="171">
        <f t="shared" si="33"/>
        <v>348</v>
      </c>
    </row>
    <row r="1075" spans="1:2" ht="30" customHeight="1" x14ac:dyDescent="0.25">
      <c r="A1075" s="178" t="str">
        <f t="shared" si="32"/>
        <v>00/01/yyyy349</v>
      </c>
      <c r="B1075" s="171">
        <f t="shared" si="33"/>
        <v>349</v>
      </c>
    </row>
    <row r="1076" spans="1:2" ht="30" customHeight="1" x14ac:dyDescent="0.25">
      <c r="A1076" s="178" t="str">
        <f t="shared" si="32"/>
        <v>00/01/yyyy350</v>
      </c>
      <c r="B1076" s="171">
        <f t="shared" si="33"/>
        <v>350</v>
      </c>
    </row>
    <row r="1077" spans="1:2" ht="30" customHeight="1" x14ac:dyDescent="0.25">
      <c r="A1077" s="178" t="str">
        <f t="shared" si="32"/>
        <v>00/01/yyyy351</v>
      </c>
      <c r="B1077" s="171">
        <f t="shared" si="33"/>
        <v>351</v>
      </c>
    </row>
    <row r="1078" spans="1:2" ht="30" customHeight="1" x14ac:dyDescent="0.25">
      <c r="A1078" s="178" t="str">
        <f t="shared" si="32"/>
        <v>00/01/yyyy352</v>
      </c>
      <c r="B1078" s="171">
        <f t="shared" si="33"/>
        <v>352</v>
      </c>
    </row>
    <row r="1079" spans="1:2" ht="30" customHeight="1" x14ac:dyDescent="0.25">
      <c r="A1079" s="178" t="str">
        <f t="shared" si="32"/>
        <v>00/01/yyyy353</v>
      </c>
      <c r="B1079" s="171">
        <f t="shared" si="33"/>
        <v>353</v>
      </c>
    </row>
    <row r="1080" spans="1:2" ht="30" customHeight="1" x14ac:dyDescent="0.25">
      <c r="A1080" s="178" t="str">
        <f t="shared" si="32"/>
        <v>00/01/yyyy354</v>
      </c>
      <c r="B1080" s="171">
        <f t="shared" si="33"/>
        <v>354</v>
      </c>
    </row>
    <row r="1081" spans="1:2" ht="30" customHeight="1" x14ac:dyDescent="0.25">
      <c r="A1081" s="178" t="str">
        <f t="shared" si="32"/>
        <v>00/01/yyyy355</v>
      </c>
      <c r="B1081" s="171">
        <f t="shared" si="33"/>
        <v>355</v>
      </c>
    </row>
    <row r="1082" spans="1:2" ht="30" customHeight="1" x14ac:dyDescent="0.25">
      <c r="A1082" s="178" t="str">
        <f t="shared" si="32"/>
        <v>00/01/yyyy356</v>
      </c>
      <c r="B1082" s="171">
        <f t="shared" si="33"/>
        <v>356</v>
      </c>
    </row>
    <row r="1083" spans="1:2" ht="30" customHeight="1" x14ac:dyDescent="0.25">
      <c r="A1083" s="178" t="str">
        <f t="shared" si="32"/>
        <v>00/01/yyyy357</v>
      </c>
      <c r="B1083" s="171">
        <f t="shared" si="33"/>
        <v>357</v>
      </c>
    </row>
    <row r="1084" spans="1:2" ht="30" customHeight="1" x14ac:dyDescent="0.25">
      <c r="A1084" s="178" t="str">
        <f t="shared" si="32"/>
        <v>00/01/yyyy358</v>
      </c>
      <c r="B1084" s="171">
        <f t="shared" si="33"/>
        <v>358</v>
      </c>
    </row>
    <row r="1085" spans="1:2" ht="30" customHeight="1" x14ac:dyDescent="0.25">
      <c r="A1085" s="178" t="str">
        <f t="shared" si="32"/>
        <v>00/01/yyyy359</v>
      </c>
      <c r="B1085" s="171">
        <f t="shared" si="33"/>
        <v>359</v>
      </c>
    </row>
    <row r="1086" spans="1:2" ht="30" customHeight="1" x14ac:dyDescent="0.25">
      <c r="A1086" s="178" t="str">
        <f t="shared" si="32"/>
        <v>00/01/yyyy360</v>
      </c>
      <c r="B1086" s="171">
        <f t="shared" si="33"/>
        <v>360</v>
      </c>
    </row>
    <row r="1087" spans="1:2" ht="30" customHeight="1" x14ac:dyDescent="0.25">
      <c r="A1087" s="178" t="str">
        <f t="shared" si="32"/>
        <v>00/01/yyyy361</v>
      </c>
      <c r="B1087" s="171">
        <f t="shared" si="33"/>
        <v>361</v>
      </c>
    </row>
    <row r="1088" spans="1:2" ht="30" customHeight="1" x14ac:dyDescent="0.25">
      <c r="A1088" s="178" t="str">
        <f t="shared" si="32"/>
        <v>00/01/yyyy362</v>
      </c>
      <c r="B1088" s="171">
        <f t="shared" si="33"/>
        <v>362</v>
      </c>
    </row>
    <row r="1089" spans="1:2" ht="30" customHeight="1" x14ac:dyDescent="0.25">
      <c r="A1089" s="178" t="str">
        <f t="shared" si="32"/>
        <v>00/01/yyyy363</v>
      </c>
      <c r="B1089" s="171">
        <f t="shared" si="33"/>
        <v>363</v>
      </c>
    </row>
    <row r="1090" spans="1:2" ht="30" customHeight="1" x14ac:dyDescent="0.25">
      <c r="A1090" s="178" t="str">
        <f t="shared" si="32"/>
        <v>00/01/yyyy364</v>
      </c>
      <c r="B1090" s="171">
        <f t="shared" si="33"/>
        <v>364</v>
      </c>
    </row>
    <row r="1091" spans="1:2" ht="30" customHeight="1" x14ac:dyDescent="0.25">
      <c r="A1091" s="178" t="str">
        <f t="shared" ref="A1091:A1154" si="34">CONCATENATE(TEXT($G1091,"dd/mm/yyyy"),$B1091)</f>
        <v>00/01/yyyy365</v>
      </c>
      <c r="B1091" s="171">
        <f t="shared" si="33"/>
        <v>365</v>
      </c>
    </row>
    <row r="1092" spans="1:2" ht="30" customHeight="1" x14ac:dyDescent="0.25">
      <c r="A1092" s="178" t="str">
        <f t="shared" si="34"/>
        <v>00/01/yyyy366</v>
      </c>
      <c r="B1092" s="171">
        <f t="shared" ref="B1092:B1155" si="35">IF($G1092=$G1091,$B1091+1,1)</f>
        <v>366</v>
      </c>
    </row>
    <row r="1093" spans="1:2" ht="30" customHeight="1" x14ac:dyDescent="0.25">
      <c r="A1093" s="178" t="str">
        <f t="shared" si="34"/>
        <v>00/01/yyyy367</v>
      </c>
      <c r="B1093" s="171">
        <f t="shared" si="35"/>
        <v>367</v>
      </c>
    </row>
    <row r="1094" spans="1:2" ht="30" customHeight="1" x14ac:dyDescent="0.25">
      <c r="A1094" s="178" t="str">
        <f t="shared" si="34"/>
        <v>00/01/yyyy368</v>
      </c>
      <c r="B1094" s="171">
        <f t="shared" si="35"/>
        <v>368</v>
      </c>
    </row>
    <row r="1095" spans="1:2" ht="30" customHeight="1" x14ac:dyDescent="0.25">
      <c r="A1095" s="178" t="str">
        <f t="shared" si="34"/>
        <v>00/01/yyyy369</v>
      </c>
      <c r="B1095" s="171">
        <f t="shared" si="35"/>
        <v>369</v>
      </c>
    </row>
    <row r="1096" spans="1:2" ht="30" customHeight="1" x14ac:dyDescent="0.25">
      <c r="A1096" s="178" t="str">
        <f t="shared" si="34"/>
        <v>00/01/yyyy370</v>
      </c>
      <c r="B1096" s="171">
        <f t="shared" si="35"/>
        <v>370</v>
      </c>
    </row>
    <row r="1097" spans="1:2" ht="30" customHeight="1" x14ac:dyDescent="0.25">
      <c r="A1097" s="178" t="str">
        <f t="shared" si="34"/>
        <v>00/01/yyyy371</v>
      </c>
      <c r="B1097" s="171">
        <f t="shared" si="35"/>
        <v>371</v>
      </c>
    </row>
    <row r="1098" spans="1:2" ht="30" customHeight="1" x14ac:dyDescent="0.25">
      <c r="A1098" s="178" t="str">
        <f t="shared" si="34"/>
        <v>00/01/yyyy372</v>
      </c>
      <c r="B1098" s="171">
        <f t="shared" si="35"/>
        <v>372</v>
      </c>
    </row>
    <row r="1099" spans="1:2" ht="30" customHeight="1" x14ac:dyDescent="0.25">
      <c r="A1099" s="178" t="str">
        <f t="shared" si="34"/>
        <v>00/01/yyyy373</v>
      </c>
      <c r="B1099" s="171">
        <f t="shared" si="35"/>
        <v>373</v>
      </c>
    </row>
    <row r="1100" spans="1:2" ht="30" customHeight="1" x14ac:dyDescent="0.25">
      <c r="A1100" s="178" t="str">
        <f t="shared" si="34"/>
        <v>00/01/yyyy374</v>
      </c>
      <c r="B1100" s="171">
        <f t="shared" si="35"/>
        <v>374</v>
      </c>
    </row>
    <row r="1101" spans="1:2" ht="30" customHeight="1" x14ac:dyDescent="0.25">
      <c r="A1101" s="178" t="str">
        <f t="shared" si="34"/>
        <v>00/01/yyyy375</v>
      </c>
      <c r="B1101" s="171">
        <f t="shared" si="35"/>
        <v>375</v>
      </c>
    </row>
    <row r="1102" spans="1:2" ht="30" customHeight="1" x14ac:dyDescent="0.25">
      <c r="A1102" s="178" t="str">
        <f t="shared" si="34"/>
        <v>00/01/yyyy376</v>
      </c>
      <c r="B1102" s="171">
        <f t="shared" si="35"/>
        <v>376</v>
      </c>
    </row>
    <row r="1103" spans="1:2" ht="30" customHeight="1" x14ac:dyDescent="0.25">
      <c r="A1103" s="178" t="str">
        <f t="shared" si="34"/>
        <v>00/01/yyyy377</v>
      </c>
      <c r="B1103" s="171">
        <f t="shared" si="35"/>
        <v>377</v>
      </c>
    </row>
    <row r="1104" spans="1:2" ht="30" customHeight="1" x14ac:dyDescent="0.25">
      <c r="A1104" s="178" t="str">
        <f t="shared" si="34"/>
        <v>00/01/yyyy378</v>
      </c>
      <c r="B1104" s="171">
        <f t="shared" si="35"/>
        <v>378</v>
      </c>
    </row>
    <row r="1105" spans="1:2" ht="30" customHeight="1" x14ac:dyDescent="0.25">
      <c r="A1105" s="178" t="str">
        <f t="shared" si="34"/>
        <v>00/01/yyyy379</v>
      </c>
      <c r="B1105" s="171">
        <f t="shared" si="35"/>
        <v>379</v>
      </c>
    </row>
    <row r="1106" spans="1:2" ht="30" customHeight="1" x14ac:dyDescent="0.25">
      <c r="A1106" s="178" t="str">
        <f t="shared" si="34"/>
        <v>00/01/yyyy380</v>
      </c>
      <c r="B1106" s="171">
        <f t="shared" si="35"/>
        <v>380</v>
      </c>
    </row>
    <row r="1107" spans="1:2" ht="30" customHeight="1" x14ac:dyDescent="0.25">
      <c r="A1107" s="178" t="str">
        <f t="shared" si="34"/>
        <v>00/01/yyyy381</v>
      </c>
      <c r="B1107" s="171">
        <f t="shared" si="35"/>
        <v>381</v>
      </c>
    </row>
    <row r="1108" spans="1:2" ht="30" customHeight="1" x14ac:dyDescent="0.25">
      <c r="A1108" s="178" t="str">
        <f t="shared" si="34"/>
        <v>00/01/yyyy382</v>
      </c>
      <c r="B1108" s="171">
        <f t="shared" si="35"/>
        <v>382</v>
      </c>
    </row>
    <row r="1109" spans="1:2" ht="30" customHeight="1" x14ac:dyDescent="0.25">
      <c r="A1109" s="178" t="str">
        <f t="shared" si="34"/>
        <v>00/01/yyyy383</v>
      </c>
      <c r="B1109" s="171">
        <f t="shared" si="35"/>
        <v>383</v>
      </c>
    </row>
    <row r="1110" spans="1:2" ht="30" customHeight="1" x14ac:dyDescent="0.25">
      <c r="A1110" s="178" t="str">
        <f t="shared" si="34"/>
        <v>00/01/yyyy384</v>
      </c>
      <c r="B1110" s="171">
        <f t="shared" si="35"/>
        <v>384</v>
      </c>
    </row>
    <row r="1111" spans="1:2" ht="30" customHeight="1" x14ac:dyDescent="0.25">
      <c r="A1111" s="178" t="str">
        <f t="shared" si="34"/>
        <v>00/01/yyyy385</v>
      </c>
      <c r="B1111" s="171">
        <f t="shared" si="35"/>
        <v>385</v>
      </c>
    </row>
    <row r="1112" spans="1:2" ht="30" customHeight="1" x14ac:dyDescent="0.25">
      <c r="A1112" s="178" t="str">
        <f t="shared" si="34"/>
        <v>00/01/yyyy386</v>
      </c>
      <c r="B1112" s="171">
        <f t="shared" si="35"/>
        <v>386</v>
      </c>
    </row>
    <row r="1113" spans="1:2" ht="30" customHeight="1" x14ac:dyDescent="0.25">
      <c r="A1113" s="178" t="str">
        <f t="shared" si="34"/>
        <v>00/01/yyyy387</v>
      </c>
      <c r="B1113" s="171">
        <f t="shared" si="35"/>
        <v>387</v>
      </c>
    </row>
    <row r="1114" spans="1:2" ht="30" customHeight="1" x14ac:dyDescent="0.25">
      <c r="A1114" s="178" t="str">
        <f t="shared" si="34"/>
        <v>00/01/yyyy388</v>
      </c>
      <c r="B1114" s="171">
        <f t="shared" si="35"/>
        <v>388</v>
      </c>
    </row>
    <row r="1115" spans="1:2" ht="30" customHeight="1" x14ac:dyDescent="0.25">
      <c r="A1115" s="178" t="str">
        <f t="shared" si="34"/>
        <v>00/01/yyyy389</v>
      </c>
      <c r="B1115" s="171">
        <f t="shared" si="35"/>
        <v>389</v>
      </c>
    </row>
    <row r="1116" spans="1:2" ht="30" customHeight="1" x14ac:dyDescent="0.25">
      <c r="A1116" s="178" t="str">
        <f t="shared" si="34"/>
        <v>00/01/yyyy390</v>
      </c>
      <c r="B1116" s="171">
        <f t="shared" si="35"/>
        <v>390</v>
      </c>
    </row>
    <row r="1117" spans="1:2" ht="30" customHeight="1" x14ac:dyDescent="0.25">
      <c r="A1117" s="178" t="str">
        <f t="shared" si="34"/>
        <v>00/01/yyyy391</v>
      </c>
      <c r="B1117" s="171">
        <f t="shared" si="35"/>
        <v>391</v>
      </c>
    </row>
    <row r="1118" spans="1:2" ht="30" customHeight="1" x14ac:dyDescent="0.25">
      <c r="A1118" s="178" t="str">
        <f t="shared" si="34"/>
        <v>00/01/yyyy392</v>
      </c>
      <c r="B1118" s="171">
        <f t="shared" si="35"/>
        <v>392</v>
      </c>
    </row>
    <row r="1119" spans="1:2" ht="30" customHeight="1" x14ac:dyDescent="0.25">
      <c r="A1119" s="178" t="str">
        <f t="shared" si="34"/>
        <v>00/01/yyyy393</v>
      </c>
      <c r="B1119" s="171">
        <f t="shared" si="35"/>
        <v>393</v>
      </c>
    </row>
    <row r="1120" spans="1:2" ht="30" customHeight="1" x14ac:dyDescent="0.25">
      <c r="A1120" s="178" t="str">
        <f t="shared" si="34"/>
        <v>00/01/yyyy394</v>
      </c>
      <c r="B1120" s="171">
        <f t="shared" si="35"/>
        <v>394</v>
      </c>
    </row>
    <row r="1121" spans="1:2" ht="30" customHeight="1" x14ac:dyDescent="0.25">
      <c r="A1121" s="178" t="str">
        <f t="shared" si="34"/>
        <v>00/01/yyyy395</v>
      </c>
      <c r="B1121" s="171">
        <f t="shared" si="35"/>
        <v>395</v>
      </c>
    </row>
    <row r="1122" spans="1:2" ht="30" customHeight="1" x14ac:dyDescent="0.25">
      <c r="A1122" s="178" t="str">
        <f t="shared" si="34"/>
        <v>00/01/yyyy396</v>
      </c>
      <c r="B1122" s="171">
        <f t="shared" si="35"/>
        <v>396</v>
      </c>
    </row>
    <row r="1123" spans="1:2" ht="30" customHeight="1" x14ac:dyDescent="0.25">
      <c r="A1123" s="178" t="str">
        <f t="shared" si="34"/>
        <v>00/01/yyyy397</v>
      </c>
      <c r="B1123" s="171">
        <f t="shared" si="35"/>
        <v>397</v>
      </c>
    </row>
    <row r="1124" spans="1:2" ht="30" customHeight="1" x14ac:dyDescent="0.25">
      <c r="A1124" s="178" t="str">
        <f t="shared" si="34"/>
        <v>00/01/yyyy398</v>
      </c>
      <c r="B1124" s="171">
        <f t="shared" si="35"/>
        <v>398</v>
      </c>
    </row>
    <row r="1125" spans="1:2" ht="30" customHeight="1" x14ac:dyDescent="0.25">
      <c r="A1125" s="178" t="str">
        <f t="shared" si="34"/>
        <v>00/01/yyyy399</v>
      </c>
      <c r="B1125" s="171">
        <f t="shared" si="35"/>
        <v>399</v>
      </c>
    </row>
    <row r="1126" spans="1:2" ht="30" customHeight="1" x14ac:dyDescent="0.25">
      <c r="A1126" s="178" t="str">
        <f t="shared" si="34"/>
        <v>00/01/yyyy400</v>
      </c>
      <c r="B1126" s="171">
        <f t="shared" si="35"/>
        <v>400</v>
      </c>
    </row>
    <row r="1127" spans="1:2" ht="30" customHeight="1" x14ac:dyDescent="0.25">
      <c r="A1127" s="178" t="str">
        <f t="shared" si="34"/>
        <v>00/01/yyyy401</v>
      </c>
      <c r="B1127" s="171">
        <f t="shared" si="35"/>
        <v>401</v>
      </c>
    </row>
    <row r="1128" spans="1:2" ht="30" customHeight="1" x14ac:dyDescent="0.25">
      <c r="A1128" s="178" t="str">
        <f t="shared" si="34"/>
        <v>00/01/yyyy402</v>
      </c>
      <c r="B1128" s="171">
        <f t="shared" si="35"/>
        <v>402</v>
      </c>
    </row>
    <row r="1129" spans="1:2" ht="30" customHeight="1" x14ac:dyDescent="0.25">
      <c r="A1129" s="178" t="str">
        <f t="shared" si="34"/>
        <v>00/01/yyyy403</v>
      </c>
      <c r="B1129" s="171">
        <f t="shared" si="35"/>
        <v>403</v>
      </c>
    </row>
    <row r="1130" spans="1:2" ht="30" customHeight="1" x14ac:dyDescent="0.25">
      <c r="A1130" s="178" t="str">
        <f t="shared" si="34"/>
        <v>00/01/yyyy404</v>
      </c>
      <c r="B1130" s="171">
        <f t="shared" si="35"/>
        <v>404</v>
      </c>
    </row>
    <row r="1131" spans="1:2" ht="30" customHeight="1" x14ac:dyDescent="0.25">
      <c r="A1131" s="178" t="str">
        <f t="shared" si="34"/>
        <v>00/01/yyyy405</v>
      </c>
      <c r="B1131" s="171">
        <f t="shared" si="35"/>
        <v>405</v>
      </c>
    </row>
    <row r="1132" spans="1:2" ht="30" customHeight="1" x14ac:dyDescent="0.25">
      <c r="A1132" s="178" t="str">
        <f t="shared" si="34"/>
        <v>00/01/yyyy406</v>
      </c>
      <c r="B1132" s="171">
        <f t="shared" si="35"/>
        <v>406</v>
      </c>
    </row>
    <row r="1133" spans="1:2" ht="30" customHeight="1" x14ac:dyDescent="0.25">
      <c r="A1133" s="178" t="str">
        <f t="shared" si="34"/>
        <v>00/01/yyyy407</v>
      </c>
      <c r="B1133" s="171">
        <f t="shared" si="35"/>
        <v>407</v>
      </c>
    </row>
    <row r="1134" spans="1:2" ht="30" customHeight="1" x14ac:dyDescent="0.25">
      <c r="A1134" s="178" t="str">
        <f t="shared" si="34"/>
        <v>00/01/yyyy408</v>
      </c>
      <c r="B1134" s="171">
        <f t="shared" si="35"/>
        <v>408</v>
      </c>
    </row>
    <row r="1135" spans="1:2" ht="30" customHeight="1" x14ac:dyDescent="0.25">
      <c r="A1135" s="178" t="str">
        <f t="shared" si="34"/>
        <v>00/01/yyyy409</v>
      </c>
      <c r="B1135" s="171">
        <f t="shared" si="35"/>
        <v>409</v>
      </c>
    </row>
    <row r="1136" spans="1:2" ht="30" customHeight="1" x14ac:dyDescent="0.25">
      <c r="A1136" s="178" t="str">
        <f t="shared" si="34"/>
        <v>00/01/yyyy410</v>
      </c>
      <c r="B1136" s="171">
        <f t="shared" si="35"/>
        <v>410</v>
      </c>
    </row>
    <row r="1137" spans="1:2" ht="30" customHeight="1" x14ac:dyDescent="0.25">
      <c r="A1137" s="178" t="str">
        <f t="shared" si="34"/>
        <v>00/01/yyyy411</v>
      </c>
      <c r="B1137" s="171">
        <f t="shared" si="35"/>
        <v>411</v>
      </c>
    </row>
    <row r="1138" spans="1:2" ht="30" customHeight="1" x14ac:dyDescent="0.25">
      <c r="A1138" s="178" t="str">
        <f t="shared" si="34"/>
        <v>00/01/yyyy412</v>
      </c>
      <c r="B1138" s="171">
        <f t="shared" si="35"/>
        <v>412</v>
      </c>
    </row>
    <row r="1139" spans="1:2" ht="30" customHeight="1" x14ac:dyDescent="0.25">
      <c r="A1139" s="178" t="str">
        <f t="shared" si="34"/>
        <v>00/01/yyyy413</v>
      </c>
      <c r="B1139" s="171">
        <f t="shared" si="35"/>
        <v>413</v>
      </c>
    </row>
    <row r="1140" spans="1:2" ht="30" customHeight="1" x14ac:dyDescent="0.25">
      <c r="A1140" s="178" t="str">
        <f t="shared" si="34"/>
        <v>00/01/yyyy414</v>
      </c>
      <c r="B1140" s="171">
        <f t="shared" si="35"/>
        <v>414</v>
      </c>
    </row>
    <row r="1141" spans="1:2" ht="30" customHeight="1" x14ac:dyDescent="0.25">
      <c r="A1141" s="178" t="str">
        <f t="shared" si="34"/>
        <v>00/01/yyyy415</v>
      </c>
      <c r="B1141" s="171">
        <f t="shared" si="35"/>
        <v>415</v>
      </c>
    </row>
    <row r="1142" spans="1:2" ht="30" customHeight="1" x14ac:dyDescent="0.25">
      <c r="A1142" s="178" t="str">
        <f t="shared" si="34"/>
        <v>00/01/yyyy416</v>
      </c>
      <c r="B1142" s="171">
        <f t="shared" si="35"/>
        <v>416</v>
      </c>
    </row>
    <row r="1143" spans="1:2" ht="30" customHeight="1" x14ac:dyDescent="0.25">
      <c r="A1143" s="178" t="str">
        <f t="shared" si="34"/>
        <v>00/01/yyyy417</v>
      </c>
      <c r="B1143" s="171">
        <f t="shared" si="35"/>
        <v>417</v>
      </c>
    </row>
    <row r="1144" spans="1:2" ht="30" customHeight="1" x14ac:dyDescent="0.25">
      <c r="A1144" s="178" t="str">
        <f t="shared" si="34"/>
        <v>00/01/yyyy418</v>
      </c>
      <c r="B1144" s="171">
        <f t="shared" si="35"/>
        <v>418</v>
      </c>
    </row>
    <row r="1145" spans="1:2" ht="30" customHeight="1" x14ac:dyDescent="0.25">
      <c r="A1145" s="178" t="str">
        <f t="shared" si="34"/>
        <v>00/01/yyyy419</v>
      </c>
      <c r="B1145" s="171">
        <f t="shared" si="35"/>
        <v>419</v>
      </c>
    </row>
    <row r="1146" spans="1:2" ht="30" customHeight="1" x14ac:dyDescent="0.25">
      <c r="A1146" s="178" t="str">
        <f t="shared" si="34"/>
        <v>00/01/yyyy420</v>
      </c>
      <c r="B1146" s="171">
        <f t="shared" si="35"/>
        <v>420</v>
      </c>
    </row>
    <row r="1147" spans="1:2" ht="30" customHeight="1" x14ac:dyDescent="0.25">
      <c r="A1147" s="178" t="str">
        <f t="shared" si="34"/>
        <v>00/01/yyyy421</v>
      </c>
      <c r="B1147" s="171">
        <f t="shared" si="35"/>
        <v>421</v>
      </c>
    </row>
    <row r="1148" spans="1:2" ht="30" customHeight="1" x14ac:dyDescent="0.25">
      <c r="A1148" s="178" t="str">
        <f t="shared" si="34"/>
        <v>00/01/yyyy422</v>
      </c>
      <c r="B1148" s="171">
        <f t="shared" si="35"/>
        <v>422</v>
      </c>
    </row>
    <row r="1149" spans="1:2" ht="30" customHeight="1" x14ac:dyDescent="0.25">
      <c r="A1149" s="178" t="str">
        <f t="shared" si="34"/>
        <v>00/01/yyyy423</v>
      </c>
      <c r="B1149" s="171">
        <f t="shared" si="35"/>
        <v>423</v>
      </c>
    </row>
    <row r="1150" spans="1:2" ht="30" customHeight="1" x14ac:dyDescent="0.25">
      <c r="A1150" s="178" t="str">
        <f t="shared" si="34"/>
        <v>00/01/yyyy424</v>
      </c>
      <c r="B1150" s="171">
        <f t="shared" si="35"/>
        <v>424</v>
      </c>
    </row>
    <row r="1151" spans="1:2" ht="30" customHeight="1" x14ac:dyDescent="0.25">
      <c r="A1151" s="178" t="str">
        <f t="shared" si="34"/>
        <v>00/01/yyyy425</v>
      </c>
      <c r="B1151" s="171">
        <f t="shared" si="35"/>
        <v>425</v>
      </c>
    </row>
    <row r="1152" spans="1:2" ht="30" customHeight="1" x14ac:dyDescent="0.25">
      <c r="A1152" s="178" t="str">
        <f t="shared" si="34"/>
        <v>00/01/yyyy426</v>
      </c>
      <c r="B1152" s="171">
        <f t="shared" si="35"/>
        <v>426</v>
      </c>
    </row>
    <row r="1153" spans="1:2" ht="30" customHeight="1" x14ac:dyDescent="0.25">
      <c r="A1153" s="178" t="str">
        <f t="shared" si="34"/>
        <v>00/01/yyyy427</v>
      </c>
      <c r="B1153" s="171">
        <f t="shared" si="35"/>
        <v>427</v>
      </c>
    </row>
    <row r="1154" spans="1:2" ht="30" customHeight="1" x14ac:dyDescent="0.25">
      <c r="A1154" s="178" t="str">
        <f t="shared" si="34"/>
        <v>00/01/yyyy428</v>
      </c>
      <c r="B1154" s="171">
        <f t="shared" si="35"/>
        <v>428</v>
      </c>
    </row>
    <row r="1155" spans="1:2" ht="30" customHeight="1" x14ac:dyDescent="0.25">
      <c r="A1155" s="178" t="str">
        <f t="shared" ref="A1155:A1218" si="36">CONCATENATE(TEXT($G1155,"dd/mm/yyyy"),$B1155)</f>
        <v>00/01/yyyy429</v>
      </c>
      <c r="B1155" s="171">
        <f t="shared" si="35"/>
        <v>429</v>
      </c>
    </row>
    <row r="1156" spans="1:2" ht="30" customHeight="1" x14ac:dyDescent="0.25">
      <c r="A1156" s="178" t="str">
        <f t="shared" si="36"/>
        <v>00/01/yyyy430</v>
      </c>
      <c r="B1156" s="171">
        <f t="shared" ref="B1156:B1219" si="37">IF($G1156=$G1155,$B1155+1,1)</f>
        <v>430</v>
      </c>
    </row>
    <row r="1157" spans="1:2" ht="30" customHeight="1" x14ac:dyDescent="0.25">
      <c r="A1157" s="178" t="str">
        <f t="shared" si="36"/>
        <v>00/01/yyyy431</v>
      </c>
      <c r="B1157" s="171">
        <f t="shared" si="37"/>
        <v>431</v>
      </c>
    </row>
    <row r="1158" spans="1:2" ht="30" customHeight="1" x14ac:dyDescent="0.25">
      <c r="A1158" s="178" t="str">
        <f t="shared" si="36"/>
        <v>00/01/yyyy432</v>
      </c>
      <c r="B1158" s="171">
        <f t="shared" si="37"/>
        <v>432</v>
      </c>
    </row>
    <row r="1159" spans="1:2" ht="30" customHeight="1" x14ac:dyDescent="0.25">
      <c r="A1159" s="178" t="str">
        <f t="shared" si="36"/>
        <v>00/01/yyyy433</v>
      </c>
      <c r="B1159" s="171">
        <f t="shared" si="37"/>
        <v>433</v>
      </c>
    </row>
    <row r="1160" spans="1:2" ht="30" customHeight="1" x14ac:dyDescent="0.25">
      <c r="A1160" s="178" t="str">
        <f t="shared" si="36"/>
        <v>00/01/yyyy434</v>
      </c>
      <c r="B1160" s="171">
        <f t="shared" si="37"/>
        <v>434</v>
      </c>
    </row>
    <row r="1161" spans="1:2" ht="30" customHeight="1" x14ac:dyDescent="0.25">
      <c r="A1161" s="178" t="str">
        <f t="shared" si="36"/>
        <v>00/01/yyyy435</v>
      </c>
      <c r="B1161" s="171">
        <f t="shared" si="37"/>
        <v>435</v>
      </c>
    </row>
    <row r="1162" spans="1:2" ht="30" customHeight="1" x14ac:dyDescent="0.25">
      <c r="A1162" s="178" t="str">
        <f t="shared" si="36"/>
        <v>00/01/yyyy436</v>
      </c>
      <c r="B1162" s="171">
        <f t="shared" si="37"/>
        <v>436</v>
      </c>
    </row>
    <row r="1163" spans="1:2" ht="30" customHeight="1" x14ac:dyDescent="0.25">
      <c r="A1163" s="178" t="str">
        <f t="shared" si="36"/>
        <v>00/01/yyyy437</v>
      </c>
      <c r="B1163" s="171">
        <f t="shared" si="37"/>
        <v>437</v>
      </c>
    </row>
    <row r="1164" spans="1:2" ht="30" customHeight="1" x14ac:dyDescent="0.25">
      <c r="A1164" s="178" t="str">
        <f t="shared" si="36"/>
        <v>00/01/yyyy438</v>
      </c>
      <c r="B1164" s="171">
        <f t="shared" si="37"/>
        <v>438</v>
      </c>
    </row>
    <row r="1165" spans="1:2" ht="30" customHeight="1" x14ac:dyDescent="0.25">
      <c r="A1165" s="178" t="str">
        <f t="shared" si="36"/>
        <v>00/01/yyyy439</v>
      </c>
      <c r="B1165" s="171">
        <f t="shared" si="37"/>
        <v>439</v>
      </c>
    </row>
    <row r="1166" spans="1:2" ht="30" customHeight="1" x14ac:dyDescent="0.25">
      <c r="A1166" s="178" t="str">
        <f t="shared" si="36"/>
        <v>00/01/yyyy440</v>
      </c>
      <c r="B1166" s="171">
        <f t="shared" si="37"/>
        <v>440</v>
      </c>
    </row>
    <row r="1167" spans="1:2" ht="30" customHeight="1" x14ac:dyDescent="0.25">
      <c r="A1167" s="178" t="str">
        <f t="shared" si="36"/>
        <v>00/01/yyyy441</v>
      </c>
      <c r="B1167" s="171">
        <f t="shared" si="37"/>
        <v>441</v>
      </c>
    </row>
    <row r="1168" spans="1:2" ht="30" customHeight="1" x14ac:dyDescent="0.25">
      <c r="A1168" s="178" t="str">
        <f t="shared" si="36"/>
        <v>00/01/yyyy442</v>
      </c>
      <c r="B1168" s="171">
        <f t="shared" si="37"/>
        <v>442</v>
      </c>
    </row>
    <row r="1169" spans="1:2" ht="30" customHeight="1" x14ac:dyDescent="0.25">
      <c r="A1169" s="178" t="str">
        <f t="shared" si="36"/>
        <v>00/01/yyyy443</v>
      </c>
      <c r="B1169" s="171">
        <f t="shared" si="37"/>
        <v>443</v>
      </c>
    </row>
    <row r="1170" spans="1:2" ht="30" customHeight="1" x14ac:dyDescent="0.25">
      <c r="A1170" s="178" t="str">
        <f t="shared" si="36"/>
        <v>00/01/yyyy444</v>
      </c>
      <c r="B1170" s="171">
        <f t="shared" si="37"/>
        <v>444</v>
      </c>
    </row>
    <row r="1171" spans="1:2" ht="30" customHeight="1" x14ac:dyDescent="0.25">
      <c r="A1171" s="178" t="str">
        <f t="shared" si="36"/>
        <v>00/01/yyyy445</v>
      </c>
      <c r="B1171" s="171">
        <f t="shared" si="37"/>
        <v>445</v>
      </c>
    </row>
    <row r="1172" spans="1:2" ht="30" customHeight="1" x14ac:dyDescent="0.25">
      <c r="A1172" s="178" t="str">
        <f t="shared" si="36"/>
        <v>00/01/yyyy446</v>
      </c>
      <c r="B1172" s="171">
        <f t="shared" si="37"/>
        <v>446</v>
      </c>
    </row>
    <row r="1173" spans="1:2" ht="30" customHeight="1" x14ac:dyDescent="0.25">
      <c r="A1173" s="178" t="str">
        <f t="shared" si="36"/>
        <v>00/01/yyyy447</v>
      </c>
      <c r="B1173" s="171">
        <f t="shared" si="37"/>
        <v>447</v>
      </c>
    </row>
    <row r="1174" spans="1:2" ht="30" customHeight="1" x14ac:dyDescent="0.25">
      <c r="A1174" s="178" t="str">
        <f t="shared" si="36"/>
        <v>00/01/yyyy448</v>
      </c>
      <c r="B1174" s="171">
        <f t="shared" si="37"/>
        <v>448</v>
      </c>
    </row>
    <row r="1175" spans="1:2" ht="30" customHeight="1" x14ac:dyDescent="0.25">
      <c r="A1175" s="178" t="str">
        <f t="shared" si="36"/>
        <v>00/01/yyyy449</v>
      </c>
      <c r="B1175" s="171">
        <f t="shared" si="37"/>
        <v>449</v>
      </c>
    </row>
    <row r="1176" spans="1:2" ht="30" customHeight="1" x14ac:dyDescent="0.25">
      <c r="A1176" s="178" t="str">
        <f t="shared" si="36"/>
        <v>00/01/yyyy450</v>
      </c>
      <c r="B1176" s="171">
        <f t="shared" si="37"/>
        <v>450</v>
      </c>
    </row>
    <row r="1177" spans="1:2" ht="30" customHeight="1" x14ac:dyDescent="0.25">
      <c r="A1177" s="178" t="str">
        <f t="shared" si="36"/>
        <v>00/01/yyyy451</v>
      </c>
      <c r="B1177" s="171">
        <f t="shared" si="37"/>
        <v>451</v>
      </c>
    </row>
    <row r="1178" spans="1:2" ht="30" customHeight="1" x14ac:dyDescent="0.25">
      <c r="A1178" s="178" t="str">
        <f t="shared" si="36"/>
        <v>00/01/yyyy452</v>
      </c>
      <c r="B1178" s="171">
        <f t="shared" si="37"/>
        <v>452</v>
      </c>
    </row>
    <row r="1179" spans="1:2" ht="30" customHeight="1" x14ac:dyDescent="0.25">
      <c r="A1179" s="178" t="str">
        <f t="shared" si="36"/>
        <v>00/01/yyyy453</v>
      </c>
      <c r="B1179" s="171">
        <f t="shared" si="37"/>
        <v>453</v>
      </c>
    </row>
    <row r="1180" spans="1:2" ht="30" customHeight="1" x14ac:dyDescent="0.25">
      <c r="A1180" s="178" t="str">
        <f t="shared" si="36"/>
        <v>00/01/yyyy454</v>
      </c>
      <c r="B1180" s="171">
        <f t="shared" si="37"/>
        <v>454</v>
      </c>
    </row>
    <row r="1181" spans="1:2" ht="30" customHeight="1" x14ac:dyDescent="0.25">
      <c r="A1181" s="178" t="str">
        <f t="shared" si="36"/>
        <v>00/01/yyyy455</v>
      </c>
      <c r="B1181" s="171">
        <f t="shared" si="37"/>
        <v>455</v>
      </c>
    </row>
    <row r="1182" spans="1:2" ht="30" customHeight="1" x14ac:dyDescent="0.25">
      <c r="A1182" s="178" t="str">
        <f t="shared" si="36"/>
        <v>00/01/yyyy456</v>
      </c>
      <c r="B1182" s="171">
        <f t="shared" si="37"/>
        <v>456</v>
      </c>
    </row>
    <row r="1183" spans="1:2" ht="30" customHeight="1" x14ac:dyDescent="0.25">
      <c r="A1183" s="178" t="str">
        <f t="shared" si="36"/>
        <v>00/01/yyyy457</v>
      </c>
      <c r="B1183" s="171">
        <f t="shared" si="37"/>
        <v>457</v>
      </c>
    </row>
    <row r="1184" spans="1:2" ht="30" customHeight="1" x14ac:dyDescent="0.25">
      <c r="A1184" s="178" t="str">
        <f t="shared" si="36"/>
        <v>00/01/yyyy458</v>
      </c>
      <c r="B1184" s="171">
        <f t="shared" si="37"/>
        <v>458</v>
      </c>
    </row>
    <row r="1185" spans="1:2" ht="30" customHeight="1" x14ac:dyDescent="0.25">
      <c r="A1185" s="178" t="str">
        <f t="shared" si="36"/>
        <v>00/01/yyyy459</v>
      </c>
      <c r="B1185" s="171">
        <f t="shared" si="37"/>
        <v>459</v>
      </c>
    </row>
    <row r="1186" spans="1:2" ht="30" customHeight="1" x14ac:dyDescent="0.25">
      <c r="A1186" s="178" t="str">
        <f t="shared" si="36"/>
        <v>00/01/yyyy460</v>
      </c>
      <c r="B1186" s="171">
        <f t="shared" si="37"/>
        <v>460</v>
      </c>
    </row>
    <row r="1187" spans="1:2" ht="30" customHeight="1" x14ac:dyDescent="0.25">
      <c r="A1187" s="178" t="str">
        <f t="shared" si="36"/>
        <v>00/01/yyyy461</v>
      </c>
      <c r="B1187" s="171">
        <f t="shared" si="37"/>
        <v>461</v>
      </c>
    </row>
    <row r="1188" spans="1:2" ht="30" customHeight="1" x14ac:dyDescent="0.25">
      <c r="A1188" s="178" t="str">
        <f t="shared" si="36"/>
        <v>00/01/yyyy462</v>
      </c>
      <c r="B1188" s="171">
        <f t="shared" si="37"/>
        <v>462</v>
      </c>
    </row>
    <row r="1189" spans="1:2" ht="30" customHeight="1" x14ac:dyDescent="0.25">
      <c r="A1189" s="178" t="str">
        <f t="shared" si="36"/>
        <v>00/01/yyyy463</v>
      </c>
      <c r="B1189" s="171">
        <f t="shared" si="37"/>
        <v>463</v>
      </c>
    </row>
    <row r="1190" spans="1:2" ht="30" customHeight="1" x14ac:dyDescent="0.25">
      <c r="A1190" s="178" t="str">
        <f t="shared" si="36"/>
        <v>00/01/yyyy464</v>
      </c>
      <c r="B1190" s="171">
        <f t="shared" si="37"/>
        <v>464</v>
      </c>
    </row>
    <row r="1191" spans="1:2" ht="30" customHeight="1" x14ac:dyDescent="0.25">
      <c r="A1191" s="178" t="str">
        <f t="shared" si="36"/>
        <v>00/01/yyyy465</v>
      </c>
      <c r="B1191" s="171">
        <f t="shared" si="37"/>
        <v>465</v>
      </c>
    </row>
    <row r="1192" spans="1:2" ht="30" customHeight="1" x14ac:dyDescent="0.25">
      <c r="A1192" s="178" t="str">
        <f t="shared" si="36"/>
        <v>00/01/yyyy466</v>
      </c>
      <c r="B1192" s="171">
        <f t="shared" si="37"/>
        <v>466</v>
      </c>
    </row>
    <row r="1193" spans="1:2" ht="30" customHeight="1" x14ac:dyDescent="0.25">
      <c r="A1193" s="178" t="str">
        <f t="shared" si="36"/>
        <v>00/01/yyyy467</v>
      </c>
      <c r="B1193" s="171">
        <f t="shared" si="37"/>
        <v>467</v>
      </c>
    </row>
    <row r="1194" spans="1:2" ht="30" customHeight="1" x14ac:dyDescent="0.25">
      <c r="A1194" s="178" t="str">
        <f t="shared" si="36"/>
        <v>00/01/yyyy468</v>
      </c>
      <c r="B1194" s="171">
        <f t="shared" si="37"/>
        <v>468</v>
      </c>
    </row>
    <row r="1195" spans="1:2" ht="30" customHeight="1" x14ac:dyDescent="0.25">
      <c r="A1195" s="178" t="str">
        <f t="shared" si="36"/>
        <v>00/01/yyyy469</v>
      </c>
      <c r="B1195" s="171">
        <f t="shared" si="37"/>
        <v>469</v>
      </c>
    </row>
    <row r="1196" spans="1:2" ht="30" customHeight="1" x14ac:dyDescent="0.25">
      <c r="A1196" s="178" t="str">
        <f t="shared" si="36"/>
        <v>00/01/yyyy470</v>
      </c>
      <c r="B1196" s="171">
        <f t="shared" si="37"/>
        <v>470</v>
      </c>
    </row>
    <row r="1197" spans="1:2" ht="30" customHeight="1" x14ac:dyDescent="0.25">
      <c r="A1197" s="178" t="str">
        <f t="shared" si="36"/>
        <v>00/01/yyyy471</v>
      </c>
      <c r="B1197" s="171">
        <f t="shared" si="37"/>
        <v>471</v>
      </c>
    </row>
    <row r="1198" spans="1:2" ht="30" customHeight="1" x14ac:dyDescent="0.25">
      <c r="A1198" s="178" t="str">
        <f t="shared" si="36"/>
        <v>00/01/yyyy472</v>
      </c>
      <c r="B1198" s="171">
        <f t="shared" si="37"/>
        <v>472</v>
      </c>
    </row>
    <row r="1199" spans="1:2" ht="30" customHeight="1" x14ac:dyDescent="0.25">
      <c r="A1199" s="178" t="str">
        <f t="shared" si="36"/>
        <v>00/01/yyyy473</v>
      </c>
      <c r="B1199" s="171">
        <f t="shared" si="37"/>
        <v>473</v>
      </c>
    </row>
    <row r="1200" spans="1:2" ht="30" customHeight="1" x14ac:dyDescent="0.25">
      <c r="A1200" s="178" t="str">
        <f t="shared" si="36"/>
        <v>00/01/yyyy474</v>
      </c>
      <c r="B1200" s="171">
        <f t="shared" si="37"/>
        <v>474</v>
      </c>
    </row>
    <row r="1201" spans="1:2" ht="30" customHeight="1" x14ac:dyDescent="0.25">
      <c r="A1201" s="178" t="str">
        <f t="shared" si="36"/>
        <v>00/01/yyyy475</v>
      </c>
      <c r="B1201" s="171">
        <f t="shared" si="37"/>
        <v>475</v>
      </c>
    </row>
    <row r="1202" spans="1:2" ht="30" customHeight="1" x14ac:dyDescent="0.25">
      <c r="A1202" s="178" t="str">
        <f t="shared" si="36"/>
        <v>00/01/yyyy476</v>
      </c>
      <c r="B1202" s="171">
        <f t="shared" si="37"/>
        <v>476</v>
      </c>
    </row>
    <row r="1203" spans="1:2" ht="30" customHeight="1" x14ac:dyDescent="0.25">
      <c r="A1203" s="178" t="str">
        <f t="shared" si="36"/>
        <v>00/01/yyyy477</v>
      </c>
      <c r="B1203" s="171">
        <f t="shared" si="37"/>
        <v>477</v>
      </c>
    </row>
    <row r="1204" spans="1:2" ht="30" customHeight="1" x14ac:dyDescent="0.25">
      <c r="A1204" s="178" t="str">
        <f t="shared" si="36"/>
        <v>00/01/yyyy478</v>
      </c>
      <c r="B1204" s="171">
        <f t="shared" si="37"/>
        <v>478</v>
      </c>
    </row>
    <row r="1205" spans="1:2" ht="30" customHeight="1" x14ac:dyDescent="0.25">
      <c r="A1205" s="178" t="str">
        <f t="shared" si="36"/>
        <v>00/01/yyyy479</v>
      </c>
      <c r="B1205" s="171">
        <f t="shared" si="37"/>
        <v>479</v>
      </c>
    </row>
    <row r="1206" spans="1:2" ht="30" customHeight="1" x14ac:dyDescent="0.25">
      <c r="A1206" s="178" t="str">
        <f t="shared" si="36"/>
        <v>00/01/yyyy480</v>
      </c>
      <c r="B1206" s="171">
        <f t="shared" si="37"/>
        <v>480</v>
      </c>
    </row>
    <row r="1207" spans="1:2" ht="30" customHeight="1" x14ac:dyDescent="0.25">
      <c r="A1207" s="178" t="str">
        <f t="shared" si="36"/>
        <v>00/01/yyyy481</v>
      </c>
      <c r="B1207" s="171">
        <f t="shared" si="37"/>
        <v>481</v>
      </c>
    </row>
    <row r="1208" spans="1:2" ht="30" customHeight="1" x14ac:dyDescent="0.25">
      <c r="A1208" s="178" t="str">
        <f t="shared" si="36"/>
        <v>00/01/yyyy482</v>
      </c>
      <c r="B1208" s="171">
        <f t="shared" si="37"/>
        <v>482</v>
      </c>
    </row>
    <row r="1209" spans="1:2" ht="30" customHeight="1" x14ac:dyDescent="0.25">
      <c r="A1209" s="178" t="str">
        <f t="shared" si="36"/>
        <v>00/01/yyyy483</v>
      </c>
      <c r="B1209" s="171">
        <f t="shared" si="37"/>
        <v>483</v>
      </c>
    </row>
    <row r="1210" spans="1:2" ht="30" customHeight="1" x14ac:dyDescent="0.25">
      <c r="A1210" s="178" t="str">
        <f t="shared" si="36"/>
        <v>00/01/yyyy484</v>
      </c>
      <c r="B1210" s="171">
        <f t="shared" si="37"/>
        <v>484</v>
      </c>
    </row>
    <row r="1211" spans="1:2" ht="30" customHeight="1" x14ac:dyDescent="0.25">
      <c r="A1211" s="178" t="str">
        <f t="shared" si="36"/>
        <v>00/01/yyyy485</v>
      </c>
      <c r="B1211" s="171">
        <f t="shared" si="37"/>
        <v>485</v>
      </c>
    </row>
    <row r="1212" spans="1:2" ht="30" customHeight="1" x14ac:dyDescent="0.25">
      <c r="A1212" s="178" t="str">
        <f t="shared" si="36"/>
        <v>00/01/yyyy486</v>
      </c>
      <c r="B1212" s="171">
        <f t="shared" si="37"/>
        <v>486</v>
      </c>
    </row>
    <row r="1213" spans="1:2" ht="30" customHeight="1" x14ac:dyDescent="0.25">
      <c r="A1213" s="178" t="str">
        <f t="shared" si="36"/>
        <v>00/01/yyyy487</v>
      </c>
      <c r="B1213" s="171">
        <f t="shared" si="37"/>
        <v>487</v>
      </c>
    </row>
    <row r="1214" spans="1:2" ht="30" customHeight="1" x14ac:dyDescent="0.25">
      <c r="A1214" s="178" t="str">
        <f t="shared" si="36"/>
        <v>00/01/yyyy488</v>
      </c>
      <c r="B1214" s="171">
        <f t="shared" si="37"/>
        <v>488</v>
      </c>
    </row>
    <row r="1215" spans="1:2" ht="30" customHeight="1" x14ac:dyDescent="0.25">
      <c r="A1215" s="178" t="str">
        <f t="shared" si="36"/>
        <v>00/01/yyyy489</v>
      </c>
      <c r="B1215" s="171">
        <f t="shared" si="37"/>
        <v>489</v>
      </c>
    </row>
    <row r="1216" spans="1:2" ht="30" customHeight="1" x14ac:dyDescent="0.25">
      <c r="A1216" s="178" t="str">
        <f t="shared" si="36"/>
        <v>00/01/yyyy490</v>
      </c>
      <c r="B1216" s="171">
        <f t="shared" si="37"/>
        <v>490</v>
      </c>
    </row>
    <row r="1217" spans="1:2" ht="30" customHeight="1" x14ac:dyDescent="0.25">
      <c r="A1217" s="178" t="str">
        <f t="shared" si="36"/>
        <v>00/01/yyyy491</v>
      </c>
      <c r="B1217" s="171">
        <f t="shared" si="37"/>
        <v>491</v>
      </c>
    </row>
    <row r="1218" spans="1:2" ht="30" customHeight="1" x14ac:dyDescent="0.25">
      <c r="A1218" s="178" t="str">
        <f t="shared" si="36"/>
        <v>00/01/yyyy492</v>
      </c>
      <c r="B1218" s="171">
        <f t="shared" si="37"/>
        <v>492</v>
      </c>
    </row>
    <row r="1219" spans="1:2" ht="30" customHeight="1" x14ac:dyDescent="0.25">
      <c r="A1219" s="178" t="str">
        <f t="shared" ref="A1219:A1282" si="38">CONCATENATE(TEXT($G1219,"dd/mm/yyyy"),$B1219)</f>
        <v>00/01/yyyy493</v>
      </c>
      <c r="B1219" s="171">
        <f t="shared" si="37"/>
        <v>493</v>
      </c>
    </row>
    <row r="1220" spans="1:2" ht="30" customHeight="1" x14ac:dyDescent="0.25">
      <c r="A1220" s="178" t="str">
        <f t="shared" si="38"/>
        <v>00/01/yyyy494</v>
      </c>
      <c r="B1220" s="171">
        <f t="shared" ref="B1220:B1283" si="39">IF($G1220=$G1219,$B1219+1,1)</f>
        <v>494</v>
      </c>
    </row>
    <row r="1221" spans="1:2" ht="30" customHeight="1" x14ac:dyDescent="0.25">
      <c r="A1221" s="178" t="str">
        <f t="shared" si="38"/>
        <v>00/01/yyyy495</v>
      </c>
      <c r="B1221" s="171">
        <f t="shared" si="39"/>
        <v>495</v>
      </c>
    </row>
    <row r="1222" spans="1:2" ht="30" customHeight="1" x14ac:dyDescent="0.25">
      <c r="A1222" s="178" t="str">
        <f t="shared" si="38"/>
        <v>00/01/yyyy496</v>
      </c>
      <c r="B1222" s="171">
        <f t="shared" si="39"/>
        <v>496</v>
      </c>
    </row>
    <row r="1223" spans="1:2" ht="30" customHeight="1" x14ac:dyDescent="0.25">
      <c r="A1223" s="178" t="str">
        <f t="shared" si="38"/>
        <v>00/01/yyyy497</v>
      </c>
      <c r="B1223" s="171">
        <f t="shared" si="39"/>
        <v>497</v>
      </c>
    </row>
    <row r="1224" spans="1:2" ht="30" customHeight="1" x14ac:dyDescent="0.25">
      <c r="A1224" s="178" t="str">
        <f t="shared" si="38"/>
        <v>00/01/yyyy498</v>
      </c>
      <c r="B1224" s="171">
        <f t="shared" si="39"/>
        <v>498</v>
      </c>
    </row>
    <row r="1225" spans="1:2" ht="30" customHeight="1" x14ac:dyDescent="0.25">
      <c r="A1225" s="178" t="str">
        <f t="shared" si="38"/>
        <v>00/01/yyyy499</v>
      </c>
      <c r="B1225" s="171">
        <f t="shared" si="39"/>
        <v>499</v>
      </c>
    </row>
    <row r="1226" spans="1:2" ht="30" customHeight="1" x14ac:dyDescent="0.25">
      <c r="A1226" s="178" t="str">
        <f t="shared" si="38"/>
        <v>00/01/yyyy500</v>
      </c>
      <c r="B1226" s="171">
        <f t="shared" si="39"/>
        <v>500</v>
      </c>
    </row>
    <row r="1227" spans="1:2" ht="30" customHeight="1" x14ac:dyDescent="0.25">
      <c r="A1227" s="178" t="str">
        <f t="shared" si="38"/>
        <v>00/01/yyyy501</v>
      </c>
      <c r="B1227" s="171">
        <f t="shared" si="39"/>
        <v>501</v>
      </c>
    </row>
    <row r="1228" spans="1:2" ht="30" customHeight="1" x14ac:dyDescent="0.25">
      <c r="A1228" s="178" t="str">
        <f t="shared" si="38"/>
        <v>00/01/yyyy502</v>
      </c>
      <c r="B1228" s="171">
        <f t="shared" si="39"/>
        <v>502</v>
      </c>
    </row>
    <row r="1229" spans="1:2" ht="30" customHeight="1" x14ac:dyDescent="0.25">
      <c r="A1229" s="178" t="str">
        <f t="shared" si="38"/>
        <v>00/01/yyyy503</v>
      </c>
      <c r="B1229" s="171">
        <f t="shared" si="39"/>
        <v>503</v>
      </c>
    </row>
    <row r="1230" spans="1:2" ht="30" customHeight="1" x14ac:dyDescent="0.25">
      <c r="A1230" s="178" t="str">
        <f t="shared" si="38"/>
        <v>00/01/yyyy504</v>
      </c>
      <c r="B1230" s="171">
        <f t="shared" si="39"/>
        <v>504</v>
      </c>
    </row>
    <row r="1231" spans="1:2" ht="30" customHeight="1" x14ac:dyDescent="0.25">
      <c r="A1231" s="178" t="str">
        <f t="shared" si="38"/>
        <v>00/01/yyyy505</v>
      </c>
      <c r="B1231" s="171">
        <f t="shared" si="39"/>
        <v>505</v>
      </c>
    </row>
    <row r="1232" spans="1:2" ht="30" customHeight="1" x14ac:dyDescent="0.25">
      <c r="A1232" s="178" t="str">
        <f t="shared" si="38"/>
        <v>00/01/yyyy506</v>
      </c>
      <c r="B1232" s="171">
        <f t="shared" si="39"/>
        <v>506</v>
      </c>
    </row>
    <row r="1233" spans="1:2" ht="30" customHeight="1" x14ac:dyDescent="0.25">
      <c r="A1233" s="178" t="str">
        <f t="shared" si="38"/>
        <v>00/01/yyyy507</v>
      </c>
      <c r="B1233" s="171">
        <f t="shared" si="39"/>
        <v>507</v>
      </c>
    </row>
    <row r="1234" spans="1:2" ht="30" customHeight="1" x14ac:dyDescent="0.25">
      <c r="A1234" s="178" t="str">
        <f t="shared" si="38"/>
        <v>00/01/yyyy508</v>
      </c>
      <c r="B1234" s="171">
        <f t="shared" si="39"/>
        <v>508</v>
      </c>
    </row>
    <row r="1235" spans="1:2" ht="30" customHeight="1" x14ac:dyDescent="0.25">
      <c r="A1235" s="178" t="str">
        <f t="shared" si="38"/>
        <v>00/01/yyyy509</v>
      </c>
      <c r="B1235" s="171">
        <f t="shared" si="39"/>
        <v>509</v>
      </c>
    </row>
    <row r="1236" spans="1:2" ht="30" customHeight="1" x14ac:dyDescent="0.25">
      <c r="A1236" s="178" t="str">
        <f t="shared" si="38"/>
        <v>00/01/yyyy510</v>
      </c>
      <c r="B1236" s="171">
        <f t="shared" si="39"/>
        <v>510</v>
      </c>
    </row>
    <row r="1237" spans="1:2" ht="30" customHeight="1" x14ac:dyDescent="0.25">
      <c r="A1237" s="178" t="str">
        <f t="shared" si="38"/>
        <v>00/01/yyyy511</v>
      </c>
      <c r="B1237" s="171">
        <f t="shared" si="39"/>
        <v>511</v>
      </c>
    </row>
    <row r="1238" spans="1:2" ht="30" customHeight="1" x14ac:dyDescent="0.25">
      <c r="A1238" s="178" t="str">
        <f t="shared" si="38"/>
        <v>00/01/yyyy512</v>
      </c>
      <c r="B1238" s="171">
        <f t="shared" si="39"/>
        <v>512</v>
      </c>
    </row>
    <row r="1239" spans="1:2" ht="30" customHeight="1" x14ac:dyDescent="0.25">
      <c r="A1239" s="178" t="str">
        <f t="shared" si="38"/>
        <v>00/01/yyyy513</v>
      </c>
      <c r="B1239" s="171">
        <f t="shared" si="39"/>
        <v>513</v>
      </c>
    </row>
    <row r="1240" spans="1:2" ht="30" customHeight="1" x14ac:dyDescent="0.25">
      <c r="A1240" s="178" t="str">
        <f t="shared" si="38"/>
        <v>00/01/yyyy514</v>
      </c>
      <c r="B1240" s="171">
        <f t="shared" si="39"/>
        <v>514</v>
      </c>
    </row>
    <row r="1241" spans="1:2" ht="30" customHeight="1" x14ac:dyDescent="0.25">
      <c r="A1241" s="178" t="str">
        <f t="shared" si="38"/>
        <v>00/01/yyyy515</v>
      </c>
      <c r="B1241" s="171">
        <f t="shared" si="39"/>
        <v>515</v>
      </c>
    </row>
    <row r="1242" spans="1:2" ht="30" customHeight="1" x14ac:dyDescent="0.25">
      <c r="A1242" s="178" t="str">
        <f t="shared" si="38"/>
        <v>00/01/yyyy516</v>
      </c>
      <c r="B1242" s="171">
        <f t="shared" si="39"/>
        <v>516</v>
      </c>
    </row>
    <row r="1243" spans="1:2" ht="30" customHeight="1" x14ac:dyDescent="0.25">
      <c r="A1243" s="178" t="str">
        <f t="shared" si="38"/>
        <v>00/01/yyyy517</v>
      </c>
      <c r="B1243" s="171">
        <f t="shared" si="39"/>
        <v>517</v>
      </c>
    </row>
    <row r="1244" spans="1:2" ht="30" customHeight="1" x14ac:dyDescent="0.25">
      <c r="A1244" s="178" t="str">
        <f t="shared" si="38"/>
        <v>00/01/yyyy518</v>
      </c>
      <c r="B1244" s="171">
        <f t="shared" si="39"/>
        <v>518</v>
      </c>
    </row>
    <row r="1245" spans="1:2" ht="30" customHeight="1" x14ac:dyDescent="0.25">
      <c r="A1245" s="178" t="str">
        <f t="shared" si="38"/>
        <v>00/01/yyyy519</v>
      </c>
      <c r="B1245" s="171">
        <f t="shared" si="39"/>
        <v>519</v>
      </c>
    </row>
    <row r="1246" spans="1:2" ht="30" customHeight="1" x14ac:dyDescent="0.25">
      <c r="A1246" s="178" t="str">
        <f t="shared" si="38"/>
        <v>00/01/yyyy520</v>
      </c>
      <c r="B1246" s="171">
        <f t="shared" si="39"/>
        <v>520</v>
      </c>
    </row>
    <row r="1247" spans="1:2" ht="30" customHeight="1" x14ac:dyDescent="0.25">
      <c r="A1247" s="178" t="str">
        <f t="shared" si="38"/>
        <v>00/01/yyyy521</v>
      </c>
      <c r="B1247" s="171">
        <f t="shared" si="39"/>
        <v>521</v>
      </c>
    </row>
    <row r="1248" spans="1:2" ht="30" customHeight="1" x14ac:dyDescent="0.25">
      <c r="A1248" s="178" t="str">
        <f t="shared" si="38"/>
        <v>00/01/yyyy522</v>
      </c>
      <c r="B1248" s="171">
        <f t="shared" si="39"/>
        <v>522</v>
      </c>
    </row>
    <row r="1249" spans="1:2" ht="30" customHeight="1" x14ac:dyDescent="0.25">
      <c r="A1249" s="178" t="str">
        <f t="shared" si="38"/>
        <v>00/01/yyyy523</v>
      </c>
      <c r="B1249" s="171">
        <f t="shared" si="39"/>
        <v>523</v>
      </c>
    </row>
    <row r="1250" spans="1:2" ht="30" customHeight="1" x14ac:dyDescent="0.25">
      <c r="A1250" s="178" t="str">
        <f t="shared" si="38"/>
        <v>00/01/yyyy524</v>
      </c>
      <c r="B1250" s="171">
        <f t="shared" si="39"/>
        <v>524</v>
      </c>
    </row>
    <row r="1251" spans="1:2" ht="30" customHeight="1" x14ac:dyDescent="0.25">
      <c r="A1251" s="178" t="str">
        <f t="shared" si="38"/>
        <v>00/01/yyyy525</v>
      </c>
      <c r="B1251" s="171">
        <f t="shared" si="39"/>
        <v>525</v>
      </c>
    </row>
    <row r="1252" spans="1:2" ht="30" customHeight="1" x14ac:dyDescent="0.25">
      <c r="A1252" s="178" t="str">
        <f t="shared" si="38"/>
        <v>00/01/yyyy526</v>
      </c>
      <c r="B1252" s="171">
        <f t="shared" si="39"/>
        <v>526</v>
      </c>
    </row>
    <row r="1253" spans="1:2" ht="30" customHeight="1" x14ac:dyDescent="0.25">
      <c r="A1253" s="178" t="str">
        <f t="shared" si="38"/>
        <v>00/01/yyyy527</v>
      </c>
      <c r="B1253" s="171">
        <f t="shared" si="39"/>
        <v>527</v>
      </c>
    </row>
    <row r="1254" spans="1:2" ht="30" customHeight="1" x14ac:dyDescent="0.25">
      <c r="A1254" s="178" t="str">
        <f t="shared" si="38"/>
        <v>00/01/yyyy528</v>
      </c>
      <c r="B1254" s="171">
        <f t="shared" si="39"/>
        <v>528</v>
      </c>
    </row>
    <row r="1255" spans="1:2" ht="30" customHeight="1" x14ac:dyDescent="0.25">
      <c r="A1255" s="178" t="str">
        <f t="shared" si="38"/>
        <v>00/01/yyyy529</v>
      </c>
      <c r="B1255" s="171">
        <f t="shared" si="39"/>
        <v>529</v>
      </c>
    </row>
    <row r="1256" spans="1:2" ht="30" customHeight="1" x14ac:dyDescent="0.25">
      <c r="A1256" s="178" t="str">
        <f t="shared" si="38"/>
        <v>00/01/yyyy530</v>
      </c>
      <c r="B1256" s="171">
        <f t="shared" si="39"/>
        <v>530</v>
      </c>
    </row>
    <row r="1257" spans="1:2" ht="30" customHeight="1" x14ac:dyDescent="0.25">
      <c r="A1257" s="178" t="str">
        <f t="shared" si="38"/>
        <v>00/01/yyyy531</v>
      </c>
      <c r="B1257" s="171">
        <f t="shared" si="39"/>
        <v>531</v>
      </c>
    </row>
    <row r="1258" spans="1:2" ht="30" customHeight="1" x14ac:dyDescent="0.25">
      <c r="A1258" s="178" t="str">
        <f t="shared" si="38"/>
        <v>00/01/yyyy532</v>
      </c>
      <c r="B1258" s="171">
        <f t="shared" si="39"/>
        <v>532</v>
      </c>
    </row>
    <row r="1259" spans="1:2" ht="30" customHeight="1" x14ac:dyDescent="0.25">
      <c r="A1259" s="178" t="str">
        <f t="shared" si="38"/>
        <v>00/01/yyyy533</v>
      </c>
      <c r="B1259" s="171">
        <f t="shared" si="39"/>
        <v>533</v>
      </c>
    </row>
    <row r="1260" spans="1:2" ht="30" customHeight="1" x14ac:dyDescent="0.25">
      <c r="A1260" s="178" t="str">
        <f t="shared" si="38"/>
        <v>00/01/yyyy534</v>
      </c>
      <c r="B1260" s="171">
        <f t="shared" si="39"/>
        <v>534</v>
      </c>
    </row>
    <row r="1261" spans="1:2" ht="30" customHeight="1" x14ac:dyDescent="0.25">
      <c r="A1261" s="178" t="str">
        <f t="shared" si="38"/>
        <v>00/01/yyyy535</v>
      </c>
      <c r="B1261" s="171">
        <f t="shared" si="39"/>
        <v>535</v>
      </c>
    </row>
    <row r="1262" spans="1:2" ht="30" customHeight="1" x14ac:dyDescent="0.25">
      <c r="A1262" s="178" t="str">
        <f t="shared" si="38"/>
        <v>00/01/yyyy536</v>
      </c>
      <c r="B1262" s="171">
        <f t="shared" si="39"/>
        <v>536</v>
      </c>
    </row>
    <row r="1263" spans="1:2" ht="30" customHeight="1" x14ac:dyDescent="0.25">
      <c r="A1263" s="178" t="str">
        <f t="shared" si="38"/>
        <v>00/01/yyyy537</v>
      </c>
      <c r="B1263" s="171">
        <f t="shared" si="39"/>
        <v>537</v>
      </c>
    </row>
    <row r="1264" spans="1:2" ht="30" customHeight="1" x14ac:dyDescent="0.25">
      <c r="A1264" s="178" t="str">
        <f t="shared" si="38"/>
        <v>00/01/yyyy538</v>
      </c>
      <c r="B1264" s="171">
        <f t="shared" si="39"/>
        <v>538</v>
      </c>
    </row>
    <row r="1265" spans="1:2" ht="30" customHeight="1" x14ac:dyDescent="0.25">
      <c r="A1265" s="178" t="str">
        <f t="shared" si="38"/>
        <v>00/01/yyyy539</v>
      </c>
      <c r="B1265" s="171">
        <f t="shared" si="39"/>
        <v>539</v>
      </c>
    </row>
    <row r="1266" spans="1:2" ht="30" customHeight="1" x14ac:dyDescent="0.25">
      <c r="A1266" s="178" t="str">
        <f t="shared" si="38"/>
        <v>00/01/yyyy540</v>
      </c>
      <c r="B1266" s="171">
        <f t="shared" si="39"/>
        <v>540</v>
      </c>
    </row>
    <row r="1267" spans="1:2" ht="30" customHeight="1" x14ac:dyDescent="0.25">
      <c r="A1267" s="178" t="str">
        <f t="shared" si="38"/>
        <v>00/01/yyyy541</v>
      </c>
      <c r="B1267" s="171">
        <f t="shared" si="39"/>
        <v>541</v>
      </c>
    </row>
    <row r="1268" spans="1:2" ht="30" customHeight="1" x14ac:dyDescent="0.25">
      <c r="A1268" s="178" t="str">
        <f t="shared" si="38"/>
        <v>00/01/yyyy542</v>
      </c>
      <c r="B1268" s="171">
        <f t="shared" si="39"/>
        <v>542</v>
      </c>
    </row>
    <row r="1269" spans="1:2" ht="30" customHeight="1" x14ac:dyDescent="0.25">
      <c r="A1269" s="178" t="str">
        <f t="shared" si="38"/>
        <v>00/01/yyyy543</v>
      </c>
      <c r="B1269" s="171">
        <f t="shared" si="39"/>
        <v>543</v>
      </c>
    </row>
    <row r="1270" spans="1:2" ht="30" customHeight="1" x14ac:dyDescent="0.25">
      <c r="A1270" s="178" t="str">
        <f t="shared" si="38"/>
        <v>00/01/yyyy544</v>
      </c>
      <c r="B1270" s="171">
        <f t="shared" si="39"/>
        <v>544</v>
      </c>
    </row>
    <row r="1271" spans="1:2" ht="30" customHeight="1" x14ac:dyDescent="0.25">
      <c r="A1271" s="178" t="str">
        <f t="shared" si="38"/>
        <v>00/01/yyyy545</v>
      </c>
      <c r="B1271" s="171">
        <f t="shared" si="39"/>
        <v>545</v>
      </c>
    </row>
    <row r="1272" spans="1:2" ht="30" customHeight="1" x14ac:dyDescent="0.25">
      <c r="A1272" s="178" t="str">
        <f t="shared" si="38"/>
        <v>00/01/yyyy546</v>
      </c>
      <c r="B1272" s="171">
        <f t="shared" si="39"/>
        <v>546</v>
      </c>
    </row>
    <row r="1273" spans="1:2" ht="30" customHeight="1" x14ac:dyDescent="0.25">
      <c r="A1273" s="178" t="str">
        <f t="shared" si="38"/>
        <v>00/01/yyyy547</v>
      </c>
      <c r="B1273" s="171">
        <f t="shared" si="39"/>
        <v>547</v>
      </c>
    </row>
    <row r="1274" spans="1:2" ht="30" customHeight="1" x14ac:dyDescent="0.25">
      <c r="A1274" s="178" t="str">
        <f t="shared" si="38"/>
        <v>00/01/yyyy548</v>
      </c>
      <c r="B1274" s="171">
        <f t="shared" si="39"/>
        <v>548</v>
      </c>
    </row>
    <row r="1275" spans="1:2" ht="30" customHeight="1" x14ac:dyDescent="0.25">
      <c r="A1275" s="178" t="str">
        <f t="shared" si="38"/>
        <v>00/01/yyyy549</v>
      </c>
      <c r="B1275" s="171">
        <f t="shared" si="39"/>
        <v>549</v>
      </c>
    </row>
    <row r="1276" spans="1:2" ht="30" customHeight="1" x14ac:dyDescent="0.25">
      <c r="A1276" s="178" t="str">
        <f t="shared" si="38"/>
        <v>00/01/yyyy550</v>
      </c>
      <c r="B1276" s="171">
        <f t="shared" si="39"/>
        <v>550</v>
      </c>
    </row>
    <row r="1277" spans="1:2" ht="30" customHeight="1" x14ac:dyDescent="0.25">
      <c r="A1277" s="178" t="str">
        <f t="shared" si="38"/>
        <v>00/01/yyyy551</v>
      </c>
      <c r="B1277" s="171">
        <f t="shared" si="39"/>
        <v>551</v>
      </c>
    </row>
    <row r="1278" spans="1:2" ht="30" customHeight="1" x14ac:dyDescent="0.25">
      <c r="A1278" s="178" t="str">
        <f t="shared" si="38"/>
        <v>00/01/yyyy552</v>
      </c>
      <c r="B1278" s="171">
        <f t="shared" si="39"/>
        <v>552</v>
      </c>
    </row>
    <row r="1279" spans="1:2" ht="30" customHeight="1" x14ac:dyDescent="0.25">
      <c r="A1279" s="178" t="str">
        <f t="shared" si="38"/>
        <v>00/01/yyyy553</v>
      </c>
      <c r="B1279" s="171">
        <f t="shared" si="39"/>
        <v>553</v>
      </c>
    </row>
    <row r="1280" spans="1:2" ht="30" customHeight="1" x14ac:dyDescent="0.25">
      <c r="A1280" s="178" t="str">
        <f t="shared" si="38"/>
        <v>00/01/yyyy554</v>
      </c>
      <c r="B1280" s="171">
        <f t="shared" si="39"/>
        <v>554</v>
      </c>
    </row>
    <row r="1281" spans="1:2" ht="30" customHeight="1" x14ac:dyDescent="0.25">
      <c r="A1281" s="178" t="str">
        <f t="shared" si="38"/>
        <v>00/01/yyyy555</v>
      </c>
      <c r="B1281" s="171">
        <f t="shared" si="39"/>
        <v>555</v>
      </c>
    </row>
    <row r="1282" spans="1:2" ht="30" customHeight="1" x14ac:dyDescent="0.25">
      <c r="A1282" s="178" t="str">
        <f t="shared" si="38"/>
        <v>00/01/yyyy556</v>
      </c>
      <c r="B1282" s="171">
        <f t="shared" si="39"/>
        <v>556</v>
      </c>
    </row>
    <row r="1283" spans="1:2" ht="30" customHeight="1" x14ac:dyDescent="0.25">
      <c r="A1283" s="178" t="str">
        <f t="shared" ref="A1283:A1346" si="40">CONCATENATE(TEXT($G1283,"dd/mm/yyyy"),$B1283)</f>
        <v>00/01/yyyy557</v>
      </c>
      <c r="B1283" s="171">
        <f t="shared" si="39"/>
        <v>557</v>
      </c>
    </row>
    <row r="1284" spans="1:2" ht="30" customHeight="1" x14ac:dyDescent="0.25">
      <c r="A1284" s="178" t="str">
        <f t="shared" si="40"/>
        <v>00/01/yyyy558</v>
      </c>
      <c r="B1284" s="171">
        <f t="shared" ref="B1284:B1347" si="41">IF($G1284=$G1283,$B1283+1,1)</f>
        <v>558</v>
      </c>
    </row>
    <row r="1285" spans="1:2" ht="30" customHeight="1" x14ac:dyDescent="0.25">
      <c r="A1285" s="178" t="str">
        <f t="shared" si="40"/>
        <v>00/01/yyyy559</v>
      </c>
      <c r="B1285" s="171">
        <f t="shared" si="41"/>
        <v>559</v>
      </c>
    </row>
    <row r="1286" spans="1:2" ht="30" customHeight="1" x14ac:dyDescent="0.25">
      <c r="A1286" s="178" t="str">
        <f t="shared" si="40"/>
        <v>00/01/yyyy560</v>
      </c>
      <c r="B1286" s="171">
        <f t="shared" si="41"/>
        <v>560</v>
      </c>
    </row>
    <row r="1287" spans="1:2" ht="30" customHeight="1" x14ac:dyDescent="0.25">
      <c r="A1287" s="178" t="str">
        <f t="shared" si="40"/>
        <v>00/01/yyyy561</v>
      </c>
      <c r="B1287" s="171">
        <f t="shared" si="41"/>
        <v>561</v>
      </c>
    </row>
    <row r="1288" spans="1:2" ht="30" customHeight="1" x14ac:dyDescent="0.25">
      <c r="A1288" s="178" t="str">
        <f t="shared" si="40"/>
        <v>00/01/yyyy562</v>
      </c>
      <c r="B1288" s="171">
        <f t="shared" si="41"/>
        <v>562</v>
      </c>
    </row>
    <row r="1289" spans="1:2" ht="30" customHeight="1" x14ac:dyDescent="0.25">
      <c r="A1289" s="178" t="str">
        <f t="shared" si="40"/>
        <v>00/01/yyyy563</v>
      </c>
      <c r="B1289" s="171">
        <f t="shared" si="41"/>
        <v>563</v>
      </c>
    </row>
    <row r="1290" spans="1:2" ht="30" customHeight="1" x14ac:dyDescent="0.25">
      <c r="A1290" s="178" t="str">
        <f t="shared" si="40"/>
        <v>00/01/yyyy564</v>
      </c>
      <c r="B1290" s="171">
        <f t="shared" si="41"/>
        <v>564</v>
      </c>
    </row>
    <row r="1291" spans="1:2" ht="30" customHeight="1" x14ac:dyDescent="0.25">
      <c r="A1291" s="178" t="str">
        <f t="shared" si="40"/>
        <v>00/01/yyyy565</v>
      </c>
      <c r="B1291" s="171">
        <f t="shared" si="41"/>
        <v>565</v>
      </c>
    </row>
    <row r="1292" spans="1:2" ht="30" customHeight="1" x14ac:dyDescent="0.25">
      <c r="A1292" s="178" t="str">
        <f t="shared" si="40"/>
        <v>00/01/yyyy566</v>
      </c>
      <c r="B1292" s="171">
        <f t="shared" si="41"/>
        <v>566</v>
      </c>
    </row>
    <row r="1293" spans="1:2" ht="30" customHeight="1" x14ac:dyDescent="0.25">
      <c r="A1293" s="178" t="str">
        <f t="shared" si="40"/>
        <v>00/01/yyyy567</v>
      </c>
      <c r="B1293" s="171">
        <f t="shared" si="41"/>
        <v>567</v>
      </c>
    </row>
    <row r="1294" spans="1:2" ht="30" customHeight="1" x14ac:dyDescent="0.25">
      <c r="A1294" s="178" t="str">
        <f t="shared" si="40"/>
        <v>00/01/yyyy568</v>
      </c>
      <c r="B1294" s="171">
        <f t="shared" si="41"/>
        <v>568</v>
      </c>
    </row>
    <row r="1295" spans="1:2" ht="30" customHeight="1" x14ac:dyDescent="0.25">
      <c r="A1295" s="178" t="str">
        <f t="shared" si="40"/>
        <v>00/01/yyyy569</v>
      </c>
      <c r="B1295" s="171">
        <f t="shared" si="41"/>
        <v>569</v>
      </c>
    </row>
    <row r="1296" spans="1:2" ht="30" customHeight="1" x14ac:dyDescent="0.25">
      <c r="A1296" s="178" t="str">
        <f t="shared" si="40"/>
        <v>00/01/yyyy570</v>
      </c>
      <c r="B1296" s="171">
        <f t="shared" si="41"/>
        <v>570</v>
      </c>
    </row>
    <row r="1297" spans="1:2" ht="30" customHeight="1" x14ac:dyDescent="0.25">
      <c r="A1297" s="178" t="str">
        <f t="shared" si="40"/>
        <v>00/01/yyyy571</v>
      </c>
      <c r="B1297" s="171">
        <f t="shared" si="41"/>
        <v>571</v>
      </c>
    </row>
    <row r="1298" spans="1:2" ht="30" customHeight="1" x14ac:dyDescent="0.25">
      <c r="A1298" s="178" t="str">
        <f t="shared" si="40"/>
        <v>00/01/yyyy572</v>
      </c>
      <c r="B1298" s="171">
        <f t="shared" si="41"/>
        <v>572</v>
      </c>
    </row>
    <row r="1299" spans="1:2" ht="30" customHeight="1" x14ac:dyDescent="0.25">
      <c r="A1299" s="178" t="str">
        <f t="shared" si="40"/>
        <v>00/01/yyyy573</v>
      </c>
      <c r="B1299" s="171">
        <f t="shared" si="41"/>
        <v>573</v>
      </c>
    </row>
    <row r="1300" spans="1:2" ht="30" customHeight="1" x14ac:dyDescent="0.25">
      <c r="A1300" s="178" t="str">
        <f t="shared" si="40"/>
        <v>00/01/yyyy574</v>
      </c>
      <c r="B1300" s="171">
        <f t="shared" si="41"/>
        <v>574</v>
      </c>
    </row>
    <row r="1301" spans="1:2" ht="30" customHeight="1" x14ac:dyDescent="0.25">
      <c r="A1301" s="178" t="str">
        <f t="shared" si="40"/>
        <v>00/01/yyyy575</v>
      </c>
      <c r="B1301" s="171">
        <f t="shared" si="41"/>
        <v>575</v>
      </c>
    </row>
    <row r="1302" spans="1:2" ht="30" customHeight="1" x14ac:dyDescent="0.25">
      <c r="A1302" s="178" t="str">
        <f t="shared" si="40"/>
        <v>00/01/yyyy576</v>
      </c>
      <c r="B1302" s="171">
        <f t="shared" si="41"/>
        <v>576</v>
      </c>
    </row>
    <row r="1303" spans="1:2" ht="30" customHeight="1" x14ac:dyDescent="0.25">
      <c r="A1303" s="178" t="str">
        <f t="shared" si="40"/>
        <v>00/01/yyyy577</v>
      </c>
      <c r="B1303" s="171">
        <f t="shared" si="41"/>
        <v>577</v>
      </c>
    </row>
    <row r="1304" spans="1:2" ht="30" customHeight="1" x14ac:dyDescent="0.25">
      <c r="A1304" s="178" t="str">
        <f t="shared" si="40"/>
        <v>00/01/yyyy578</v>
      </c>
      <c r="B1304" s="171">
        <f t="shared" si="41"/>
        <v>578</v>
      </c>
    </row>
    <row r="1305" spans="1:2" ht="30" customHeight="1" x14ac:dyDescent="0.25">
      <c r="A1305" s="178" t="str">
        <f t="shared" si="40"/>
        <v>00/01/yyyy579</v>
      </c>
      <c r="B1305" s="171">
        <f t="shared" si="41"/>
        <v>579</v>
      </c>
    </row>
    <row r="1306" spans="1:2" ht="30" customHeight="1" x14ac:dyDescent="0.25">
      <c r="A1306" s="178" t="str">
        <f t="shared" si="40"/>
        <v>00/01/yyyy580</v>
      </c>
      <c r="B1306" s="171">
        <f t="shared" si="41"/>
        <v>580</v>
      </c>
    </row>
    <row r="1307" spans="1:2" ht="30" customHeight="1" x14ac:dyDescent="0.25">
      <c r="A1307" s="178" t="str">
        <f t="shared" si="40"/>
        <v>00/01/yyyy581</v>
      </c>
      <c r="B1307" s="171">
        <f t="shared" si="41"/>
        <v>581</v>
      </c>
    </row>
    <row r="1308" spans="1:2" ht="30" customHeight="1" x14ac:dyDescent="0.25">
      <c r="A1308" s="178" t="str">
        <f t="shared" si="40"/>
        <v>00/01/yyyy582</v>
      </c>
      <c r="B1308" s="171">
        <f t="shared" si="41"/>
        <v>582</v>
      </c>
    </row>
    <row r="1309" spans="1:2" ht="30" customHeight="1" x14ac:dyDescent="0.25">
      <c r="A1309" s="178" t="str">
        <f t="shared" si="40"/>
        <v>00/01/yyyy583</v>
      </c>
      <c r="B1309" s="171">
        <f t="shared" si="41"/>
        <v>583</v>
      </c>
    </row>
    <row r="1310" spans="1:2" ht="30" customHeight="1" x14ac:dyDescent="0.25">
      <c r="A1310" s="178" t="str">
        <f t="shared" si="40"/>
        <v>00/01/yyyy584</v>
      </c>
      <c r="B1310" s="171">
        <f t="shared" si="41"/>
        <v>584</v>
      </c>
    </row>
    <row r="1311" spans="1:2" ht="30" customHeight="1" x14ac:dyDescent="0.25">
      <c r="A1311" s="178" t="str">
        <f t="shared" si="40"/>
        <v>00/01/yyyy585</v>
      </c>
      <c r="B1311" s="171">
        <f t="shared" si="41"/>
        <v>585</v>
      </c>
    </row>
    <row r="1312" spans="1:2" ht="30" customHeight="1" x14ac:dyDescent="0.25">
      <c r="A1312" s="178" t="str">
        <f t="shared" si="40"/>
        <v>00/01/yyyy586</v>
      </c>
      <c r="B1312" s="171">
        <f t="shared" si="41"/>
        <v>586</v>
      </c>
    </row>
    <row r="1313" spans="1:2" ht="30" customHeight="1" x14ac:dyDescent="0.25">
      <c r="A1313" s="178" t="str">
        <f t="shared" si="40"/>
        <v>00/01/yyyy587</v>
      </c>
      <c r="B1313" s="171">
        <f t="shared" si="41"/>
        <v>587</v>
      </c>
    </row>
    <row r="1314" spans="1:2" ht="30" customHeight="1" x14ac:dyDescent="0.25">
      <c r="A1314" s="178" t="str">
        <f t="shared" si="40"/>
        <v>00/01/yyyy588</v>
      </c>
      <c r="B1314" s="171">
        <f t="shared" si="41"/>
        <v>588</v>
      </c>
    </row>
    <row r="1315" spans="1:2" ht="30" customHeight="1" x14ac:dyDescent="0.25">
      <c r="A1315" s="178" t="str">
        <f t="shared" si="40"/>
        <v>00/01/yyyy589</v>
      </c>
      <c r="B1315" s="171">
        <f t="shared" si="41"/>
        <v>589</v>
      </c>
    </row>
    <row r="1316" spans="1:2" ht="30" customHeight="1" x14ac:dyDescent="0.25">
      <c r="A1316" s="178" t="str">
        <f t="shared" si="40"/>
        <v>00/01/yyyy590</v>
      </c>
      <c r="B1316" s="171">
        <f t="shared" si="41"/>
        <v>590</v>
      </c>
    </row>
    <row r="1317" spans="1:2" ht="30" customHeight="1" x14ac:dyDescent="0.25">
      <c r="A1317" s="178" t="str">
        <f t="shared" si="40"/>
        <v>00/01/yyyy591</v>
      </c>
      <c r="B1317" s="171">
        <f t="shared" si="41"/>
        <v>591</v>
      </c>
    </row>
    <row r="1318" spans="1:2" ht="30" customHeight="1" x14ac:dyDescent="0.25">
      <c r="A1318" s="178" t="str">
        <f t="shared" si="40"/>
        <v>00/01/yyyy592</v>
      </c>
      <c r="B1318" s="171">
        <f t="shared" si="41"/>
        <v>592</v>
      </c>
    </row>
    <row r="1319" spans="1:2" ht="30" customHeight="1" x14ac:dyDescent="0.25">
      <c r="A1319" s="178" t="str">
        <f t="shared" si="40"/>
        <v>00/01/yyyy593</v>
      </c>
      <c r="B1319" s="171">
        <f t="shared" si="41"/>
        <v>593</v>
      </c>
    </row>
    <row r="1320" spans="1:2" ht="30" customHeight="1" x14ac:dyDescent="0.25">
      <c r="A1320" s="178" t="str">
        <f t="shared" si="40"/>
        <v>00/01/yyyy594</v>
      </c>
      <c r="B1320" s="171">
        <f t="shared" si="41"/>
        <v>594</v>
      </c>
    </row>
    <row r="1321" spans="1:2" ht="30" customHeight="1" x14ac:dyDescent="0.25">
      <c r="A1321" s="178" t="str">
        <f t="shared" si="40"/>
        <v>00/01/yyyy595</v>
      </c>
      <c r="B1321" s="171">
        <f t="shared" si="41"/>
        <v>595</v>
      </c>
    </row>
    <row r="1322" spans="1:2" ht="30" customHeight="1" x14ac:dyDescent="0.25">
      <c r="A1322" s="178" t="str">
        <f t="shared" si="40"/>
        <v>00/01/yyyy596</v>
      </c>
      <c r="B1322" s="171">
        <f t="shared" si="41"/>
        <v>596</v>
      </c>
    </row>
    <row r="1323" spans="1:2" ht="30" customHeight="1" x14ac:dyDescent="0.25">
      <c r="A1323" s="178" t="str">
        <f t="shared" si="40"/>
        <v>00/01/yyyy597</v>
      </c>
      <c r="B1323" s="171">
        <f t="shared" si="41"/>
        <v>597</v>
      </c>
    </row>
    <row r="1324" spans="1:2" ht="30" customHeight="1" x14ac:dyDescent="0.25">
      <c r="A1324" s="178" t="str">
        <f t="shared" si="40"/>
        <v>00/01/yyyy598</v>
      </c>
      <c r="B1324" s="171">
        <f t="shared" si="41"/>
        <v>598</v>
      </c>
    </row>
    <row r="1325" spans="1:2" ht="30" customHeight="1" x14ac:dyDescent="0.25">
      <c r="A1325" s="178" t="str">
        <f t="shared" si="40"/>
        <v>00/01/yyyy599</v>
      </c>
      <c r="B1325" s="171">
        <f t="shared" si="41"/>
        <v>599</v>
      </c>
    </row>
    <row r="1326" spans="1:2" ht="30" customHeight="1" x14ac:dyDescent="0.25">
      <c r="A1326" s="178" t="str">
        <f t="shared" si="40"/>
        <v>00/01/yyyy600</v>
      </c>
      <c r="B1326" s="171">
        <f t="shared" si="41"/>
        <v>600</v>
      </c>
    </row>
    <row r="1327" spans="1:2" ht="30" customHeight="1" x14ac:dyDescent="0.25">
      <c r="A1327" s="178" t="str">
        <f t="shared" si="40"/>
        <v>00/01/yyyy601</v>
      </c>
      <c r="B1327" s="171">
        <f t="shared" si="41"/>
        <v>601</v>
      </c>
    </row>
    <row r="1328" spans="1:2" ht="30" customHeight="1" x14ac:dyDescent="0.25">
      <c r="A1328" s="178" t="str">
        <f t="shared" si="40"/>
        <v>00/01/yyyy602</v>
      </c>
      <c r="B1328" s="171">
        <f t="shared" si="41"/>
        <v>602</v>
      </c>
    </row>
    <row r="1329" spans="1:2" ht="30" customHeight="1" x14ac:dyDescent="0.25">
      <c r="A1329" s="178" t="str">
        <f t="shared" si="40"/>
        <v>00/01/yyyy603</v>
      </c>
      <c r="B1329" s="171">
        <f t="shared" si="41"/>
        <v>603</v>
      </c>
    </row>
    <row r="1330" spans="1:2" ht="30" customHeight="1" x14ac:dyDescent="0.25">
      <c r="A1330" s="178" t="str">
        <f t="shared" si="40"/>
        <v>00/01/yyyy604</v>
      </c>
      <c r="B1330" s="171">
        <f t="shared" si="41"/>
        <v>604</v>
      </c>
    </row>
    <row r="1331" spans="1:2" ht="30" customHeight="1" x14ac:dyDescent="0.25">
      <c r="A1331" s="178" t="str">
        <f t="shared" si="40"/>
        <v>00/01/yyyy605</v>
      </c>
      <c r="B1331" s="171">
        <f t="shared" si="41"/>
        <v>605</v>
      </c>
    </row>
    <row r="1332" spans="1:2" ht="30" customHeight="1" x14ac:dyDescent="0.25">
      <c r="A1332" s="178" t="str">
        <f t="shared" si="40"/>
        <v>00/01/yyyy606</v>
      </c>
      <c r="B1332" s="171">
        <f t="shared" si="41"/>
        <v>606</v>
      </c>
    </row>
    <row r="1333" spans="1:2" ht="30" customHeight="1" x14ac:dyDescent="0.25">
      <c r="A1333" s="178" t="str">
        <f t="shared" si="40"/>
        <v>00/01/yyyy607</v>
      </c>
      <c r="B1333" s="171">
        <f t="shared" si="41"/>
        <v>607</v>
      </c>
    </row>
    <row r="1334" spans="1:2" ht="30" customHeight="1" x14ac:dyDescent="0.25">
      <c r="A1334" s="178" t="str">
        <f t="shared" si="40"/>
        <v>00/01/yyyy608</v>
      </c>
      <c r="B1334" s="171">
        <f t="shared" si="41"/>
        <v>608</v>
      </c>
    </row>
    <row r="1335" spans="1:2" ht="30" customHeight="1" x14ac:dyDescent="0.25">
      <c r="A1335" s="178" t="str">
        <f t="shared" si="40"/>
        <v>00/01/yyyy609</v>
      </c>
      <c r="B1335" s="171">
        <f t="shared" si="41"/>
        <v>609</v>
      </c>
    </row>
    <row r="1336" spans="1:2" ht="30" customHeight="1" x14ac:dyDescent="0.25">
      <c r="A1336" s="178" t="str">
        <f t="shared" si="40"/>
        <v>00/01/yyyy610</v>
      </c>
      <c r="B1336" s="171">
        <f t="shared" si="41"/>
        <v>610</v>
      </c>
    </row>
    <row r="1337" spans="1:2" ht="30" customHeight="1" x14ac:dyDescent="0.25">
      <c r="A1337" s="178" t="str">
        <f t="shared" si="40"/>
        <v>00/01/yyyy611</v>
      </c>
      <c r="B1337" s="171">
        <f t="shared" si="41"/>
        <v>611</v>
      </c>
    </row>
    <row r="1338" spans="1:2" ht="30" customHeight="1" x14ac:dyDescent="0.25">
      <c r="A1338" s="178" t="str">
        <f t="shared" si="40"/>
        <v>00/01/yyyy612</v>
      </c>
      <c r="B1338" s="171">
        <f t="shared" si="41"/>
        <v>612</v>
      </c>
    </row>
    <row r="1339" spans="1:2" ht="30" customHeight="1" x14ac:dyDescent="0.25">
      <c r="A1339" s="178" t="str">
        <f t="shared" si="40"/>
        <v>00/01/yyyy613</v>
      </c>
      <c r="B1339" s="171">
        <f t="shared" si="41"/>
        <v>613</v>
      </c>
    </row>
    <row r="1340" spans="1:2" ht="30" customHeight="1" x14ac:dyDescent="0.25">
      <c r="A1340" s="178" t="str">
        <f t="shared" si="40"/>
        <v>00/01/yyyy614</v>
      </c>
      <c r="B1340" s="171">
        <f t="shared" si="41"/>
        <v>614</v>
      </c>
    </row>
    <row r="1341" spans="1:2" ht="30" customHeight="1" x14ac:dyDescent="0.25">
      <c r="A1341" s="178" t="str">
        <f t="shared" si="40"/>
        <v>00/01/yyyy615</v>
      </c>
      <c r="B1341" s="171">
        <f t="shared" si="41"/>
        <v>615</v>
      </c>
    </row>
    <row r="1342" spans="1:2" ht="30" customHeight="1" x14ac:dyDescent="0.25">
      <c r="A1342" s="178" t="str">
        <f t="shared" si="40"/>
        <v>00/01/yyyy616</v>
      </c>
      <c r="B1342" s="171">
        <f t="shared" si="41"/>
        <v>616</v>
      </c>
    </row>
    <row r="1343" spans="1:2" ht="30" customHeight="1" x14ac:dyDescent="0.25">
      <c r="A1343" s="178" t="str">
        <f t="shared" si="40"/>
        <v>00/01/yyyy617</v>
      </c>
      <c r="B1343" s="171">
        <f t="shared" si="41"/>
        <v>617</v>
      </c>
    </row>
    <row r="1344" spans="1:2" ht="30" customHeight="1" x14ac:dyDescent="0.25">
      <c r="A1344" s="178" t="str">
        <f t="shared" si="40"/>
        <v>00/01/yyyy618</v>
      </c>
      <c r="B1344" s="171">
        <f t="shared" si="41"/>
        <v>618</v>
      </c>
    </row>
    <row r="1345" spans="1:2" ht="30" customHeight="1" x14ac:dyDescent="0.25">
      <c r="A1345" s="178" t="str">
        <f t="shared" si="40"/>
        <v>00/01/yyyy619</v>
      </c>
      <c r="B1345" s="171">
        <f t="shared" si="41"/>
        <v>619</v>
      </c>
    </row>
    <row r="1346" spans="1:2" ht="30" customHeight="1" x14ac:dyDescent="0.25">
      <c r="A1346" s="178" t="str">
        <f t="shared" si="40"/>
        <v>00/01/yyyy620</v>
      </c>
      <c r="B1346" s="171">
        <f t="shared" si="41"/>
        <v>620</v>
      </c>
    </row>
    <row r="1347" spans="1:2" ht="30" customHeight="1" x14ac:dyDescent="0.25">
      <c r="A1347" s="178" t="str">
        <f t="shared" ref="A1347:A1410" si="42">CONCATENATE(TEXT($G1347,"dd/mm/yyyy"),$B1347)</f>
        <v>00/01/yyyy621</v>
      </c>
      <c r="B1347" s="171">
        <f t="shared" si="41"/>
        <v>621</v>
      </c>
    </row>
    <row r="1348" spans="1:2" ht="30" customHeight="1" x14ac:dyDescent="0.25">
      <c r="A1348" s="178" t="str">
        <f t="shared" si="42"/>
        <v>00/01/yyyy622</v>
      </c>
      <c r="B1348" s="171">
        <f t="shared" ref="B1348:B1411" si="43">IF($G1348=$G1347,$B1347+1,1)</f>
        <v>622</v>
      </c>
    </row>
    <row r="1349" spans="1:2" ht="30" customHeight="1" x14ac:dyDescent="0.25">
      <c r="A1349" s="178" t="str">
        <f t="shared" si="42"/>
        <v>00/01/yyyy623</v>
      </c>
      <c r="B1349" s="171">
        <f t="shared" si="43"/>
        <v>623</v>
      </c>
    </row>
    <row r="1350" spans="1:2" ht="30" customHeight="1" x14ac:dyDescent="0.25">
      <c r="A1350" s="178" t="str">
        <f t="shared" si="42"/>
        <v>00/01/yyyy624</v>
      </c>
      <c r="B1350" s="171">
        <f t="shared" si="43"/>
        <v>624</v>
      </c>
    </row>
    <row r="1351" spans="1:2" ht="30" customHeight="1" x14ac:dyDescent="0.25">
      <c r="A1351" s="178" t="str">
        <f t="shared" si="42"/>
        <v>00/01/yyyy625</v>
      </c>
      <c r="B1351" s="171">
        <f t="shared" si="43"/>
        <v>625</v>
      </c>
    </row>
    <row r="1352" spans="1:2" ht="30" customHeight="1" x14ac:dyDescent="0.25">
      <c r="A1352" s="178" t="str">
        <f t="shared" si="42"/>
        <v>00/01/yyyy626</v>
      </c>
      <c r="B1352" s="171">
        <f t="shared" si="43"/>
        <v>626</v>
      </c>
    </row>
    <row r="1353" spans="1:2" ht="30" customHeight="1" x14ac:dyDescent="0.25">
      <c r="A1353" s="178" t="str">
        <f t="shared" si="42"/>
        <v>00/01/yyyy627</v>
      </c>
      <c r="B1353" s="171">
        <f t="shared" si="43"/>
        <v>627</v>
      </c>
    </row>
    <row r="1354" spans="1:2" ht="30" customHeight="1" x14ac:dyDescent="0.25">
      <c r="A1354" s="178" t="str">
        <f t="shared" si="42"/>
        <v>00/01/yyyy628</v>
      </c>
      <c r="B1354" s="171">
        <f t="shared" si="43"/>
        <v>628</v>
      </c>
    </row>
    <row r="1355" spans="1:2" ht="30" customHeight="1" x14ac:dyDescent="0.25">
      <c r="A1355" s="178" t="str">
        <f t="shared" si="42"/>
        <v>00/01/yyyy629</v>
      </c>
      <c r="B1355" s="171">
        <f t="shared" si="43"/>
        <v>629</v>
      </c>
    </row>
    <row r="1356" spans="1:2" ht="30" customHeight="1" x14ac:dyDescent="0.25">
      <c r="A1356" s="178" t="str">
        <f t="shared" si="42"/>
        <v>00/01/yyyy630</v>
      </c>
      <c r="B1356" s="171">
        <f t="shared" si="43"/>
        <v>630</v>
      </c>
    </row>
    <row r="1357" spans="1:2" ht="30" customHeight="1" x14ac:dyDescent="0.25">
      <c r="A1357" s="178" t="str">
        <f t="shared" si="42"/>
        <v>00/01/yyyy631</v>
      </c>
      <c r="B1357" s="171">
        <f t="shared" si="43"/>
        <v>631</v>
      </c>
    </row>
    <row r="1358" spans="1:2" ht="30" customHeight="1" x14ac:dyDescent="0.25">
      <c r="A1358" s="178" t="str">
        <f t="shared" si="42"/>
        <v>00/01/yyyy632</v>
      </c>
      <c r="B1358" s="171">
        <f t="shared" si="43"/>
        <v>632</v>
      </c>
    </row>
    <row r="1359" spans="1:2" ht="30" customHeight="1" x14ac:dyDescent="0.25">
      <c r="A1359" s="178" t="str">
        <f t="shared" si="42"/>
        <v>00/01/yyyy633</v>
      </c>
      <c r="B1359" s="171">
        <f t="shared" si="43"/>
        <v>633</v>
      </c>
    </row>
    <row r="1360" spans="1:2" ht="30" customHeight="1" x14ac:dyDescent="0.25">
      <c r="A1360" s="178" t="str">
        <f t="shared" si="42"/>
        <v>00/01/yyyy634</v>
      </c>
      <c r="B1360" s="171">
        <f t="shared" si="43"/>
        <v>634</v>
      </c>
    </row>
    <row r="1361" spans="1:2" ht="30" customHeight="1" x14ac:dyDescent="0.25">
      <c r="A1361" s="178" t="str">
        <f t="shared" si="42"/>
        <v>00/01/yyyy635</v>
      </c>
      <c r="B1361" s="171">
        <f t="shared" si="43"/>
        <v>635</v>
      </c>
    </row>
    <row r="1362" spans="1:2" ht="30" customHeight="1" x14ac:dyDescent="0.25">
      <c r="A1362" s="178" t="str">
        <f t="shared" si="42"/>
        <v>00/01/yyyy636</v>
      </c>
      <c r="B1362" s="171">
        <f t="shared" si="43"/>
        <v>636</v>
      </c>
    </row>
    <row r="1363" spans="1:2" ht="30" customHeight="1" x14ac:dyDescent="0.25">
      <c r="A1363" s="178" t="str">
        <f t="shared" si="42"/>
        <v>00/01/yyyy637</v>
      </c>
      <c r="B1363" s="171">
        <f t="shared" si="43"/>
        <v>637</v>
      </c>
    </row>
    <row r="1364" spans="1:2" ht="30" customHeight="1" x14ac:dyDescent="0.25">
      <c r="A1364" s="178" t="str">
        <f t="shared" si="42"/>
        <v>00/01/yyyy638</v>
      </c>
      <c r="B1364" s="171">
        <f t="shared" si="43"/>
        <v>638</v>
      </c>
    </row>
    <row r="1365" spans="1:2" ht="30" customHeight="1" x14ac:dyDescent="0.25">
      <c r="A1365" s="178" t="str">
        <f t="shared" si="42"/>
        <v>00/01/yyyy639</v>
      </c>
      <c r="B1365" s="171">
        <f t="shared" si="43"/>
        <v>639</v>
      </c>
    </row>
    <row r="1366" spans="1:2" ht="30" customHeight="1" x14ac:dyDescent="0.25">
      <c r="A1366" s="178" t="str">
        <f t="shared" si="42"/>
        <v>00/01/yyyy640</v>
      </c>
      <c r="B1366" s="171">
        <f t="shared" si="43"/>
        <v>640</v>
      </c>
    </row>
    <row r="1367" spans="1:2" ht="30" customHeight="1" x14ac:dyDescent="0.25">
      <c r="A1367" s="178" t="str">
        <f t="shared" si="42"/>
        <v>00/01/yyyy641</v>
      </c>
      <c r="B1367" s="171">
        <f t="shared" si="43"/>
        <v>641</v>
      </c>
    </row>
    <row r="1368" spans="1:2" ht="30" customHeight="1" x14ac:dyDescent="0.25">
      <c r="A1368" s="178" t="str">
        <f t="shared" si="42"/>
        <v>00/01/yyyy642</v>
      </c>
      <c r="B1368" s="171">
        <f t="shared" si="43"/>
        <v>642</v>
      </c>
    </row>
    <row r="1369" spans="1:2" ht="30" customHeight="1" x14ac:dyDescent="0.25">
      <c r="A1369" s="178" t="str">
        <f t="shared" si="42"/>
        <v>00/01/yyyy643</v>
      </c>
      <c r="B1369" s="171">
        <f t="shared" si="43"/>
        <v>643</v>
      </c>
    </row>
    <row r="1370" spans="1:2" ht="30" customHeight="1" x14ac:dyDescent="0.25">
      <c r="A1370" s="178" t="str">
        <f t="shared" si="42"/>
        <v>00/01/yyyy644</v>
      </c>
      <c r="B1370" s="171">
        <f t="shared" si="43"/>
        <v>644</v>
      </c>
    </row>
    <row r="1371" spans="1:2" ht="30" customHeight="1" x14ac:dyDescent="0.25">
      <c r="A1371" s="178" t="str">
        <f t="shared" si="42"/>
        <v>00/01/yyyy645</v>
      </c>
      <c r="B1371" s="171">
        <f t="shared" si="43"/>
        <v>645</v>
      </c>
    </row>
    <row r="1372" spans="1:2" ht="30" customHeight="1" x14ac:dyDescent="0.25">
      <c r="A1372" s="178" t="str">
        <f t="shared" si="42"/>
        <v>00/01/yyyy646</v>
      </c>
      <c r="B1372" s="171">
        <f t="shared" si="43"/>
        <v>646</v>
      </c>
    </row>
    <row r="1373" spans="1:2" ht="30" customHeight="1" x14ac:dyDescent="0.25">
      <c r="A1373" s="178" t="str">
        <f t="shared" si="42"/>
        <v>00/01/yyyy647</v>
      </c>
      <c r="B1373" s="171">
        <f t="shared" si="43"/>
        <v>647</v>
      </c>
    </row>
    <row r="1374" spans="1:2" ht="30" customHeight="1" x14ac:dyDescent="0.25">
      <c r="A1374" s="178" t="str">
        <f t="shared" si="42"/>
        <v>00/01/yyyy648</v>
      </c>
      <c r="B1374" s="171">
        <f t="shared" si="43"/>
        <v>648</v>
      </c>
    </row>
    <row r="1375" spans="1:2" ht="30" customHeight="1" x14ac:dyDescent="0.25">
      <c r="A1375" s="178" t="str">
        <f t="shared" si="42"/>
        <v>00/01/yyyy649</v>
      </c>
      <c r="B1375" s="171">
        <f t="shared" si="43"/>
        <v>649</v>
      </c>
    </row>
    <row r="1376" spans="1:2" ht="30" customHeight="1" x14ac:dyDescent="0.25">
      <c r="A1376" s="178" t="str">
        <f t="shared" si="42"/>
        <v>00/01/yyyy650</v>
      </c>
      <c r="B1376" s="171">
        <f t="shared" si="43"/>
        <v>650</v>
      </c>
    </row>
    <row r="1377" spans="1:2" ht="30" customHeight="1" x14ac:dyDescent="0.25">
      <c r="A1377" s="178" t="str">
        <f t="shared" si="42"/>
        <v>00/01/yyyy651</v>
      </c>
      <c r="B1377" s="171">
        <f t="shared" si="43"/>
        <v>651</v>
      </c>
    </row>
    <row r="1378" spans="1:2" ht="30" customHeight="1" x14ac:dyDescent="0.25">
      <c r="A1378" s="178" t="str">
        <f t="shared" si="42"/>
        <v>00/01/yyyy652</v>
      </c>
      <c r="B1378" s="171">
        <f t="shared" si="43"/>
        <v>652</v>
      </c>
    </row>
    <row r="1379" spans="1:2" ht="30" customHeight="1" x14ac:dyDescent="0.25">
      <c r="A1379" s="178" t="str">
        <f t="shared" si="42"/>
        <v>00/01/yyyy653</v>
      </c>
      <c r="B1379" s="171">
        <f t="shared" si="43"/>
        <v>653</v>
      </c>
    </row>
    <row r="1380" spans="1:2" ht="30" customHeight="1" x14ac:dyDescent="0.25">
      <c r="A1380" s="178" t="str">
        <f t="shared" si="42"/>
        <v>00/01/yyyy654</v>
      </c>
      <c r="B1380" s="171">
        <f t="shared" si="43"/>
        <v>654</v>
      </c>
    </row>
    <row r="1381" spans="1:2" ht="30" customHeight="1" x14ac:dyDescent="0.25">
      <c r="A1381" s="178" t="str">
        <f t="shared" si="42"/>
        <v>00/01/yyyy655</v>
      </c>
      <c r="B1381" s="171">
        <f t="shared" si="43"/>
        <v>655</v>
      </c>
    </row>
    <row r="1382" spans="1:2" ht="30" customHeight="1" x14ac:dyDescent="0.25">
      <c r="A1382" s="178" t="str">
        <f t="shared" si="42"/>
        <v>00/01/yyyy656</v>
      </c>
      <c r="B1382" s="171">
        <f t="shared" si="43"/>
        <v>656</v>
      </c>
    </row>
    <row r="1383" spans="1:2" ht="30" customHeight="1" x14ac:dyDescent="0.25">
      <c r="A1383" s="178" t="str">
        <f t="shared" si="42"/>
        <v>00/01/yyyy657</v>
      </c>
      <c r="B1383" s="171">
        <f t="shared" si="43"/>
        <v>657</v>
      </c>
    </row>
    <row r="1384" spans="1:2" ht="30" customHeight="1" x14ac:dyDescent="0.25">
      <c r="A1384" s="178" t="str">
        <f t="shared" si="42"/>
        <v>00/01/yyyy658</v>
      </c>
      <c r="B1384" s="171">
        <f t="shared" si="43"/>
        <v>658</v>
      </c>
    </row>
    <row r="1385" spans="1:2" ht="30" customHeight="1" x14ac:dyDescent="0.25">
      <c r="A1385" s="178" t="str">
        <f t="shared" si="42"/>
        <v>00/01/yyyy659</v>
      </c>
      <c r="B1385" s="171">
        <f t="shared" si="43"/>
        <v>659</v>
      </c>
    </row>
    <row r="1386" spans="1:2" ht="30" customHeight="1" x14ac:dyDescent="0.25">
      <c r="A1386" s="178" t="str">
        <f t="shared" si="42"/>
        <v>00/01/yyyy660</v>
      </c>
      <c r="B1386" s="171">
        <f t="shared" si="43"/>
        <v>660</v>
      </c>
    </row>
    <row r="1387" spans="1:2" ht="30" customHeight="1" x14ac:dyDescent="0.25">
      <c r="A1387" s="178" t="str">
        <f t="shared" si="42"/>
        <v>00/01/yyyy661</v>
      </c>
      <c r="B1387" s="171">
        <f t="shared" si="43"/>
        <v>661</v>
      </c>
    </row>
    <row r="1388" spans="1:2" ht="30" customHeight="1" x14ac:dyDescent="0.25">
      <c r="A1388" s="178" t="str">
        <f t="shared" si="42"/>
        <v>00/01/yyyy662</v>
      </c>
      <c r="B1388" s="171">
        <f t="shared" si="43"/>
        <v>662</v>
      </c>
    </row>
    <row r="1389" spans="1:2" ht="30" customHeight="1" x14ac:dyDescent="0.25">
      <c r="A1389" s="178" t="str">
        <f t="shared" si="42"/>
        <v>00/01/yyyy663</v>
      </c>
      <c r="B1389" s="171">
        <f t="shared" si="43"/>
        <v>663</v>
      </c>
    </row>
    <row r="1390" spans="1:2" ht="30" customHeight="1" x14ac:dyDescent="0.25">
      <c r="A1390" s="178" t="str">
        <f t="shared" si="42"/>
        <v>00/01/yyyy664</v>
      </c>
      <c r="B1390" s="171">
        <f t="shared" si="43"/>
        <v>664</v>
      </c>
    </row>
    <row r="1391" spans="1:2" ht="30" customHeight="1" x14ac:dyDescent="0.25">
      <c r="A1391" s="178" t="str">
        <f t="shared" si="42"/>
        <v>00/01/yyyy665</v>
      </c>
      <c r="B1391" s="171">
        <f t="shared" si="43"/>
        <v>665</v>
      </c>
    </row>
    <row r="1392" spans="1:2" ht="30" customHeight="1" x14ac:dyDescent="0.25">
      <c r="A1392" s="178" t="str">
        <f t="shared" si="42"/>
        <v>00/01/yyyy666</v>
      </c>
      <c r="B1392" s="171">
        <f t="shared" si="43"/>
        <v>666</v>
      </c>
    </row>
    <row r="1393" spans="1:2" ht="30" customHeight="1" x14ac:dyDescent="0.25">
      <c r="A1393" s="178" t="str">
        <f t="shared" si="42"/>
        <v>00/01/yyyy667</v>
      </c>
      <c r="B1393" s="171">
        <f t="shared" si="43"/>
        <v>667</v>
      </c>
    </row>
    <row r="1394" spans="1:2" ht="30" customHeight="1" x14ac:dyDescent="0.25">
      <c r="A1394" s="178" t="str">
        <f t="shared" si="42"/>
        <v>00/01/yyyy668</v>
      </c>
      <c r="B1394" s="171">
        <f t="shared" si="43"/>
        <v>668</v>
      </c>
    </row>
    <row r="1395" spans="1:2" ht="30" customHeight="1" x14ac:dyDescent="0.25">
      <c r="A1395" s="178" t="str">
        <f t="shared" si="42"/>
        <v>00/01/yyyy669</v>
      </c>
      <c r="B1395" s="171">
        <f t="shared" si="43"/>
        <v>669</v>
      </c>
    </row>
    <row r="1396" spans="1:2" ht="30" customHeight="1" x14ac:dyDescent="0.25">
      <c r="A1396" s="178" t="str">
        <f t="shared" si="42"/>
        <v>00/01/yyyy670</v>
      </c>
      <c r="B1396" s="171">
        <f t="shared" si="43"/>
        <v>670</v>
      </c>
    </row>
    <row r="1397" spans="1:2" ht="30" customHeight="1" x14ac:dyDescent="0.25">
      <c r="A1397" s="178" t="str">
        <f t="shared" si="42"/>
        <v>00/01/yyyy671</v>
      </c>
      <c r="B1397" s="171">
        <f t="shared" si="43"/>
        <v>671</v>
      </c>
    </row>
    <row r="1398" spans="1:2" ht="30" customHeight="1" x14ac:dyDescent="0.25">
      <c r="A1398" s="178" t="str">
        <f t="shared" si="42"/>
        <v>00/01/yyyy672</v>
      </c>
      <c r="B1398" s="171">
        <f t="shared" si="43"/>
        <v>672</v>
      </c>
    </row>
    <row r="1399" spans="1:2" ht="30" customHeight="1" x14ac:dyDescent="0.25">
      <c r="A1399" s="178" t="str">
        <f t="shared" si="42"/>
        <v>00/01/yyyy673</v>
      </c>
      <c r="B1399" s="171">
        <f t="shared" si="43"/>
        <v>673</v>
      </c>
    </row>
    <row r="1400" spans="1:2" ht="30" customHeight="1" x14ac:dyDescent="0.25">
      <c r="A1400" s="178" t="str">
        <f t="shared" si="42"/>
        <v>00/01/yyyy674</v>
      </c>
      <c r="B1400" s="171">
        <f t="shared" si="43"/>
        <v>674</v>
      </c>
    </row>
    <row r="1401" spans="1:2" ht="30" customHeight="1" x14ac:dyDescent="0.25">
      <c r="A1401" s="178" t="str">
        <f t="shared" si="42"/>
        <v>00/01/yyyy675</v>
      </c>
      <c r="B1401" s="171">
        <f t="shared" si="43"/>
        <v>675</v>
      </c>
    </row>
    <row r="1402" spans="1:2" ht="30" customHeight="1" x14ac:dyDescent="0.25">
      <c r="A1402" s="178" t="str">
        <f t="shared" si="42"/>
        <v>00/01/yyyy676</v>
      </c>
      <c r="B1402" s="171">
        <f t="shared" si="43"/>
        <v>676</v>
      </c>
    </row>
    <row r="1403" spans="1:2" ht="30" customHeight="1" x14ac:dyDescent="0.25">
      <c r="A1403" s="178" t="str">
        <f t="shared" si="42"/>
        <v>00/01/yyyy677</v>
      </c>
      <c r="B1403" s="171">
        <f t="shared" si="43"/>
        <v>677</v>
      </c>
    </row>
    <row r="1404" spans="1:2" ht="30" customHeight="1" x14ac:dyDescent="0.25">
      <c r="A1404" s="178" t="str">
        <f t="shared" si="42"/>
        <v>00/01/yyyy678</v>
      </c>
      <c r="B1404" s="171">
        <f t="shared" si="43"/>
        <v>678</v>
      </c>
    </row>
    <row r="1405" spans="1:2" ht="30" customHeight="1" x14ac:dyDescent="0.25">
      <c r="A1405" s="178" t="str">
        <f t="shared" si="42"/>
        <v>00/01/yyyy679</v>
      </c>
      <c r="B1405" s="171">
        <f t="shared" si="43"/>
        <v>679</v>
      </c>
    </row>
    <row r="1406" spans="1:2" ht="30" customHeight="1" x14ac:dyDescent="0.25">
      <c r="A1406" s="178" t="str">
        <f t="shared" si="42"/>
        <v>00/01/yyyy680</v>
      </c>
      <c r="B1406" s="171">
        <f t="shared" si="43"/>
        <v>680</v>
      </c>
    </row>
    <row r="1407" spans="1:2" ht="30" customHeight="1" x14ac:dyDescent="0.25">
      <c r="A1407" s="178" t="str">
        <f t="shared" si="42"/>
        <v>00/01/yyyy681</v>
      </c>
      <c r="B1407" s="171">
        <f t="shared" si="43"/>
        <v>681</v>
      </c>
    </row>
    <row r="1408" spans="1:2" ht="30" customHeight="1" x14ac:dyDescent="0.25">
      <c r="A1408" s="178" t="str">
        <f t="shared" si="42"/>
        <v>00/01/yyyy682</v>
      </c>
      <c r="B1408" s="171">
        <f t="shared" si="43"/>
        <v>682</v>
      </c>
    </row>
    <row r="1409" spans="1:2" ht="30" customHeight="1" x14ac:dyDescent="0.25">
      <c r="A1409" s="178" t="str">
        <f t="shared" si="42"/>
        <v>00/01/yyyy683</v>
      </c>
      <c r="B1409" s="171">
        <f t="shared" si="43"/>
        <v>683</v>
      </c>
    </row>
    <row r="1410" spans="1:2" ht="30" customHeight="1" x14ac:dyDescent="0.25">
      <c r="A1410" s="178" t="str">
        <f t="shared" si="42"/>
        <v>00/01/yyyy684</v>
      </c>
      <c r="B1410" s="171">
        <f t="shared" si="43"/>
        <v>684</v>
      </c>
    </row>
    <row r="1411" spans="1:2" ht="30" customHeight="1" x14ac:dyDescent="0.25">
      <c r="A1411" s="178" t="str">
        <f t="shared" ref="A1411:A1474" si="44">CONCATENATE(TEXT($G1411,"dd/mm/yyyy"),$B1411)</f>
        <v>00/01/yyyy685</v>
      </c>
      <c r="B1411" s="171">
        <f t="shared" si="43"/>
        <v>685</v>
      </c>
    </row>
    <row r="1412" spans="1:2" ht="30" customHeight="1" x14ac:dyDescent="0.25">
      <c r="A1412" s="178" t="str">
        <f t="shared" si="44"/>
        <v>00/01/yyyy686</v>
      </c>
      <c r="B1412" s="171">
        <f t="shared" ref="B1412:B1475" si="45">IF($G1412=$G1411,$B1411+1,1)</f>
        <v>686</v>
      </c>
    </row>
    <row r="1413" spans="1:2" ht="30" customHeight="1" x14ac:dyDescent="0.25">
      <c r="A1413" s="178" t="str">
        <f t="shared" si="44"/>
        <v>00/01/yyyy687</v>
      </c>
      <c r="B1413" s="171">
        <f t="shared" si="45"/>
        <v>687</v>
      </c>
    </row>
    <row r="1414" spans="1:2" ht="30" customHeight="1" x14ac:dyDescent="0.25">
      <c r="A1414" s="178" t="str">
        <f t="shared" si="44"/>
        <v>00/01/yyyy688</v>
      </c>
      <c r="B1414" s="171">
        <f t="shared" si="45"/>
        <v>688</v>
      </c>
    </row>
    <row r="1415" spans="1:2" ht="30" customHeight="1" x14ac:dyDescent="0.25">
      <c r="A1415" s="178" t="str">
        <f t="shared" si="44"/>
        <v>00/01/yyyy689</v>
      </c>
      <c r="B1415" s="171">
        <f t="shared" si="45"/>
        <v>689</v>
      </c>
    </row>
    <row r="1416" spans="1:2" ht="30" customHeight="1" x14ac:dyDescent="0.25">
      <c r="A1416" s="178" t="str">
        <f t="shared" si="44"/>
        <v>00/01/yyyy690</v>
      </c>
      <c r="B1416" s="171">
        <f t="shared" si="45"/>
        <v>690</v>
      </c>
    </row>
    <row r="1417" spans="1:2" ht="30" customHeight="1" x14ac:dyDescent="0.25">
      <c r="A1417" s="178" t="str">
        <f t="shared" si="44"/>
        <v>00/01/yyyy691</v>
      </c>
      <c r="B1417" s="171">
        <f t="shared" si="45"/>
        <v>691</v>
      </c>
    </row>
    <row r="1418" spans="1:2" ht="30" customHeight="1" x14ac:dyDescent="0.25">
      <c r="A1418" s="178" t="str">
        <f t="shared" si="44"/>
        <v>00/01/yyyy692</v>
      </c>
      <c r="B1418" s="171">
        <f t="shared" si="45"/>
        <v>692</v>
      </c>
    </row>
    <row r="1419" spans="1:2" ht="30" customHeight="1" x14ac:dyDescent="0.25">
      <c r="A1419" s="178" t="str">
        <f t="shared" si="44"/>
        <v>00/01/yyyy693</v>
      </c>
      <c r="B1419" s="171">
        <f t="shared" si="45"/>
        <v>693</v>
      </c>
    </row>
    <row r="1420" spans="1:2" ht="30" customHeight="1" x14ac:dyDescent="0.25">
      <c r="A1420" s="178" t="str">
        <f t="shared" si="44"/>
        <v>00/01/yyyy694</v>
      </c>
      <c r="B1420" s="171">
        <f t="shared" si="45"/>
        <v>694</v>
      </c>
    </row>
    <row r="1421" spans="1:2" ht="30" customHeight="1" x14ac:dyDescent="0.25">
      <c r="A1421" s="178" t="str">
        <f t="shared" si="44"/>
        <v>00/01/yyyy695</v>
      </c>
      <c r="B1421" s="171">
        <f t="shared" si="45"/>
        <v>695</v>
      </c>
    </row>
    <row r="1422" spans="1:2" ht="30" customHeight="1" x14ac:dyDescent="0.25">
      <c r="A1422" s="178" t="str">
        <f t="shared" si="44"/>
        <v>00/01/yyyy696</v>
      </c>
      <c r="B1422" s="171">
        <f t="shared" si="45"/>
        <v>696</v>
      </c>
    </row>
    <row r="1423" spans="1:2" ht="30" customHeight="1" x14ac:dyDescent="0.25">
      <c r="A1423" s="178" t="str">
        <f t="shared" si="44"/>
        <v>00/01/yyyy697</v>
      </c>
      <c r="B1423" s="171">
        <f t="shared" si="45"/>
        <v>697</v>
      </c>
    </row>
    <row r="1424" spans="1:2" ht="30" customHeight="1" x14ac:dyDescent="0.25">
      <c r="A1424" s="178" t="str">
        <f t="shared" si="44"/>
        <v>00/01/yyyy698</v>
      </c>
      <c r="B1424" s="171">
        <f t="shared" si="45"/>
        <v>698</v>
      </c>
    </row>
    <row r="1425" spans="1:2" ht="30" customHeight="1" x14ac:dyDescent="0.25">
      <c r="A1425" s="178" t="str">
        <f t="shared" si="44"/>
        <v>00/01/yyyy699</v>
      </c>
      <c r="B1425" s="171">
        <f t="shared" si="45"/>
        <v>699</v>
      </c>
    </row>
    <row r="1426" spans="1:2" ht="30" customHeight="1" x14ac:dyDescent="0.25">
      <c r="A1426" s="178" t="str">
        <f t="shared" si="44"/>
        <v>00/01/yyyy700</v>
      </c>
      <c r="B1426" s="171">
        <f t="shared" si="45"/>
        <v>700</v>
      </c>
    </row>
    <row r="1427" spans="1:2" ht="30" customHeight="1" x14ac:dyDescent="0.25">
      <c r="A1427" s="178" t="str">
        <f t="shared" si="44"/>
        <v>00/01/yyyy701</v>
      </c>
      <c r="B1427" s="171">
        <f t="shared" si="45"/>
        <v>701</v>
      </c>
    </row>
    <row r="1428" spans="1:2" ht="30" customHeight="1" x14ac:dyDescent="0.25">
      <c r="A1428" s="178" t="str">
        <f t="shared" si="44"/>
        <v>00/01/yyyy702</v>
      </c>
      <c r="B1428" s="171">
        <f t="shared" si="45"/>
        <v>702</v>
      </c>
    </row>
    <row r="1429" spans="1:2" ht="30" customHeight="1" x14ac:dyDescent="0.25">
      <c r="A1429" s="178" t="str">
        <f t="shared" si="44"/>
        <v>00/01/yyyy703</v>
      </c>
      <c r="B1429" s="171">
        <f t="shared" si="45"/>
        <v>703</v>
      </c>
    </row>
    <row r="1430" spans="1:2" ht="30" customHeight="1" x14ac:dyDescent="0.25">
      <c r="A1430" s="178" t="str">
        <f t="shared" si="44"/>
        <v>00/01/yyyy704</v>
      </c>
      <c r="B1430" s="171">
        <f t="shared" si="45"/>
        <v>704</v>
      </c>
    </row>
    <row r="1431" spans="1:2" ht="30" customHeight="1" x14ac:dyDescent="0.25">
      <c r="A1431" s="178" t="str">
        <f t="shared" si="44"/>
        <v>00/01/yyyy705</v>
      </c>
      <c r="B1431" s="171">
        <f t="shared" si="45"/>
        <v>705</v>
      </c>
    </row>
    <row r="1432" spans="1:2" ht="30" customHeight="1" x14ac:dyDescent="0.25">
      <c r="A1432" s="178" t="str">
        <f t="shared" si="44"/>
        <v>00/01/yyyy706</v>
      </c>
      <c r="B1432" s="171">
        <f t="shared" si="45"/>
        <v>706</v>
      </c>
    </row>
    <row r="1433" spans="1:2" ht="30" customHeight="1" x14ac:dyDescent="0.25">
      <c r="A1433" s="178" t="str">
        <f t="shared" si="44"/>
        <v>00/01/yyyy707</v>
      </c>
      <c r="B1433" s="171">
        <f t="shared" si="45"/>
        <v>707</v>
      </c>
    </row>
    <row r="1434" spans="1:2" ht="30" customHeight="1" x14ac:dyDescent="0.25">
      <c r="A1434" s="178" t="str">
        <f t="shared" si="44"/>
        <v>00/01/yyyy708</v>
      </c>
      <c r="B1434" s="171">
        <f t="shared" si="45"/>
        <v>708</v>
      </c>
    </row>
    <row r="1435" spans="1:2" ht="30" customHeight="1" x14ac:dyDescent="0.25">
      <c r="A1435" s="178" t="str">
        <f t="shared" si="44"/>
        <v>00/01/yyyy709</v>
      </c>
      <c r="B1435" s="171">
        <f t="shared" si="45"/>
        <v>709</v>
      </c>
    </row>
    <row r="1436" spans="1:2" ht="30" customHeight="1" x14ac:dyDescent="0.25">
      <c r="A1436" s="178" t="str">
        <f t="shared" si="44"/>
        <v>00/01/yyyy710</v>
      </c>
      <c r="B1436" s="171">
        <f t="shared" si="45"/>
        <v>710</v>
      </c>
    </row>
    <row r="1437" spans="1:2" ht="30" customHeight="1" x14ac:dyDescent="0.25">
      <c r="A1437" s="178" t="str">
        <f t="shared" si="44"/>
        <v>00/01/yyyy711</v>
      </c>
      <c r="B1437" s="171">
        <f t="shared" si="45"/>
        <v>711</v>
      </c>
    </row>
    <row r="1438" spans="1:2" ht="30" customHeight="1" x14ac:dyDescent="0.25">
      <c r="A1438" s="178" t="str">
        <f t="shared" si="44"/>
        <v>00/01/yyyy712</v>
      </c>
      <c r="B1438" s="171">
        <f t="shared" si="45"/>
        <v>712</v>
      </c>
    </row>
    <row r="1439" spans="1:2" ht="30" customHeight="1" x14ac:dyDescent="0.25">
      <c r="A1439" s="178" t="str">
        <f t="shared" si="44"/>
        <v>00/01/yyyy713</v>
      </c>
      <c r="B1439" s="171">
        <f t="shared" si="45"/>
        <v>713</v>
      </c>
    </row>
    <row r="1440" spans="1:2" ht="30" customHeight="1" x14ac:dyDescent="0.25">
      <c r="A1440" s="178" t="str">
        <f t="shared" si="44"/>
        <v>00/01/yyyy714</v>
      </c>
      <c r="B1440" s="171">
        <f t="shared" si="45"/>
        <v>714</v>
      </c>
    </row>
    <row r="1441" spans="1:2" ht="30" customHeight="1" x14ac:dyDescent="0.25">
      <c r="A1441" s="178" t="str">
        <f t="shared" si="44"/>
        <v>00/01/yyyy715</v>
      </c>
      <c r="B1441" s="171">
        <f t="shared" si="45"/>
        <v>715</v>
      </c>
    </row>
    <row r="1442" spans="1:2" ht="30" customHeight="1" x14ac:dyDescent="0.25">
      <c r="A1442" s="178" t="str">
        <f t="shared" si="44"/>
        <v>00/01/yyyy716</v>
      </c>
      <c r="B1442" s="171">
        <f t="shared" si="45"/>
        <v>716</v>
      </c>
    </row>
    <row r="1443" spans="1:2" ht="30" customHeight="1" x14ac:dyDescent="0.25">
      <c r="A1443" s="178" t="str">
        <f t="shared" si="44"/>
        <v>00/01/yyyy717</v>
      </c>
      <c r="B1443" s="171">
        <f t="shared" si="45"/>
        <v>717</v>
      </c>
    </row>
    <row r="1444" spans="1:2" ht="30" customHeight="1" x14ac:dyDescent="0.25">
      <c r="A1444" s="178" t="str">
        <f t="shared" si="44"/>
        <v>00/01/yyyy718</v>
      </c>
      <c r="B1444" s="171">
        <f t="shared" si="45"/>
        <v>718</v>
      </c>
    </row>
    <row r="1445" spans="1:2" ht="30" customHeight="1" x14ac:dyDescent="0.25">
      <c r="A1445" s="178" t="str">
        <f t="shared" si="44"/>
        <v>00/01/yyyy719</v>
      </c>
      <c r="B1445" s="171">
        <f t="shared" si="45"/>
        <v>719</v>
      </c>
    </row>
    <row r="1446" spans="1:2" ht="30" customHeight="1" x14ac:dyDescent="0.25">
      <c r="A1446" s="178" t="str">
        <f t="shared" si="44"/>
        <v>00/01/yyyy720</v>
      </c>
      <c r="B1446" s="171">
        <f t="shared" si="45"/>
        <v>720</v>
      </c>
    </row>
    <row r="1447" spans="1:2" ht="30" customHeight="1" x14ac:dyDescent="0.25">
      <c r="A1447" s="178" t="str">
        <f t="shared" si="44"/>
        <v>00/01/yyyy721</v>
      </c>
      <c r="B1447" s="171">
        <f t="shared" si="45"/>
        <v>721</v>
      </c>
    </row>
    <row r="1448" spans="1:2" ht="30" customHeight="1" x14ac:dyDescent="0.25">
      <c r="A1448" s="178" t="str">
        <f t="shared" si="44"/>
        <v>00/01/yyyy722</v>
      </c>
      <c r="B1448" s="171">
        <f t="shared" si="45"/>
        <v>722</v>
      </c>
    </row>
    <row r="1449" spans="1:2" ht="30" customHeight="1" x14ac:dyDescent="0.25">
      <c r="A1449" s="178" t="str">
        <f t="shared" si="44"/>
        <v>00/01/yyyy723</v>
      </c>
      <c r="B1449" s="171">
        <f t="shared" si="45"/>
        <v>723</v>
      </c>
    </row>
    <row r="1450" spans="1:2" ht="30" customHeight="1" x14ac:dyDescent="0.25">
      <c r="A1450" s="178" t="str">
        <f t="shared" si="44"/>
        <v>00/01/yyyy724</v>
      </c>
      <c r="B1450" s="171">
        <f t="shared" si="45"/>
        <v>724</v>
      </c>
    </row>
    <row r="1451" spans="1:2" ht="30" customHeight="1" x14ac:dyDescent="0.25">
      <c r="A1451" s="178" t="str">
        <f t="shared" si="44"/>
        <v>00/01/yyyy725</v>
      </c>
      <c r="B1451" s="171">
        <f t="shared" si="45"/>
        <v>725</v>
      </c>
    </row>
    <row r="1452" spans="1:2" ht="30" customHeight="1" x14ac:dyDescent="0.25">
      <c r="A1452" s="178" t="str">
        <f t="shared" si="44"/>
        <v>00/01/yyyy726</v>
      </c>
      <c r="B1452" s="171">
        <f t="shared" si="45"/>
        <v>726</v>
      </c>
    </row>
    <row r="1453" spans="1:2" ht="30" customHeight="1" x14ac:dyDescent="0.25">
      <c r="A1453" s="178" t="str">
        <f t="shared" si="44"/>
        <v>00/01/yyyy727</v>
      </c>
      <c r="B1453" s="171">
        <f t="shared" si="45"/>
        <v>727</v>
      </c>
    </row>
    <row r="1454" spans="1:2" ht="30" customHeight="1" x14ac:dyDescent="0.25">
      <c r="A1454" s="178" t="str">
        <f t="shared" si="44"/>
        <v>00/01/yyyy728</v>
      </c>
      <c r="B1454" s="171">
        <f t="shared" si="45"/>
        <v>728</v>
      </c>
    </row>
    <row r="1455" spans="1:2" ht="30" customHeight="1" x14ac:dyDescent="0.25">
      <c r="A1455" s="178" t="str">
        <f t="shared" si="44"/>
        <v>00/01/yyyy729</v>
      </c>
      <c r="B1455" s="171">
        <f t="shared" si="45"/>
        <v>729</v>
      </c>
    </row>
    <row r="1456" spans="1:2" ht="30" customHeight="1" x14ac:dyDescent="0.25">
      <c r="A1456" s="178" t="str">
        <f t="shared" si="44"/>
        <v>00/01/yyyy730</v>
      </c>
      <c r="B1456" s="171">
        <f t="shared" si="45"/>
        <v>730</v>
      </c>
    </row>
    <row r="1457" spans="1:2" ht="30" customHeight="1" x14ac:dyDescent="0.25">
      <c r="A1457" s="178" t="str">
        <f t="shared" si="44"/>
        <v>00/01/yyyy731</v>
      </c>
      <c r="B1457" s="171">
        <f t="shared" si="45"/>
        <v>731</v>
      </c>
    </row>
    <row r="1458" spans="1:2" ht="30" customHeight="1" x14ac:dyDescent="0.25">
      <c r="A1458" s="178" t="str">
        <f t="shared" si="44"/>
        <v>00/01/yyyy732</v>
      </c>
      <c r="B1458" s="171">
        <f t="shared" si="45"/>
        <v>732</v>
      </c>
    </row>
    <row r="1459" spans="1:2" ht="30" customHeight="1" x14ac:dyDescent="0.25">
      <c r="A1459" s="178" t="str">
        <f t="shared" si="44"/>
        <v>00/01/yyyy733</v>
      </c>
      <c r="B1459" s="171">
        <f t="shared" si="45"/>
        <v>733</v>
      </c>
    </row>
    <row r="1460" spans="1:2" ht="30" customHeight="1" x14ac:dyDescent="0.25">
      <c r="A1460" s="178" t="str">
        <f t="shared" si="44"/>
        <v>00/01/yyyy734</v>
      </c>
      <c r="B1460" s="171">
        <f t="shared" si="45"/>
        <v>734</v>
      </c>
    </row>
    <row r="1461" spans="1:2" ht="30" customHeight="1" x14ac:dyDescent="0.25">
      <c r="A1461" s="178" t="str">
        <f t="shared" si="44"/>
        <v>00/01/yyyy735</v>
      </c>
      <c r="B1461" s="171">
        <f t="shared" si="45"/>
        <v>735</v>
      </c>
    </row>
    <row r="1462" spans="1:2" ht="30" customHeight="1" x14ac:dyDescent="0.25">
      <c r="A1462" s="178" t="str">
        <f t="shared" si="44"/>
        <v>00/01/yyyy736</v>
      </c>
      <c r="B1462" s="171">
        <f t="shared" si="45"/>
        <v>736</v>
      </c>
    </row>
    <row r="1463" spans="1:2" ht="30" customHeight="1" x14ac:dyDescent="0.25">
      <c r="A1463" s="178" t="str">
        <f t="shared" si="44"/>
        <v>00/01/yyyy737</v>
      </c>
      <c r="B1463" s="171">
        <f t="shared" si="45"/>
        <v>737</v>
      </c>
    </row>
    <row r="1464" spans="1:2" ht="30" customHeight="1" x14ac:dyDescent="0.25">
      <c r="A1464" s="178" t="str">
        <f t="shared" si="44"/>
        <v>00/01/yyyy738</v>
      </c>
      <c r="B1464" s="171">
        <f t="shared" si="45"/>
        <v>738</v>
      </c>
    </row>
    <row r="1465" spans="1:2" ht="30" customHeight="1" x14ac:dyDescent="0.25">
      <c r="A1465" s="178" t="str">
        <f t="shared" si="44"/>
        <v>00/01/yyyy739</v>
      </c>
      <c r="B1465" s="171">
        <f t="shared" si="45"/>
        <v>739</v>
      </c>
    </row>
    <row r="1466" spans="1:2" ht="30" customHeight="1" x14ac:dyDescent="0.25">
      <c r="A1466" s="178" t="str">
        <f t="shared" si="44"/>
        <v>00/01/yyyy740</v>
      </c>
      <c r="B1466" s="171">
        <f t="shared" si="45"/>
        <v>740</v>
      </c>
    </row>
    <row r="1467" spans="1:2" ht="30" customHeight="1" x14ac:dyDescent="0.25">
      <c r="A1467" s="178" t="str">
        <f t="shared" si="44"/>
        <v>00/01/yyyy741</v>
      </c>
      <c r="B1467" s="171">
        <f t="shared" si="45"/>
        <v>741</v>
      </c>
    </row>
    <row r="1468" spans="1:2" ht="30" customHeight="1" x14ac:dyDescent="0.25">
      <c r="A1468" s="178" t="str">
        <f t="shared" si="44"/>
        <v>00/01/yyyy742</v>
      </c>
      <c r="B1468" s="171">
        <f t="shared" si="45"/>
        <v>742</v>
      </c>
    </row>
    <row r="1469" spans="1:2" ht="30" customHeight="1" x14ac:dyDescent="0.25">
      <c r="A1469" s="178" t="str">
        <f t="shared" si="44"/>
        <v>00/01/yyyy743</v>
      </c>
      <c r="B1469" s="171">
        <f t="shared" si="45"/>
        <v>743</v>
      </c>
    </row>
    <row r="1470" spans="1:2" ht="30" customHeight="1" x14ac:dyDescent="0.25">
      <c r="A1470" s="178" t="str">
        <f t="shared" si="44"/>
        <v>00/01/yyyy744</v>
      </c>
      <c r="B1470" s="171">
        <f t="shared" si="45"/>
        <v>744</v>
      </c>
    </row>
    <row r="1471" spans="1:2" ht="30" customHeight="1" x14ac:dyDescent="0.25">
      <c r="A1471" s="178" t="str">
        <f t="shared" si="44"/>
        <v>00/01/yyyy745</v>
      </c>
      <c r="B1471" s="171">
        <f t="shared" si="45"/>
        <v>745</v>
      </c>
    </row>
    <row r="1472" spans="1:2" ht="30" customHeight="1" x14ac:dyDescent="0.25">
      <c r="A1472" s="178" t="str">
        <f t="shared" si="44"/>
        <v>00/01/yyyy746</v>
      </c>
      <c r="B1472" s="171">
        <f t="shared" si="45"/>
        <v>746</v>
      </c>
    </row>
    <row r="1473" spans="1:2" ht="30" customHeight="1" x14ac:dyDescent="0.25">
      <c r="A1473" s="178" t="str">
        <f t="shared" si="44"/>
        <v>00/01/yyyy747</v>
      </c>
      <c r="B1473" s="171">
        <f t="shared" si="45"/>
        <v>747</v>
      </c>
    </row>
    <row r="1474" spans="1:2" ht="30" customHeight="1" x14ac:dyDescent="0.25">
      <c r="A1474" s="178" t="str">
        <f t="shared" si="44"/>
        <v>00/01/yyyy748</v>
      </c>
      <c r="B1474" s="171">
        <f t="shared" si="45"/>
        <v>748</v>
      </c>
    </row>
    <row r="1475" spans="1:2" ht="30" customHeight="1" x14ac:dyDescent="0.25">
      <c r="A1475" s="178" t="str">
        <f t="shared" ref="A1475:A1500" si="46">CONCATENATE(TEXT($G1475,"dd/mm/yyyy"),$B1475)</f>
        <v>00/01/yyyy749</v>
      </c>
      <c r="B1475" s="171">
        <f t="shared" si="45"/>
        <v>749</v>
      </c>
    </row>
    <row r="1476" spans="1:2" ht="30" customHeight="1" x14ac:dyDescent="0.25">
      <c r="A1476" s="178" t="str">
        <f t="shared" si="46"/>
        <v>00/01/yyyy750</v>
      </c>
      <c r="B1476" s="171">
        <f t="shared" ref="B1476:B1500" si="47">IF($G1476=$G1475,$B1475+1,1)</f>
        <v>750</v>
      </c>
    </row>
    <row r="1477" spans="1:2" ht="30" customHeight="1" x14ac:dyDescent="0.25">
      <c r="A1477" s="178" t="str">
        <f t="shared" si="46"/>
        <v>00/01/yyyy751</v>
      </c>
      <c r="B1477" s="171">
        <f t="shared" si="47"/>
        <v>751</v>
      </c>
    </row>
    <row r="1478" spans="1:2" ht="30" customHeight="1" x14ac:dyDescent="0.25">
      <c r="A1478" s="178" t="str">
        <f t="shared" si="46"/>
        <v>00/01/yyyy752</v>
      </c>
      <c r="B1478" s="171">
        <f t="shared" si="47"/>
        <v>752</v>
      </c>
    </row>
    <row r="1479" spans="1:2" ht="30" customHeight="1" x14ac:dyDescent="0.25">
      <c r="A1479" s="178" t="str">
        <f t="shared" si="46"/>
        <v>00/01/yyyy753</v>
      </c>
      <c r="B1479" s="171">
        <f t="shared" si="47"/>
        <v>753</v>
      </c>
    </row>
    <row r="1480" spans="1:2" ht="30" customHeight="1" x14ac:dyDescent="0.25">
      <c r="A1480" s="178" t="str">
        <f t="shared" si="46"/>
        <v>00/01/yyyy754</v>
      </c>
      <c r="B1480" s="171">
        <f t="shared" si="47"/>
        <v>754</v>
      </c>
    </row>
    <row r="1481" spans="1:2" ht="30" customHeight="1" x14ac:dyDescent="0.25">
      <c r="A1481" s="178" t="str">
        <f t="shared" si="46"/>
        <v>00/01/yyyy755</v>
      </c>
      <c r="B1481" s="171">
        <f t="shared" si="47"/>
        <v>755</v>
      </c>
    </row>
    <row r="1482" spans="1:2" ht="30" customHeight="1" x14ac:dyDescent="0.25">
      <c r="A1482" s="178" t="str">
        <f t="shared" si="46"/>
        <v>00/01/yyyy756</v>
      </c>
      <c r="B1482" s="171">
        <f t="shared" si="47"/>
        <v>756</v>
      </c>
    </row>
    <row r="1483" spans="1:2" ht="30" customHeight="1" x14ac:dyDescent="0.25">
      <c r="A1483" s="178" t="str">
        <f t="shared" si="46"/>
        <v>00/01/yyyy757</v>
      </c>
      <c r="B1483" s="171">
        <f t="shared" si="47"/>
        <v>757</v>
      </c>
    </row>
    <row r="1484" spans="1:2" ht="30" customHeight="1" x14ac:dyDescent="0.25">
      <c r="A1484" s="178" t="str">
        <f t="shared" si="46"/>
        <v>00/01/yyyy758</v>
      </c>
      <c r="B1484" s="171">
        <f t="shared" si="47"/>
        <v>758</v>
      </c>
    </row>
    <row r="1485" spans="1:2" ht="30" customHeight="1" x14ac:dyDescent="0.25">
      <c r="A1485" s="178" t="str">
        <f t="shared" si="46"/>
        <v>00/01/yyyy759</v>
      </c>
      <c r="B1485" s="171">
        <f t="shared" si="47"/>
        <v>759</v>
      </c>
    </row>
    <row r="1486" spans="1:2" ht="30" customHeight="1" x14ac:dyDescent="0.25">
      <c r="A1486" s="178" t="str">
        <f t="shared" si="46"/>
        <v>00/01/yyyy760</v>
      </c>
      <c r="B1486" s="171">
        <f t="shared" si="47"/>
        <v>760</v>
      </c>
    </row>
    <row r="1487" spans="1:2" ht="30" customHeight="1" x14ac:dyDescent="0.25">
      <c r="A1487" s="178" t="str">
        <f t="shared" si="46"/>
        <v>00/01/yyyy761</v>
      </c>
      <c r="B1487" s="171">
        <f t="shared" si="47"/>
        <v>761</v>
      </c>
    </row>
    <row r="1488" spans="1:2" ht="30" customHeight="1" x14ac:dyDescent="0.25">
      <c r="A1488" s="178" t="str">
        <f t="shared" si="46"/>
        <v>00/01/yyyy762</v>
      </c>
      <c r="B1488" s="171">
        <f t="shared" si="47"/>
        <v>762</v>
      </c>
    </row>
    <row r="1489" spans="1:2" ht="30" customHeight="1" x14ac:dyDescent="0.25">
      <c r="A1489" s="178" t="str">
        <f t="shared" si="46"/>
        <v>00/01/yyyy763</v>
      </c>
      <c r="B1489" s="171">
        <f t="shared" si="47"/>
        <v>763</v>
      </c>
    </row>
    <row r="1490" spans="1:2" ht="30" customHeight="1" x14ac:dyDescent="0.25">
      <c r="A1490" s="178" t="str">
        <f t="shared" si="46"/>
        <v>00/01/yyyy764</v>
      </c>
      <c r="B1490" s="171">
        <f t="shared" si="47"/>
        <v>764</v>
      </c>
    </row>
    <row r="1491" spans="1:2" ht="30" customHeight="1" x14ac:dyDescent="0.25">
      <c r="A1491" s="178" t="str">
        <f t="shared" si="46"/>
        <v>00/01/yyyy765</v>
      </c>
      <c r="B1491" s="171">
        <f t="shared" si="47"/>
        <v>765</v>
      </c>
    </row>
    <row r="1492" spans="1:2" ht="30" customHeight="1" x14ac:dyDescent="0.25">
      <c r="A1492" s="178" t="str">
        <f t="shared" si="46"/>
        <v>00/01/yyyy766</v>
      </c>
      <c r="B1492" s="171">
        <f t="shared" si="47"/>
        <v>766</v>
      </c>
    </row>
    <row r="1493" spans="1:2" ht="30" customHeight="1" x14ac:dyDescent="0.25">
      <c r="A1493" s="178" t="str">
        <f t="shared" si="46"/>
        <v>00/01/yyyy767</v>
      </c>
      <c r="B1493" s="171">
        <f t="shared" si="47"/>
        <v>767</v>
      </c>
    </row>
    <row r="1494" spans="1:2" ht="30" customHeight="1" x14ac:dyDescent="0.25">
      <c r="A1494" s="178" t="str">
        <f t="shared" si="46"/>
        <v>00/01/yyyy768</v>
      </c>
      <c r="B1494" s="171">
        <f t="shared" si="47"/>
        <v>768</v>
      </c>
    </row>
    <row r="1495" spans="1:2" ht="30" customHeight="1" x14ac:dyDescent="0.25">
      <c r="A1495" s="178" t="str">
        <f t="shared" si="46"/>
        <v>00/01/yyyy769</v>
      </c>
      <c r="B1495" s="171">
        <f t="shared" si="47"/>
        <v>769</v>
      </c>
    </row>
    <row r="1496" spans="1:2" ht="30" customHeight="1" x14ac:dyDescent="0.25">
      <c r="A1496" s="178" t="str">
        <f t="shared" si="46"/>
        <v>00/01/yyyy770</v>
      </c>
      <c r="B1496" s="171">
        <f t="shared" si="47"/>
        <v>770</v>
      </c>
    </row>
    <row r="1497" spans="1:2" ht="30" customHeight="1" x14ac:dyDescent="0.25">
      <c r="A1497" s="178" t="str">
        <f t="shared" si="46"/>
        <v>00/01/yyyy771</v>
      </c>
      <c r="B1497" s="171">
        <f t="shared" si="47"/>
        <v>771</v>
      </c>
    </row>
    <row r="1498" spans="1:2" ht="30" customHeight="1" x14ac:dyDescent="0.25">
      <c r="A1498" s="178" t="str">
        <f t="shared" si="46"/>
        <v>00/01/yyyy772</v>
      </c>
      <c r="B1498" s="171">
        <f t="shared" si="47"/>
        <v>772</v>
      </c>
    </row>
    <row r="1499" spans="1:2" ht="30" customHeight="1" x14ac:dyDescent="0.25">
      <c r="A1499" s="178" t="str">
        <f t="shared" si="46"/>
        <v>00/01/yyyy773</v>
      </c>
      <c r="B1499" s="171">
        <f t="shared" si="47"/>
        <v>773</v>
      </c>
    </row>
    <row r="1500" spans="1:2" ht="30" customHeight="1" x14ac:dyDescent="0.25">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2023-11-24T19:41:47Z</cp:lastPrinted>
  <dcterms:created xsi:type="dcterms:W3CDTF">2023-02-23T14:47:20Z</dcterms:created>
  <dcterms:modified xsi:type="dcterms:W3CDTF">2023-11-25T19:25:41Z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