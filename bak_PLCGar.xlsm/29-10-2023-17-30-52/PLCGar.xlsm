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2.xml" ContentType="application/vnd.openxmlformats-officedocument.drawing+xml"/>
  <Override PartName="/xl/ctrlProps/ctrlProp31.xml" ContentType="application/vnd.ms-excel.controlproperties+xml"/>
  <Override PartName="/xl/drawings/drawing3.xml" ContentType="application/vnd.openxmlformats-officedocument.drawing+xml"/>
  <Override PartName="/xl/ctrlProps/ctrlProp32.xml" ContentType="application/vnd.ms-excel.controlproperties+xml"/>
  <Override PartName="/xl/drawings/drawing4.xml" ContentType="application/vnd.openxmlformats-officedocument.drawing+xml"/>
  <Override PartName="/xl/ctrlProps/ctrlProp3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7.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D:\Trabajo\Planilla\planilla_excel\"/>
    </mc:Choice>
  </mc:AlternateContent>
  <bookViews>
    <workbookView xWindow="-15" yWindow="-15" windowWidth="15405" windowHeight="6465"/>
  </bookViews>
  <sheets>
    <sheet name="EXPEDIENTES" sheetId="1" r:id="rId1"/>
    <sheet name="AGENDA" sheetId="2" r:id="rId2"/>
    <sheet name="Licencias" sheetId="3" r:id="rId3"/>
    <sheet name="Informe de Gestión mensual" sheetId="25" r:id="rId4"/>
    <sheet name="Informe semana" sheetId="7" r:id="rId5"/>
    <sheet name="Informe Disponibilidad" sheetId="4" r:id="rId6"/>
    <sheet name="Exp por Jueces" sheetId="6" r:id="rId7"/>
    <sheet name="Graficos Estadisticos" sheetId="24" r:id="rId8"/>
    <sheet name="Feriados" sheetId="5"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builtInGroupCount="18"/>
  <externalReferences>
    <externalReference r:id="rId25"/>
    <externalReference r:id="rId26"/>
  </externalReferences>
  <definedNames>
    <definedName name="_xlnm._FilterDatabase" localSheetId="0" hidden="1">EXPEDIENTES!$A$2:$AC$904</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3">[1]Internos!$A$1:$A$11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27"/>
    <pivotCache cacheId="1" r:id="rId28"/>
    <pivotCache cacheId="2" r:id="rId29"/>
    <pivotCache cacheId="3" r:id="rId30"/>
    <pivotCache cacheId="4" r:id="rId31"/>
    <pivotCache cacheId="5" r:id="rId3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25" l="1"/>
  <c r="R904" i="1" l="1"/>
  <c r="T904" i="1"/>
  <c r="P904" i="1"/>
  <c r="O904" i="1"/>
  <c r="K904" i="1"/>
  <c r="R903" i="1"/>
  <c r="T903" i="1"/>
  <c r="P903" i="1"/>
  <c r="O903" i="1"/>
  <c r="K903" i="1"/>
  <c r="R902" i="1"/>
  <c r="T902" i="1"/>
  <c r="P902" i="1"/>
  <c r="O902" i="1"/>
  <c r="K902" i="1"/>
  <c r="R826" i="1"/>
  <c r="T826" i="1"/>
  <c r="P826" i="1"/>
  <c r="O826" i="1"/>
  <c r="K826" i="1"/>
  <c r="R901" i="1"/>
  <c r="T901" i="1"/>
  <c r="P901" i="1"/>
  <c r="O901" i="1"/>
  <c r="K901" i="1"/>
  <c r="K850" i="1"/>
  <c r="R850" i="1"/>
  <c r="T850" i="1"/>
  <c r="P850" i="1"/>
  <c r="O850" i="1"/>
  <c r="R900" i="1"/>
  <c r="T900" i="1"/>
  <c r="P900" i="1"/>
  <c r="O900" i="1"/>
  <c r="K900" i="1"/>
  <c r="R899" i="1"/>
  <c r="T899" i="1"/>
  <c r="P899" i="1"/>
  <c r="O899" i="1"/>
  <c r="K899" i="1"/>
  <c r="R898" i="1"/>
  <c r="T898" i="1"/>
  <c r="P898" i="1"/>
  <c r="O898" i="1"/>
  <c r="K898" i="1"/>
  <c r="R897" i="1"/>
  <c r="T897" i="1"/>
  <c r="P897" i="1"/>
  <c r="O897" i="1"/>
  <c r="K897" i="1"/>
  <c r="R896" i="1"/>
  <c r="T896" i="1"/>
  <c r="P896" i="1"/>
  <c r="O896" i="1"/>
  <c r="K896" i="1"/>
  <c r="R895" i="1"/>
  <c r="T895" i="1"/>
  <c r="P895" i="1"/>
  <c r="O895" i="1"/>
  <c r="K895" i="1"/>
  <c r="R894" i="1"/>
  <c r="T894" i="1"/>
  <c r="P894" i="1"/>
  <c r="O894" i="1"/>
  <c r="K894" i="1"/>
  <c r="R893" i="1"/>
  <c r="T893" i="1"/>
  <c r="P893" i="1"/>
  <c r="O893" i="1"/>
  <c r="K893" i="1"/>
  <c r="R892" i="1" l="1"/>
  <c r="T892" i="1"/>
  <c r="P892" i="1"/>
  <c r="O892" i="1"/>
  <c r="K892" i="1"/>
  <c r="R891" i="1"/>
  <c r="T891" i="1"/>
  <c r="P891" i="1"/>
  <c r="O891" i="1"/>
  <c r="K891" i="1"/>
  <c r="R890" i="1"/>
  <c r="T890" i="1"/>
  <c r="P890" i="1"/>
  <c r="O890" i="1"/>
  <c r="K890" i="1"/>
  <c r="R889" i="1"/>
  <c r="T889" i="1"/>
  <c r="P889" i="1"/>
  <c r="O889" i="1"/>
  <c r="K889" i="1"/>
  <c r="R888" i="1"/>
  <c r="T888" i="1"/>
  <c r="P888" i="1"/>
  <c r="O888" i="1"/>
  <c r="K888" i="1"/>
  <c r="R887" i="1"/>
  <c r="T887" i="1"/>
  <c r="P887" i="1"/>
  <c r="O887" i="1"/>
  <c r="K887" i="1"/>
  <c r="K867" i="1"/>
  <c r="R867" i="1"/>
  <c r="T867" i="1"/>
  <c r="P867" i="1"/>
  <c r="O867" i="1"/>
  <c r="H15" i="25" s="1"/>
  <c r="R886" i="1"/>
  <c r="T886" i="1"/>
  <c r="P886" i="1"/>
  <c r="O886" i="1"/>
  <c r="K886" i="1"/>
  <c r="R885" i="1"/>
  <c r="T885" i="1"/>
  <c r="P885" i="1"/>
  <c r="O885" i="1"/>
  <c r="K885" i="1"/>
  <c r="R884" i="1"/>
  <c r="T884" i="1"/>
  <c r="P884" i="1"/>
  <c r="O884" i="1"/>
  <c r="K884" i="1"/>
  <c r="R883" i="1"/>
  <c r="T883" i="1"/>
  <c r="P883" i="1"/>
  <c r="O883" i="1"/>
  <c r="K883" i="1"/>
  <c r="R847" i="1"/>
  <c r="T847" i="1"/>
  <c r="P847" i="1"/>
  <c r="O847" i="1"/>
  <c r="K847" i="1"/>
  <c r="R882" i="1"/>
  <c r="T882" i="1"/>
  <c r="P882" i="1"/>
  <c r="O882" i="1"/>
  <c r="K882" i="1"/>
  <c r="R849" i="1"/>
  <c r="T849" i="1"/>
  <c r="P849" i="1"/>
  <c r="O849" i="1"/>
  <c r="R864" i="1"/>
  <c r="T864" i="1"/>
  <c r="P864" i="1"/>
  <c r="O864" i="1"/>
  <c r="K864" i="1"/>
  <c r="R853" i="1"/>
  <c r="T853" i="1"/>
  <c r="P853" i="1"/>
  <c r="O853" i="1"/>
  <c r="R881" i="1"/>
  <c r="T881" i="1"/>
  <c r="P881" i="1"/>
  <c r="O881" i="1"/>
  <c r="K881" i="1"/>
  <c r="R856" i="1" l="1"/>
  <c r="T856" i="1"/>
  <c r="P856" i="1"/>
  <c r="O856" i="1"/>
  <c r="K856" i="1"/>
  <c r="R879" i="1"/>
  <c r="T879" i="1"/>
  <c r="P879" i="1"/>
  <c r="O879" i="1"/>
  <c r="K879" i="1"/>
  <c r="R878" i="1"/>
  <c r="T878" i="1"/>
  <c r="P878" i="1"/>
  <c r="O878" i="1"/>
  <c r="K878" i="1"/>
  <c r="R880" i="1"/>
  <c r="T880" i="1"/>
  <c r="P880" i="1"/>
  <c r="O880" i="1"/>
  <c r="K880" i="1"/>
  <c r="R813" i="1"/>
  <c r="T813" i="1"/>
  <c r="P813" i="1"/>
  <c r="O813" i="1"/>
  <c r="R859" i="1"/>
  <c r="T859" i="1"/>
  <c r="P859" i="1"/>
  <c r="O859" i="1"/>
  <c r="R846" i="1"/>
  <c r="T846" i="1"/>
  <c r="P846" i="1"/>
  <c r="O846" i="1"/>
  <c r="K846" i="1"/>
  <c r="R877" i="1" l="1"/>
  <c r="T877" i="1"/>
  <c r="P877" i="1"/>
  <c r="O877" i="1"/>
  <c r="K877" i="1"/>
  <c r="R876" i="1"/>
  <c r="T876" i="1"/>
  <c r="P876" i="1"/>
  <c r="O876" i="1"/>
  <c r="K876" i="1"/>
  <c r="H25" i="17"/>
  <c r="T794" i="1"/>
  <c r="P794" i="1"/>
  <c r="O794" i="1"/>
  <c r="K794" i="1"/>
  <c r="R858" i="1"/>
  <c r="T858" i="1"/>
  <c r="P858" i="1"/>
  <c r="O858" i="1"/>
  <c r="K858" i="1"/>
  <c r="R829" i="1"/>
  <c r="T829" i="1"/>
  <c r="P829" i="1"/>
  <c r="O829" i="1"/>
  <c r="R852" i="1"/>
  <c r="T852" i="1"/>
  <c r="P852" i="1"/>
  <c r="O852" i="1"/>
  <c r="K852" i="1"/>
  <c r="R822" i="1"/>
  <c r="T822" i="1"/>
  <c r="P822" i="1"/>
  <c r="O822" i="1"/>
  <c r="K822" i="1"/>
  <c r="R832" i="1"/>
  <c r="T832" i="1"/>
  <c r="P832" i="1"/>
  <c r="O832" i="1"/>
  <c r="K832" i="1"/>
  <c r="R819" i="1"/>
  <c r="T819" i="1"/>
  <c r="P819" i="1"/>
  <c r="O819" i="1"/>
  <c r="K819" i="1"/>
  <c r="R831" i="1"/>
  <c r="T831" i="1"/>
  <c r="P831" i="1"/>
  <c r="O831" i="1"/>
  <c r="K831" i="1"/>
  <c r="R845" i="1"/>
  <c r="T845" i="1"/>
  <c r="P845" i="1"/>
  <c r="O845" i="1"/>
  <c r="K845" i="1"/>
  <c r="R862" i="1"/>
  <c r="T862" i="1"/>
  <c r="P862" i="1"/>
  <c r="O862" i="1"/>
  <c r="K862" i="1"/>
  <c r="R838" i="1"/>
  <c r="T838" i="1"/>
  <c r="P838" i="1"/>
  <c r="O838" i="1"/>
  <c r="K838" i="1"/>
  <c r="R828" i="1"/>
  <c r="T828" i="1"/>
  <c r="P828" i="1"/>
  <c r="O828" i="1"/>
  <c r="K828" i="1"/>
  <c r="R857" i="1"/>
  <c r="T857" i="1"/>
  <c r="P857" i="1"/>
  <c r="O857" i="1"/>
  <c r="K857" i="1"/>
  <c r="R837" i="1"/>
  <c r="T837" i="1"/>
  <c r="P837" i="1"/>
  <c r="O837" i="1"/>
  <c r="R799" i="1"/>
  <c r="T799" i="1"/>
  <c r="P799" i="1"/>
  <c r="O799" i="1"/>
  <c r="K799" i="1"/>
  <c r="R830" i="1"/>
  <c r="T830" i="1"/>
  <c r="P830" i="1"/>
  <c r="O830" i="1"/>
  <c r="K830" i="1"/>
  <c r="R855" i="1"/>
  <c r="T855" i="1"/>
  <c r="P855" i="1"/>
  <c r="O855" i="1"/>
  <c r="K855" i="1"/>
  <c r="R854" i="1"/>
  <c r="T854" i="1"/>
  <c r="P854" i="1"/>
  <c r="O854" i="1"/>
  <c r="R861" i="1"/>
  <c r="T861" i="1"/>
  <c r="P861" i="1"/>
  <c r="O861" i="1"/>
  <c r="K861" i="1"/>
  <c r="R866" i="1"/>
  <c r="T866" i="1"/>
  <c r="P866" i="1"/>
  <c r="O866" i="1"/>
  <c r="R762" i="1"/>
  <c r="T762" i="1"/>
  <c r="P762" i="1"/>
  <c r="O762" i="1"/>
  <c r="R815" i="1"/>
  <c r="T815" i="1"/>
  <c r="P815" i="1"/>
  <c r="O815" i="1"/>
  <c r="K815" i="1"/>
  <c r="R839" i="1"/>
  <c r="T839" i="1"/>
  <c r="P839" i="1"/>
  <c r="O839" i="1"/>
  <c r="K839" i="1"/>
  <c r="R860" i="1"/>
  <c r="T860" i="1"/>
  <c r="P860" i="1"/>
  <c r="O860" i="1"/>
  <c r="K860" i="1"/>
  <c r="R848" i="1"/>
  <c r="T848" i="1"/>
  <c r="P848" i="1"/>
  <c r="O848" i="1"/>
  <c r="K848" i="1"/>
  <c r="R833" i="1"/>
  <c r="T833" i="1"/>
  <c r="P833" i="1"/>
  <c r="O833" i="1"/>
  <c r="R823" i="1"/>
  <c r="T823" i="1"/>
  <c r="P823" i="1"/>
  <c r="O823" i="1"/>
  <c r="R841" i="1"/>
  <c r="T841" i="1"/>
  <c r="P841" i="1"/>
  <c r="O841" i="1"/>
  <c r="K841" i="1"/>
  <c r="H24" i="17"/>
  <c r="R842" i="1"/>
  <c r="T842" i="1"/>
  <c r="P842" i="1"/>
  <c r="O842" i="1"/>
  <c r="R814" i="1"/>
  <c r="T814" i="1"/>
  <c r="P814" i="1"/>
  <c r="O814" i="1"/>
  <c r="R824" i="1"/>
  <c r="T824" i="1"/>
  <c r="P824" i="1"/>
  <c r="O824" i="1"/>
  <c r="R825" i="1"/>
  <c r="T825" i="1"/>
  <c r="P825" i="1"/>
  <c r="O825" i="1"/>
  <c r="R834" i="1"/>
  <c r="T834" i="1"/>
  <c r="P834" i="1"/>
  <c r="O834" i="1"/>
  <c r="R844" i="1"/>
  <c r="T844" i="1"/>
  <c r="P844" i="1"/>
  <c r="O844" i="1"/>
  <c r="R863" i="1"/>
  <c r="T863" i="1"/>
  <c r="P863" i="1"/>
  <c r="O863" i="1"/>
  <c r="K863" i="1"/>
  <c r="R836" i="1"/>
  <c r="T836" i="1"/>
  <c r="P836" i="1"/>
  <c r="O836" i="1"/>
  <c r="K836" i="1"/>
  <c r="R812" i="1"/>
  <c r="T812" i="1"/>
  <c r="P812" i="1"/>
  <c r="O812" i="1"/>
  <c r="K812" i="1"/>
  <c r="R803" i="1"/>
  <c r="T803" i="1"/>
  <c r="P803" i="1"/>
  <c r="O803" i="1"/>
  <c r="K803" i="1"/>
  <c r="R851" i="1"/>
  <c r="T851" i="1"/>
  <c r="P851" i="1"/>
  <c r="O851" i="1"/>
  <c r="R865" i="1"/>
  <c r="T865" i="1"/>
  <c r="P865" i="1"/>
  <c r="O865" i="1"/>
  <c r="R875" i="1"/>
  <c r="T875" i="1"/>
  <c r="P875" i="1"/>
  <c r="O875" i="1"/>
  <c r="K875" i="1"/>
  <c r="R818" i="1"/>
  <c r="T818" i="1"/>
  <c r="P818" i="1"/>
  <c r="O818" i="1"/>
  <c r="R821" i="1"/>
  <c r="T821" i="1"/>
  <c r="P821" i="1"/>
  <c r="O821" i="1"/>
  <c r="R827" i="1"/>
  <c r="T827" i="1"/>
  <c r="P827" i="1"/>
  <c r="O827" i="1"/>
  <c r="R817" i="1"/>
  <c r="T817" i="1"/>
  <c r="P817" i="1"/>
  <c r="O817" i="1"/>
  <c r="K817" i="1"/>
  <c r="R809" i="1"/>
  <c r="T809" i="1"/>
  <c r="P809" i="1"/>
  <c r="O809" i="1"/>
  <c r="K809" i="1"/>
  <c r="R786" i="1"/>
  <c r="T786" i="1"/>
  <c r="P786" i="1"/>
  <c r="O786" i="1"/>
  <c r="K786" i="1"/>
  <c r="R874" i="1"/>
  <c r="T874" i="1"/>
  <c r="P874" i="1"/>
  <c r="O874" i="1"/>
  <c r="K874" i="1"/>
  <c r="R780" i="1"/>
  <c r="T780" i="1"/>
  <c r="P780" i="1"/>
  <c r="O780" i="1"/>
  <c r="K780" i="1"/>
  <c r="R795" i="1"/>
  <c r="T795" i="1"/>
  <c r="P795" i="1"/>
  <c r="O795" i="1"/>
  <c r="R810" i="1"/>
  <c r="T810" i="1"/>
  <c r="P810" i="1"/>
  <c r="O810" i="1"/>
  <c r="K810" i="1"/>
  <c r="R808" i="1"/>
  <c r="T808" i="1"/>
  <c r="P808" i="1"/>
  <c r="O808" i="1"/>
  <c r="R784" i="1"/>
  <c r="T784" i="1"/>
  <c r="P784" i="1"/>
  <c r="O784" i="1"/>
  <c r="K784" i="1"/>
  <c r="R873" i="1"/>
  <c r="T873" i="1"/>
  <c r="P873" i="1"/>
  <c r="O873" i="1"/>
  <c r="K873" i="1"/>
  <c r="R872" i="1"/>
  <c r="T872" i="1"/>
  <c r="P872" i="1"/>
  <c r="O872" i="1"/>
  <c r="K872" i="1"/>
  <c r="R793" i="1"/>
  <c r="T793" i="1"/>
  <c r="P793" i="1"/>
  <c r="O793" i="1"/>
  <c r="K793" i="1"/>
  <c r="R840" i="1"/>
  <c r="T840" i="1"/>
  <c r="P840" i="1"/>
  <c r="O840" i="1"/>
  <c r="K840" i="1"/>
  <c r="R807" i="1"/>
  <c r="T807" i="1"/>
  <c r="P807" i="1"/>
  <c r="O807" i="1"/>
  <c r="R798" i="1"/>
  <c r="T798" i="1"/>
  <c r="P798" i="1"/>
  <c r="O798" i="1"/>
  <c r="R779" i="1"/>
  <c r="T779" i="1"/>
  <c r="P779" i="1"/>
  <c r="O779" i="1"/>
  <c r="K779" i="1"/>
  <c r="R792" i="1"/>
  <c r="T792" i="1"/>
  <c r="P792" i="1"/>
  <c r="O792" i="1"/>
  <c r="K792" i="1"/>
  <c r="R871" i="1"/>
  <c r="T871" i="1"/>
  <c r="P871" i="1"/>
  <c r="O871" i="1"/>
  <c r="K871" i="1"/>
  <c r="R775" i="1"/>
  <c r="T775" i="1"/>
  <c r="P775" i="1"/>
  <c r="O775" i="1"/>
  <c r="K775" i="1"/>
  <c r="R788" i="1"/>
  <c r="T788" i="1"/>
  <c r="P788" i="1"/>
  <c r="O788" i="1"/>
  <c r="R870" i="1"/>
  <c r="T870" i="1"/>
  <c r="P870" i="1"/>
  <c r="O870" i="1"/>
  <c r="K870" i="1"/>
  <c r="R797" i="1"/>
  <c r="T797" i="1"/>
  <c r="P797" i="1"/>
  <c r="O797" i="1"/>
  <c r="R787" i="1"/>
  <c r="T787" i="1"/>
  <c r="P787" i="1"/>
  <c r="O787" i="1"/>
  <c r="K787" i="1"/>
  <c r="R789" i="1"/>
  <c r="T789" i="1"/>
  <c r="P789" i="1"/>
  <c r="O789" i="1"/>
  <c r="R820" i="1"/>
  <c r="T820" i="1"/>
  <c r="P820" i="1"/>
  <c r="O820" i="1"/>
  <c r="K820" i="1"/>
  <c r="R778" i="1"/>
  <c r="T778" i="1"/>
  <c r="P778" i="1"/>
  <c r="O778" i="1"/>
  <c r="K778" i="1"/>
  <c r="R774" i="1"/>
  <c r="T774" i="1"/>
  <c r="P774" i="1"/>
  <c r="O774" i="1"/>
  <c r="R791" i="1"/>
  <c r="T791" i="1"/>
  <c r="P791" i="1"/>
  <c r="O791" i="1"/>
  <c r="R800" i="1"/>
  <c r="T800" i="1"/>
  <c r="P800" i="1"/>
  <c r="O800" i="1"/>
  <c r="K800" i="1"/>
  <c r="T783" i="1"/>
  <c r="P783" i="1"/>
  <c r="O783" i="1"/>
  <c r="K783" i="1"/>
  <c r="R772" i="1"/>
  <c r="T772" i="1"/>
  <c r="P772" i="1"/>
  <c r="O772" i="1"/>
  <c r="K772" i="1"/>
  <c r="R790" i="1"/>
  <c r="T790" i="1"/>
  <c r="P790" i="1"/>
  <c r="O790" i="1"/>
  <c r="R796" i="1"/>
  <c r="T796" i="1"/>
  <c r="P796" i="1"/>
  <c r="O796" i="1"/>
  <c r="K796" i="1"/>
  <c r="R843" i="1"/>
  <c r="T843" i="1"/>
  <c r="P843" i="1"/>
  <c r="O843" i="1"/>
  <c r="K843" i="1"/>
  <c r="R785" i="1"/>
  <c r="T785" i="1"/>
  <c r="P785" i="1"/>
  <c r="O785" i="1"/>
  <c r="K785" i="1"/>
  <c r="R776" i="1"/>
  <c r="T776" i="1"/>
  <c r="P776" i="1"/>
  <c r="O776" i="1"/>
  <c r="R777" i="1"/>
  <c r="T777" i="1"/>
  <c r="P777" i="1"/>
  <c r="O777" i="1"/>
  <c r="K777" i="1"/>
  <c r="R782" i="1"/>
  <c r="T782" i="1"/>
  <c r="P782" i="1"/>
  <c r="O782" i="1"/>
  <c r="R811" i="1"/>
  <c r="T811" i="1"/>
  <c r="P811" i="1"/>
  <c r="O811" i="1"/>
  <c r="K811" i="1"/>
  <c r="R802" i="1"/>
  <c r="T802" i="1"/>
  <c r="P802" i="1"/>
  <c r="O802" i="1"/>
  <c r="R765" i="1"/>
  <c r="T765" i="1"/>
  <c r="P765" i="1"/>
  <c r="O765" i="1"/>
  <c r="R771" i="1"/>
  <c r="T771" i="1"/>
  <c r="P771" i="1"/>
  <c r="O771" i="1"/>
  <c r="K771" i="1"/>
  <c r="R764" i="1"/>
  <c r="T764" i="1"/>
  <c r="P764" i="1"/>
  <c r="O764" i="1"/>
  <c r="R773" i="1"/>
  <c r="T773" i="1"/>
  <c r="P773" i="1"/>
  <c r="O773" i="1"/>
  <c r="K773" i="1"/>
  <c r="R749" i="1" l="1"/>
  <c r="T749" i="1"/>
  <c r="P749" i="1"/>
  <c r="O749" i="1"/>
  <c r="R801" i="1"/>
  <c r="T801" i="1"/>
  <c r="P801" i="1"/>
  <c r="O801" i="1"/>
  <c r="K801" i="1"/>
  <c r="R767" i="1"/>
  <c r="T767" i="1"/>
  <c r="P767" i="1"/>
  <c r="O767" i="1"/>
  <c r="R781" i="1"/>
  <c r="T781" i="1"/>
  <c r="P781" i="1"/>
  <c r="O781" i="1"/>
  <c r="R766" i="1"/>
  <c r="T766" i="1"/>
  <c r="P766" i="1"/>
  <c r="O766" i="1"/>
  <c r="K766" i="1"/>
  <c r="R739" i="1"/>
  <c r="T739" i="1"/>
  <c r="P739" i="1"/>
  <c r="O739" i="1"/>
  <c r="R715" i="1"/>
  <c r="T715" i="1"/>
  <c r="P715" i="1"/>
  <c r="O715" i="1"/>
  <c r="H23" i="17" l="1"/>
  <c r="R760" i="1"/>
  <c r="T760" i="1"/>
  <c r="P760" i="1"/>
  <c r="O760" i="1"/>
  <c r="K760" i="1"/>
  <c r="R804" i="1"/>
  <c r="T804" i="1"/>
  <c r="P804" i="1"/>
  <c r="O804" i="1"/>
  <c r="R738" i="1"/>
  <c r="T738" i="1"/>
  <c r="P738" i="1"/>
  <c r="O738" i="1"/>
  <c r="K738" i="1"/>
  <c r="R744" i="1"/>
  <c r="T744" i="1"/>
  <c r="P744" i="1"/>
  <c r="O744" i="1"/>
  <c r="K744" i="1"/>
  <c r="R681" i="1"/>
  <c r="R757" i="1"/>
  <c r="T757" i="1"/>
  <c r="P757" i="1"/>
  <c r="O757" i="1"/>
  <c r="K757" i="1"/>
  <c r="T741" i="1"/>
  <c r="P741" i="1"/>
  <c r="O741" i="1"/>
  <c r="R761" i="1"/>
  <c r="T761" i="1"/>
  <c r="P761" i="1"/>
  <c r="O761" i="1"/>
  <c r="R835" i="1"/>
  <c r="T835" i="1"/>
  <c r="P835" i="1"/>
  <c r="O835" i="1"/>
  <c r="K835" i="1"/>
  <c r="R806" i="1"/>
  <c r="T806" i="1"/>
  <c r="P806" i="1"/>
  <c r="O806" i="1"/>
  <c r="K806" i="1"/>
  <c r="H22" i="17"/>
  <c r="R752" i="1" l="1"/>
  <c r="T752" i="1"/>
  <c r="P752" i="1"/>
  <c r="O752" i="1"/>
  <c r="R751" i="1"/>
  <c r="T751" i="1"/>
  <c r="P751" i="1"/>
  <c r="O751" i="1"/>
  <c r="T742" i="1"/>
  <c r="P742" i="1"/>
  <c r="O742" i="1"/>
  <c r="R753" i="1"/>
  <c r="T753" i="1"/>
  <c r="P753" i="1"/>
  <c r="O753" i="1"/>
  <c r="K753" i="1"/>
  <c r="R816" i="1"/>
  <c r="T816" i="1"/>
  <c r="P816" i="1"/>
  <c r="O816" i="1"/>
  <c r="H14" i="25" s="1"/>
  <c r="R745" i="1"/>
  <c r="T745" i="1"/>
  <c r="P745" i="1"/>
  <c r="O745" i="1"/>
  <c r="K745" i="1"/>
  <c r="R706" i="1"/>
  <c r="T706" i="1"/>
  <c r="P706" i="1"/>
  <c r="O706" i="1"/>
  <c r="R756" i="1"/>
  <c r="T756" i="1"/>
  <c r="P756" i="1"/>
  <c r="O756" i="1"/>
  <c r="R763" i="1"/>
  <c r="T763" i="1"/>
  <c r="P763" i="1"/>
  <c r="O763" i="1"/>
  <c r="R768" i="1"/>
  <c r="T768" i="1"/>
  <c r="P768" i="1"/>
  <c r="O768" i="1"/>
  <c r="R728" i="1"/>
  <c r="T728" i="1"/>
  <c r="P728" i="1"/>
  <c r="O728" i="1"/>
  <c r="R721" i="1"/>
  <c r="T721" i="1"/>
  <c r="P721" i="1"/>
  <c r="O721" i="1"/>
  <c r="K721" i="1"/>
  <c r="R734" i="1"/>
  <c r="T734" i="1"/>
  <c r="P734" i="1"/>
  <c r="O734" i="1"/>
  <c r="R759" i="1"/>
  <c r="T759" i="1"/>
  <c r="P759" i="1"/>
  <c r="O759" i="1"/>
  <c r="K759" i="1"/>
  <c r="R770" i="1"/>
  <c r="T770" i="1"/>
  <c r="P770" i="1"/>
  <c r="O770" i="1"/>
  <c r="R733" i="1"/>
  <c r="T733" i="1"/>
  <c r="P733" i="1"/>
  <c r="O733" i="1"/>
  <c r="T748" i="1"/>
  <c r="P748" i="1"/>
  <c r="O748" i="1"/>
  <c r="R750" i="1"/>
  <c r="T750" i="1"/>
  <c r="P750" i="1"/>
  <c r="O750" i="1"/>
  <c r="K750" i="1"/>
  <c r="R735" i="1"/>
  <c r="T735" i="1"/>
  <c r="P735" i="1"/>
  <c r="O735" i="1"/>
  <c r="R737" i="1"/>
  <c r="T737" i="1"/>
  <c r="P737" i="1"/>
  <c r="O737" i="1"/>
  <c r="R727" i="1" l="1"/>
  <c r="T727" i="1"/>
  <c r="P727" i="1"/>
  <c r="O727" i="1"/>
  <c r="R740" i="1"/>
  <c r="T740" i="1"/>
  <c r="P740" i="1"/>
  <c r="O740" i="1"/>
  <c r="R747" i="1"/>
  <c r="T747" i="1"/>
  <c r="P747" i="1"/>
  <c r="O747" i="1"/>
  <c r="K747" i="1"/>
  <c r="R758" i="1"/>
  <c r="T758" i="1"/>
  <c r="P758" i="1"/>
  <c r="O758"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43" i="1"/>
  <c r="P743" i="1"/>
  <c r="O743" i="1"/>
  <c r="K743" i="1"/>
  <c r="R755" i="1"/>
  <c r="T755" i="1"/>
  <c r="P755" i="1"/>
  <c r="O755" i="1"/>
  <c r="AQ61" i="24"/>
  <c r="AQ40" i="24"/>
  <c r="AQ20" i="24"/>
  <c r="F12" i="6"/>
  <c r="F11" i="6"/>
  <c r="R724" i="1"/>
  <c r="P724" i="1"/>
  <c r="O724" i="1"/>
  <c r="K724" i="1"/>
  <c r="R754" i="1" l="1"/>
  <c r="T754" i="1"/>
  <c r="P754" i="1"/>
  <c r="O754" i="1"/>
  <c r="K754" i="1"/>
  <c r="R726" i="1"/>
  <c r="T726" i="1"/>
  <c r="P726" i="1"/>
  <c r="O726" i="1"/>
  <c r="K726" i="1"/>
  <c r="R711" i="1"/>
  <c r="T711" i="1"/>
  <c r="P711" i="1"/>
  <c r="O711" i="1"/>
  <c r="K711" i="1"/>
  <c r="R701" i="1"/>
  <c r="T701" i="1"/>
  <c r="P701" i="1"/>
  <c r="O701" i="1"/>
  <c r="K701" i="1"/>
  <c r="R732" i="1"/>
  <c r="T732" i="1"/>
  <c r="P732" i="1"/>
  <c r="O732" i="1"/>
  <c r="R723" i="1"/>
  <c r="T723" i="1"/>
  <c r="P723" i="1"/>
  <c r="O723" i="1"/>
  <c r="R705" i="1"/>
  <c r="T705" i="1"/>
  <c r="P705" i="1"/>
  <c r="O705" i="1"/>
  <c r="R769" i="1"/>
  <c r="T769" i="1"/>
  <c r="P769" i="1"/>
  <c r="O769" i="1"/>
  <c r="K769" i="1"/>
  <c r="R710" i="1"/>
  <c r="T710" i="1"/>
  <c r="P710" i="1"/>
  <c r="O710" i="1"/>
  <c r="K710" i="1"/>
  <c r="R869" i="1"/>
  <c r="T869" i="1"/>
  <c r="P869" i="1"/>
  <c r="O869" i="1"/>
  <c r="K869" i="1"/>
  <c r="R736" i="1"/>
  <c r="T736" i="1"/>
  <c r="P736" i="1"/>
  <c r="O736" i="1"/>
  <c r="R694" i="1"/>
  <c r="T694" i="1"/>
  <c r="P694" i="1"/>
  <c r="O694" i="1"/>
  <c r="K694" i="1"/>
  <c r="R700" i="1"/>
  <c r="T700" i="1"/>
  <c r="P700" i="1"/>
  <c r="O700" i="1"/>
  <c r="K700" i="1"/>
  <c r="T746" i="1"/>
  <c r="P746" i="1"/>
  <c r="O746" i="1"/>
  <c r="K746" i="1"/>
  <c r="R714" i="1"/>
  <c r="T714" i="1"/>
  <c r="P714" i="1"/>
  <c r="O714" i="1"/>
  <c r="K714" i="1"/>
  <c r="R731" i="1"/>
  <c r="T731" i="1"/>
  <c r="P731" i="1"/>
  <c r="O731" i="1"/>
  <c r="R699" i="1"/>
  <c r="T699" i="1"/>
  <c r="P699" i="1"/>
  <c r="O699" i="1"/>
  <c r="K699" i="1"/>
  <c r="R709" i="1" l="1"/>
  <c r="T709" i="1"/>
  <c r="P709" i="1"/>
  <c r="O709" i="1"/>
  <c r="T719" i="1"/>
  <c r="P719" i="1"/>
  <c r="O719" i="1"/>
  <c r="R805" i="1"/>
  <c r="T805" i="1"/>
  <c r="P805" i="1"/>
  <c r="O805" i="1"/>
  <c r="K805" i="1"/>
  <c r="R713" i="1"/>
  <c r="T713" i="1"/>
  <c r="P713" i="1"/>
  <c r="O713" i="1"/>
  <c r="R718" i="1"/>
  <c r="T718" i="1"/>
  <c r="P718" i="1"/>
  <c r="O718" i="1"/>
  <c r="K718" i="1"/>
  <c r="R704" i="1"/>
  <c r="T704" i="1"/>
  <c r="P704" i="1"/>
  <c r="O704" i="1"/>
  <c r="K704" i="1"/>
  <c r="R712" i="1"/>
  <c r="T712" i="1"/>
  <c r="P712" i="1"/>
  <c r="O712" i="1"/>
  <c r="R691" i="1"/>
  <c r="T691" i="1"/>
  <c r="P691" i="1"/>
  <c r="O691" i="1"/>
  <c r="K691" i="1"/>
  <c r="R687" i="1"/>
  <c r="T687" i="1"/>
  <c r="P687" i="1"/>
  <c r="O687" i="1"/>
  <c r="R722" i="1"/>
  <c r="T722" i="1"/>
  <c r="P722" i="1"/>
  <c r="O722" i="1"/>
  <c r="K722" i="1"/>
  <c r="R690" i="1"/>
  <c r="T690" i="1"/>
  <c r="P690" i="1"/>
  <c r="O690" i="1"/>
  <c r="R720" i="1"/>
  <c r="T720" i="1"/>
  <c r="P720" i="1"/>
  <c r="O720" i="1"/>
  <c r="R702" i="1"/>
  <c r="T702" i="1"/>
  <c r="P702" i="1"/>
  <c r="O702" i="1"/>
  <c r="K702" i="1"/>
  <c r="R717" i="1"/>
  <c r="T717" i="1"/>
  <c r="P717" i="1"/>
  <c r="O717" i="1"/>
  <c r="T676" i="1"/>
  <c r="P676" i="1"/>
  <c r="O676" i="1"/>
  <c r="K676" i="1"/>
  <c r="R716" i="1"/>
  <c r="T716" i="1"/>
  <c r="P716" i="1"/>
  <c r="O716" i="1"/>
  <c r="R661" i="1"/>
  <c r="T661" i="1"/>
  <c r="P661" i="1"/>
  <c r="O661" i="1"/>
  <c r="AQ44" i="3"/>
  <c r="AN44" i="3"/>
  <c r="AK44" i="3"/>
  <c r="AH44" i="3"/>
  <c r="AE44" i="3"/>
  <c r="R698" i="1"/>
  <c r="T698" i="1"/>
  <c r="P698" i="1"/>
  <c r="O698" i="1"/>
  <c r="K698" i="1"/>
  <c r="R695" i="1"/>
  <c r="T695" i="1"/>
  <c r="P695" i="1"/>
  <c r="O695" i="1"/>
  <c r="R680" i="1"/>
  <c r="T680" i="1"/>
  <c r="P680" i="1"/>
  <c r="O680" i="1"/>
  <c r="R689" i="1"/>
  <c r="T689" i="1"/>
  <c r="P689" i="1"/>
  <c r="O689" i="1"/>
  <c r="R679" i="1"/>
  <c r="T679" i="1"/>
  <c r="P679" i="1"/>
  <c r="O679" i="1"/>
  <c r="K679" i="1"/>
  <c r="R668" i="1"/>
  <c r="T668" i="1"/>
  <c r="P668" i="1"/>
  <c r="O668" i="1"/>
  <c r="K668" i="1"/>
  <c r="R693" i="1"/>
  <c r="T693" i="1"/>
  <c r="P693" i="1"/>
  <c r="O693" i="1"/>
  <c r="K693" i="1"/>
  <c r="K681" i="1"/>
  <c r="T681" i="1"/>
  <c r="P681" i="1"/>
  <c r="O6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7" i="1" l="1"/>
  <c r="T697" i="1"/>
  <c r="P697" i="1"/>
  <c r="O697" i="1"/>
  <c r="R660" i="1"/>
  <c r="T660" i="1"/>
  <c r="P660" i="1"/>
  <c r="O660" i="1"/>
  <c r="K660" i="1"/>
  <c r="R696" i="1"/>
  <c r="T696" i="1"/>
  <c r="P696" i="1"/>
  <c r="O696" i="1"/>
  <c r="K696" i="1"/>
  <c r="R692" i="1"/>
  <c r="T692" i="1"/>
  <c r="P692" i="1"/>
  <c r="O692" i="1"/>
  <c r="R708" i="1"/>
  <c r="T708" i="1"/>
  <c r="P708" i="1"/>
  <c r="O708" i="1"/>
  <c r="R672" i="1"/>
  <c r="T672" i="1"/>
  <c r="P672" i="1"/>
  <c r="O672" i="1"/>
  <c r="R675" i="1"/>
  <c r="T675" i="1"/>
  <c r="P675" i="1"/>
  <c r="O675" i="1"/>
  <c r="K675" i="1"/>
  <c r="R646" i="1"/>
  <c r="T646" i="1"/>
  <c r="P646" i="1"/>
  <c r="O646" i="1"/>
  <c r="K646" i="1"/>
  <c r="R684" i="1"/>
  <c r="T684" i="1"/>
  <c r="P684" i="1"/>
  <c r="O684" i="1"/>
  <c r="K684" i="1"/>
  <c r="R667" i="1"/>
  <c r="T667" i="1"/>
  <c r="P667" i="1"/>
  <c r="O667" i="1"/>
  <c r="K667" i="1"/>
  <c r="R674" i="1"/>
  <c r="T674" i="1"/>
  <c r="P674" i="1"/>
  <c r="O674" i="1"/>
  <c r="R686" i="1"/>
  <c r="T686" i="1"/>
  <c r="P686" i="1"/>
  <c r="O686" i="1"/>
  <c r="K686" i="1"/>
  <c r="R730" i="1"/>
  <c r="T730" i="1"/>
  <c r="P730" i="1"/>
  <c r="O730" i="1"/>
  <c r="R673" i="1"/>
  <c r="T673" i="1"/>
  <c r="P673" i="1"/>
  <c r="O673" i="1"/>
  <c r="R663" i="1"/>
  <c r="T663" i="1"/>
  <c r="P663" i="1"/>
  <c r="O663" i="1"/>
  <c r="K663" i="1"/>
  <c r="R685" i="1"/>
  <c r="T685" i="1"/>
  <c r="P685" i="1"/>
  <c r="O685" i="1"/>
  <c r="K685" i="1"/>
  <c r="R678" i="1"/>
  <c r="T678" i="1"/>
  <c r="P678" i="1"/>
  <c r="O678" i="1"/>
  <c r="K678" i="1"/>
  <c r="R683" i="1"/>
  <c r="T683" i="1"/>
  <c r="P683" i="1"/>
  <c r="O683" i="1"/>
  <c r="K683" i="1"/>
  <c r="H21" i="17"/>
  <c r="R655" i="1"/>
  <c r="T655" i="1"/>
  <c r="P655" i="1"/>
  <c r="O655" i="1"/>
  <c r="T725" i="1"/>
  <c r="P725" i="1"/>
  <c r="O725" i="1"/>
  <c r="K725" i="1"/>
  <c r="R657" i="1"/>
  <c r="T657" i="1"/>
  <c r="P657" i="1"/>
  <c r="O657" i="1"/>
  <c r="K657" i="1"/>
  <c r="R652" i="1"/>
  <c r="T652" i="1"/>
  <c r="P652" i="1"/>
  <c r="O652" i="1"/>
  <c r="K652" i="1"/>
  <c r="R659" i="1"/>
  <c r="T659" i="1"/>
  <c r="P659" i="1"/>
  <c r="O659" i="1"/>
  <c r="K659" i="1"/>
  <c r="R707" i="1"/>
  <c r="T707" i="1"/>
  <c r="P707" i="1"/>
  <c r="O707" i="1"/>
  <c r="K707" i="1"/>
  <c r="R688" i="1"/>
  <c r="T688" i="1"/>
  <c r="P688" i="1"/>
  <c r="O688" i="1"/>
  <c r="K688" i="1"/>
  <c r="K649" i="1"/>
  <c r="R666" i="1"/>
  <c r="T666" i="1"/>
  <c r="P666" i="1"/>
  <c r="O666" i="1"/>
  <c r="R671" i="1"/>
  <c r="T671" i="1"/>
  <c r="P671" i="1"/>
  <c r="O671" i="1"/>
  <c r="K671" i="1"/>
  <c r="K618" i="1"/>
  <c r="R639" i="1"/>
  <c r="T639" i="1"/>
  <c r="P639" i="1"/>
  <c r="O639" i="1"/>
  <c r="R642" i="1"/>
  <c r="T642" i="1"/>
  <c r="P642" i="1"/>
  <c r="O642" i="1"/>
  <c r="K642" i="1"/>
  <c r="R596" i="1"/>
  <c r="R729" i="1"/>
  <c r="T729" i="1"/>
  <c r="P729" i="1"/>
  <c r="O729" i="1"/>
  <c r="R656" i="1"/>
  <c r="T656" i="1"/>
  <c r="P656" i="1"/>
  <c r="O656" i="1"/>
  <c r="K656" i="1"/>
  <c r="R651" i="1"/>
  <c r="T651" i="1"/>
  <c r="P651" i="1"/>
  <c r="O651" i="1"/>
  <c r="K651" i="1"/>
  <c r="R654" i="1"/>
  <c r="T654" i="1"/>
  <c r="P654" i="1"/>
  <c r="O654" i="1"/>
  <c r="R647" i="1"/>
  <c r="T647" i="1"/>
  <c r="P647" i="1"/>
  <c r="O647" i="1"/>
  <c r="K647" i="1"/>
  <c r="R677" i="1"/>
  <c r="T677" i="1"/>
  <c r="P677" i="1"/>
  <c r="O677" i="1"/>
  <c r="K677" i="1"/>
  <c r="R638" i="1"/>
  <c r="T638" i="1"/>
  <c r="P638" i="1"/>
  <c r="O638" i="1"/>
  <c r="K638" i="1"/>
  <c r="R670" i="1"/>
  <c r="T670" i="1"/>
  <c r="P670" i="1"/>
  <c r="O670" i="1"/>
  <c r="K670" i="1"/>
  <c r="R648" i="1"/>
  <c r="T648" i="1"/>
  <c r="P648" i="1"/>
  <c r="O648" i="1"/>
  <c r="K648" i="1"/>
  <c r="R632" i="1"/>
  <c r="T632" i="1"/>
  <c r="P632" i="1"/>
  <c r="O632" i="1"/>
  <c r="K632" i="1"/>
  <c r="R653" i="1"/>
  <c r="T653" i="1"/>
  <c r="P653" i="1"/>
  <c r="O653" i="1"/>
  <c r="K653" i="1"/>
  <c r="R641" i="1"/>
  <c r="T641" i="1"/>
  <c r="P641" i="1"/>
  <c r="O641" i="1"/>
  <c r="K641" i="1"/>
  <c r="R644" i="1"/>
  <c r="T644" i="1"/>
  <c r="P644" i="1"/>
  <c r="O644" i="1"/>
  <c r="K644" i="1"/>
  <c r="R682" i="1"/>
  <c r="T682" i="1"/>
  <c r="P682" i="1"/>
  <c r="O682" i="1"/>
  <c r="K682" i="1"/>
  <c r="R637" i="1"/>
  <c r="T637" i="1"/>
  <c r="P637" i="1"/>
  <c r="O637" i="1"/>
  <c r="K637" i="1"/>
  <c r="R640" i="1"/>
  <c r="T640" i="1"/>
  <c r="P640" i="1"/>
  <c r="O640" i="1"/>
  <c r="K640" i="1"/>
  <c r="R635" i="1"/>
  <c r="T635" i="1"/>
  <c r="P635" i="1"/>
  <c r="O635" i="1"/>
  <c r="K635" i="1"/>
  <c r="R627" i="1"/>
  <c r="T627" i="1"/>
  <c r="P627" i="1"/>
  <c r="O627" i="1"/>
  <c r="K627" i="1"/>
  <c r="R665" i="1"/>
  <c r="T665" i="1"/>
  <c r="P665" i="1"/>
  <c r="O665" i="1"/>
  <c r="K665" i="1"/>
  <c r="R626" i="1"/>
  <c r="T626" i="1"/>
  <c r="P626" i="1"/>
  <c r="O626" i="1"/>
  <c r="K626" i="1"/>
  <c r="R643" i="1"/>
  <c r="T643" i="1"/>
  <c r="P643" i="1"/>
  <c r="O643" i="1"/>
  <c r="R703" i="1"/>
  <c r="T703" i="1"/>
  <c r="P703" i="1"/>
  <c r="O703" i="1"/>
  <c r="R634" i="1"/>
  <c r="T634" i="1"/>
  <c r="P634" i="1"/>
  <c r="O634" i="1"/>
  <c r="K634" i="1"/>
  <c r="H20" i="17"/>
  <c r="R662" i="1"/>
  <c r="T662" i="1"/>
  <c r="P662" i="1"/>
  <c r="O662" i="1"/>
  <c r="K662" i="1"/>
  <c r="R625" i="1"/>
  <c r="T625" i="1"/>
  <c r="P625" i="1"/>
  <c r="O625" i="1"/>
  <c r="R617" i="1"/>
  <c r="T617" i="1"/>
  <c r="P617" i="1"/>
  <c r="O617" i="1"/>
  <c r="K617" i="1"/>
  <c r="T664" i="1"/>
  <c r="P664" i="1"/>
  <c r="O664" i="1"/>
  <c r="K664" i="1"/>
  <c r="R636" i="1"/>
  <c r="T636" i="1"/>
  <c r="P636" i="1"/>
  <c r="O636" i="1"/>
  <c r="R645" i="1"/>
  <c r="T645" i="1"/>
  <c r="P645" i="1"/>
  <c r="O645" i="1"/>
  <c r="K645" i="1"/>
  <c r="R633" i="1"/>
  <c r="T633" i="1"/>
  <c r="P633" i="1"/>
  <c r="O633" i="1"/>
  <c r="R631" i="1"/>
  <c r="T631" i="1"/>
  <c r="P631" i="1"/>
  <c r="O631" i="1"/>
  <c r="R630" i="1"/>
  <c r="T630" i="1"/>
  <c r="P630" i="1"/>
  <c r="O630" i="1"/>
  <c r="K630" i="1"/>
  <c r="R624" i="1"/>
  <c r="T624" i="1"/>
  <c r="P624" i="1"/>
  <c r="O624" i="1"/>
  <c r="R629" i="1"/>
  <c r="T629" i="1"/>
  <c r="P629" i="1"/>
  <c r="O629" i="1"/>
  <c r="K629" i="1"/>
  <c r="R658" i="1"/>
  <c r="T658" i="1"/>
  <c r="P658" i="1"/>
  <c r="O658" i="1"/>
  <c r="K658" i="1"/>
  <c r="R623" i="1"/>
  <c r="T623" i="1"/>
  <c r="P623" i="1"/>
  <c r="O623" i="1"/>
  <c r="K623" i="1"/>
  <c r="R669" i="1"/>
  <c r="T669" i="1"/>
  <c r="P669" i="1"/>
  <c r="O669" i="1"/>
  <c r="K669" i="1"/>
  <c r="R622" i="1"/>
  <c r="T622" i="1"/>
  <c r="P622" i="1"/>
  <c r="O622" i="1"/>
  <c r="K622" i="1"/>
  <c r="R650" i="1"/>
  <c r="T650" i="1"/>
  <c r="P650" i="1"/>
  <c r="O650" i="1"/>
  <c r="K650" i="1"/>
  <c r="R619" i="1"/>
  <c r="T619" i="1"/>
  <c r="P619" i="1"/>
  <c r="O619" i="1"/>
  <c r="R628" i="1"/>
  <c r="T628" i="1"/>
  <c r="P628" i="1"/>
  <c r="O628" i="1"/>
  <c r="K628" i="1"/>
  <c r="R621" i="1"/>
  <c r="T621" i="1"/>
  <c r="P621" i="1"/>
  <c r="O621" i="1"/>
  <c r="K621" i="1"/>
  <c r="R616" i="1"/>
  <c r="T616" i="1"/>
  <c r="P616" i="1"/>
  <c r="O616" i="1"/>
  <c r="K616" i="1"/>
  <c r="R609" i="1"/>
  <c r="T609" i="1"/>
  <c r="P609" i="1"/>
  <c r="O609" i="1"/>
  <c r="K609" i="1"/>
  <c r="R615" i="1"/>
  <c r="T615" i="1"/>
  <c r="P615" i="1"/>
  <c r="O615" i="1"/>
  <c r="K615" i="1"/>
  <c r="R601" i="1"/>
  <c r="T601" i="1"/>
  <c r="P601" i="1"/>
  <c r="O601" i="1"/>
  <c r="K601" i="1"/>
  <c r="R620" i="1"/>
  <c r="T620" i="1"/>
  <c r="P620" i="1"/>
  <c r="O620" i="1"/>
  <c r="K620" i="1"/>
  <c r="R614" i="1"/>
  <c r="T614" i="1"/>
  <c r="P614" i="1"/>
  <c r="O614" i="1"/>
  <c r="K614" i="1"/>
  <c r="R605" i="1"/>
  <c r="T605" i="1"/>
  <c r="P605" i="1"/>
  <c r="O605" i="1"/>
  <c r="R612" i="1"/>
  <c r="T612" i="1"/>
  <c r="P612" i="1"/>
  <c r="O612" i="1"/>
  <c r="K612" i="1"/>
  <c r="R608" i="1"/>
  <c r="T608" i="1"/>
  <c r="P608" i="1"/>
  <c r="O608" i="1"/>
  <c r="K608" i="1"/>
  <c r="R613" i="1"/>
  <c r="T613" i="1"/>
  <c r="P613" i="1"/>
  <c r="O613" i="1"/>
  <c r="K613" i="1"/>
  <c r="R610" i="1"/>
  <c r="T610" i="1"/>
  <c r="P610" i="1"/>
  <c r="O610" i="1"/>
  <c r="K610" i="1"/>
  <c r="R604" i="1"/>
  <c r="T604" i="1"/>
  <c r="P604" i="1"/>
  <c r="O604" i="1"/>
  <c r="K604" i="1"/>
  <c r="R611" i="1"/>
  <c r="T611" i="1"/>
  <c r="P611" i="1"/>
  <c r="O611" i="1"/>
  <c r="K611" i="1"/>
  <c r="E1" i="1"/>
  <c r="H19" i="17"/>
  <c r="H18" i="17"/>
  <c r="R600" i="1"/>
  <c r="T600" i="1"/>
  <c r="P600" i="1"/>
  <c r="O600" i="1"/>
  <c r="R602" i="1"/>
  <c r="T602" i="1"/>
  <c r="P602" i="1"/>
  <c r="O602" i="1"/>
  <c r="K602" i="1"/>
  <c r="T596" i="1"/>
  <c r="P596" i="1"/>
  <c r="O596" i="1"/>
  <c r="R590" i="1"/>
  <c r="T590" i="1"/>
  <c r="P590" i="1"/>
  <c r="O590" i="1"/>
  <c r="R595" i="1"/>
  <c r="T595" i="1"/>
  <c r="P595" i="1"/>
  <c r="O595" i="1"/>
  <c r="R599" i="1"/>
  <c r="T599" i="1"/>
  <c r="P599" i="1"/>
  <c r="O599" i="1"/>
  <c r="K599" i="1"/>
  <c r="R607" i="1"/>
  <c r="T607" i="1"/>
  <c r="P607" i="1"/>
  <c r="O607" i="1"/>
  <c r="K607" i="1"/>
  <c r="R603" i="1"/>
  <c r="T603" i="1"/>
  <c r="P603" i="1"/>
  <c r="O603" i="1"/>
  <c r="R559" i="1"/>
  <c r="R618" i="1"/>
  <c r="T618" i="1"/>
  <c r="P618" i="1"/>
  <c r="O618" i="1"/>
  <c r="R593" i="1"/>
  <c r="T593" i="1"/>
  <c r="P593" i="1"/>
  <c r="O593" i="1"/>
  <c r="K593" i="1"/>
  <c r="R589" i="1"/>
  <c r="T589" i="1"/>
  <c r="P589" i="1"/>
  <c r="O589" i="1"/>
  <c r="K589" i="1"/>
  <c r="R586" i="1"/>
  <c r="T586" i="1"/>
  <c r="P586" i="1"/>
  <c r="O586" i="1"/>
  <c r="K586" i="1"/>
  <c r="R649" i="1"/>
  <c r="T649" i="1"/>
  <c r="P649" i="1"/>
  <c r="O649" i="1"/>
  <c r="R592" i="1"/>
  <c r="T592" i="1"/>
  <c r="P592" i="1"/>
  <c r="O592" i="1"/>
  <c r="K592" i="1"/>
  <c r="R584" i="1"/>
  <c r="T584" i="1"/>
  <c r="P584" i="1"/>
  <c r="O584" i="1"/>
  <c r="K584" i="1"/>
  <c r="R583" i="1"/>
  <c r="T583" i="1"/>
  <c r="P583" i="1"/>
  <c r="O583" i="1"/>
  <c r="K583" i="1"/>
  <c r="R585" i="1"/>
  <c r="T585" i="1"/>
  <c r="P585" i="1"/>
  <c r="O585" i="1"/>
  <c r="K585" i="1"/>
  <c r="R588" i="1"/>
  <c r="T588" i="1"/>
  <c r="P588" i="1"/>
  <c r="O588" i="1"/>
  <c r="K588" i="1"/>
  <c r="R582" i="1"/>
  <c r="T582" i="1"/>
  <c r="P582" i="1"/>
  <c r="O582" i="1"/>
  <c r="R547" i="1"/>
  <c r="R580" i="1"/>
  <c r="T580" i="1"/>
  <c r="P580" i="1"/>
  <c r="O580" i="1"/>
  <c r="R579" i="1"/>
  <c r="T579" i="1"/>
  <c r="P579" i="1"/>
  <c r="O579" i="1"/>
  <c r="K579" i="1"/>
  <c r="R594" i="1"/>
  <c r="T594" i="1"/>
  <c r="P594" i="1"/>
  <c r="O594" i="1"/>
  <c r="K594" i="1"/>
  <c r="R868" i="1"/>
  <c r="T868" i="1"/>
  <c r="P868" i="1"/>
  <c r="O868" i="1"/>
  <c r="K868" i="1"/>
  <c r="R606" i="1"/>
  <c r="T606" i="1"/>
  <c r="P606" i="1"/>
  <c r="O606" i="1"/>
  <c r="R597" i="1"/>
  <c r="T597" i="1"/>
  <c r="P597" i="1"/>
  <c r="O597" i="1"/>
  <c r="K597" i="1"/>
  <c r="R570" i="1"/>
  <c r="T570" i="1"/>
  <c r="P570" i="1"/>
  <c r="O570" i="1"/>
  <c r="R587" i="1"/>
  <c r="T587" i="1"/>
  <c r="P587" i="1"/>
  <c r="O587" i="1"/>
  <c r="K587" i="1"/>
  <c r="K577" i="1"/>
  <c r="K571" i="1"/>
  <c r="R598" i="1"/>
  <c r="T598" i="1"/>
  <c r="P598" i="1"/>
  <c r="O598" i="1"/>
  <c r="R569" i="1"/>
  <c r="T569" i="1"/>
  <c r="P569" i="1"/>
  <c r="O569" i="1"/>
  <c r="R566" i="1"/>
  <c r="T566" i="1"/>
  <c r="P566" i="1"/>
  <c r="O566" i="1"/>
  <c r="K566" i="1"/>
  <c r="K559" i="1"/>
  <c r="R578" i="1"/>
  <c r="T578" i="1"/>
  <c r="P578" i="1"/>
  <c r="O578" i="1"/>
  <c r="R565" i="1"/>
  <c r="T565" i="1"/>
  <c r="P565" i="1"/>
  <c r="O565" i="1"/>
  <c r="R573" i="1"/>
  <c r="T573" i="1"/>
  <c r="P573" i="1"/>
  <c r="O573" i="1"/>
  <c r="R581" i="1"/>
  <c r="T581" i="1"/>
  <c r="P581" i="1"/>
  <c r="O581" i="1"/>
  <c r="K581" i="1"/>
  <c r="R572" i="1"/>
  <c r="T572" i="1"/>
  <c r="P572" i="1"/>
  <c r="O572" i="1"/>
  <c r="K572" i="1"/>
  <c r="R574" i="1"/>
  <c r="T574" i="1"/>
  <c r="P574" i="1"/>
  <c r="O574" i="1"/>
  <c r="K574" i="1"/>
  <c r="R591" i="1"/>
  <c r="T591" i="1"/>
  <c r="P591" i="1"/>
  <c r="O591" i="1"/>
  <c r="R577" i="1"/>
  <c r="T577" i="1"/>
  <c r="P577" i="1"/>
  <c r="O577" i="1"/>
  <c r="R556" i="1"/>
  <c r="T556" i="1"/>
  <c r="P556" i="1"/>
  <c r="O556" i="1"/>
  <c r="R552" i="1"/>
  <c r="T552" i="1"/>
  <c r="P552" i="1"/>
  <c r="O552" i="1"/>
  <c r="R568" i="1"/>
  <c r="T568" i="1"/>
  <c r="P568" i="1"/>
  <c r="O568" i="1"/>
  <c r="K568" i="1"/>
  <c r="R550" i="1"/>
  <c r="T550" i="1"/>
  <c r="P550" i="1"/>
  <c r="O550" i="1"/>
  <c r="R563" i="1"/>
  <c r="T563" i="1"/>
  <c r="P563" i="1"/>
  <c r="O563" i="1"/>
  <c r="K563" i="1"/>
  <c r="R561" i="1"/>
  <c r="T561" i="1"/>
  <c r="P561" i="1"/>
  <c r="O561" i="1"/>
  <c r="K561" i="1"/>
  <c r="R549" i="1"/>
  <c r="T549" i="1"/>
  <c r="P549" i="1"/>
  <c r="O549" i="1"/>
  <c r="K549" i="1"/>
  <c r="R562" i="1"/>
  <c r="T562" i="1"/>
  <c r="P562" i="1"/>
  <c r="O562" i="1"/>
  <c r="T547" i="1"/>
  <c r="P547" i="1"/>
  <c r="O547" i="1"/>
  <c r="R555" i="1"/>
  <c r="T555" i="1"/>
  <c r="P555" i="1"/>
  <c r="O555" i="1"/>
  <c r="K555" i="1"/>
  <c r="R558" i="1"/>
  <c r="T558" i="1"/>
  <c r="P558" i="1"/>
  <c r="O558" i="1"/>
  <c r="K558" i="1"/>
  <c r="R567" i="1"/>
  <c r="T567" i="1"/>
  <c r="P567" i="1"/>
  <c r="O567" i="1"/>
  <c r="R554" i="1"/>
  <c r="T554" i="1"/>
  <c r="P554" i="1"/>
  <c r="O554" i="1"/>
  <c r="K554" i="1"/>
  <c r="R543" i="1"/>
  <c r="T543" i="1"/>
  <c r="P543" i="1"/>
  <c r="O543" i="1"/>
  <c r="K543" i="1"/>
  <c r="R560" i="1"/>
  <c r="T560" i="1"/>
  <c r="P560" i="1"/>
  <c r="O560" i="1"/>
  <c r="K560" i="1"/>
  <c r="R542" i="1"/>
  <c r="T542" i="1"/>
  <c r="P542" i="1"/>
  <c r="O542" i="1"/>
  <c r="R557" i="1"/>
  <c r="T557" i="1"/>
  <c r="P557" i="1"/>
  <c r="O557" i="1"/>
  <c r="R551" i="1"/>
  <c r="T551" i="1"/>
  <c r="P551" i="1"/>
  <c r="O551" i="1"/>
  <c r="R548" i="1"/>
  <c r="T548" i="1"/>
  <c r="P548" i="1"/>
  <c r="O548" i="1"/>
  <c r="K548" i="1"/>
  <c r="R540" i="1"/>
  <c r="T540" i="1"/>
  <c r="P540" i="1"/>
  <c r="O540" i="1"/>
  <c r="R553" i="1"/>
  <c r="T553" i="1"/>
  <c r="P553" i="1"/>
  <c r="O553" i="1"/>
  <c r="K553" i="1"/>
  <c r="R539" i="1"/>
  <c r="T539" i="1"/>
  <c r="P539" i="1"/>
  <c r="O539" i="1"/>
  <c r="R536" i="1"/>
  <c r="T536" i="1"/>
  <c r="P536" i="1"/>
  <c r="O536" i="1"/>
  <c r="K536" i="1"/>
  <c r="R538" i="1"/>
  <c r="T538" i="1"/>
  <c r="P538" i="1"/>
  <c r="O538" i="1"/>
  <c r="R564" i="1"/>
  <c r="T564" i="1"/>
  <c r="P564" i="1"/>
  <c r="O564" i="1"/>
  <c r="K564" i="1"/>
  <c r="R535" i="1"/>
  <c r="T535" i="1"/>
  <c r="P535" i="1"/>
  <c r="O535" i="1"/>
  <c r="R546" i="1"/>
  <c r="T546" i="1"/>
  <c r="P546" i="1"/>
  <c r="O546" i="1"/>
  <c r="R576" i="1"/>
  <c r="T576" i="1"/>
  <c r="P576" i="1"/>
  <c r="O576" i="1"/>
  <c r="K576" i="1"/>
  <c r="R544" i="1"/>
  <c r="T544" i="1"/>
  <c r="P544" i="1"/>
  <c r="O544" i="1"/>
  <c r="K544" i="1"/>
  <c r="R571" i="1"/>
  <c r="T571" i="1"/>
  <c r="P571" i="1"/>
  <c r="O571" i="1"/>
  <c r="R389" i="1"/>
  <c r="R537" i="1"/>
  <c r="T537" i="1"/>
  <c r="P537" i="1"/>
  <c r="O537" i="1"/>
  <c r="K537" i="1"/>
  <c r="R533" i="1"/>
  <c r="T533" i="1"/>
  <c r="P533" i="1"/>
  <c r="O533" i="1"/>
  <c r="K533" i="1"/>
  <c r="R532" i="1"/>
  <c r="T532" i="1"/>
  <c r="P532" i="1"/>
  <c r="O532" i="1"/>
  <c r="R575" i="1"/>
  <c r="T575" i="1"/>
  <c r="P575" i="1"/>
  <c r="O575" i="1"/>
  <c r="K575" i="1"/>
  <c r="R545" i="1"/>
  <c r="T545" i="1"/>
  <c r="P545" i="1"/>
  <c r="O545" i="1"/>
  <c r="R527" i="1"/>
  <c r="T527" i="1"/>
  <c r="P527" i="1"/>
  <c r="O527" i="1"/>
  <c r="K527" i="1"/>
  <c r="R541" i="1"/>
  <c r="T541" i="1"/>
  <c r="P541" i="1"/>
  <c r="O541" i="1"/>
  <c r="K541" i="1"/>
  <c r="R528" i="1"/>
  <c r="T528" i="1"/>
  <c r="P528" i="1"/>
  <c r="O528" i="1"/>
  <c r="R534" i="1"/>
  <c r="T534" i="1"/>
  <c r="P534" i="1"/>
  <c r="O534" i="1"/>
  <c r="T559" i="1"/>
  <c r="P559" i="1"/>
  <c r="O559" i="1"/>
  <c r="K502" i="1"/>
  <c r="R520" i="1"/>
  <c r="T520" i="1"/>
  <c r="P520" i="1"/>
  <c r="O520" i="1"/>
  <c r="R530" i="1"/>
  <c r="T530" i="1"/>
  <c r="P530" i="1"/>
  <c r="O530" i="1"/>
  <c r="K530" i="1"/>
  <c r="R522" i="1"/>
  <c r="T522" i="1"/>
  <c r="P522" i="1"/>
  <c r="O522" i="1"/>
  <c r="R519" i="1"/>
  <c r="T519" i="1"/>
  <c r="P519" i="1"/>
  <c r="O519" i="1"/>
  <c r="H12" i="25" l="1"/>
  <c r="H13" i="25"/>
  <c r="F64" i="6"/>
  <c r="F63" i="6"/>
  <c r="F36" i="6"/>
  <c r="F37" i="6"/>
  <c r="C13" i="9"/>
  <c r="C15" i="9"/>
  <c r="C12" i="9"/>
  <c r="C14" i="9"/>
  <c r="R521" i="1"/>
  <c r="T521" i="1"/>
  <c r="P521" i="1"/>
  <c r="O521" i="1"/>
  <c r="R508" i="1"/>
  <c r="T508" i="1"/>
  <c r="P508" i="1"/>
  <c r="O508" i="1"/>
  <c r="K508" i="1"/>
  <c r="R529" i="1"/>
  <c r="T529" i="1"/>
  <c r="P529" i="1"/>
  <c r="O529" i="1"/>
  <c r="R518" i="1"/>
  <c r="T518" i="1"/>
  <c r="P518" i="1"/>
  <c r="O518" i="1"/>
  <c r="R526" i="1"/>
  <c r="T526" i="1"/>
  <c r="P526" i="1"/>
  <c r="O526" i="1"/>
  <c r="R515" i="1"/>
  <c r="T515" i="1"/>
  <c r="P515" i="1"/>
  <c r="O515" i="1"/>
  <c r="R516" i="1"/>
  <c r="T516" i="1"/>
  <c r="P516" i="1"/>
  <c r="O516" i="1"/>
  <c r="R525" i="1"/>
  <c r="T525" i="1"/>
  <c r="P525" i="1"/>
  <c r="O525" i="1"/>
  <c r="R524" i="1"/>
  <c r="T524" i="1"/>
  <c r="P524" i="1"/>
  <c r="O524" i="1"/>
  <c r="K524" i="1"/>
  <c r="R514" i="1"/>
  <c r="T514" i="1"/>
  <c r="P514" i="1"/>
  <c r="O514" i="1"/>
  <c r="R497" i="1"/>
  <c r="T497" i="1"/>
  <c r="P497" i="1"/>
  <c r="O497" i="1"/>
  <c r="R506" i="1"/>
  <c r="T506" i="1"/>
  <c r="P506" i="1"/>
  <c r="O506" i="1"/>
  <c r="R513" i="1"/>
  <c r="T513" i="1"/>
  <c r="P513" i="1"/>
  <c r="O513" i="1"/>
  <c r="R531" i="1"/>
  <c r="R512" i="1"/>
  <c r="T512" i="1"/>
  <c r="P512" i="1"/>
  <c r="O512" i="1"/>
  <c r="K512" i="1"/>
  <c r="R505" i="1"/>
  <c r="T505" i="1"/>
  <c r="P505" i="1"/>
  <c r="O505" i="1"/>
  <c r="O531" i="1"/>
  <c r="R500" i="1"/>
  <c r="T500" i="1"/>
  <c r="P500" i="1"/>
  <c r="O500" i="1"/>
  <c r="K500" i="1"/>
  <c r="R509" i="1"/>
  <c r="T509" i="1"/>
  <c r="P509" i="1"/>
  <c r="O509" i="1"/>
  <c r="K511" i="1"/>
  <c r="K499" i="1"/>
  <c r="R507" i="1"/>
  <c r="R494" i="1"/>
  <c r="R501" i="1"/>
  <c r="R503" i="1"/>
  <c r="R510" i="1"/>
  <c r="R499" i="1"/>
  <c r="R523" i="1"/>
  <c r="R511" i="1"/>
  <c r="R504" i="1"/>
  <c r="R517" i="1"/>
  <c r="R502" i="1"/>
  <c r="T502" i="1"/>
  <c r="P502" i="1"/>
  <c r="O502" i="1"/>
  <c r="T517" i="1"/>
  <c r="P517" i="1"/>
  <c r="O517" i="1"/>
  <c r="T504" i="1"/>
  <c r="P504" i="1"/>
  <c r="O504" i="1"/>
  <c r="T511" i="1"/>
  <c r="P511" i="1"/>
  <c r="O511" i="1"/>
  <c r="T523" i="1"/>
  <c r="P523" i="1"/>
  <c r="O523" i="1"/>
  <c r="T499" i="1"/>
  <c r="P499" i="1"/>
  <c r="O499" i="1"/>
  <c r="T510" i="1"/>
  <c r="P510" i="1"/>
  <c r="O510" i="1"/>
  <c r="T503" i="1"/>
  <c r="P503" i="1"/>
  <c r="O503" i="1"/>
  <c r="T501" i="1"/>
  <c r="P501" i="1"/>
  <c r="O501" i="1"/>
  <c r="T494" i="1"/>
  <c r="P494" i="1"/>
  <c r="O494" i="1"/>
  <c r="T507" i="1"/>
  <c r="P507" i="1"/>
  <c r="O507" i="1"/>
  <c r="R472" i="1" l="1"/>
  <c r="H42" i="9"/>
  <c r="H28" i="9"/>
  <c r="H27" i="9"/>
  <c r="H26" i="9"/>
  <c r="H25" i="9"/>
  <c r="H35" i="9"/>
  <c r="R496" i="1"/>
  <c r="T496" i="1"/>
  <c r="P496" i="1"/>
  <c r="O496" i="1"/>
  <c r="K496" i="1"/>
  <c r="O472" i="1"/>
  <c r="R493" i="1"/>
  <c r="T493" i="1"/>
  <c r="P493" i="1"/>
  <c r="O493" i="1"/>
  <c r="K493" i="1"/>
  <c r="R487" i="1"/>
  <c r="T487" i="1"/>
  <c r="P487" i="1"/>
  <c r="O487" i="1"/>
  <c r="R459" i="1"/>
  <c r="R486" i="1"/>
  <c r="T486" i="1"/>
  <c r="P486" i="1"/>
  <c r="O486" i="1"/>
  <c r="K486" i="1"/>
  <c r="R489" i="1"/>
  <c r="T489" i="1"/>
  <c r="P489" i="1"/>
  <c r="O489" i="1"/>
  <c r="K489" i="1"/>
  <c r="R483" i="1"/>
  <c r="T483" i="1"/>
  <c r="P483" i="1"/>
  <c r="O483" i="1"/>
  <c r="R480" i="1"/>
  <c r="T480" i="1"/>
  <c r="P480" i="1"/>
  <c r="O480" i="1"/>
  <c r="K480" i="1"/>
  <c r="R495" i="1"/>
  <c r="T495" i="1"/>
  <c r="P495" i="1"/>
  <c r="O495" i="1"/>
  <c r="R492" i="1"/>
  <c r="T492" i="1"/>
  <c r="P492" i="1"/>
  <c r="O492" i="1"/>
  <c r="K492" i="1"/>
  <c r="R488" i="1"/>
  <c r="T488" i="1"/>
  <c r="P488" i="1"/>
  <c r="O488" i="1"/>
  <c r="K488" i="1"/>
  <c r="R491" i="1"/>
  <c r="T491" i="1"/>
  <c r="P491" i="1"/>
  <c r="O491" i="1"/>
  <c r="K491" i="1"/>
  <c r="R479" i="1"/>
  <c r="T479" i="1"/>
  <c r="P479" i="1"/>
  <c r="O479" i="1"/>
  <c r="K479" i="1"/>
  <c r="R476" i="1"/>
  <c r="T476" i="1"/>
  <c r="P476" i="1"/>
  <c r="O476" i="1"/>
  <c r="K476" i="1"/>
  <c r="R485" i="1" l="1"/>
  <c r="T485" i="1"/>
  <c r="P485" i="1"/>
  <c r="O485" i="1"/>
  <c r="R477" i="1"/>
  <c r="T477" i="1"/>
  <c r="P477" i="1"/>
  <c r="O477" i="1"/>
  <c r="K477" i="1"/>
  <c r="R475" i="1"/>
  <c r="T475" i="1"/>
  <c r="P475" i="1"/>
  <c r="O475" i="1"/>
  <c r="R464" i="1"/>
  <c r="T464" i="1"/>
  <c r="P464" i="1"/>
  <c r="O464" i="1"/>
  <c r="R490" i="1"/>
  <c r="T490" i="1"/>
  <c r="P490" i="1"/>
  <c r="O490" i="1"/>
  <c r="K490" i="1"/>
  <c r="R482" i="1"/>
  <c r="T482" i="1"/>
  <c r="P482" i="1"/>
  <c r="O482" i="1"/>
  <c r="K482" i="1"/>
  <c r="R469" i="1"/>
  <c r="T469" i="1"/>
  <c r="P469" i="1"/>
  <c r="O469" i="1"/>
  <c r="R481" i="1"/>
  <c r="T481" i="1"/>
  <c r="P481" i="1"/>
  <c r="O481" i="1"/>
  <c r="R474" i="1"/>
  <c r="T474" i="1"/>
  <c r="P474" i="1"/>
  <c r="O474" i="1"/>
  <c r="P531" i="1"/>
  <c r="P472" i="1"/>
  <c r="R498" i="1"/>
  <c r="T498" i="1"/>
  <c r="P498" i="1"/>
  <c r="O498" i="1"/>
  <c r="R473" i="1"/>
  <c r="T473" i="1"/>
  <c r="P473" i="1"/>
  <c r="O473" i="1"/>
  <c r="K473" i="1"/>
  <c r="R471" i="1"/>
  <c r="T471" i="1"/>
  <c r="P471" i="1"/>
  <c r="O471" i="1"/>
  <c r="R373" i="1"/>
  <c r="R468" i="1"/>
  <c r="T468" i="1"/>
  <c r="P468" i="1"/>
  <c r="O468" i="1"/>
  <c r="C27" i="2"/>
  <c r="E27" i="2" s="1"/>
  <c r="G27" i="2" s="1"/>
  <c r="I27" i="2" s="1"/>
  <c r="K27" i="2" s="1"/>
  <c r="R458" i="1"/>
  <c r="T458" i="1"/>
  <c r="P458" i="1"/>
  <c r="O458" i="1"/>
  <c r="R466" i="1"/>
  <c r="T466" i="1"/>
  <c r="P466" i="1"/>
  <c r="O466" i="1"/>
  <c r="K466" i="1"/>
  <c r="T459" i="1"/>
  <c r="P459" i="1"/>
  <c r="O459" i="1"/>
  <c r="K459" i="1"/>
  <c r="R463" i="1"/>
  <c r="T463" i="1"/>
  <c r="P463" i="1"/>
  <c r="O463" i="1"/>
  <c r="K463" i="1"/>
  <c r="R465" i="1"/>
  <c r="T465" i="1"/>
  <c r="P465" i="1"/>
  <c r="O465" i="1"/>
  <c r="R462" i="1"/>
  <c r="T462" i="1"/>
  <c r="P462" i="1"/>
  <c r="O462" i="1"/>
  <c r="K462" i="1"/>
  <c r="R467" i="1"/>
  <c r="T467" i="1"/>
  <c r="P467" i="1"/>
  <c r="O467" i="1"/>
  <c r="K467" i="1"/>
  <c r="R478" i="1"/>
  <c r="T478" i="1"/>
  <c r="P478" i="1"/>
  <c r="O478" i="1"/>
  <c r="K478" i="1"/>
  <c r="R461" i="1"/>
  <c r="T461" i="1"/>
  <c r="P461" i="1"/>
  <c r="O461" i="1"/>
  <c r="K461" i="1"/>
  <c r="R457" i="1"/>
  <c r="T457" i="1"/>
  <c r="P457" i="1"/>
  <c r="O457" i="1"/>
  <c r="K457" i="1"/>
  <c r="R449" i="1"/>
  <c r="T449" i="1"/>
  <c r="P449" i="1"/>
  <c r="O449" i="1"/>
  <c r="K449" i="1"/>
  <c r="R455" i="1"/>
  <c r="T455" i="1"/>
  <c r="P455" i="1"/>
  <c r="O455" i="1"/>
  <c r="R453" i="1" l="1"/>
  <c r="T453" i="1"/>
  <c r="P453" i="1"/>
  <c r="O453" i="1"/>
  <c r="R484" i="1"/>
  <c r="T484" i="1"/>
  <c r="P484" i="1"/>
  <c r="O484" i="1"/>
  <c r="K484" i="1"/>
  <c r="R454" i="1"/>
  <c r="T454" i="1"/>
  <c r="P454" i="1"/>
  <c r="O454" i="1"/>
  <c r="R456" i="1"/>
  <c r="T456" i="1"/>
  <c r="P456" i="1"/>
  <c r="O456" i="1"/>
  <c r="K456" i="1"/>
  <c r="R452" i="1"/>
  <c r="T452" i="1"/>
  <c r="P452" i="1"/>
  <c r="O452" i="1"/>
  <c r="H16" i="17"/>
  <c r="R448" i="1"/>
  <c r="T448" i="1"/>
  <c r="P448" i="1"/>
  <c r="O448" i="1"/>
  <c r="K448" i="1"/>
  <c r="R447" i="1"/>
  <c r="T447" i="1"/>
  <c r="P447" i="1"/>
  <c r="O447" i="1"/>
  <c r="K447" i="1"/>
  <c r="R446" i="1"/>
  <c r="T446" i="1"/>
  <c r="P446" i="1"/>
  <c r="O446" i="1"/>
  <c r="C1" i="2"/>
  <c r="R460" i="1"/>
  <c r="T460" i="1"/>
  <c r="P460" i="1"/>
  <c r="O460" i="1"/>
  <c r="K460" i="1"/>
  <c r="R443" i="1"/>
  <c r="T443" i="1"/>
  <c r="P443" i="1"/>
  <c r="O443" i="1"/>
  <c r="K443" i="1"/>
  <c r="R442" i="1"/>
  <c r="T442" i="1"/>
  <c r="P442" i="1"/>
  <c r="O442" i="1"/>
  <c r="K442" i="1"/>
  <c r="R445" i="1" l="1"/>
  <c r="T445" i="1"/>
  <c r="P445" i="1"/>
  <c r="O445" i="1"/>
  <c r="R444" i="1"/>
  <c r="T444" i="1"/>
  <c r="P444" i="1"/>
  <c r="O444" i="1"/>
  <c r="R451" i="1"/>
  <c r="T451" i="1"/>
  <c r="P451" i="1"/>
  <c r="O451" i="1"/>
  <c r="K451" i="1"/>
  <c r="R441" i="1"/>
  <c r="T441" i="1"/>
  <c r="P441" i="1"/>
  <c r="O441" i="1"/>
  <c r="B53" i="6"/>
  <c r="B26" i="6"/>
  <c r="B1" i="6"/>
  <c r="R440" i="1"/>
  <c r="T440" i="1"/>
  <c r="P440" i="1"/>
  <c r="O440" i="1"/>
  <c r="K440" i="1"/>
  <c r="R430" i="1"/>
  <c r="T430" i="1"/>
  <c r="P430" i="1"/>
  <c r="O430" i="1"/>
  <c r="K430" i="1"/>
  <c r="I5" i="6"/>
  <c r="I6" i="6" s="1"/>
  <c r="F10" i="6"/>
  <c r="F9" i="6"/>
  <c r="F8" i="6"/>
  <c r="F7" i="6"/>
  <c r="F6" i="6"/>
  <c r="F5" i="6"/>
  <c r="C11" i="6"/>
  <c r="C10" i="6"/>
  <c r="F13" i="6" l="1"/>
  <c r="R431" i="1"/>
  <c r="T431" i="1"/>
  <c r="P431" i="1"/>
  <c r="O431" i="1"/>
  <c r="R435" i="1"/>
  <c r="T435" i="1"/>
  <c r="P435" i="1"/>
  <c r="O435" i="1"/>
  <c r="R434" i="1"/>
  <c r="T434" i="1"/>
  <c r="P434" i="1"/>
  <c r="O434" i="1"/>
  <c r="R428" i="1"/>
  <c r="T428" i="1"/>
  <c r="P428" i="1"/>
  <c r="O428" i="1"/>
  <c r="R385" i="1" l="1"/>
  <c r="R433" i="1"/>
  <c r="T433" i="1"/>
  <c r="P433" i="1"/>
  <c r="O433" i="1"/>
  <c r="K433" i="1"/>
  <c r="R437" i="1" l="1"/>
  <c r="T437" i="1"/>
  <c r="P437" i="1"/>
  <c r="O437" i="1"/>
  <c r="K437" i="1"/>
  <c r="R427" i="1"/>
  <c r="T427" i="1"/>
  <c r="P427" i="1"/>
  <c r="O427" i="1"/>
  <c r="R438" i="1"/>
  <c r="T438" i="1"/>
  <c r="P438" i="1"/>
  <c r="O438" i="1"/>
  <c r="K438" i="1"/>
  <c r="R436" i="1"/>
  <c r="T436" i="1"/>
  <c r="P436" i="1"/>
  <c r="O436" i="1"/>
  <c r="K388" i="1"/>
  <c r="K415" i="1"/>
  <c r="K412" i="1"/>
  <c r="R425" i="1"/>
  <c r="T425" i="1"/>
  <c r="P425" i="1"/>
  <c r="O425" i="1"/>
  <c r="K425" i="1"/>
  <c r="R421" i="1"/>
  <c r="T421" i="1"/>
  <c r="P421" i="1"/>
  <c r="O421" i="1"/>
  <c r="R439" i="1"/>
  <c r="T439" i="1"/>
  <c r="P439" i="1"/>
  <c r="O439" i="1"/>
  <c r="R432" i="1"/>
  <c r="T432" i="1"/>
  <c r="P432" i="1"/>
  <c r="O432" i="1"/>
  <c r="T423" i="1"/>
  <c r="P423" i="1"/>
  <c r="O423" i="1"/>
  <c r="K423" i="1"/>
  <c r="R426" i="1"/>
  <c r="T426" i="1"/>
  <c r="P426" i="1"/>
  <c r="O426" i="1"/>
  <c r="K426" i="1"/>
  <c r="R429" i="1"/>
  <c r="T429" i="1"/>
  <c r="P429" i="1"/>
  <c r="O429" i="1"/>
  <c r="K429" i="1"/>
  <c r="R419" i="1"/>
  <c r="T419" i="1"/>
  <c r="P419" i="1"/>
  <c r="O419" i="1"/>
  <c r="R422" i="1"/>
  <c r="T422" i="1"/>
  <c r="P422" i="1"/>
  <c r="O422" i="1"/>
  <c r="K422" i="1"/>
  <c r="R424" i="1"/>
  <c r="T424" i="1"/>
  <c r="P424" i="1"/>
  <c r="O424" i="1"/>
  <c r="R418" i="1"/>
  <c r="T418" i="1"/>
  <c r="P418" i="1"/>
  <c r="O418" i="1"/>
  <c r="R450" i="1"/>
  <c r="T450" i="1"/>
  <c r="P450" i="1"/>
  <c r="O450" i="1"/>
  <c r="K450" i="1"/>
  <c r="R470" i="1"/>
  <c r="T470" i="1"/>
  <c r="P470" i="1"/>
  <c r="O470" i="1"/>
  <c r="K470" i="1"/>
  <c r="R410" i="1"/>
  <c r="T410" i="1"/>
  <c r="P410" i="1"/>
  <c r="O410" i="1"/>
  <c r="R416" i="1"/>
  <c r="T416" i="1"/>
  <c r="P416" i="1"/>
  <c r="O416" i="1"/>
  <c r="K416" i="1"/>
  <c r="R412" i="1"/>
  <c r="T412" i="1"/>
  <c r="P412" i="1"/>
  <c r="O412" i="1"/>
  <c r="T420" i="1"/>
  <c r="P420" i="1"/>
  <c r="O420" i="1"/>
  <c r="K420" i="1"/>
  <c r="R414" i="1" l="1"/>
  <c r="T414" i="1"/>
  <c r="P414" i="1"/>
  <c r="O414" i="1"/>
  <c r="K414" i="1"/>
  <c r="R415" i="1"/>
  <c r="T415" i="1"/>
  <c r="P415" i="1"/>
  <c r="O415" i="1"/>
  <c r="R413" i="1"/>
  <c r="T413" i="1"/>
  <c r="P413" i="1"/>
  <c r="O413" i="1"/>
  <c r="R417" i="1"/>
  <c r="T417" i="1"/>
  <c r="P417" i="1"/>
  <c r="O417" i="1"/>
  <c r="K417" i="1"/>
  <c r="R406" i="1"/>
  <c r="T406" i="1"/>
  <c r="P406" i="1"/>
  <c r="O406" i="1"/>
  <c r="K406" i="1"/>
  <c r="R409" i="1"/>
  <c r="T409" i="1"/>
  <c r="P409" i="1"/>
  <c r="O409" i="1"/>
  <c r="K409" i="1"/>
  <c r="R408" i="1"/>
  <c r="T408" i="1"/>
  <c r="P408" i="1"/>
  <c r="O408" i="1"/>
  <c r="K408" i="1"/>
  <c r="R407" i="1"/>
  <c r="T407" i="1"/>
  <c r="P407" i="1"/>
  <c r="O407" i="1"/>
  <c r="K407" i="1"/>
  <c r="R411" i="1"/>
  <c r="T411" i="1"/>
  <c r="P411" i="1"/>
  <c r="O411" i="1"/>
  <c r="K411" i="1"/>
  <c r="R405" i="1"/>
  <c r="T405" i="1"/>
  <c r="P405" i="1"/>
  <c r="O405" i="1"/>
  <c r="K405" i="1"/>
  <c r="R404" i="1"/>
  <c r="T404" i="1"/>
  <c r="P404" i="1"/>
  <c r="O404" i="1"/>
  <c r="R403" i="1"/>
  <c r="T403" i="1"/>
  <c r="P403" i="1"/>
  <c r="O403" i="1"/>
  <c r="R402" i="1"/>
  <c r="T402" i="1"/>
  <c r="P402" i="1"/>
  <c r="O402" i="1"/>
  <c r="R401" i="1"/>
  <c r="T401" i="1"/>
  <c r="P401" i="1"/>
  <c r="O401" i="1"/>
  <c r="K401" i="1"/>
  <c r="R400" i="1"/>
  <c r="T400" i="1"/>
  <c r="P400" i="1"/>
  <c r="O400" i="1"/>
  <c r="R399" i="1"/>
  <c r="T399" i="1"/>
  <c r="P399" i="1"/>
  <c r="O399" i="1"/>
  <c r="K399"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2" i="1" l="1"/>
  <c r="R398" i="1"/>
  <c r="T398" i="1"/>
  <c r="P398" i="1"/>
  <c r="O398" i="1"/>
  <c r="R397" i="1"/>
  <c r="T397" i="1"/>
  <c r="P397" i="1"/>
  <c r="O397" i="1"/>
  <c r="K397" i="1"/>
  <c r="R396" i="1"/>
  <c r="T396" i="1"/>
  <c r="P396" i="1"/>
  <c r="O396" i="1"/>
  <c r="R395" i="1"/>
  <c r="T395" i="1"/>
  <c r="P395" i="1"/>
  <c r="O395" i="1"/>
  <c r="K395" i="1"/>
  <c r="R394" i="1"/>
  <c r="T394" i="1"/>
  <c r="P394" i="1"/>
  <c r="O394" i="1"/>
  <c r="K394" i="1"/>
  <c r="R393" i="1"/>
  <c r="T393" i="1"/>
  <c r="P393" i="1"/>
  <c r="O393" i="1"/>
  <c r="K393" i="1"/>
  <c r="R392" i="1"/>
  <c r="T392" i="1"/>
  <c r="P392" i="1"/>
  <c r="O392" i="1"/>
  <c r="K392" i="1"/>
  <c r="R391" i="1"/>
  <c r="T391" i="1"/>
  <c r="P391" i="1"/>
  <c r="O391" i="1"/>
  <c r="R390" i="1"/>
  <c r="T390" i="1"/>
  <c r="P390" i="1"/>
  <c r="O390" i="1"/>
  <c r="K390" i="1"/>
  <c r="T389" i="1"/>
  <c r="P389" i="1"/>
  <c r="O389" i="1"/>
  <c r="R388" i="1"/>
  <c r="T388" i="1"/>
  <c r="P388" i="1"/>
  <c r="O388" i="1"/>
  <c r="B3" i="23"/>
  <c r="A3" i="23" s="1"/>
  <c r="A2" i="23"/>
  <c r="T352" i="1"/>
  <c r="P352" i="1"/>
  <c r="O352" i="1"/>
  <c r="K371" i="1"/>
  <c r="T387" i="1"/>
  <c r="P387" i="1"/>
  <c r="O387" i="1"/>
  <c r="K387" i="1"/>
  <c r="R386" i="1"/>
  <c r="T386" i="1"/>
  <c r="P386" i="1"/>
  <c r="O386" i="1"/>
  <c r="K386" i="1"/>
  <c r="K365" i="1"/>
  <c r="T385" i="1"/>
  <c r="P385" i="1"/>
  <c r="O385" i="1"/>
  <c r="F59" i="6" s="1"/>
  <c r="R384" i="1"/>
  <c r="T384" i="1"/>
  <c r="P384" i="1"/>
  <c r="O384" i="1"/>
  <c r="R383" i="1"/>
  <c r="T383" i="1"/>
  <c r="P383" i="1"/>
  <c r="O383" i="1"/>
  <c r="R382" i="1"/>
  <c r="T382" i="1"/>
  <c r="P382" i="1"/>
  <c r="O382" i="1"/>
  <c r="R381" i="1"/>
  <c r="T381" i="1"/>
  <c r="P381" i="1"/>
  <c r="O381" i="1"/>
  <c r="R380" i="1"/>
  <c r="T380" i="1"/>
  <c r="P380" i="1"/>
  <c r="O380" i="1"/>
  <c r="R379" i="1"/>
  <c r="T379" i="1"/>
  <c r="P379" i="1"/>
  <c r="O379" i="1"/>
  <c r="R378" i="1"/>
  <c r="T378" i="1"/>
  <c r="P378" i="1"/>
  <c r="O378" i="1"/>
  <c r="R377" i="1"/>
  <c r="T377" i="1"/>
  <c r="P377" i="1"/>
  <c r="O377" i="1"/>
  <c r="R376" i="1"/>
  <c r="T376" i="1"/>
  <c r="P376" i="1"/>
  <c r="O376" i="1"/>
  <c r="R375" i="1"/>
  <c r="T375" i="1"/>
  <c r="P375" i="1"/>
  <c r="O375" i="1"/>
  <c r="R374" i="1"/>
  <c r="T374" i="1"/>
  <c r="P374" i="1"/>
  <c r="O374" i="1"/>
  <c r="T373" i="1"/>
  <c r="P373" i="1"/>
  <c r="O373" i="1"/>
  <c r="H11" i="25" s="1"/>
  <c r="R372" i="1"/>
  <c r="T372" i="1"/>
  <c r="P372" i="1"/>
  <c r="O372" i="1"/>
  <c r="R371" i="1"/>
  <c r="T371" i="1"/>
  <c r="P371" i="1"/>
  <c r="O371" i="1"/>
  <c r="R370" i="1"/>
  <c r="T370" i="1"/>
  <c r="P370" i="1"/>
  <c r="O370" i="1"/>
  <c r="K370" i="1"/>
  <c r="R369" i="1"/>
  <c r="T369" i="1"/>
  <c r="P369" i="1"/>
  <c r="O369" i="1"/>
  <c r="R368" i="1"/>
  <c r="T368" i="1"/>
  <c r="P368" i="1"/>
  <c r="O368" i="1"/>
  <c r="R367" i="1"/>
  <c r="T367" i="1"/>
  <c r="P367" i="1"/>
  <c r="O367" i="1"/>
  <c r="R366" i="1"/>
  <c r="T366" i="1"/>
  <c r="P366" i="1"/>
  <c r="O366" i="1"/>
  <c r="K366" i="1"/>
  <c r="R365" i="1"/>
  <c r="T365" i="1"/>
  <c r="P365" i="1"/>
  <c r="O365" i="1"/>
  <c r="R364" i="1"/>
  <c r="T364" i="1"/>
  <c r="P364" i="1"/>
  <c r="O364" i="1"/>
  <c r="R363" i="1"/>
  <c r="T363" i="1"/>
  <c r="P363" i="1"/>
  <c r="R362" i="1"/>
  <c r="T362" i="1"/>
  <c r="P362" i="1"/>
  <c r="O362" i="1"/>
  <c r="K362" i="1"/>
  <c r="R361" i="1"/>
  <c r="T361" i="1"/>
  <c r="P361" i="1"/>
  <c r="O361" i="1"/>
  <c r="R360" i="1"/>
  <c r="T360" i="1"/>
  <c r="P360" i="1"/>
  <c r="O360" i="1"/>
  <c r="R359" i="1"/>
  <c r="T359" i="1"/>
  <c r="P359" i="1"/>
  <c r="O359" i="1"/>
  <c r="R358" i="1"/>
  <c r="T358" i="1"/>
  <c r="P358" i="1"/>
  <c r="O358" i="1"/>
  <c r="K358" i="1"/>
  <c r="AB44" i="3"/>
  <c r="Y44" i="3"/>
  <c r="V44" i="3"/>
  <c r="S44" i="3"/>
  <c r="P44" i="3"/>
  <c r="M44" i="3"/>
  <c r="J44" i="3"/>
  <c r="G44" i="3"/>
  <c r="D44" i="3"/>
  <c r="AN22" i="3"/>
  <c r="AK22" i="3"/>
  <c r="AH22" i="3"/>
  <c r="AE22" i="3"/>
  <c r="AB22" i="3"/>
  <c r="Y22" i="3"/>
  <c r="V22" i="3"/>
  <c r="S22" i="3"/>
  <c r="P22" i="3"/>
  <c r="M22" i="3"/>
  <c r="J22" i="3"/>
  <c r="G22" i="3"/>
  <c r="D22" i="3"/>
  <c r="R357" i="1"/>
  <c r="T357" i="1"/>
  <c r="P357" i="1"/>
  <c r="O357" i="1"/>
  <c r="R356" i="1"/>
  <c r="T356" i="1"/>
  <c r="P356" i="1"/>
  <c r="O356" i="1"/>
  <c r="R355" i="1"/>
  <c r="T355" i="1"/>
  <c r="P355" i="1"/>
  <c r="O355" i="1"/>
  <c r="R354" i="1"/>
  <c r="T354" i="1"/>
  <c r="P354" i="1"/>
  <c r="O354" i="1"/>
  <c r="R353" i="1"/>
  <c r="T353" i="1"/>
  <c r="P353" i="1"/>
  <c r="O353" i="1"/>
  <c r="K347" i="1"/>
  <c r="K348" i="1"/>
  <c r="K350" i="1"/>
  <c r="K351" i="1"/>
  <c r="K345" i="1"/>
  <c r="R351" i="1"/>
  <c r="T351" i="1"/>
  <c r="P351" i="1"/>
  <c r="O351" i="1"/>
  <c r="R350" i="1"/>
  <c r="T350" i="1"/>
  <c r="P350" i="1"/>
  <c r="O350" i="1"/>
  <c r="R349" i="1"/>
  <c r="T349" i="1"/>
  <c r="P349" i="1"/>
  <c r="O349" i="1"/>
  <c r="R348" i="1"/>
  <c r="T348" i="1"/>
  <c r="P348" i="1"/>
  <c r="O348" i="1"/>
  <c r="R347" i="1"/>
  <c r="T347" i="1"/>
  <c r="P347" i="1"/>
  <c r="O347" i="1"/>
  <c r="R346" i="1"/>
  <c r="T346" i="1"/>
  <c r="P346" i="1"/>
  <c r="O346" i="1"/>
  <c r="AQ59" i="24" l="1"/>
  <c r="H40" i="9"/>
  <c r="H39" i="9"/>
  <c r="H41" i="9"/>
  <c r="H33" i="9"/>
  <c r="H34" i="9"/>
  <c r="H32" i="9"/>
  <c r="I57" i="6"/>
  <c r="I58" i="6" s="1"/>
  <c r="F62" i="6"/>
  <c r="F35" i="6"/>
  <c r="I30" i="6"/>
  <c r="I31" i="6" s="1"/>
  <c r="F32" i="6"/>
  <c r="B4" i="23"/>
  <c r="N10" i="17"/>
  <c r="N9" i="17"/>
  <c r="N11" i="17"/>
  <c r="R345" i="1"/>
  <c r="T345" i="1"/>
  <c r="P345" i="1"/>
  <c r="O345" i="1"/>
  <c r="R344" i="1"/>
  <c r="T344" i="1"/>
  <c r="P344" i="1"/>
  <c r="O344" i="1"/>
  <c r="R343" i="1"/>
  <c r="T343" i="1"/>
  <c r="P343" i="1"/>
  <c r="O343" i="1"/>
  <c r="R342" i="1"/>
  <c r="T342" i="1"/>
  <c r="P342" i="1"/>
  <c r="O342" i="1"/>
  <c r="K342" i="1"/>
  <c r="R341" i="1"/>
  <c r="T341" i="1"/>
  <c r="P341" i="1"/>
  <c r="O341" i="1"/>
  <c r="K341" i="1"/>
  <c r="R340" i="1"/>
  <c r="T340" i="1"/>
  <c r="P340" i="1"/>
  <c r="O340" i="1"/>
  <c r="R339" i="1"/>
  <c r="T339" i="1"/>
  <c r="P339" i="1"/>
  <c r="O339" i="1"/>
  <c r="K339" i="1"/>
  <c r="R338" i="1"/>
  <c r="T338" i="1"/>
  <c r="P338" i="1"/>
  <c r="O338" i="1"/>
  <c r="K338" i="1"/>
  <c r="R337" i="1"/>
  <c r="T337" i="1"/>
  <c r="P337" i="1"/>
  <c r="O337" i="1"/>
  <c r="K337" i="1"/>
  <c r="R336" i="1"/>
  <c r="T336" i="1"/>
  <c r="P336" i="1"/>
  <c r="O336" i="1"/>
  <c r="R335" i="1"/>
  <c r="T335" i="1"/>
  <c r="P335" i="1"/>
  <c r="O335" i="1"/>
  <c r="C35" i="6"/>
  <c r="C62" i="6"/>
  <c r="R264" i="1"/>
  <c r="R268" i="1"/>
  <c r="R274" i="1"/>
  <c r="R275" i="1"/>
  <c r="R265" i="1"/>
  <c r="R281" i="1"/>
  <c r="R305" i="1"/>
  <c r="R263" i="1"/>
  <c r="R272" i="1"/>
  <c r="R282" i="1"/>
  <c r="R301" i="1"/>
  <c r="R271" i="1"/>
  <c r="R302" i="1"/>
  <c r="R284" i="1"/>
  <c r="R285" i="1"/>
  <c r="R286" i="1"/>
  <c r="R317" i="1"/>
  <c r="R270" i="1"/>
  <c r="R291" i="1"/>
  <c r="R296" i="1"/>
  <c r="R288" i="1"/>
  <c r="R292" i="1"/>
  <c r="R300" i="1"/>
  <c r="R306" i="1"/>
  <c r="R298" i="1"/>
  <c r="R295" i="1"/>
  <c r="R307" i="1"/>
  <c r="R280" i="1"/>
  <c r="R287" i="1"/>
  <c r="R293" i="1"/>
  <c r="R299" i="1"/>
  <c r="R283" i="1"/>
  <c r="R309" i="1"/>
  <c r="R290" i="1"/>
  <c r="R294" i="1"/>
  <c r="R313" i="1"/>
  <c r="R320" i="1"/>
  <c r="R297" i="1"/>
  <c r="R308" i="1"/>
  <c r="R323" i="1"/>
  <c r="R316" i="1"/>
  <c r="R304" i="1"/>
  <c r="R310" i="1"/>
  <c r="R322" i="1"/>
  <c r="R319" i="1"/>
  <c r="R303" i="1"/>
  <c r="R311" i="1"/>
  <c r="R312" i="1"/>
  <c r="R315" i="1"/>
  <c r="R314" i="1"/>
  <c r="R324" i="1"/>
  <c r="R326" i="1"/>
  <c r="R318" i="1"/>
  <c r="R321" i="1"/>
  <c r="R325" i="1"/>
  <c r="R327" i="1"/>
  <c r="R328" i="1"/>
  <c r="R329" i="1"/>
  <c r="R330" i="1"/>
  <c r="R331" i="1"/>
  <c r="R332" i="1"/>
  <c r="R333" i="1"/>
  <c r="R334" i="1"/>
  <c r="T334" i="1"/>
  <c r="P334" i="1"/>
  <c r="O334" i="1"/>
  <c r="T333" i="1"/>
  <c r="P333" i="1"/>
  <c r="O333" i="1"/>
  <c r="T332" i="1"/>
  <c r="P332" i="1"/>
  <c r="O332" i="1"/>
  <c r="T331" i="1"/>
  <c r="P331" i="1"/>
  <c r="O331" i="1"/>
  <c r="T330" i="1"/>
  <c r="P330" i="1"/>
  <c r="O330" i="1"/>
  <c r="T329" i="1"/>
  <c r="P329" i="1"/>
  <c r="O329" i="1"/>
  <c r="T328" i="1"/>
  <c r="P328" i="1"/>
  <c r="O328" i="1"/>
  <c r="T327" i="1"/>
  <c r="P327" i="1"/>
  <c r="O327" i="1"/>
  <c r="K327" i="1"/>
  <c r="T326" i="1"/>
  <c r="P326" i="1"/>
  <c r="O326" i="1"/>
  <c r="K326" i="1"/>
  <c r="T325" i="1"/>
  <c r="P325" i="1"/>
  <c r="O325" i="1"/>
  <c r="K325" i="1"/>
  <c r="K314" i="1"/>
  <c r="K321" i="1"/>
  <c r="K322" i="1"/>
  <c r="K319" i="1"/>
  <c r="K303" i="1"/>
  <c r="K311" i="1"/>
  <c r="K312" i="1"/>
  <c r="K318" i="1"/>
  <c r="K310" i="1"/>
  <c r="K316" i="1"/>
  <c r="K313" i="1"/>
  <c r="K320" i="1"/>
  <c r="K297" i="1"/>
  <c r="K308" i="1"/>
  <c r="K323" i="1"/>
  <c r="K294" i="1"/>
  <c r="K302" i="1"/>
  <c r="K309" i="1"/>
  <c r="K283" i="1"/>
  <c r="K295" i="1"/>
  <c r="K307" i="1"/>
  <c r="K280" i="1"/>
  <c r="K293" i="1"/>
  <c r="K305" i="1"/>
  <c r="K284" i="1"/>
  <c r="K285" i="1"/>
  <c r="K286" i="1"/>
  <c r="K317" i="1"/>
  <c r="K270" i="1"/>
  <c r="K291" i="1"/>
  <c r="K296" i="1"/>
  <c r="K288" i="1"/>
  <c r="K292" i="1"/>
  <c r="K300" i="1"/>
  <c r="K306" i="1"/>
  <c r="K271" i="1"/>
  <c r="K272" i="1"/>
  <c r="K282" i="1"/>
  <c r="K263" i="1"/>
  <c r="K265" i="1"/>
  <c r="K275" i="1"/>
  <c r="K276" i="1"/>
  <c r="K264" i="1"/>
  <c r="K268" i="1"/>
  <c r="T324" i="1"/>
  <c r="P324" i="1"/>
  <c r="O324" i="1"/>
  <c r="T323" i="1"/>
  <c r="P323" i="1"/>
  <c r="O323" i="1"/>
  <c r="T322" i="1"/>
  <c r="P322" i="1"/>
  <c r="O322" i="1"/>
  <c r="T321" i="1"/>
  <c r="P321" i="1"/>
  <c r="O321" i="1"/>
  <c r="T320" i="1"/>
  <c r="P320" i="1"/>
  <c r="O320" i="1"/>
  <c r="T319" i="1"/>
  <c r="P319" i="1"/>
  <c r="O319" i="1"/>
  <c r="T318" i="1"/>
  <c r="P318" i="1"/>
  <c r="O318" i="1"/>
  <c r="T317" i="1"/>
  <c r="P317" i="1"/>
  <c r="O317" i="1"/>
  <c r="T316" i="1"/>
  <c r="P316" i="1"/>
  <c r="O316" i="1"/>
  <c r="T315" i="1"/>
  <c r="P315" i="1"/>
  <c r="O315" i="1"/>
  <c r="T314" i="1"/>
  <c r="P314" i="1"/>
  <c r="O314" i="1"/>
  <c r="T312" i="1"/>
  <c r="P312" i="1"/>
  <c r="O312" i="1"/>
  <c r="T311" i="1"/>
  <c r="P311" i="1"/>
  <c r="O311" i="1"/>
  <c r="T299" i="1"/>
  <c r="P299" i="1"/>
  <c r="O299" i="1"/>
  <c r="T303" i="1"/>
  <c r="P303" i="1"/>
  <c r="O303" i="1"/>
  <c r="T310" i="1"/>
  <c r="P310" i="1"/>
  <c r="O310" i="1"/>
  <c r="T304" i="1"/>
  <c r="P304" i="1"/>
  <c r="O304" i="1"/>
  <c r="T308" i="1"/>
  <c r="P308" i="1"/>
  <c r="O308" i="1"/>
  <c r="T297" i="1"/>
  <c r="P297" i="1"/>
  <c r="O297" i="1"/>
  <c r="T313" i="1"/>
  <c r="P313" i="1"/>
  <c r="O313" i="1"/>
  <c r="T294" i="1"/>
  <c r="P294" i="1"/>
  <c r="O294" i="1"/>
  <c r="T290" i="1"/>
  <c r="P290" i="1"/>
  <c r="O290" i="1"/>
  <c r="T309" i="1"/>
  <c r="P309" i="1"/>
  <c r="O309" i="1"/>
  <c r="T302" i="1"/>
  <c r="P302" i="1"/>
  <c r="O302" i="1"/>
  <c r="T283" i="1"/>
  <c r="P283" i="1"/>
  <c r="O283" i="1"/>
  <c r="T293" i="1"/>
  <c r="P293" i="1"/>
  <c r="O293" i="1"/>
  <c r="T287" i="1"/>
  <c r="P287" i="1"/>
  <c r="O287" i="1"/>
  <c r="T280" i="1"/>
  <c r="P280" i="1"/>
  <c r="O280" i="1"/>
  <c r="T307" i="1"/>
  <c r="P307" i="1"/>
  <c r="O307" i="1"/>
  <c r="T306" i="1"/>
  <c r="P306" i="1"/>
  <c r="O306" i="1"/>
  <c r="T295" i="1"/>
  <c r="P295" i="1"/>
  <c r="O295" i="1"/>
  <c r="T300" i="1"/>
  <c r="P300" i="1"/>
  <c r="O300" i="1"/>
  <c r="T298" i="1"/>
  <c r="P298" i="1"/>
  <c r="O298" i="1"/>
  <c r="T292" i="1"/>
  <c r="P292" i="1"/>
  <c r="O292" i="1"/>
  <c r="T288" i="1"/>
  <c r="P288" i="1"/>
  <c r="O288" i="1"/>
  <c r="T296" i="1"/>
  <c r="P296" i="1"/>
  <c r="O296" i="1"/>
  <c r="T291" i="1"/>
  <c r="P291" i="1"/>
  <c r="O291" i="1"/>
  <c r="T270" i="1"/>
  <c r="P270" i="1"/>
  <c r="O270" i="1"/>
  <c r="T286" i="1"/>
  <c r="P286" i="1"/>
  <c r="O286" i="1"/>
  <c r="T285" i="1"/>
  <c r="P285" i="1"/>
  <c r="O285" i="1"/>
  <c r="T284" i="1"/>
  <c r="P284" i="1"/>
  <c r="O284" i="1"/>
  <c r="T305" i="1"/>
  <c r="P305" i="1"/>
  <c r="O305" i="1"/>
  <c r="T271" i="1"/>
  <c r="P271" i="1"/>
  <c r="O271" i="1"/>
  <c r="T301" i="1"/>
  <c r="P301" i="1"/>
  <c r="O301" i="1"/>
  <c r="T282" i="1"/>
  <c r="P282" i="1"/>
  <c r="O282" i="1"/>
  <c r="T272" i="1"/>
  <c r="P272" i="1"/>
  <c r="O272" i="1"/>
  <c r="T263" i="1"/>
  <c r="P263" i="1"/>
  <c r="O263" i="1"/>
  <c r="T281" i="1"/>
  <c r="P281" i="1"/>
  <c r="O281" i="1"/>
  <c r="T265" i="1"/>
  <c r="P265" i="1"/>
  <c r="O265" i="1"/>
  <c r="T275" i="1"/>
  <c r="P275" i="1"/>
  <c r="O275" i="1"/>
  <c r="T274" i="1"/>
  <c r="P274" i="1"/>
  <c r="O274" i="1"/>
  <c r="T268" i="1"/>
  <c r="P268" i="1"/>
  <c r="O268" i="1"/>
  <c r="T264" i="1"/>
  <c r="P264" i="1"/>
  <c r="O264" i="1"/>
  <c r="R242" i="1"/>
  <c r="H10" i="25" l="1"/>
  <c r="AQ31" i="24"/>
  <c r="AQ58" i="24"/>
  <c r="H43" i="9"/>
  <c r="H36" i="9"/>
  <c r="H29" i="9"/>
  <c r="F61" i="6"/>
  <c r="F60" i="6"/>
  <c r="F34" i="6"/>
  <c r="F33" i="6"/>
  <c r="A4" i="23"/>
  <c r="B5" i="23"/>
  <c r="R254" i="1"/>
  <c r="R289" i="1"/>
  <c r="T289" i="1"/>
  <c r="P289" i="1"/>
  <c r="O289" i="1"/>
  <c r="K289" i="1"/>
  <c r="R276" i="1"/>
  <c r="R258" i="1"/>
  <c r="R278" i="1"/>
  <c r="R273" i="1"/>
  <c r="R261" i="1"/>
  <c r="R257" i="1"/>
  <c r="R262" i="1"/>
  <c r="R277" i="1"/>
  <c r="R269" i="1"/>
  <c r="R256" i="1"/>
  <c r="R260" i="1"/>
  <c r="R251" i="1"/>
  <c r="R267" i="1"/>
  <c r="R266" i="1"/>
  <c r="R279" i="1"/>
  <c r="R255" i="1"/>
  <c r="R253" i="1"/>
  <c r="R247" i="1"/>
  <c r="R246" i="1"/>
  <c r="R245" i="1"/>
  <c r="R250" i="1"/>
  <c r="R244" i="1"/>
  <c r="R249" i="1"/>
  <c r="R243" i="1"/>
  <c r="R252" i="1"/>
  <c r="R248" i="1"/>
  <c r="R241" i="1"/>
  <c r="R240" i="1"/>
  <c r="R239" i="1"/>
  <c r="R238" i="1"/>
  <c r="R237" i="1"/>
  <c r="R236" i="1"/>
  <c r="R235" i="1"/>
  <c r="R234" i="1"/>
  <c r="R233" i="1"/>
  <c r="R232" i="1"/>
  <c r="R231" i="1"/>
  <c r="R230" i="1"/>
  <c r="R229" i="1"/>
  <c r="R228" i="1"/>
  <c r="R227" i="1"/>
  <c r="R226" i="1"/>
  <c r="R225" i="1"/>
  <c r="R224" i="1"/>
  <c r="R223" i="1"/>
  <c r="R222" i="1"/>
  <c r="R221" i="1"/>
  <c r="R3"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K256" i="1"/>
  <c r="K257" i="1"/>
  <c r="K258" i="1"/>
  <c r="K259" i="1"/>
  <c r="K260" i="1"/>
  <c r="K261" i="1"/>
  <c r="K262" i="1"/>
  <c r="K266" i="1"/>
  <c r="K269" i="1"/>
  <c r="K273" i="1"/>
  <c r="K278" i="1"/>
  <c r="K279" i="1"/>
  <c r="T279" i="1"/>
  <c r="P279" i="1"/>
  <c r="O279" i="1"/>
  <c r="T278" i="1"/>
  <c r="P278" i="1"/>
  <c r="O278" i="1"/>
  <c r="T277" i="1"/>
  <c r="P277" i="1"/>
  <c r="O277" i="1"/>
  <c r="F58" i="6" s="1"/>
  <c r="T276" i="1"/>
  <c r="P276" i="1"/>
  <c r="O276" i="1"/>
  <c r="T273" i="1"/>
  <c r="P273" i="1"/>
  <c r="O273" i="1"/>
  <c r="T269" i="1"/>
  <c r="P269" i="1"/>
  <c r="O269" i="1"/>
  <c r="T267" i="1"/>
  <c r="P267" i="1"/>
  <c r="O267" i="1"/>
  <c r="F57" i="6" s="1"/>
  <c r="T266" i="1"/>
  <c r="P266" i="1"/>
  <c r="O266" i="1"/>
  <c r="T262" i="1"/>
  <c r="P262" i="1"/>
  <c r="O262" i="1"/>
  <c r="H3" i="21"/>
  <c r="E3" i="21"/>
  <c r="B3" i="21"/>
  <c r="B2" i="22"/>
  <c r="C2" i="19"/>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9" i="1"/>
  <c r="K137" i="1"/>
  <c r="K138"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3"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4" i="1"/>
  <c r="C9" i="6"/>
  <c r="C8" i="6"/>
  <c r="C31" i="9"/>
  <c r="T261" i="1"/>
  <c r="P261" i="1"/>
  <c r="O261" i="1"/>
  <c r="A8" i="7" l="1"/>
  <c r="A9" i="7"/>
  <c r="A10" i="7"/>
  <c r="A6" i="7"/>
  <c r="A7" i="7"/>
  <c r="F65" i="6"/>
  <c r="AQ75" i="24"/>
  <c r="AQ14" i="24"/>
  <c r="C34" i="6"/>
  <c r="F31" i="6"/>
  <c r="F30" i="6"/>
  <c r="A5" i="23"/>
  <c r="B6" i="23"/>
  <c r="C36" i="6"/>
  <c r="C61" i="6"/>
  <c r="C63" i="6"/>
  <c r="T260" i="1"/>
  <c r="P260" i="1"/>
  <c r="O260" i="1"/>
  <c r="C11" i="9" s="1"/>
  <c r="A11" i="7" l="1"/>
  <c r="B8" i="7" s="1"/>
  <c r="F38" i="6"/>
  <c r="A6" i="23"/>
  <c r="B7" i="23"/>
  <c r="C45" i="9"/>
  <c r="T259" i="1"/>
  <c r="P259" i="1"/>
  <c r="O259" i="1"/>
  <c r="T258" i="1"/>
  <c r="P258" i="1"/>
  <c r="O258" i="1"/>
  <c r="T257" i="1"/>
  <c r="P257" i="1"/>
  <c r="O257" i="1"/>
  <c r="T256" i="1"/>
  <c r="P256" i="1"/>
  <c r="O256" i="1"/>
  <c r="T255" i="1"/>
  <c r="P255" i="1"/>
  <c r="O255" i="1"/>
  <c r="T254" i="1"/>
  <c r="P254" i="1"/>
  <c r="O254" i="1"/>
  <c r="T253" i="1"/>
  <c r="P253" i="1"/>
  <c r="O253" i="1"/>
  <c r="T241" i="1"/>
  <c r="P241" i="1"/>
  <c r="O241" i="1"/>
  <c r="T251" i="1"/>
  <c r="P251" i="1"/>
  <c r="O251" i="1"/>
  <c r="T250" i="1"/>
  <c r="P250" i="1"/>
  <c r="O250" i="1"/>
  <c r="T249" i="1"/>
  <c r="P249" i="1"/>
  <c r="O249" i="1"/>
  <c r="T248" i="1"/>
  <c r="P248" i="1"/>
  <c r="O248" i="1"/>
  <c r="T247" i="1"/>
  <c r="P247" i="1"/>
  <c r="O247" i="1"/>
  <c r="T246" i="1"/>
  <c r="P246" i="1"/>
  <c r="O246" i="1"/>
  <c r="T245" i="1"/>
  <c r="P245" i="1"/>
  <c r="O245" i="1"/>
  <c r="B9" i="7" l="1"/>
  <c r="B10" i="7"/>
  <c r="B7" i="7"/>
  <c r="A7" i="23"/>
  <c r="B8" i="23"/>
  <c r="T244" i="1"/>
  <c r="P244" i="1"/>
  <c r="O244" i="1"/>
  <c r="T243" i="1"/>
  <c r="P243" i="1"/>
  <c r="O243" i="1"/>
  <c r="T231" i="1"/>
  <c r="P231" i="1"/>
  <c r="O231" i="1"/>
  <c r="T252" i="1"/>
  <c r="P252" i="1"/>
  <c r="O252" i="1"/>
  <c r="T242" i="1"/>
  <c r="P242" i="1"/>
  <c r="O242" i="1"/>
  <c r="T236" i="1"/>
  <c r="P236" i="1"/>
  <c r="O236" i="1"/>
  <c r="A8" i="23" l="1"/>
  <c r="B9" i="23"/>
  <c r="C30"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C32"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5" i="1"/>
  <c r="P205" i="1"/>
  <c r="O205" i="1"/>
  <c r="U3" i="1"/>
  <c r="T3" i="1"/>
  <c r="C29" i="9"/>
  <c r="C28" i="9"/>
  <c r="C27" i="9"/>
  <c r="C26" i="9"/>
  <c r="C25" i="9"/>
  <c r="C24" i="9"/>
  <c r="P3" i="1"/>
  <c r="O3" i="1"/>
  <c r="U220" i="1"/>
  <c r="T220" i="1"/>
  <c r="U218" i="1"/>
  <c r="T218" i="1"/>
  <c r="U217" i="1"/>
  <c r="T217" i="1"/>
  <c r="U212" i="1"/>
  <c r="T212" i="1"/>
  <c r="U219" i="1"/>
  <c r="T219" i="1"/>
  <c r="U216" i="1"/>
  <c r="T216" i="1"/>
  <c r="U215" i="1"/>
  <c r="T215" i="1"/>
  <c r="A14" i="23" l="1"/>
  <c r="B15" i="23"/>
  <c r="P220" i="1"/>
  <c r="O220" i="1"/>
  <c r="P212" i="1"/>
  <c r="O212" i="1"/>
  <c r="P218" i="1"/>
  <c r="O218" i="1"/>
  <c r="T214" i="1"/>
  <c r="U214" i="1"/>
  <c r="P214" i="1"/>
  <c r="O214" i="1"/>
  <c r="P217" i="1"/>
  <c r="O217" i="1"/>
  <c r="P216" i="1"/>
  <c r="O216" i="1"/>
  <c r="B16" i="23" l="1"/>
  <c r="A15" i="23"/>
  <c r="P204" i="1"/>
  <c r="O204" i="1"/>
  <c r="C7" i="6"/>
  <c r="C6" i="6"/>
  <c r="C5" i="6"/>
  <c r="P201" i="1"/>
  <c r="O201" i="1"/>
  <c r="C12" i="6" l="1"/>
  <c r="A16" i="23"/>
  <c r="B17" i="23"/>
  <c r="U213" i="1"/>
  <c r="U211" i="1"/>
  <c r="T213" i="1"/>
  <c r="P198" i="1"/>
  <c r="O198" i="1"/>
  <c r="T211" i="1"/>
  <c r="P194" i="1"/>
  <c r="O19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9" i="1"/>
  <c r="U137" i="1"/>
  <c r="U138"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7" i="1"/>
  <c r="U166" i="1"/>
  <c r="U168" i="1"/>
  <c r="U169" i="1"/>
  <c r="U170" i="1"/>
  <c r="U171" i="1"/>
  <c r="U172" i="1"/>
  <c r="U173" i="1"/>
  <c r="U174" i="1"/>
  <c r="U175" i="1"/>
  <c r="U176" i="1"/>
  <c r="U177" i="1"/>
  <c r="U178" i="1"/>
  <c r="U179" i="1"/>
  <c r="U180" i="1"/>
  <c r="U181" i="1"/>
  <c r="U182" i="1"/>
  <c r="U183" i="1"/>
  <c r="U184" i="1"/>
  <c r="U185" i="1"/>
  <c r="U186" i="1"/>
  <c r="U187" i="1"/>
  <c r="U188" i="1"/>
  <c r="U189" i="1"/>
  <c r="U192" i="1"/>
  <c r="U190" i="1"/>
  <c r="U191" i="1"/>
  <c r="U193" i="1"/>
  <c r="U194" i="1"/>
  <c r="U195" i="1"/>
  <c r="U196" i="1"/>
  <c r="U197" i="1"/>
  <c r="U198" i="1"/>
  <c r="U199" i="1"/>
  <c r="U200" i="1"/>
  <c r="U201" i="1"/>
  <c r="U202" i="1"/>
  <c r="U203" i="1"/>
  <c r="U204" i="1"/>
  <c r="U207" i="1"/>
  <c r="U208" i="1"/>
  <c r="U209" i="1"/>
  <c r="U210" i="1"/>
  <c r="U206" i="1"/>
  <c r="U4" i="1"/>
  <c r="T206" i="1"/>
  <c r="P213" i="1"/>
  <c r="O213" i="1"/>
  <c r="T210" i="1"/>
  <c r="P188" i="1"/>
  <c r="O188" i="1"/>
  <c r="T209" i="1"/>
  <c r="P210" i="1"/>
  <c r="O210" i="1"/>
  <c r="T208" i="1"/>
  <c r="P211" i="1"/>
  <c r="O211" i="1"/>
  <c r="A17" i="23" l="1"/>
  <c r="B18" i="23"/>
  <c r="T207" i="1"/>
  <c r="P209" i="1"/>
  <c r="O209" i="1"/>
  <c r="T204" i="1"/>
  <c r="P196" i="1"/>
  <c r="O196" i="1"/>
  <c r="T203" i="1"/>
  <c r="P197" i="1"/>
  <c r="O197" i="1"/>
  <c r="T202" i="1"/>
  <c r="P206" i="1"/>
  <c r="O206" i="1"/>
  <c r="T201" i="1"/>
  <c r="P189" i="1"/>
  <c r="O189" i="1"/>
  <c r="AQ57" i="24" l="1"/>
  <c r="A18" i="23"/>
  <c r="B19" i="23"/>
  <c r="T200" i="1"/>
  <c r="P195" i="1"/>
  <c r="O195" i="1"/>
  <c r="O190" i="1"/>
  <c r="O178" i="1"/>
  <c r="O179" i="1"/>
  <c r="O215" i="1"/>
  <c r="O173" i="1"/>
  <c r="O208" i="1"/>
  <c r="O181" i="1"/>
  <c r="O192" i="1"/>
  <c r="O185" i="1"/>
  <c r="O207" i="1"/>
  <c r="O200" i="1"/>
  <c r="O175" i="1"/>
  <c r="O219" i="1"/>
  <c r="O176" i="1"/>
  <c r="O202" i="1"/>
  <c r="O172" i="1"/>
  <c r="O183" i="1"/>
  <c r="O174" i="1"/>
  <c r="O203" i="1"/>
  <c r="O180" i="1"/>
  <c r="O171" i="1"/>
  <c r="O170" i="1"/>
  <c r="O169" i="1"/>
  <c r="O168" i="1"/>
  <c r="O166" i="1"/>
  <c r="O167"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8" i="1"/>
  <c r="O137" i="1"/>
  <c r="O139"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184" i="1"/>
  <c r="O186" i="1"/>
  <c r="O177" i="1"/>
  <c r="O191" i="1"/>
  <c r="O182" i="1"/>
  <c r="O187" i="1"/>
  <c r="O193" i="1"/>
  <c r="O199" i="1"/>
  <c r="T199" i="1"/>
  <c r="P191" i="1"/>
  <c r="T198" i="1"/>
  <c r="P219" i="1"/>
  <c r="T197" i="1"/>
  <c r="P215" i="1"/>
  <c r="T196" i="1"/>
  <c r="P208" i="1"/>
  <c r="T195" i="1"/>
  <c r="P207" i="1"/>
  <c r="T194" i="1"/>
  <c r="P203" i="1"/>
  <c r="T193" i="1"/>
  <c r="P202" i="1"/>
  <c r="T191" i="1"/>
  <c r="P200" i="1"/>
  <c r="T190" i="1"/>
  <c r="T192" i="1"/>
  <c r="P199" i="1"/>
  <c r="P193" i="1"/>
  <c r="T189" i="1"/>
  <c r="T188" i="1"/>
  <c r="T187" i="1"/>
  <c r="T186" i="1"/>
  <c r="T185" i="1"/>
  <c r="T184" i="1"/>
  <c r="T169" i="1"/>
  <c r="T168" i="1"/>
  <c r="T166" i="1"/>
  <c r="T167"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8" i="1"/>
  <c r="T137" i="1"/>
  <c r="T139"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173" i="1"/>
  <c r="T172" i="1"/>
  <c r="T171" i="1"/>
  <c r="T170" i="1"/>
  <c r="T182" i="1"/>
  <c r="T181" i="1"/>
  <c r="T180" i="1"/>
  <c r="T179" i="1"/>
  <c r="T178" i="1"/>
  <c r="T177" i="1"/>
  <c r="T176" i="1"/>
  <c r="T175" i="1"/>
  <c r="T174" i="1"/>
  <c r="T183" i="1"/>
  <c r="P190" i="1"/>
  <c r="P192" i="1"/>
  <c r="P187" i="1"/>
  <c r="P186" i="1"/>
  <c r="P185" i="1"/>
  <c r="P184" i="1"/>
  <c r="P183" i="1"/>
  <c r="P182" i="1"/>
  <c r="P181" i="1"/>
  <c r="P180" i="1"/>
  <c r="P179" i="1"/>
  <c r="P178" i="1"/>
  <c r="P177" i="1"/>
  <c r="P176" i="1"/>
  <c r="P175" i="1"/>
  <c r="P174" i="1"/>
  <c r="P173" i="1"/>
  <c r="P172" i="1"/>
  <c r="P171" i="1"/>
  <c r="P170" i="1"/>
  <c r="P169" i="1"/>
  <c r="P168" i="1"/>
  <c r="P166" i="1"/>
  <c r="P167" i="1"/>
  <c r="P165" i="1"/>
  <c r="P164" i="1"/>
  <c r="P163" i="1"/>
  <c r="P162" i="1"/>
  <c r="P161" i="1"/>
  <c r="H9" i="25" l="1"/>
  <c r="H6" i="25"/>
  <c r="H7" i="25"/>
  <c r="H8" i="25"/>
  <c r="H5" i="25"/>
  <c r="AQ13" i="24"/>
  <c r="AQ55" i="24"/>
  <c r="AQ52" i="24"/>
  <c r="AQ10" i="24"/>
  <c r="B1" i="1"/>
  <c r="E5" i="25" s="1"/>
  <c r="AQ11" i="24"/>
  <c r="AQ12" i="24"/>
  <c r="AQ9" i="24"/>
  <c r="AQ49" i="24"/>
  <c r="AQ8" i="24"/>
  <c r="AQ53" i="24"/>
  <c r="AQ7" i="24"/>
  <c r="AQ30" i="24"/>
  <c r="AQ6" i="24"/>
  <c r="AQ47" i="24"/>
  <c r="AQ29" i="24"/>
  <c r="AQ70" i="24"/>
  <c r="AQ50" i="24"/>
  <c r="AQ48" i="24"/>
  <c r="AQ71" i="24"/>
  <c r="AQ51" i="24"/>
  <c r="AQ73" i="24"/>
  <c r="AQ54" i="24"/>
  <c r="AQ68" i="24"/>
  <c r="AQ46" i="24"/>
  <c r="AQ74" i="24"/>
  <c r="AQ56" i="24"/>
  <c r="AQ67" i="24"/>
  <c r="AQ45" i="24"/>
  <c r="AQ69" i="24"/>
  <c r="AQ72" i="24"/>
  <c r="C42" i="9"/>
  <c r="C1" i="1"/>
  <c r="C57" i="6"/>
  <c r="A19" i="23"/>
  <c r="B20" i="23"/>
  <c r="C30" i="6"/>
  <c r="C33" i="6"/>
  <c r="C32" i="6"/>
  <c r="C31" i="6"/>
  <c r="C9" i="9"/>
  <c r="C43" i="9"/>
  <c r="C9" i="20"/>
  <c r="C33" i="20"/>
  <c r="C7" i="20"/>
  <c r="C31" i="20"/>
  <c r="C8" i="20"/>
  <c r="C32" i="20"/>
  <c r="C28" i="20"/>
  <c r="C4" i="20"/>
  <c r="C29" i="20"/>
  <c r="C46" i="9" s="1"/>
  <c r="C5" i="20"/>
  <c r="C16" i="9" s="1"/>
  <c r="C10" i="20"/>
  <c r="C34" i="20"/>
  <c r="C6" i="20"/>
  <c r="C30" i="20"/>
  <c r="C41" i="9"/>
  <c r="C40" i="9"/>
  <c r="C38" i="9"/>
  <c r="C10" i="9"/>
  <c r="C44" i="9"/>
  <c r="C39" i="9"/>
  <c r="C8" i="9"/>
  <c r="C5" i="9"/>
  <c r="C6" i="9"/>
  <c r="C4" i="9"/>
  <c r="C7" i="9"/>
  <c r="C60" i="6"/>
  <c r="C59" i="6"/>
  <c r="C58" i="6"/>
  <c r="P160" i="1"/>
  <c r="P159" i="1"/>
  <c r="P158" i="1"/>
  <c r="P157" i="1"/>
  <c r="H16" i="25" l="1"/>
  <c r="E14" i="25"/>
  <c r="E15" i="25"/>
  <c r="E12" i="25"/>
  <c r="E13" i="25"/>
  <c r="E10" i="25"/>
  <c r="E11" i="25"/>
  <c r="E8" i="25"/>
  <c r="E9" i="25"/>
  <c r="E6" i="25"/>
  <c r="E7" i="25"/>
  <c r="C64" i="6"/>
  <c r="C37" i="6"/>
  <c r="AQ32" i="24"/>
  <c r="AQ36" i="24" s="1"/>
  <c r="AQ15" i="24"/>
  <c r="AQ76" i="24"/>
  <c r="AQ60" i="24"/>
  <c r="C47" i="9"/>
  <c r="C17" i="9"/>
  <c r="B21" i="23"/>
  <c r="A20" i="23"/>
  <c r="C35" i="20"/>
  <c r="C12" i="20"/>
  <c r="P156" i="1"/>
  <c r="E16" i="25" l="1"/>
  <c r="B22" i="23"/>
  <c r="A21" i="23"/>
  <c r="P12" i="17"/>
  <c r="O12" i="17"/>
  <c r="P155" i="1"/>
  <c r="P154" i="1"/>
  <c r="P153" i="1"/>
  <c r="P152" i="1"/>
  <c r="P151" i="1"/>
  <c r="P150" i="1"/>
  <c r="P149" i="1"/>
  <c r="P148" i="1"/>
  <c r="P147" i="1"/>
  <c r="P146" i="1"/>
  <c r="P145" i="1"/>
  <c r="P144" i="1"/>
  <c r="P143" i="1"/>
  <c r="P142" i="1"/>
  <c r="P141" i="1"/>
  <c r="P140" i="1"/>
  <c r="P138" i="1"/>
  <c r="P137" i="1"/>
  <c r="P139"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C1" i="9"/>
  <c r="A22" i="23" l="1"/>
  <c r="B23" i="23"/>
  <c r="N8" i="17"/>
  <c r="N7" i="17"/>
  <c r="N6" i="17"/>
  <c r="N5" i="17"/>
  <c r="N4" i="17"/>
  <c r="N23" i="17"/>
  <c r="L5" i="17"/>
  <c r="N3" i="17"/>
  <c r="N2" i="17"/>
  <c r="L2" i="17"/>
  <c r="B24" i="23" l="1"/>
  <c r="A23" i="23"/>
  <c r="N12" i="17"/>
  <c r="C69" i="6" s="1"/>
  <c r="C18" i="9"/>
  <c r="B25" i="23" l="1"/>
  <c r="A24" i="23"/>
  <c r="C24" i="20"/>
  <c r="C33" i="9"/>
  <c r="C34"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alcChain>
</file>

<file path=xl/sharedStrings.xml><?xml version="1.0" encoding="utf-8"?>
<sst xmlns="http://schemas.openxmlformats.org/spreadsheetml/2006/main" count="17689" uniqueCount="3728">
  <si>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</si>
  <si>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</si>
  <si>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</si>
  <si>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</si>
  <si>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</si>
  <si>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</si>
  <si>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</si>
  <si>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</si>
  <si>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</si>
  <si>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</si>
  <si>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</si>
  <si>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</si>
  <si>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</si>
  <si>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</si>
  <si>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</si>
  <si>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</si>
  <si>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</si>
  <si>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</si>
  <si>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</si>
  <si>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</si>
  <si>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</si>
  <si>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</si>
  <si>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</si>
  <si>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</si>
  <si>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</si>
  <si>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</si>
  <si>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</si>
  <si>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</si>
  <si>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</si>
  <si>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</si>
  <si>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</si>
  <si>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</si>
  <si>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</si>
  <si>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</si>
  <si>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</si>
  <si>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</si>
  <si>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</si>
  <si>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</si>
  <si>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</si>
  <si>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</si>
  <si>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</si>
  <si>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</si>
  <si>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</si>
  <si>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</si>
  <si>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</si>
  <si>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</si>
  <si>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</si>
  <si>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</si>
  <si>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</si>
  <si>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</si>
  <si>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</si>
  <si>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</si>
  <si>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</si>
  <si>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</si>
  <si>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</si>
  <si>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</si>
  <si>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</si>
  <si>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</si>
  <si>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</si>
  <si>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</si>
  <si>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</si>
  <si>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</si>
  <si>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</si>
  <si>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</si>
  <si>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</si>
  <si>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</si>
  <si>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</si>
  <si>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</si>
  <si>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</si>
  <si>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</si>
  <si>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</si>
  <si>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</si>
  <si>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</si>
  <si>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</si>
  <si>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</si>
  <si>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</si>
  <si>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</si>
  <si>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</si>
  <si>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</si>
  <si>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</si>
  <si>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</si>
  <si>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</si>
  <si>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</si>
  <si>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</si>
  <si>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</si>
  <si>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</si>
  <si>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</si>
  <si>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</si>
  <si>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</si>
  <si>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</si>
  <si>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</si>
  <si>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</si>
  <si>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</si>
  <si>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</si>
  <si>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</si>
  <si>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</si>
  <si>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</si>
  <si>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</si>
  <si>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</si>
  <si>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</si>
  <si>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</si>
  <si>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</si>
  <si>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</si>
  <si>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</si>
  <si>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</si>
  <si>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</si>
  <si>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</si>
  <si>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</si>
  <si>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</si>
  <si>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</si>
  <si>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</si>
  <si>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</si>
  <si>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</si>
  <si>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</si>
  <si>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</si>
  <si>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</si>
  <si>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</si>
  <si>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</si>
  <si>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</si>
  <si>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</si>
  <si>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</si>
  <si>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</si>
  <si>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</si>
  <si>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</si>
  <si>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</si>
  <si>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</si>
  <si>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</si>
  <si>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</si>
  <si>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</si>
  <si>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</si>
  <si>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</si>
  <si>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</si>
  <si>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</si>
  <si>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</si>
  <si>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</si>
  <si>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</si>
  <si>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</si>
  <si>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</si>
  <si>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</si>
  <si>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</si>
  <si>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</si>
  <si>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</si>
  <si>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</si>
  <si>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</si>
  <si>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</si>
  <si>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</si>
  <si>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</si>
  <si>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</si>
  <si>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</si>
  <si>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</si>
  <si>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</si>
  <si>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</si>
  <si>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</si>
  <si>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</si>
  <si>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</si>
  <si>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</si>
  <si>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</si>
  <si>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</si>
  <si>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</si>
  <si>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</si>
  <si>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</si>
  <si>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</si>
  <si>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</si>
  <si>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</si>
  <si>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</si>
  <si>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</si>
  <si>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</si>
  <si>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</si>
  <si>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</si>
  <si>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</si>
  <si>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</si>
  <si>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</si>
  <si>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</si>
  <si>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</si>
  <si>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</si>
  <si>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</si>
  <si>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</si>
  <si>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</si>
  <si>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</si>
  <si>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</si>
  <si>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</si>
  <si>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</si>
  <si>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</si>
  <si>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</si>
  <si>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</si>
  <si>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</si>
  <si>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</si>
  <si>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</si>
  <si>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</si>
  <si>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</si>
  <si>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</si>
  <si>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</si>
  <si>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</si>
  <si>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</si>
  <si>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</si>
  <si>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</si>
  <si>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</si>
  <si>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</si>
  <si>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</si>
  <si>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</si>
  <si>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</si>
  <si>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</si>
  <si>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</si>
  <si>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</si>
  <si>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</si>
  <si>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</si>
  <si>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</si>
  <si>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</si>
  <si>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</si>
  <si>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</si>
  <si>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</si>
  <si>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</si>
  <si>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</si>
  <si>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</si>
  <si>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</si>
  <si>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</si>
  <si>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</si>
  <si>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</si>
  <si>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</si>
  <si>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</si>
  <si>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</si>
  <si>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</si>
  <si>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</si>
  <si>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</si>
  <si>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</si>
  <si>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</si>
  <si>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</si>
  <si>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</si>
  <si>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</si>
  <si>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</si>
  <si>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</si>
  <si>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</si>
  <si>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</si>
  <si>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</si>
  <si>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</si>
  <si>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</si>
  <si>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</si>
  <si>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</si>
  <si>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</si>
  <si>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</si>
  <si>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</si>
  <si>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</si>
  <si>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</si>
  <si>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</si>
  <si>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</si>
  <si>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</si>
  <si>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</si>
  <si>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</si>
  <si>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</si>
  <si>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</si>
  <si>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</si>
  <si>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</si>
  <si>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</si>
  <si>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</si>
  <si>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</si>
  <si>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</si>
  <si>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</si>
  <si>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</si>
  <si>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</si>
  <si>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</si>
  <si>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</si>
  <si>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</si>
  <si>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</si>
  <si>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</si>
  <si>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</si>
  <si>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</si>
  <si>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</si>
  <si>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</si>
  <si>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</si>
  <si>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</si>
  <si>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</si>
  <si>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</si>
  <si>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</si>
  <si>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</si>
  <si>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</si>
  <si>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</si>
  <si>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</si>
  <si>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</si>
  <si>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</si>
  <si>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</si>
  <si>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</si>
  <si>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</si>
  <si>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</si>
  <si>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</si>
  <si>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</si>
  <si>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</si>
  <si>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</si>
  <si>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</si>
  <si>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</si>
  <si>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</si>
  <si>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</si>
  <si>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</si>
  <si>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</si>
  <si>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</si>
  <si>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</si>
  <si>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</si>
  <si>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</si>
  <si>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</si>
  <si>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</si>
  <si>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</si>
  <si>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</si>
  <si>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</si>
  <si>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</si>
  <si>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</si>
  <si>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</si>
  <si>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</si>
  <si>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</si>
  <si>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</si>
  <si>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</si>
  <si>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</si>
  <si>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</si>
  <si>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</si>
  <si>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</si>
  <si>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</si>
  <si>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</si>
  <si>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</si>
  <si>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</si>
  <si>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</si>
  <si>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</si>
  <si>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</si>
  <si>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</si>
  <si>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</si>
  <si>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</si>
  <si>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</si>
  <si>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</si>
  <si>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</si>
  <si>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</si>
  <si>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</si>
  <si>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</si>
  <si>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</si>
  <si>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</si>
  <si>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</si>
  <si>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</si>
  <si>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</si>
  <si>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</si>
  <si>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</si>
  <si>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</si>
  <si>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</si>
  <si>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</si>
  <si>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</si>
  <si>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</si>
  <si>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</si>
  <si>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</si>
  <si>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</si>
  <si>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</si>
  <si>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</si>
  <si>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</si>
  <si>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</si>
  <si>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</si>
  <si>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</si>
  <si>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</si>
  <si>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</si>
  <si>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</si>
  <si>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</si>
  <si>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</si>
  <si>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</si>
  <si>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</si>
  <si>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</si>
  <si>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</si>
  <si>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</si>
  <si>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</si>
  <si>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</si>
  <si>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</si>
  <si>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</si>
  <si>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</si>
  <si>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</si>
  <si>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</si>
  <si>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</si>
  <si>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</si>
  <si>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</si>
  <si>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</si>
  <si>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</si>
  <si>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</si>
  <si>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</si>
  <si>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</si>
  <si>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</si>
  <si>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</si>
  <si>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</si>
  <si>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</si>
  <si>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</si>
  <si>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</si>
  <si>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</si>
  <si>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</si>
  <si>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</si>
  <si>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</si>
  <si>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</si>
  <si>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</si>
  <si>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</si>
  <si>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</si>
  <si>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</si>
  <si>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</si>
  <si>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</si>
  <si>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</si>
  <si>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</si>
  <si>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</si>
  <si>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</si>
  <si>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</si>
  <si>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</si>
  <si>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</si>
  <si>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</si>
  <si>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</si>
  <si>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</si>
  <si>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</si>
  <si>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</si>
  <si>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</si>
  <si>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</si>
  <si>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</si>
  <si>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</si>
  <si>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</si>
  <si>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</si>
  <si>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</si>
  <si>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</si>
  <si>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</si>
  <si>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</si>
  <si>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</si>
  <si>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</si>
  <si>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</si>
  <si>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</si>
  <si>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</si>
  <si>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</si>
  <si>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</si>
  <si>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</si>
  <si>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</si>
  <si>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</si>
  <si>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</si>
  <si>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</si>
  <si>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</si>
  <si>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</si>
  <si>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</si>
  <si>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</si>
  <si>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</si>
  <si>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</si>
  <si>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</si>
  <si>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</si>
  <si>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</si>
  <si>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</si>
  <si>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</si>
  <si>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</si>
  <si>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</si>
  <si>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</si>
  <si>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</si>
  <si>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</si>
  <si>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</si>
  <si>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</si>
  <si>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</si>
  <si>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</si>
  <si>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</si>
  <si>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</si>
  <si>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</si>
  <si>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</si>
  <si>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</si>
  <si>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</si>
  <si>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</si>
  <si>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</si>
  <si>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</si>
  <si>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</si>
  <si>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</si>
  <si>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</si>
  <si>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</si>
  <si>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</si>
  <si>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</si>
  <si>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</si>
  <si>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</si>
  <si>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</si>
  <si>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</si>
  <si>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</si>
  <si>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</si>
  <si>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</si>
  <si>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</si>
  <si>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</si>
  <si>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</si>
  <si>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</si>
  <si>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</si>
  <si>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</si>
  <si>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</si>
  <si>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</si>
  <si>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</si>
  <si>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</si>
  <si>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</si>
  <si>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</si>
  <si>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</si>
  <si>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</si>
  <si>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</si>
  <si>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</si>
  <si>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</si>
  <si>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</si>
  <si>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</si>
  <si>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</si>
  <si>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</si>
  <si>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</si>
  <si>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</si>
  <si>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</si>
  <si>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</si>
  <si>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</si>
  <si>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</si>
  <si>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</si>
  <si>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</si>
  <si>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</si>
  <si>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</si>
  <si>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</si>
  <si>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</si>
  <si>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</si>
  <si>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</si>
  <si>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</si>
  <si>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</si>
  <si>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</si>
  <si>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</si>
  <si>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</si>
  <si>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</si>
  <si>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</si>
  <si>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</si>
  <si>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</si>
  <si>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</si>
  <si>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</si>
  <si>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</si>
  <si>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</si>
  <si>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</si>
  <si>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</si>
  <si>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</si>
  <si>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</si>
  <si>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</si>
  <si>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</si>
  <si>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</si>
  <si>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</si>
  <si>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</si>
  <si>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</si>
  <si>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</si>
  <si>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</si>
  <si>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</si>
  <si>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</si>
  <si>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</si>
  <si>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</si>
  <si>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</si>
  <si>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</si>
  <si>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</si>
  <si>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</si>
  <si>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</si>
  <si>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</si>
  <si>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</si>
  <si>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</si>
  <si>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</si>
  <si>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</si>
  <si>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</si>
  <si>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</si>
  <si>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</si>
  <si>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</si>
  <si>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</si>
  <si>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</si>
  <si>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</si>
  <si>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</si>
  <si>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</si>
  <si>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</si>
  <si>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</si>
  <si>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</si>
  <si>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</si>
  <si>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</si>
  <si>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</si>
  <si>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</si>
  <si>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</si>
  <si>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</si>
  <si>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</si>
  <si>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</si>
  <si>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</si>
  <si>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</si>
  <si>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</si>
  <si>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</si>
  <si>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</si>
  <si>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</si>
  <si>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</si>
  <si>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</si>
  <si>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</si>
  <si>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</si>
  <si>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</si>
  <si>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</si>
  <si>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</si>
  <si>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</si>
  <si>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</si>
  <si>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</si>
  <si>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</si>
  <si>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</si>
  <si>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</si>
  <si>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</si>
  <si>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</si>
  <si>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</si>
  <si>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</si>
  <si>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</si>
  <si>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</si>
  <si>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</si>
  <si>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</si>
  <si>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</si>
  <si>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</si>
  <si>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</si>
  <si>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</si>
  <si>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</si>
  <si>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</si>
  <si>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</si>
  <si>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</si>
  <si>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</si>
  <si>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</si>
  <si>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</si>
  <si>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</si>
  <si>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</si>
  <si>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</si>
  <si>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</si>
  <si>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</si>
  <si>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</si>
  <si>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</si>
  <si>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</si>
  <si>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</si>
  <si>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</si>
  <si>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</si>
  <si>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</si>
  <si>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</si>
  <si>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</si>
  <si>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</si>
  <si>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</si>
  <si>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</si>
  <si>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</si>
  <si>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</si>
  <si>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</si>
  <si>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</si>
  <si>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</si>
  <si>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</si>
  <si>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</si>
  <si>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</si>
  <si>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</si>
  <si>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</si>
  <si>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</si>
  <si>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</si>
  <si>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</si>
  <si>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</si>
  <si>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</si>
  <si>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</si>
  <si>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</si>
  <si>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</si>
  <si>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</si>
  <si>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</si>
  <si>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</si>
  <si>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</si>
  <si>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</si>
  <si>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</si>
  <si>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</si>
  <si>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</si>
  <si>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</si>
  <si>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</si>
  <si>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</si>
  <si>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</si>
  <si>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</si>
  <si>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</si>
  <si>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</si>
  <si>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</si>
  <si>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</si>
  <si>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</si>
  <si>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</si>
  <si>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</si>
  <si>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</si>
  <si>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</si>
  <si>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</si>
  <si>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</si>
  <si>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</si>
  <si>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</si>
  <si>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</si>
  <si>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</si>
  <si>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</si>
  <si>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</si>
  <si>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</si>
  <si>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</si>
  <si>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</si>
  <si>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</si>
  <si>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</si>
  <si>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</si>
  <si>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</si>
  <si>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</si>
  <si>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</si>
  <si>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</si>
  <si>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</si>
  <si>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</si>
  <si>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</si>
  <si>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</si>
  <si>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</si>
  <si>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</si>
  <si>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</si>
  <si>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</si>
  <si>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</si>
  <si>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</si>
  <si>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</si>
  <si>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</si>
  <si>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</si>
  <si>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</si>
  <si>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</si>
  <si>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</si>
  <si>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</si>
  <si>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</si>
  <si>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</si>
  <si>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</si>
  <si>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</si>
  <si>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</si>
  <si>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</si>
  <si>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</si>
  <si>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</si>
  <si>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</si>
  <si>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</si>
  <si>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</si>
  <si>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</si>
  <si>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</si>
  <si>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</si>
  <si>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</si>
  <si>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</si>
  <si>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</si>
  <si>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</si>
  <si>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</si>
  <si>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</si>
  <si>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</si>
  <si>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</si>
  <si>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</si>
  <si>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</si>
  <si>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</si>
  <si>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</si>
  <si>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</si>
  <si>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</si>
  <si>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</si>
  <si>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</si>
  <si>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</si>
  <si>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</si>
  <si>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</si>
  <si>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</si>
  <si>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</si>
  <si>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</si>
  <si>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</si>
  <si>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</si>
  <si>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</si>
  <si>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</si>
  <si>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</si>
  <si>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</si>
  <si>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</si>
  <si>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</si>
  <si>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</si>
  <si>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</si>
  <si>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</si>
  <si>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</si>
  <si>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</si>
  <si>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</si>
  <si>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</si>
  <si>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</si>
  <si>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</si>
  <si>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</si>
  <si>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</si>
  <si>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</si>
  <si>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</si>
  <si>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</si>
  <si>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</si>
  <si>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</si>
  <si>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</si>
  <si>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</si>
  <si>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</si>
  <si>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</si>
  <si>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</si>
  <si>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</si>
  <si>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</si>
  <si>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</si>
  <si>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</si>
  <si>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</si>
  <si>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</si>
  <si>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</si>
  <si>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</si>
  <si>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</si>
  <si>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</si>
  <si>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</si>
  <si>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</si>
  <si>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</si>
  <si>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</si>
  <si>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</si>
  <si>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</si>
  <si>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</si>
  <si>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</si>
  <si>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</si>
  <si>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</si>
  <si>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</si>
  <si>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</si>
  <si>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</si>
  <si>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</si>
  <si>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</si>
  <si>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</si>
  <si>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</si>
  <si>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</si>
  <si>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</si>
  <si>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</si>
  <si>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</si>
  <si>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</si>
  <si>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</si>
  <si>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</si>
  <si>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</si>
  <si>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</si>
  <si>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</si>
  <si>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</si>
  <si>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</si>
  <si>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</si>
  <si>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</si>
  <si>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</si>
  <si>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</si>
  <si>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</si>
  <si>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</si>
  <si>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</si>
  <si>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</si>
  <si>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</si>
  <si>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</si>
  <si>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</si>
  <si>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</si>
  <si>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</si>
  <si>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</si>
  <si>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</si>
  <si>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</si>
  <si>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</si>
  <si>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</si>
  <si>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</si>
  <si>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</si>
  <si>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</si>
  <si>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</si>
  <si>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</si>
  <si>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</si>
  <si>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</si>
  <si>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</si>
  <si>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</si>
  <si>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</si>
  <si>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</si>
  <si>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</si>
  <si>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</si>
  <si>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</si>
  <si>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</si>
  <si>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</si>
  <si>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</si>
  <si>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</si>
  <si>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</si>
  <si>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</si>
  <si>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</si>
  <si>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</si>
  <si>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</si>
  <si>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</si>
  <si>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</si>
  <si>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</si>
  <si>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</si>
  <si>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</si>
  <si>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</si>
  <si>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</si>
  <si>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</si>
  <si>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</si>
  <si>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</si>
  <si>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</si>
  <si>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</si>
  <si>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</si>
  <si>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</si>
  <si>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</si>
  <si>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</si>
  <si>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</si>
  <si>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</si>
  <si>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</si>
  <si>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</si>
  <si>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</si>
  <si>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</si>
  <si>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</si>
  <si>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</si>
  <si>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</si>
  <si>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</si>
  <si>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</si>
  <si>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</si>
  <si>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</si>
  <si>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</si>
  <si>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</si>
  <si>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</si>
  <si>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</si>
  <si>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</si>
  <si>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</si>
  <si>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</si>
  <si>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</si>
  <si>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</si>
  <si>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</si>
  <si>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</si>
  <si>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</si>
  <si>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</si>
  <si>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</si>
  <si>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</si>
  <si>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</si>
  <si>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</si>
  <si>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</si>
  <si>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</si>
  <si>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</si>
  <si>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</si>
  <si>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</si>
  <si>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</si>
  <si>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</si>
  <si>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</si>
  <si>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</si>
  <si>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</si>
  <si>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</si>
  <si>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</si>
  <si>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</si>
  <si>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</si>
  <si>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</si>
  <si>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</si>
  <si>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</si>
  <si>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</si>
  <si>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</si>
  <si>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</si>
  <si>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</si>
  <si>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</si>
  <si>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</si>
  <si>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</si>
  <si>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</si>
  <si>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</si>
  <si>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</si>
  <si>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</si>
  <si>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</si>
  <si>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</si>
  <si>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</si>
  <si>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</si>
  <si>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</si>
  <si>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</si>
  <si>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</si>
  <si>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</si>
  <si>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</si>
  <si>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</si>
  <si>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</si>
  <si>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</si>
  <si>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</si>
  <si>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</si>
  <si>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</si>
  <si>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</si>
  <si>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</si>
  <si>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</si>
  <si>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</si>
  <si>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</si>
  <si>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</si>
  <si>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</si>
  <si>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</si>
  <si>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</si>
  <si>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</si>
  <si>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</si>
  <si>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</si>
  <si>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</si>
  <si>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</si>
  <si>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</si>
  <si>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</si>
  <si>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</si>
  <si>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</si>
  <si>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</si>
  <si>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</si>
  <si>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</si>
  <si>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</si>
  <si>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</si>
  <si>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</si>
  <si>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</si>
  <si>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</si>
  <si>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</si>
  <si>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</si>
  <si>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</si>
  <si>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</si>
  <si>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</si>
  <si>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</si>
  <si>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</si>
  <si>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</si>
  <si>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</si>
  <si>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</si>
  <si>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</si>
  <si>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</si>
  <si>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</si>
  <si>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</si>
  <si>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</si>
  <si>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</si>
  <si>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</si>
  <si>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</si>
  <si>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</si>
  <si>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</si>
  <si>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</si>
  <si>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</si>
  <si>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</si>
  <si>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</si>
  <si>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</si>
  <si>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</si>
  <si>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</si>
  <si>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</si>
  <si>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</si>
  <si>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</si>
  <si>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</si>
  <si>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</si>
  <si>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</si>
  <si>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</si>
  <si>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</si>
  <si>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</si>
  <si>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</si>
  <si>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</si>
  <si>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</si>
  <si>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</si>
  <si>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</si>
  <si>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</si>
  <si>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</si>
  <si>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</si>
  <si>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</si>
  <si>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</si>
  <si>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</si>
  <si>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</si>
  <si>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</si>
  <si>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</si>
  <si>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</si>
  <si>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</si>
  <si>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</si>
  <si>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</si>
  <si>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</si>
  <si>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</si>
  <si>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</si>
  <si>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</si>
  <si>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</si>
  <si>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</si>
  <si>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</si>
  <si>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</si>
  <si>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</si>
  <si>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</si>
  <si>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</si>
  <si>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</si>
  <si>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</si>
  <si>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</si>
  <si>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</si>
  <si>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</si>
  <si>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</si>
  <si>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</si>
  <si>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</si>
  <si>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</si>
  <si>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</si>
  <si>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</si>
  <si>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</si>
  <si>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</si>
  <si>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</si>
  <si>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</si>
  <si>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</si>
  <si>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</si>
  <si>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</si>
  <si>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</si>
  <si>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</si>
  <si>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</si>
  <si>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</si>
  <si>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</si>
  <si>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</si>
  <si>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</si>
  <si>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</si>
  <si>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</si>
  <si>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</si>
  <si>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</si>
  <si>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</si>
  <si>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</si>
  <si>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</si>
  <si>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</si>
  <si>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</si>
  <si>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</si>
  <si>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</si>
  <si>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</si>
  <si>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</si>
  <si>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</si>
  <si>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</si>
  <si>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</si>
  <si>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</si>
  <si>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</si>
  <si>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</si>
  <si>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</si>
  <si>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</si>
  <si>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</si>
  <si>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</si>
  <si>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</si>
  <si>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</si>
  <si>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</si>
  <si>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</si>
  <si>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</si>
  <si>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</si>
  <si>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</si>
  <si>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</si>
  <si>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</si>
  <si>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</si>
  <si>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</si>
  <si>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</si>
  <si>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</si>
  <si>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</si>
  <si>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</si>
  <si>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</si>
  <si>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</si>
  <si>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</si>
  <si>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</si>
  <si>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</si>
  <si>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</si>
  <si>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</si>
  <si>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</si>
  <si>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</si>
  <si>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</si>
  <si>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</si>
  <si>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</si>
  <si>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</si>
  <si>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</si>
  <si>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</si>
  <si>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</si>
  <si>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</si>
  <si>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</si>
  <si>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2</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</si>
  <si>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</si>
  <si>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</si>
  <si>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</si>
  <si>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</si>
  <si>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</si>
  <si>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</si>
  <si>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</si>
  <si>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</si>
  <si>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</si>
  <si>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</si>
  <si>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</si>
  <si>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</si>
  <si>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</si>
  <si>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</si>
  <si>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</si>
  <si>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</si>
  <si>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</si>
  <si>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</si>
  <si>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</si>
  <si>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</si>
  <si>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</si>
  <si>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</si>
  <si>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</si>
  <si>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</si>
  <si>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</si>
  <si>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</si>
  <si>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</si>
  <si>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</si>
  <si>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</si>
  <si>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</si>
  <si>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</si>
  <si>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</si>
  <si>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</si>
  <si>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</si>
  <si>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</si>
  <si>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</si>
  <si>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</si>
  <si>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</si>
  <si>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</si>
  <si>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</si>
  <si>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</si>
  <si>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</si>
  <si>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</si>
  <si>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</si>
  <si>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</si>
  <si>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</si>
  <si>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</si>
  <si>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</si>
  <si>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</si>
  <si>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</si>
  <si>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</si>
  <si>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</si>
  <si>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</si>
  <si>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</si>
  <si>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</si>
  <si>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</si>
  <si>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</si>
  <si>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</si>
  <si>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</si>
  <si>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</si>
  <si>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</si>
  <si>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</si>
  <si>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</si>
  <si>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</si>
  <si>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</si>
  <si>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</si>
  <si>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</si>
  <si>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</si>
  <si>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</si>
  <si>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</si>
  <si>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</si>
  <si>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</si>
  <si>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</si>
  <si>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</si>
  <si>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</si>
  <si>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</si>
  <si>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</si>
  <si>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</si>
  <si>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</si>
  <si>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</si>
  <si>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</si>
  <si>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</si>
  <si>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</si>
  <si>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</si>
  <si>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</si>
  <si>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</si>
  <si>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</si>
  <si>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</si>
  <si>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</si>
  <si>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</si>
  <si>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</si>
  <si>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</si>
  <si>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</si>
  <si>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</si>
  <si>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</si>
  <si>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</si>
  <si>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</si>
  <si>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</si>
  <si>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</si>
  <si>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</si>
  <si>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</si>
  <si>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</si>
  <si>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</si>
  <si>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</si>
  <si>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</si>
  <si>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</si>
  <si>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</si>
  <si>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</si>
  <si>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</si>
  <si>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</si>
  <si>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</si>
  <si>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</si>
  <si>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</si>
  <si>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</si>
  <si>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</si>
  <si>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</si>
  <si>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</si>
  <si>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</si>
  <si>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</si>
  <si>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</si>
  <si>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</si>
  <si>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</si>
  <si>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</si>
  <si>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</si>
  <si>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</si>
  <si>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</si>
  <si>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</si>
  <si>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</si>
  <si>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</si>
  <si>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</si>
  <si>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</si>
  <si>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</si>
  <si>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</si>
  <si>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</si>
  <si>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</si>
  <si>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</si>
  <si>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</si>
  <si>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</si>
  <si>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</si>
  <si>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</si>
  <si>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</si>
  <si>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</si>
  <si>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</si>
  <si>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</si>
  <si>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</si>
  <si>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</si>
  <si>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</si>
  <si>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</si>
  <si>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</si>
  <si>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</si>
  <si>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</si>
  <si>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</si>
  <si>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</si>
  <si>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</si>
  <si>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</si>
  <si>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</si>
  <si>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</si>
  <si>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</si>
  <si>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</si>
  <si>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</si>
  <si>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</si>
  <si>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</si>
  <si>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</si>
  <si>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</si>
  <si>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</si>
  <si>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</si>
  <si>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</si>
  <si>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</si>
  <si>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</si>
  <si>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</si>
  <si>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</si>
  <si>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</si>
  <si>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</si>
  <si>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</si>
  <si>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</si>
  <si>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</si>
  <si>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</si>
  <si>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</si>
  <si>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</si>
  <si>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</si>
  <si>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</si>
  <si>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</si>
  <si>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</si>
  <si>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</si>
  <si>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</si>
  <si>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</si>
  <si>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</si>
  <si>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</si>
  <si>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</si>
  <si>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</si>
  <si>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</si>
  <si>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</si>
  <si>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</si>
  <si>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</si>
  <si>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</si>
  <si>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</si>
  <si>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</si>
  <si>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</si>
  <si>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</si>
  <si>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</si>
  <si>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</si>
  <si>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</si>
  <si>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</si>
  <si>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</si>
  <si>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</si>
  <si>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</si>
  <si>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</si>
  <si>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</si>
  <si>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</si>
  <si>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</si>
  <si>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</si>
  <si>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</si>
  <si>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</si>
  <si>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</si>
  <si>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</si>
  <si>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</si>
  <si>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</si>
  <si>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</si>
  <si>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</si>
  <si>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</si>
  <si>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</si>
  <si>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</si>
  <si>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</si>
  <si>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</si>
  <si>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</si>
  <si>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</si>
  <si>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</si>
  <si>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</si>
  <si>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</si>
  <si>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</si>
  <si>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</si>
  <si>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</si>
  <si>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</si>
  <si>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</si>
  <si>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</si>
  <si>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</si>
  <si>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</si>
  <si>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</si>
  <si>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</si>
  <si>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</si>
  <si>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</si>
  <si>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</si>
  <si>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</si>
  <si>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</si>
  <si>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</si>
  <si>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</si>
  <si>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</si>
  <si>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</si>
  <si>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</si>
  <si>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</si>
  <si>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</si>
  <si>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</si>
  <si>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</si>
  <si>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</si>
  <si>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</si>
  <si>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</si>
  <si>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</si>
  <si>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</si>
  <si>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</si>
  <si>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</si>
  <si>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</si>
  <si>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</si>
  <si>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</si>
  <si>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</si>
  <si>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</si>
  <si>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</si>
  <si>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</si>
  <si>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</si>
  <si>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</si>
  <si>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</si>
  <si>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</si>
  <si>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</si>
  <si>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</si>
  <si>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</si>
  <si>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</si>
  <si>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</si>
  <si>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</si>
  <si>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</si>
  <si>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</si>
  <si>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</si>
  <si>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</si>
  <si>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</si>
  <si>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</si>
  <si>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</si>
  <si>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</si>
  <si>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</si>
  <si>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</si>
  <si>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</si>
  <si>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</si>
  <si>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</si>
  <si>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</si>
  <si>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</si>
  <si>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</si>
  <si>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</si>
  <si>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</si>
  <si>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</si>
  <si>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</si>
  <si>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</si>
  <si>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</si>
  <si>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</si>
  <si>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</si>
  <si>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</si>
  <si>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</si>
  <si>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</si>
  <si>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</si>
  <si>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</si>
  <si>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</si>
  <si>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</si>
  <si>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</si>
  <si>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</si>
  <si>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</si>
  <si>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</si>
  <si>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</si>
  <si>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</si>
  <si>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</si>
  <si>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</si>
  <si>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</si>
  <si>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</si>
  <si>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</si>
  <si>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</si>
  <si>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</si>
  <si>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</si>
  <si>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</si>
  <si>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</si>
  <si>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</si>
  <si>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</si>
  <si>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</si>
  <si>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</si>
  <si>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</si>
  <si>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</si>
  <si>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</si>
  <si>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</si>
  <si>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</si>
  <si>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</si>
  <si>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</si>
  <si>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</si>
  <si>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</si>
  <si>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</si>
  <si>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</si>
  <si>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</si>
  <si>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</si>
  <si>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</si>
  <si>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</si>
  <si>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</si>
  <si>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</si>
  <si>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</si>
  <si>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</si>
  <si>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</si>
  <si>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</si>
  <si>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</si>
  <si>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</si>
  <si>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</si>
  <si>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</si>
  <si>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</si>
  <si>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</si>
  <si>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</si>
  <si>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</si>
  <si>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</si>
  <si>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</si>
  <si>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</si>
  <si>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</si>
  <si>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</si>
  <si>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</si>
  <si>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</si>
  <si>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</si>
  <si>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</si>
  <si>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</si>
  <si>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</si>
  <si>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</si>
  <si>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</si>
  <si>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</si>
  <si>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</si>
  <si>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</si>
  <si>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</si>
  <si>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</si>
  <si>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</si>
  <si>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</si>
  <si>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</si>
  <si>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</si>
  <si>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</si>
  <si>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</si>
  <si>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</si>
  <si>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</si>
  <si>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</si>
  <si>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</si>
  <si>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</si>
  <si>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</si>
  <si>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</si>
  <si>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</si>
  <si>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</si>
  <si>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</si>
  <si>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</si>
  <si>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</si>
  <si>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</si>
  <si>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</si>
  <si>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</si>
  <si>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</si>
  <si>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</si>
  <si>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</si>
  <si>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</si>
  <si>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</si>
  <si>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</si>
  <si>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</si>
  <si>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</si>
  <si>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</si>
  <si>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</si>
  <si>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</si>
  <si>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</si>
  <si>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</si>
  <si>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</si>
  <si>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</si>
  <si>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</si>
  <si>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</si>
  <si>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</si>
  <si>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</si>
  <si>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</si>
  <si>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</si>
  <si>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</si>
  <si>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</si>
  <si>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</si>
  <si>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</si>
  <si>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</si>
  <si>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</si>
  <si>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</si>
  <si>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</si>
  <si>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</si>
  <si>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</si>
  <si>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</si>
  <si>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</si>
  <si>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</si>
  <si>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</si>
  <si>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</si>
  <si>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</si>
  <si>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</si>
  <si>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</si>
  <si>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</si>
  <si>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</si>
  <si>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</si>
  <si>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</si>
  <si>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</si>
  <si>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</si>
  <si>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</si>
  <si>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</si>
  <si>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</si>
  <si>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</si>
  <si>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</si>
  <si>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</si>
  <si>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</si>
  <si>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</si>
  <si>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</si>
  <si>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</si>
  <si>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</si>
  <si>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</si>
  <si>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</si>
  <si>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</si>
  <si>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</si>
  <si>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</si>
  <si>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</si>
  <si>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</si>
  <si>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</si>
  <si>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</si>
  <si>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</si>
  <si>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</si>
  <si>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</si>
  <si>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</si>
  <si>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</si>
  <si>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</si>
  <si>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</si>
  <si>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</si>
  <si>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</si>
  <si>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</si>
  <si>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</si>
  <si>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</si>
  <si>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</si>
  <si>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</si>
  <si>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</si>
  <si>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</si>
  <si>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</si>
  <si>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</si>
  <si>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</si>
  <si>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</si>
  <si>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</si>
  <si>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</si>
  <si>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</si>
  <si>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</si>
  <si>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</si>
  <si>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</si>
  <si>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</si>
  <si>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</si>
  <si>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</si>
  <si>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</si>
  <si>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</si>
  <si>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</si>
  <si>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</si>
  <si>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</si>
  <si>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</si>
  <si>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</si>
  <si>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</si>
  <si>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</si>
  <si>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</si>
  <si>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</si>
  <si>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</si>
  <si>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</si>
  <si>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</si>
  <si>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</si>
  <si>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</si>
  <si>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</si>
  <si>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</si>
  <si>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</si>
  <si>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</si>
  <si>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</si>
  <si>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</si>
  <si>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</si>
  <si>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</si>
  <si>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</si>
  <si>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</si>
  <si>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</si>
  <si>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</si>
  <si>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</si>
  <si>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</si>
  <si>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</si>
  <si>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</si>
  <si>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</si>
  <si>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</si>
  <si>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</si>
  <si>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</si>
  <si>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</si>
  <si>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</si>
  <si>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</si>
  <si>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</si>
  <si>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</si>
  <si>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</si>
  <si>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</si>
  <si>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</si>
  <si>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</si>
  <si>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</si>
  <si>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</si>
  <si>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</si>
  <si>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</si>
  <si>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</si>
  <si>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</si>
  <si>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</si>
  <si>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</si>
  <si>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</si>
  <si>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</si>
  <si>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</si>
  <si>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</si>
  <si>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</si>
  <si>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</si>
  <si>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</si>
  <si>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</si>
  <si>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</si>
  <si>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</si>
  <si>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</si>
  <si>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</si>
  <si>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</si>
  <si>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</si>
  <si>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</si>
  <si>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</si>
  <si>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</si>
  <si>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</si>
  <si>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</si>
  <si>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</si>
  <si>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</si>
  <si>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</si>
  <si>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</si>
  <si>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</si>
  <si>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</si>
  <si>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</si>
  <si>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</si>
  <si>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</si>
  <si>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</si>
  <si>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</si>
  <si>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</si>
  <si>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</si>
  <si>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</si>
  <si>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</si>
  <si>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</si>
  <si>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</si>
  <si>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</si>
  <si>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</si>
  <si>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</si>
  <si>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</si>
  <si>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</si>
  <si>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</si>
  <si>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</si>
  <si>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</si>
  <si>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</si>
  <si>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</si>
  <si>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</si>
  <si>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</si>
  <si>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</si>
  <si>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</si>
  <si>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</si>
  <si>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</si>
  <si>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</si>
  <si>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</si>
  <si>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</si>
  <si>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</si>
  <si>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</si>
  <si>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</si>
  <si>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</si>
  <si>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</si>
  <si>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</si>
  <si>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</si>
  <si>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</si>
  <si>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</si>
  <si>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</si>
  <si>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</si>
  <si>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</si>
  <si>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</si>
  <si>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</si>
  <si>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</si>
  <si>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</si>
  <si>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</si>
  <si>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</si>
  <si>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</si>
  <si>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</si>
  <si>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</si>
  <si>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</si>
  <si>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</si>
  <si>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</si>
  <si>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</si>
  <si>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</si>
  <si>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</si>
  <si>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</si>
  <si>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</si>
  <si>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</si>
  <si>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</si>
  <si>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</si>
  <si>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</si>
  <si>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</si>
  <si>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</si>
  <si>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</si>
  <si>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</si>
  <si>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</si>
  <si>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</si>
  <si>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</si>
  <si>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</si>
  <si>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</si>
  <si>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</si>
  <si>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</si>
  <si>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</si>
  <si>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</si>
  <si>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</si>
  <si>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</si>
  <si>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</si>
  <si>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</si>
  <si>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</si>
  <si>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</si>
  <si>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</si>
  <si>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</si>
  <si>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</si>
  <si>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</si>
  <si>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</si>
  <si>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</si>
  <si>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</si>
  <si>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</si>
  <si>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</si>
  <si>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</si>
  <si>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</si>
  <si>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</si>
  <si>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</si>
  <si>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</si>
  <si>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</si>
  <si>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</si>
  <si>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</si>
  <si>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</si>
  <si>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</si>
  <si>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</si>
  <si>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</si>
  <si>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</si>
  <si>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</si>
  <si>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</si>
  <si>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</si>
  <si>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</si>
  <si>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</si>
  <si>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</si>
  <si>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</si>
  <si>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</si>
  <si>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</si>
  <si>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</si>
  <si>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</si>
  <si>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</si>
  <si>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</si>
  <si>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</si>
  <si>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</si>
  <si>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</si>
  <si>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</si>
  <si>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</si>
  <si>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</si>
  <si>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</si>
  <si>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</si>
  <si>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</si>
  <si>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</si>
  <si>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</si>
  <si>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</si>
  <si>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</si>
  <si>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</si>
  <si>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</si>
  <si>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</si>
  <si>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</si>
  <si>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</si>
  <si>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</si>
  <si>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</si>
  <si>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</si>
  <si>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</si>
  <si>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</si>
  <si>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</si>
  <si>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</si>
  <si>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</si>
  <si>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</si>
  <si>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</si>
  <si>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</si>
  <si>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</si>
  <si>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</si>
  <si>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</si>
  <si>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</si>
  <si>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</si>
  <si>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</si>
  <si>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</si>
  <si>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</si>
  <si>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</si>
  <si>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</si>
  <si>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</si>
  <si>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</si>
  <si>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</si>
  <si>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</si>
  <si>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</si>
  <si>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</si>
  <si>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</si>
  <si>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</si>
  <si>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</si>
  <si>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</si>
  <si>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</si>
  <si>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</si>
  <si>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</si>
  <si>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</si>
  <si>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</si>
  <si>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</si>
  <si>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</si>
  <si>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</si>
  <si>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</si>
  <si>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</si>
  <si>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</si>
  <si>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</si>
  <si>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</si>
  <si>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</si>
  <si>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</si>
  <si>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</si>
  <si>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</si>
  <si>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</si>
  <si>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</si>
  <si>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</si>
  <si>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</si>
  <si>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</si>
  <si>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</si>
  <si>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</si>
  <si>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</si>
  <si>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</si>
  <si>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</si>
  <si>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</si>
  <si>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</si>
  <si>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</si>
  <si>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</si>
  <si>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</si>
  <si>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</si>
  <si>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</si>
  <si>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</si>
  <si>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</si>
  <si>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</si>
  <si>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</si>
  <si>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</si>
  <si>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</si>
  <si>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</si>
  <si>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</si>
  <si>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</si>
  <si>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</si>
  <si>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</si>
  <si>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</si>
  <si>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</si>
  <si>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</si>
  <si>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</si>
  <si>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</si>
  <si>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</si>
  <si>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</si>
  <si>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</si>
  <si>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</si>
  <si>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</si>
  <si>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</si>
  <si>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</si>
  <si>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</si>
  <si>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</si>
  <si>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</si>
  <si>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</si>
  <si>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</si>
  <si>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</si>
  <si>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</si>
  <si>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</si>
  <si>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</si>
  <si>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</si>
  <si>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</si>
  <si>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</si>
  <si>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</si>
  <si>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</si>
  <si>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</si>
  <si>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</si>
  <si>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</si>
  <si>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</si>
  <si>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</si>
  <si>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</si>
  <si>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</si>
  <si>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</si>
  <si>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</si>
  <si>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</si>
  <si>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</si>
  <si>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</si>
  <si>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</si>
  <si>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</si>
  <si>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</si>
  <si>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</si>
  <si>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</si>
  <si>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</si>
  <si>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</si>
  <si>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</si>
  <si>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</si>
  <si>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</si>
  <si>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</si>
  <si>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</si>
  <si>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</si>
  <si>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</si>
  <si>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</si>
  <si>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</si>
  <si>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</si>
  <si>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</si>
  <si>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</si>
  <si>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</si>
  <si>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</si>
  <si>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</si>
  <si>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</si>
  <si>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</si>
  <si>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</si>
  <si>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</si>
  <si>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</si>
  <si>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</si>
  <si>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</si>
  <si>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</si>
  <si>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</si>
  <si>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</si>
  <si>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</si>
  <si>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</si>
  <si>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</si>
  <si>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</si>
  <si>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</si>
  <si>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</si>
  <si>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</si>
  <si>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</si>
  <si>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</si>
  <si>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</si>
  <si>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</si>
  <si>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</si>
  <si>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</si>
  <si>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</si>
  <si>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</si>
  <si>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</si>
  <si>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</si>
  <si>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</si>
  <si>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</si>
  <si>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</si>
  <si>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</si>
  <si>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</si>
  <si>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</si>
  <si>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</si>
  <si>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</si>
  <si>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</si>
  <si>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</si>
  <si>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</si>
  <si>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</si>
  <si>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</si>
  <si>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</si>
  <si>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</si>
  <si>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</si>
  <si>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</si>
  <si>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</si>
  <si>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</si>
  <si>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</si>
  <si>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</si>
  <si>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</si>
  <si>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</si>
  <si>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</si>
  <si>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</si>
  <si>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</si>
  <si>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</si>
  <si>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</si>
  <si>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</si>
  <si>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</si>
  <si>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</si>
  <si>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</si>
  <si>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</si>
  <si>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</si>
  <si>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</si>
  <si>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</si>
  <si>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</si>
  <si>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</si>
  <si>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</si>
  <si>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</si>
  <si>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</si>
  <si>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</si>
  <si>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</si>
  <si>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</si>
  <si>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</si>
  <si>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</si>
  <si>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</si>
  <si>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</si>
  <si>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</si>
  <si>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</si>
  <si>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</si>
  <si>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</si>
  <si>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</si>
  <si>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</si>
  <si>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</si>
  <si>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</si>
  <si>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</si>
  <si>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</si>
  <si>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</si>
  <si>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</si>
  <si>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</si>
  <si>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</si>
  <si>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</si>
  <si>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</si>
  <si>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</si>
  <si>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</si>
  <si>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</si>
  <si>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</si>
  <si>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</si>
  <si>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</si>
  <si>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</si>
  <si>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</si>
  <si>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</si>
  <si>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</si>
  <si>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</si>
  <si>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</si>
  <si>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</si>
  <si>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</si>
  <si>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</si>
  <si>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</si>
  <si>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</si>
  <si>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</si>
  <si>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</si>
  <si>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</si>
  <si>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</si>
  <si>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</si>
  <si>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</si>
  <si>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</si>
  <si>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</si>
  <si>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</si>
  <si>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</si>
  <si>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Dr. Echenique Juan Manuel Pizarro MP 5375</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</si>
  <si>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</si>
  <si>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</si>
  <si>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</si>
  <si>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</si>
  <si>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</si>
  <si>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</si>
  <si>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</si>
  <si>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</si>
  <si>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</si>
  <si>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</si>
  <si>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</si>
  <si>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</si>
  <si>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</si>
  <si>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</si>
  <si>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</si>
  <si>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</si>
  <si>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</si>
  <si>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</si>
  <si>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</si>
  <si>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</si>
  <si>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</si>
  <si>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</si>
  <si>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</si>
  <si>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</si>
  <si>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</si>
  <si>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</si>
  <si>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</si>
  <si>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</si>
  <si>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</si>
  <si>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</si>
  <si>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</si>
  <si>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</si>
  <si>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</si>
  <si>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</si>
  <si>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</si>
  <si>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</si>
  <si>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</si>
  <si>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</si>
  <si>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</si>
  <si>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</si>
  <si>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</si>
  <si>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</si>
  <si>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</si>
  <si>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</si>
  <si>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</si>
  <si>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</si>
  <si>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</si>
  <si>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</si>
  <si>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</si>
  <si>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</si>
  <si>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</si>
  <si>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</si>
  <si>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</si>
  <si>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</si>
  <si>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</si>
  <si>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</si>
  <si>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</si>
  <si>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</si>
  <si>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</si>
  <si>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</si>
  <si>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</si>
  <si>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</si>
  <si>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</si>
  <si>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</si>
  <si>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</si>
  <si>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</si>
  <si>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</si>
  <si>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</si>
  <si>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</si>
  <si>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</si>
  <si>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</si>
  <si>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</si>
  <si>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</si>
  <si>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</si>
  <si>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</si>
  <si>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</si>
  <si>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</si>
  <si>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</si>
  <si>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</si>
  <si>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</si>
  <si>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</si>
  <si>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</si>
  <si>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</si>
  <si>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</si>
  <si>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</si>
  <si>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</si>
  <si>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</si>
  <si>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</si>
  <si>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</si>
  <si>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</si>
  <si>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</si>
  <si>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</si>
  <si>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</si>
  <si>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</si>
  <si>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</si>
  <si>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</si>
  <si>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</si>
  <si>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</si>
  <si>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</si>
  <si>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</si>
  <si>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</si>
  <si>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</si>
  <si>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</si>
  <si>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</si>
  <si>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</si>
  <si>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</si>
  <si>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</si>
  <si>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</si>
  <si>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</si>
  <si>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</si>
  <si>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</si>
  <si>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</si>
  <si>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</si>
  <si>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</si>
  <si>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</si>
  <si>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</si>
  <si>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</si>
  <si>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</si>
  <si>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</si>
  <si>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</si>
  <si>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</si>
  <si>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</si>
  <si>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</si>
  <si>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</si>
  <si>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</si>
  <si>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</si>
  <si>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</si>
  <si>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</si>
  <si>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</si>
  <si>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</si>
  <si>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</si>
  <si>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</si>
  <si>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</si>
  <si>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</si>
  <si>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</si>
  <si>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</si>
  <si>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</si>
  <si>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</si>
  <si>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</si>
  <si>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</si>
  <si>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</si>
  <si>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</si>
  <si>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</si>
  <si>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</si>
  <si>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</si>
  <si>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</si>
  <si>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</si>
  <si>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</si>
  <si>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</si>
  <si>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</si>
  <si>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</si>
  <si>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</si>
  <si>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</si>
  <si>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</si>
  <si>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</si>
  <si>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</si>
  <si>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</si>
  <si>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</si>
  <si>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</si>
  <si>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</si>
  <si>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</si>
  <si>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</si>
  <si>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</si>
  <si>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</si>
  <si>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</si>
  <si>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</si>
  <si>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</si>
  <si>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</si>
  <si>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</si>
  <si>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</si>
  <si>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</si>
  <si>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</si>
  <si>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</si>
  <si>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</si>
  <si>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</si>
  <si>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</si>
  <si>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</si>
  <si>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</si>
  <si>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</si>
  <si>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</si>
  <si>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</si>
  <si>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</si>
  <si>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</si>
  <si>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</si>
  <si>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</si>
  <si>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</si>
  <si>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</si>
  <si>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</si>
  <si>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</si>
  <si>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</si>
  <si>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</si>
  <si>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</si>
  <si>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</si>
  <si>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</si>
  <si>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</si>
  <si>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</si>
  <si>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</si>
  <si>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</si>
  <si>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</si>
  <si>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</si>
  <si>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</si>
  <si>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</si>
  <si>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</si>
  <si>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</si>
  <si>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</si>
  <si>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</si>
  <si>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</si>
  <si>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</si>
  <si>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</si>
  <si>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</si>
  <si>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</si>
  <si>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</si>
  <si>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</si>
  <si>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</si>
  <si>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</si>
  <si>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</si>
  <si>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</si>
  <si>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</si>
  <si>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</si>
  <si>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</si>
  <si>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</si>
  <si>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</si>
  <si>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</si>
  <si>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</si>
  <si>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</si>
  <si>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</si>
  <si>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</si>
  <si>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</si>
  <si>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</si>
  <si>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</si>
  <si>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</si>
  <si>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</si>
  <si>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</si>
  <si>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</si>
  <si>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</si>
  <si>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</si>
  <si>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</si>
  <si>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</si>
  <si>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</si>
  <si>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</si>
  <si>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</si>
  <si>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</si>
  <si>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</si>
  <si>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</si>
  <si>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</si>
  <si>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</si>
  <si>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</si>
  <si>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</si>
  <si>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</si>
  <si>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</si>
  <si>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</si>
  <si>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</si>
  <si>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</si>
  <si>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</si>
  <si>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</si>
  <si>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</si>
  <si>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</si>
  <si>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</si>
  <si>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</si>
  <si>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</si>
  <si>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</si>
  <si>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</si>
  <si>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</si>
  <si>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</si>
  <si>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</si>
  <si>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</si>
  <si>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</si>
  <si>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</si>
  <si>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</si>
  <si>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</si>
  <si>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</si>
  <si>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</si>
  <si>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</si>
  <si>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</si>
  <si>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</si>
  <si>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</si>
  <si>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</si>
  <si>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</si>
  <si>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</si>
  <si>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</si>
  <si>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</si>
  <si>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</si>
  <si>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</si>
  <si>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</si>
  <si>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</si>
  <si>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</si>
  <si>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</si>
  <si>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</si>
  <si>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</si>
  <si>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</si>
  <si>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</si>
  <si>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</si>
  <si>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</si>
  <si>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</si>
  <si>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</si>
  <si>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</si>
  <si>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</si>
  <si>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</si>
  <si>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</si>
  <si>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</si>
  <si>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</si>
  <si>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</si>
  <si>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</si>
  <si>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</si>
  <si>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</si>
  <si>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</si>
  <si>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</si>
  <si>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</si>
  <si>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</si>
  <si>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</si>
  <si>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</si>
  <si>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</si>
  <si>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</si>
  <si>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</si>
  <si>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</si>
  <si>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</si>
  <si>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</si>
  <si>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</si>
  <si>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</si>
  <si>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</si>
  <si>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</si>
  <si>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</si>
  <si>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</si>
  <si>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</si>
  <si>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</si>
  <si>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</si>
  <si>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</si>
  <si>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</si>
  <si>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</si>
  <si>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</si>
  <si>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</si>
  <si>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</si>
  <si>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</si>
  <si>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</si>
  <si>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</si>
  <si>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</si>
  <si>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</si>
  <si>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</si>
  <si>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</si>
  <si>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</si>
  <si>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</si>
  <si>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</si>
  <si>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</si>
  <si>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</si>
  <si>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</si>
  <si>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</si>
  <si>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</si>
  <si>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</si>
  <si>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</si>
  <si>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</si>
  <si>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</si>
  <si>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</si>
  <si>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</si>
  <si>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</si>
  <si>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</si>
  <si>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</si>
  <si>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</si>
  <si>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</si>
  <si>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</si>
  <si>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</si>
  <si>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</si>
  <si>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</si>
  <si>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</si>
  <si>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</si>
  <si>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</si>
  <si>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</si>
  <si>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</si>
  <si>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</si>
  <si>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</si>
  <si>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</si>
  <si>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</si>
  <si>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</si>
  <si>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</si>
  <si>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</si>
  <si>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</si>
  <si>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</si>
  <si>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</si>
  <si>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</si>
  <si>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</si>
  <si>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</si>
  <si>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</si>
  <si>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</si>
  <si>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</si>
  <si>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</si>
  <si>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</si>
  <si>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</si>
  <si>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</si>
  <si>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</si>
  <si>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</si>
  <si>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</si>
  <si>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</si>
  <si>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</si>
  <si>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</si>
  <si>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</si>
  <si>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</si>
  <si>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</si>
  <si>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</si>
  <si>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</si>
  <si>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</si>
  <si>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</si>
  <si>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</si>
  <si>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</si>
  <si>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</si>
  <si>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</si>
  <si>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</si>
  <si>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</si>
  <si>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</si>
  <si>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</si>
  <si>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</si>
  <si>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</si>
  <si>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</si>
  <si>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</si>
  <si>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</si>
  <si>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</si>
  <si>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</si>
  <si>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</si>
  <si>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</si>
  <si>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</si>
  <si>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</si>
  <si>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</si>
  <si>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</si>
  <si>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</si>
  <si>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</si>
  <si>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</si>
  <si>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</si>
  <si>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</si>
  <si>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</si>
  <si>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</si>
  <si>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</si>
  <si>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</si>
  <si>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</si>
  <si>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</si>
  <si>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</si>
  <si>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</si>
  <si>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</si>
  <si>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</si>
  <si>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</si>
  <si>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</si>
  <si>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</si>
  <si>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</si>
  <si>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</si>
  <si>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</si>
  <si>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</si>
  <si>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</si>
  <si>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</si>
  <si>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</si>
  <si>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</si>
  <si>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</si>
  <si>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</si>
  <si>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</si>
  <si>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</si>
  <si>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</si>
  <si>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</si>
  <si>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</si>
  <si>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</si>
  <si>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</si>
  <si>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</si>
  <si>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</si>
  <si>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</si>
  <si>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</si>
  <si>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</si>
  <si>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</si>
  <si>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</si>
  <si>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</si>
  <si>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</si>
  <si>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</si>
  <si>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</si>
  <si>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</si>
  <si>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</si>
  <si>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</si>
  <si>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</si>
  <si>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</si>
  <si>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</si>
  <si>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</si>
  <si>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</si>
  <si>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</si>
  <si>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</si>
  <si>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</si>
  <si>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</si>
  <si>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</si>
  <si>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</si>
  <si>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</si>
  <si>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</si>
  <si>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</si>
  <si>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</si>
  <si>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</si>
  <si>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</si>
  <si>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</si>
  <si>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</si>
  <si>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</si>
  <si>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</si>
  <si>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</si>
  <si>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</si>
  <si>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</si>
  <si>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</si>
  <si>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</si>
  <si>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</si>
  <si>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</si>
  <si>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</si>
  <si>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</si>
  <si>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</si>
  <si>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</si>
  <si>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</si>
  <si>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</si>
  <si>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</si>
  <si>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</si>
  <si>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</si>
  <si>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</si>
  <si>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</si>
  <si>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</si>
  <si>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</si>
  <si>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</si>
  <si>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</si>
  <si>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</si>
  <si>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</si>
  <si>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</si>
  <si>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</si>
  <si>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</si>
  <si>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</si>
  <si>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</si>
  <si>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</si>
  <si>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</si>
  <si>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</si>
  <si>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</si>
  <si>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</si>
  <si>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</si>
  <si>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</si>
  <si>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</si>
  <si>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</si>
  <si>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</si>
  <si>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</si>
  <si>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</si>
  <si>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</si>
  <si>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</si>
  <si>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</si>
  <si>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</si>
  <si>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</si>
  <si>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</si>
  <si>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</si>
  <si>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</si>
  <si>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</si>
  <si>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</si>
  <si>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</si>
  <si>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</si>
  <si>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</si>
  <si>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</si>
  <si>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</si>
  <si>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</si>
  <si>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</si>
  <si>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</si>
  <si>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</si>
  <si>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</si>
  <si>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</si>
  <si>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</si>
  <si>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</si>
  <si>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</si>
  <si>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</si>
  <si>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</si>
  <si>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</si>
  <si>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</si>
  <si>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</si>
  <si>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</si>
  <si>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</si>
  <si>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</si>
  <si>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</si>
  <si>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</si>
  <si>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</si>
  <si>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</si>
  <si>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</si>
  <si>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</si>
  <si>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</si>
  <si>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</si>
  <si>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</si>
  <si>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</si>
  <si>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</si>
  <si>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</si>
  <si>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</si>
  <si>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</si>
  <si>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</si>
  <si>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</si>
  <si>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</si>
  <si>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</si>
  <si>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</si>
  <si>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</si>
  <si>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</si>
  <si>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</si>
  <si>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</si>
  <si>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</si>
  <si>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</si>
  <si>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</si>
  <si>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</si>
  <si>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</si>
  <si>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</si>
  <si>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</si>
  <si>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</si>
  <si>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</si>
  <si>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</si>
  <si>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</si>
  <si>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</si>
  <si>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</si>
  <si>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</si>
  <si>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</si>
  <si>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</si>
  <si>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</si>
  <si>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</si>
  <si>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</si>
  <si>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</si>
  <si>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</si>
  <si>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</si>
  <si>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</si>
  <si>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</si>
  <si>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</si>
  <si>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</si>
  <si>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</si>
  <si>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</si>
  <si>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</si>
  <si>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</si>
  <si>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</si>
  <si>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</si>
  <si>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</si>
  <si>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</si>
  <si>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</si>
  <si>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</si>
  <si>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</si>
  <si>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</si>
  <si>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</si>
  <si>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</si>
  <si>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</si>
  <si>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</si>
  <si>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</si>
  <si>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</si>
  <si>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</si>
  <si>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</si>
  <si>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</si>
  <si>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</si>
  <si>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</si>
  <si>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</si>
  <si>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</si>
  <si>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</si>
  <si>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</si>
  <si>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</si>
  <si>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</si>
  <si>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</si>
  <si>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</si>
  <si>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</si>
  <si>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</si>
  <si>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</si>
  <si>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</si>
  <si>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</si>
  <si>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</si>
  <si>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</si>
  <si>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</si>
  <si>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</si>
  <si>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</si>
  <si>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</si>
  <si>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</si>
  <si>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</si>
  <si>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</si>
  <si>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</si>
  <si>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</si>
  <si>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</si>
  <si>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</si>
  <si>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</si>
  <si>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</si>
  <si>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</si>
  <si>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</si>
  <si>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</si>
  <si>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</si>
  <si>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</si>
  <si>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</si>
  <si>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</si>
  <si>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</si>
  <si>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</si>
  <si>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</si>
  <si>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</si>
  <si>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</si>
  <si>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</si>
  <si>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</si>
  <si>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</si>
  <si>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</si>
  <si>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</si>
  <si>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</si>
  <si>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</si>
  <si>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</si>
  <si>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</si>
  <si>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</si>
  <si>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</si>
  <si>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</si>
  <si>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</si>
  <si>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</si>
  <si>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</si>
  <si>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</si>
  <si>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</si>
  <si>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</si>
  <si>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</si>
  <si>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</si>
  <si>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</si>
  <si>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</si>
  <si>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</si>
  <si>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</si>
  <si>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</si>
  <si>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</si>
  <si>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</si>
  <si>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</si>
  <si>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</si>
  <si>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</si>
  <si>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</si>
  <si>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</si>
  <si>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</si>
  <si>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</si>
  <si>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</si>
  <si>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</si>
  <si>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</si>
  <si>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</si>
  <si>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</si>
  <si>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</si>
  <si>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</si>
  <si>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</si>
  <si>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</si>
  <si>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</si>
  <si>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</si>
  <si>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</si>
  <si>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</si>
  <si>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</si>
  <si>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</si>
  <si>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</si>
  <si>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</si>
  <si>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</si>
  <si>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</si>
  <si>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</si>
  <si>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</si>
  <si>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</si>
  <si>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</si>
  <si>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</si>
  <si>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</si>
  <si>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</si>
  <si>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</si>
  <si>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</si>
  <si>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</si>
  <si>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</si>
  <si>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</si>
  <si>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</si>
  <si>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</si>
  <si>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</si>
  <si>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</si>
  <si>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</si>
  <si>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</si>
  <si>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</si>
  <si>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</si>
  <si>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</si>
  <si>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</si>
  <si>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</si>
  <si>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</si>
  <si>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</si>
  <si>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</si>
  <si>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</si>
  <si>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</si>
  <si>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</si>
  <si>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</si>
  <si>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</si>
  <si>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</si>
  <si>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</si>
  <si>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</si>
  <si>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</si>
  <si>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</si>
  <si>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</si>
  <si>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</si>
  <si>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</si>
  <si>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</si>
  <si>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</si>
  <si>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</si>
  <si>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</si>
  <si>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</si>
  <si>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</si>
  <si>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</si>
  <si>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</si>
  <si>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</si>
  <si>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</si>
  <si>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</si>
  <si>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</si>
  <si>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</si>
  <si>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</si>
  <si>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</si>
  <si>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</si>
  <si>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</si>
  <si>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</si>
  <si>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</si>
  <si>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</si>
  <si>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</si>
  <si>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</si>
  <si>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</si>
  <si>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</si>
  <si>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</si>
  <si>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</si>
  <si>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</si>
  <si>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</si>
  <si>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</si>
  <si>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</si>
  <si>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</si>
  <si>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</si>
  <si>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</si>
  <si>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</si>
  <si>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</si>
  <si>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</si>
  <si>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</si>
  <si>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</si>
  <si>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</si>
  <si>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</si>
  <si>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</si>
  <si>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</si>
  <si>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</si>
  <si>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</si>
  <si>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</si>
  <si>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</si>
  <si>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</si>
  <si>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</si>
  <si>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</si>
  <si>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</si>
  <si>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</si>
  <si>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</si>
  <si>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</si>
  <si>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</si>
  <si>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</si>
  <si>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</si>
  <si>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</si>
  <si>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</si>
  <si>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</si>
  <si>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</si>
  <si>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</si>
  <si>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</si>
  <si>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</si>
  <si>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</si>
  <si>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</si>
  <si>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</si>
  <si>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</si>
  <si>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</si>
  <si>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</si>
  <si>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</si>
  <si>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</si>
  <si>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</si>
  <si>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</si>
  <si>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</si>
  <si>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</si>
  <si>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</si>
  <si>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</si>
  <si>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</si>
  <si>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</si>
  <si>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</si>
  <si>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</si>
  <si>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</si>
  <si>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</si>
  <si>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</si>
  <si>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</si>
  <si>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</si>
  <si>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</si>
  <si>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</si>
  <si>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</si>
  <si>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</si>
  <si>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</si>
  <si>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</si>
  <si>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</si>
  <si>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</si>
  <si>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</si>
  <si>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</si>
  <si>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</si>
  <si>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</si>
  <si>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</si>
  <si>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</si>
  <si>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</si>
  <si>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</si>
  <si>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</si>
  <si>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</si>
  <si>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</si>
  <si>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</si>
  <si>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</si>
  <si>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</si>
  <si>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</si>
  <si>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</si>
  <si>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</si>
  <si>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</si>
  <si>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</si>
  <si>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</si>
  <si>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</si>
  <si>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</si>
  <si>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</si>
  <si>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</si>
  <si>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</si>
  <si>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</si>
  <si>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</si>
  <si>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</si>
  <si>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</si>
  <si>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</si>
  <si>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</si>
  <si>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</si>
  <si>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</si>
  <si>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</si>
  <si>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</si>
  <si>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</si>
  <si>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</si>
  <si>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</si>
  <si>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</si>
  <si>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</si>
  <si>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</si>
  <si>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</si>
  <si>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</si>
  <si>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</si>
  <si>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</si>
  <si>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</si>
  <si>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</si>
  <si>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</si>
  <si>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</si>
  <si>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</si>
  <si>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</si>
  <si>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</si>
  <si>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</si>
  <si>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</si>
  <si>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</si>
  <si>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</si>
  <si>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</si>
  <si>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</si>
  <si>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</si>
  <si>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</si>
  <si>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</si>
  <si>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</si>
  <si>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</si>
  <si>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</si>
  <si>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</si>
  <si>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</si>
  <si>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</si>
  <si>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</si>
  <si>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</si>
  <si>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</si>
  <si>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</si>
  <si>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</si>
  <si>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</si>
  <si>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</si>
  <si>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</si>
  <si>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</si>
  <si>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</si>
  <si>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</si>
  <si>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</si>
  <si>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</si>
  <si>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</si>
  <si>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</si>
  <si>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</si>
  <si>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</si>
  <si>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</si>
  <si>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</si>
  <si>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</si>
  <si>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</si>
  <si>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</si>
  <si>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</si>
  <si>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</si>
  <si>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</si>
  <si>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</si>
  <si>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</si>
  <si>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</si>
  <si>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</si>
  <si>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</si>
  <si>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</si>
  <si>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</si>
  <si>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</si>
  <si>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</si>
  <si>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</si>
  <si>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</si>
  <si>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</si>
  <si>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</si>
  <si>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</si>
  <si>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</si>
  <si>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</si>
  <si>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</si>
  <si>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</si>
  <si>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</si>
  <si>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</si>
  <si>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</si>
  <si>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</si>
  <si>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</si>
  <si>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</si>
  <si>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</si>
  <si>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</si>
  <si>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</si>
  <si>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</si>
  <si>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</si>
  <si>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</si>
  <si>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</si>
  <si>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</si>
  <si>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</si>
  <si>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</si>
  <si>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</si>
  <si>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</si>
  <si>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</si>
  <si>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</si>
  <si>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</si>
  <si>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</si>
  <si>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</si>
  <si>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</si>
  <si>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</si>
  <si>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</si>
  <si>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</si>
  <si>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</si>
  <si>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</si>
  <si>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</si>
  <si>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</si>
  <si>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</si>
  <si>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</si>
  <si>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</si>
  <si>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</si>
  <si>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</si>
  <si>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</si>
  <si>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</si>
  <si>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</si>
  <si>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</si>
  <si>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</si>
  <si>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</si>
  <si>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</si>
  <si>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</si>
  <si>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</si>
  <si>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</si>
  <si>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</si>
  <si>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</si>
  <si>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</si>
  <si>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</si>
  <si>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</si>
  <si>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</si>
  <si>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</si>
  <si>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</si>
  <si>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</si>
  <si>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</si>
  <si>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</si>
  <si>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</si>
  <si>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</si>
  <si>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</si>
  <si>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</si>
  <si>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</si>
  <si>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</si>
  <si>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</si>
  <si>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</si>
  <si>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</si>
  <si>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</si>
  <si>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</si>
  <si>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</si>
  <si>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</si>
  <si>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</si>
  <si>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</si>
  <si>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</si>
  <si>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</si>
  <si>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</si>
  <si>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</si>
  <si>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</si>
  <si>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</si>
  <si>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</si>
  <si>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</si>
  <si>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</si>
  <si>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</si>
  <si>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</si>
  <si>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</si>
  <si>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</si>
  <si>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</si>
  <si>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</si>
  <si>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</si>
  <si>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</si>
  <si>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</si>
  <si>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</si>
  <si>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</si>
  <si>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</si>
  <si>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</si>
  <si>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</si>
  <si>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</si>
  <si>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</si>
  <si>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</si>
  <si>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</si>
  <si>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</si>
  <si>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</si>
  <si>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</si>
  <si>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</si>
  <si>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</si>
  <si>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</si>
  <si>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</si>
  <si>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</si>
  <si>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</si>
  <si>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</si>
  <si>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</si>
  <si>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</si>
  <si>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</si>
  <si>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</si>
  <si>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</si>
  <si>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</si>
  <si>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</si>
  <si>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</si>
  <si>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</si>
  <si>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</si>
  <si>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</si>
  <si>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</si>
  <si>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</si>
  <si>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</si>
  <si>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</si>
  <si>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</si>
  <si>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</si>
  <si>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</si>
  <si>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</si>
  <si>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</si>
  <si>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</si>
  <si>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</si>
  <si>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</si>
  <si>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</si>
  <si>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</si>
  <si>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</si>
  <si>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</si>
  <si>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</si>
  <si>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</si>
  <si>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</si>
  <si>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</si>
  <si>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</si>
  <si>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</si>
  <si>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</si>
  <si>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</si>
  <si>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</si>
  <si>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</si>
  <si>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</si>
  <si>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</si>
  <si>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expediente remitido al Juzgado de Origen REQUERIRLO ANTES DE LA AUDIENCIA</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</si>
  <si>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</si>
  <si>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</si>
  <si>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</si>
  <si>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</si>
  <si>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</si>
  <si>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</si>
  <si>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</si>
  <si>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</si>
  <si>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</si>
  <si>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</si>
  <si>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</si>
  <si>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</si>
  <si>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</si>
  <si>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</si>
  <si>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</si>
  <si>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</si>
  <si>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</si>
  <si>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</si>
  <si>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</si>
  <si>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</si>
  <si>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</si>
  <si>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</si>
  <si>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</si>
  <si>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</si>
  <si>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</si>
  <si>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</si>
  <si>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</si>
  <si>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</si>
  <si>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</si>
  <si>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</si>
  <si>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</si>
  <si>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</si>
  <si>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</si>
  <si>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</si>
  <si>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</si>
  <si>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</si>
  <si>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</si>
  <si>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</si>
  <si>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</si>
  <si>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</si>
  <si>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</si>
  <si>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VERON Ricardo Humberto por Privacion Ilegitima de la Libertad Agravada por el uso de Violencia y Amenzas en pjer. De Pintos Ana Fernanda</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</si>
  <si>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</si>
  <si>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</si>
  <si>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</si>
  <si>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</si>
  <si>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</si>
  <si>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</si>
  <si>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</si>
  <si>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</si>
  <si>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</si>
  <si>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</si>
  <si>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</si>
  <si>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</si>
  <si>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</si>
  <si>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</si>
  <si>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</si>
  <si>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</si>
  <si>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</si>
  <si>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</si>
  <si>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</si>
  <si>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</si>
  <si>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</si>
  <si>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</si>
  <si>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</si>
  <si>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</si>
  <si>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</si>
  <si>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</si>
  <si>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</si>
  <si>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</si>
  <si>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</si>
  <si>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</si>
  <si>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</si>
  <si>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</si>
  <si>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</si>
  <si>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</si>
  <si>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</si>
  <si>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</si>
  <si>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</si>
  <si>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</si>
  <si>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</si>
  <si>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</si>
  <si>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</si>
  <si>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</si>
  <si>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</si>
  <si>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</si>
  <si>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</si>
  <si>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</si>
  <si>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</si>
  <si>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</si>
  <si>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</si>
  <si>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</si>
  <si>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</si>
  <si>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</si>
  <si>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</si>
  <si>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</si>
  <si>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</si>
  <si>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</si>
  <si>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</si>
  <si>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</si>
  <si>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</si>
  <si>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</si>
  <si>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</si>
  <si>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</si>
  <si>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</si>
  <si>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</si>
  <si>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</si>
  <si>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</si>
  <si>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</si>
  <si>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</si>
  <si>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</si>
  <si>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</si>
  <si>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</si>
  <si>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</si>
  <si>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</si>
  <si>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</si>
  <si>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</si>
  <si>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</si>
  <si>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</si>
  <si>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</si>
  <si>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</si>
  <si>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</si>
  <si>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</si>
  <si>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</si>
  <si>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</si>
  <si>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</si>
  <si>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</si>
  <si>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</si>
  <si>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</si>
  <si>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</si>
  <si>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</si>
  <si>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</si>
  <si>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</si>
  <si>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</si>
  <si>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</si>
  <si>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</si>
  <si>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</si>
  <si>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</si>
  <si>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</si>
  <si>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</si>
  <si>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</si>
  <si>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</si>
  <si>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</si>
  <si>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</si>
  <si>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</si>
  <si>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</si>
  <si>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</si>
  <si>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</si>
  <si>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</si>
  <si>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</si>
  <si>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</si>
  <si>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</si>
  <si>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</si>
  <si>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</si>
  <si>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</si>
  <si>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</si>
  <si>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</si>
  <si>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</si>
  <si>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</si>
  <si>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</si>
  <si>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</si>
  <si>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</si>
  <si>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</si>
  <si>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</si>
  <si>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</si>
  <si>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</si>
  <si>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</si>
  <si>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</si>
  <si>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</si>
  <si>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</si>
  <si>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</si>
  <si>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</si>
  <si>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</si>
  <si>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</si>
  <si>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</si>
  <si>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</si>
  <si>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</si>
  <si>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</si>
  <si>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</si>
  <si>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</si>
  <si>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</si>
  <si>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</si>
  <si>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</si>
  <si>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</si>
  <si>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</si>
  <si>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</si>
  <si>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</si>
  <si>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</si>
  <si>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</si>
  <si>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</si>
  <si>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</si>
  <si>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</si>
  <si>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</si>
  <si>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</si>
  <si>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</si>
  <si>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</si>
  <si>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</si>
  <si>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</si>
  <si>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</si>
  <si>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09:;32</t>
  </si>
  <si>
    <t>177372/23</t>
  </si>
  <si>
    <t>FLORES, VICTOR ROLANDO POR LESIONES LEVES AGRAVADAS POR EL VINCULO Y POR MEDIAR VIOLENCIA DE GENERO, AMENAZAS CON ARMA BLANCA Y ABUSO SEXUAL CON ACCESO CARNAL EN CONCURSO REAL EN PERJUICIO DE Sosa, Cintia Janet; Exp acumulado GAR Nº 185637/23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</si>
  <si>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</si>
  <si>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</si>
  <si>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</si>
  <si>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</si>
  <si>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</si>
  <si>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</si>
  <si>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</si>
  <si>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</si>
  <si>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</si>
  <si>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</si>
  <si>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</si>
  <si>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</si>
  <si>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</si>
  <si>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</si>
  <si>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</si>
  <si>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</si>
  <si>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</si>
  <si>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</si>
  <si>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</si>
  <si>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</si>
  <si>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</si>
  <si>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</si>
  <si>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</si>
  <si>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</si>
  <si>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</si>
  <si>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</si>
  <si>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</si>
  <si>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</si>
  <si>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</si>
  <si>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</si>
  <si>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</si>
  <si>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</si>
  <si>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</si>
  <si>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</si>
  <si>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EXPEDIENTE REMITIIDO al Juzgado de Origen - Debe ser requerido dias previos a la audiencia Querellante: Dr. D'Andrea Gustavo Martin e Higa Federido Gensei</t>
  </si>
  <si>
    <t>AREVALO</t>
  </si>
  <si>
    <t xml:space="preserve">MOYA SALOMON Ricardo por Hurto con Escalamiento en perj. De </t>
  </si>
  <si>
    <t>Delfin</t>
  </si>
  <si>
    <t>186662/23</t>
  </si>
  <si>
    <t>SALAZAR, RAUL SEBASTIAN POR DESOBEDIENCIA JUDICIAL EN PERJUICIO DE Rosa Maribel Gutierrez</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</si>
  <si>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</si>
  <si>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</si>
  <si>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</si>
  <si>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</si>
  <si>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</si>
  <si>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</si>
  <si>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</si>
  <si>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</si>
  <si>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</si>
  <si>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</si>
  <si>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</si>
  <si>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</si>
  <si>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</si>
  <si>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</si>
  <si>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</si>
  <si>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</si>
  <si>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</si>
  <si>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</si>
  <si>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</si>
  <si>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</si>
  <si>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</si>
  <si>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</si>
  <si>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</si>
  <si>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</si>
  <si>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</si>
  <si>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</si>
  <si>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</si>
  <si>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</si>
  <si>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</si>
  <si>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</si>
  <si>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</si>
  <si>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</si>
  <si>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</si>
  <si>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</si>
  <si>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</si>
  <si>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</si>
  <si>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</si>
  <si>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</si>
  <si>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</si>
  <si>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</si>
  <si>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</si>
  <si>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</si>
  <si>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</si>
  <si>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</si>
  <si>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</si>
  <si>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CAMACHO FAMOSO, DIEGO RAMIRO POR DESOBEDIENCIA JUDICIAL (DOS HECHOS), HURTO AGRAVADO CON ESCALAMIENTO, Y VIOLACION DE DOMICILIO (DOS HECHOS) EN CONCURSO REAL EN PERJUICIO DE MARIA DEL VALLE FAMOSO</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</si>
  <si>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</si>
  <si>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</si>
  <si>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</si>
  <si>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</si>
  <si>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</si>
  <si>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</si>
  <si>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</si>
  <si>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</si>
  <si>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</si>
  <si>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 xml:space="preserve">TORRES, MATIAS GABRIEL POR LOS DELITOS DE LESIONES LEVES AGRAVADAS POR LA RELACION DE PAREJA PREEXISTENTE Y POR MEDIAR VIOLENCIA DE GENERO Y DESOBEDIENCIA JUDICIAL EN PERJUICIO DE </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</si>
  <si>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</si>
  <si>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</si>
  <si>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</si>
  <si>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</si>
  <si>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</si>
  <si>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</si>
  <si>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</si>
  <si>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</si>
  <si>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</si>
  <si>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</si>
  <si>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</si>
  <si>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</si>
  <si>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</si>
  <si>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</si>
  <si>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</si>
  <si>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</si>
  <si>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</si>
  <si>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</si>
  <si>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</si>
  <si>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</si>
  <si>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</si>
  <si>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</si>
  <si>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</si>
  <si>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</si>
  <si>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</si>
  <si>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</si>
  <si>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</si>
  <si>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</si>
  <si>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</si>
  <si>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</si>
  <si>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</si>
  <si>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</si>
  <si>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</si>
  <si>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</si>
  <si>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</si>
  <si>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</si>
  <si>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</si>
  <si>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</si>
  <si>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</si>
  <si>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</si>
  <si>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</si>
  <si>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</si>
  <si>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</si>
  <si>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</si>
  <si>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</si>
  <si>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</si>
  <si>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</si>
  <si>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</si>
  <si>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Asesoria Nº 6 - Dra. Ibarguren</t>
  </si>
  <si>
    <t>Suspendida en fecha 12/10 - REPRORAMADA</t>
  </si>
  <si>
    <t>Licencias</t>
  </si>
  <si>
    <t>186784/23</t>
  </si>
  <si>
    <t>186760/23</t>
  </si>
  <si>
    <t>MOLINA, EDUARDO JAVIER POR ROBO SIMPLE; EN PERJUICIO DE CHOCOBAR, JOSE SILVANO - A.P. 1644/23, SUB-COM. EL SOL (DUR 1) - FISCAL 4</t>
  </si>
  <si>
    <t>186887/23</t>
  </si>
  <si>
    <t>186692/23</t>
  </si>
  <si>
    <t>FLORES Maximiliano por GROOMING en perj. De L.TA.</t>
  </si>
  <si>
    <t>Dr. Osvaldo Simón Rodriguez (imp. Contreras)</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</si>
  <si>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</si>
  <si>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</si>
  <si>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</si>
  <si>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</si>
  <si>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</si>
  <si>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</si>
  <si>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</si>
  <si>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</si>
  <si>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</si>
  <si>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</si>
  <si>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</si>
  <si>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</si>
  <si>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</si>
  <si>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</si>
  <si>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</si>
  <si>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</si>
  <si>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</si>
  <si>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</si>
  <si>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Asesoria de Inc. Nº5 - Dra. Berni, Eugenia</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</si>
  <si>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</si>
  <si>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</si>
  <si>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</si>
  <si>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</si>
  <si>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</si>
  <si>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</si>
  <si>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Asesoría de Incapaces Nº 3</t>
  </si>
  <si>
    <r>
      <t xml:space="preserve">Asesoria Nº 2 - Dra. Flores Larsen. </t>
    </r>
    <r>
      <rPr>
        <b/>
        <sz val="10"/>
        <rFont val="Arial"/>
        <family val="2"/>
      </rPr>
      <t>SE SUSPENDE LA AUDIENCIA EN FECHA 23/10/2023</t>
    </r>
  </si>
  <si>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</si>
  <si>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</si>
  <si>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</si>
  <si>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</si>
  <si>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</si>
  <si>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</si>
  <si>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</si>
  <si>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 xml:space="preserve">MOLINA, EMANUEL GONZALO por el delito de LESIONES LEVES, AMENAZAS EN OCNCURSO REAL Y DESOBEDIENCIA EN CONCURSO IDEAL EN PERJUICIO DE </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</si>
  <si>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</si>
  <si>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</si>
  <si>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</si>
  <si>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</si>
  <si>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</si>
  <si>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</si>
  <si>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</si>
  <si>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</si>
  <si>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</si>
  <si>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</si>
  <si>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</si>
  <si>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</si>
  <si>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</si>
  <si>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</si>
  <si>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</si>
  <si>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</si>
  <si>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</si>
  <si>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</si>
  <si>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</si>
  <si>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</si>
  <si>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</si>
  <si>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</si>
  <si>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</si>
  <si>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</si>
  <si>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</si>
  <si>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</si>
  <si>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acumula gar 185860 con Requerimiento</t>
  </si>
  <si>
    <t>Se devuelve al juzgado de orignen se debe dar la libertar habiendo cumplido el plazo de 20 para preventiva ordenado por el dr. Pastrana</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</si>
  <si>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</si>
  <si>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</si>
  <si>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</si>
  <si>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RODRIGUEZ, EMMANUEL ALEJANDRO POR DESOBEDIENCIA JUDICIAL en perjuicio de María José Erazo</t>
  </si>
  <si>
    <t>Asesoría de Menores e Incapaces Nº 7</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</si>
  <si>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</si>
  <si>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</si>
  <si>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</si>
  <si>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</si>
  <si>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</si>
  <si>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</si>
  <si>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</si>
  <si>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</si>
  <si>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</si>
  <si>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</si>
  <si>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Asesoría de Menosres Nº 8</t>
  </si>
  <si>
    <t>...</t>
  </si>
  <si>
    <t>186949/23</t>
  </si>
  <si>
    <t>186934/23</t>
  </si>
  <si>
    <t>Asesoria de Incapaces Nº 2</t>
  </si>
  <si>
    <t>186800/23</t>
  </si>
  <si>
    <t xml:space="preserve">ABRAHAM,  FEDERICO GABRIEL Y DE PANIGUA NÉSTOR RODRIGO por la comisión del delito de Tenencia y Distribución de Material Sexual en perjuicio de </t>
  </si>
  <si>
    <t>La trabaja Maria Antar y la audiencia la realiza el Dr. Hector Villa</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</si>
  <si>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</si>
  <si>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</si>
  <si>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</si>
  <si>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</si>
  <si>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</si>
  <si>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</si>
  <si>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CUARTO Intermedio desde 25/10 al 30/10 - Asesoria de incapaces 10 - Dra. Salatin</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</si>
  <si>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</si>
  <si>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</si>
  <si>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</si>
  <si>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</si>
  <si>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</si>
  <si>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</si>
  <si>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</si>
  <si>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</si>
  <si>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</si>
  <si>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</si>
  <si>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</si>
  <si>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</si>
  <si>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</si>
  <si>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</si>
  <si>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</si>
  <si>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</si>
  <si>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</si>
  <si>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Dra. Garibaldi defensa de los Srs. Quintana, Demaris, Quinatana Exequiel, Quintana Jose; y el Dr. Terrile por el investigado Chica y Lopez Leonardo</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</si>
  <si>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</si>
  <si>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</si>
  <si>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</si>
  <si>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</si>
  <si>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</si>
  <si>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</si>
  <si>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</si>
  <si>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186956/23</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</si>
  <si>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</si>
  <si>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</si>
  <si>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</si>
  <si>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</si>
  <si>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</si>
  <si>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</si>
  <si>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</si>
  <si>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</si>
  <si>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</si>
  <si>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TORRES, MIGUEL ALEJANDRO Y DE JAIME ARIEL ALEJANDRO EN PERJUICIO DE DIEZ, ANALIA; FIGUEROA BEATRIZ; HERRERA LAUREANA</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</si>
  <si>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</si>
  <si>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</si>
  <si>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</si>
  <si>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Dr.  Marcelo Gerez MP 7409 por el investigado Paniagua, Nestor Rodrigo</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</si>
  <si>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</si>
  <si>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</si>
  <si>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</si>
  <si>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</si>
  <si>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</si>
  <si>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Audiencia suspendida en fecha 26/10 por falta de rnr. La tranaja Florencia Gonzalez y la audiencia la realiza …</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</si>
  <si>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</si>
  <si>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</si>
  <si>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</si>
  <si>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</si>
  <si>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</si>
  <si>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r>
      <t xml:space="preserve">Asesor de incapaces Nº 2 Dra. Florencia Larsen. - - - - </t>
    </r>
    <r>
      <rPr>
        <b/>
        <sz val="10"/>
        <rFont val="Arial"/>
        <family val="2"/>
      </rPr>
      <t>SE SUSPENDE LA AUDIENCIA del 02/10 EN FECHA 23/10/202</t>
    </r>
    <r>
      <rPr>
        <sz val="10"/>
        <rFont val="Arial"/>
        <family val="2"/>
      </rPr>
      <t xml:space="preserve">3 </t>
    </r>
  </si>
  <si>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</si>
  <si>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</si>
  <si>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</si>
  <si>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</si>
  <si>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</si>
  <si>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RODRIGUEZ, HORACIO HERNAN Y LIENDRO, GONZALO NAHUEL POR HURTO SIMPLE Y ROBO SIMPLE EN CONCURSO REAL en perdicio de Piera, José Damian</t>
  </si>
  <si>
    <t>186916/23</t>
  </si>
  <si>
    <t>Expte. acumulado GAR 186968/23</t>
  </si>
  <si>
    <t xml:space="preserve">ESPINOZA, JOSE EDUARDO POR EL DELITO DE HURTO SIMPLE, LESIONES LEVES Y AMENAZAS CON ARMA EN PERJUICIO DE </t>
  </si>
  <si>
    <t>Asesor de Incapaces Nº 1- Dr. Marcelo Esteban</t>
  </si>
  <si>
    <t>FERRONI LARRAN, JOSE MARIA POR DAÑOS, LESIONES LEVES AGRAVADAS POR EL GENERO, AMENAZAS, COACCION Y AGRESION CON ARMAS EN PERJUICIO DE B.R.B.M</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</si>
  <si>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</si>
  <si>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</si>
  <si>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</si>
  <si>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LA PRISION PREVENTIVA ES PARA EL IMPUTADO CORAITE, JAVIER</t>
  </si>
  <si>
    <t>186840/23</t>
  </si>
  <si>
    <t>SAYAGO, LEANDRO GABRIEL - RUEDA, ERICK FRANCISCO POR ROBO SIMPLE</t>
  </si>
  <si>
    <t>186580/23</t>
  </si>
  <si>
    <t>LOPEZ, ESTEBAN AMERICO POR EL DELITO DE ABUSO SEXUAL CON ACCESO CARNAL en perjuicio de M.E.L.R</t>
  </si>
  <si>
    <t xml:space="preserve">SE REPROGRAMÓ LA AUDIENCIA </t>
  </si>
  <si>
    <t>186846/23</t>
  </si>
  <si>
    <t>ARGOTE TORRES, JOSE LUIS POR HOMICIDIO CALIFICADO POR LA RELACION DE PAREJA PREVIA Y POR MEDIAR VIOLENCIA DE GENERO EN GRADO DE TENTATIVA EN CONCURSO RELA CON PRIVACION ILEGITIMA DE LA LIBERTAD en perjuicio de Mariana Raquel Loayza Valda</t>
  </si>
  <si>
    <t>Vence preventiva por 3 meses</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</si>
  <si>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</si>
  <si>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</si>
  <si>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</si>
  <si>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</si>
  <si>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</si>
  <si>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</si>
  <si>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r>
      <rPr>
        <sz val="10"/>
        <color rgb="FFFF0000"/>
        <rFont val="Arial"/>
        <family val="2"/>
      </rPr>
      <t>POSIBLEMENTE VIRTUAL CON VICTIMA EN FISCALIA</t>
    </r>
    <r>
      <rPr>
        <sz val="10"/>
        <rFont val="Arial"/>
        <family val="2"/>
      </rPr>
      <t xml:space="preserve"> CALDERON, JUAN POR EL DELITO DE LESIONES LEVES</t>
    </r>
  </si>
  <si>
    <t>CUARTO INTERMEDIO DESDE 27/10/2023 POR FALTA DE RNR</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</si>
  <si>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</si>
  <si>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</si>
  <si>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</si>
  <si>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</si>
  <si>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</si>
  <si>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</si>
  <si>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</si>
  <si>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</si>
  <si>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</si>
  <si>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</si>
  <si>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Informe de Gestion Mensual</t>
  </si>
  <si>
    <t>Promedio diario en el mes</t>
  </si>
  <si>
    <t>Septiembre</t>
  </si>
  <si>
    <t>Cantidad de dias desde ingreso de escrito hasta la fecha de audiencia</t>
  </si>
  <si>
    <t>Pedidos de Prision preventiva ingresados</t>
  </si>
  <si>
    <t>Cantidad de Audiencias realizadas por mes</t>
  </si>
  <si>
    <t>Promedio total diario</t>
  </si>
  <si>
    <t>Motivo atraso: trativa entre las partes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</si>
</sst>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yy;@"/>
    <numFmt numFmtId="165" formatCode="0.0%"/>
  </numFmts>
  <fonts count="53"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Rounded MT Bold"/>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sz val="18"/>
      <color rgb="FFFF0000"/>
      <name val="Arial"/>
      <family val="2"/>
    </font>
    <font>
      <b/>
      <sz val="12"/>
      <color rgb="FF000000"/>
      <name val="Arial"/>
      <family val="2"/>
    </font>
  </fonts>
  <fills count="16">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3">
    <xf numFmtId="0" fontId="0" fillId="0" borderId="0"/>
    <xf numFmtId="0" fontId="2" fillId="0" borderId="0"/>
    <xf numFmtId="9" fontId="35" fillId="0" borderId="0" applyFont="0" applyFill="0" applyBorder="0" applyAlignment="0" applyProtection="0"/>
  </cellStyleXfs>
  <cellXfs count="425">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20"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3" fillId="0"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14" fontId="2" fillId="12" borderId="2" xfId="0" applyNumberFormat="1" applyFont="1" applyFill="1" applyBorder="1" applyAlignment="1">
      <alignment horizontal="center" vertical="center" wrapText="1"/>
    </xf>
    <xf numFmtId="0" fontId="43" fillId="12" borderId="2"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49" fontId="0" fillId="0" borderId="2" xfId="0" applyNumberFormat="1" applyFill="1" applyBorder="1" applyAlignment="1">
      <alignment horizontal="center" vertical="center" wrapText="1"/>
    </xf>
    <xf numFmtId="0" fontId="0" fillId="13" borderId="2" xfId="0" applyFill="1" applyBorder="1" applyAlignment="1">
      <alignment horizontal="center" vertical="center" wrapText="1"/>
    </xf>
    <xf numFmtId="0" fontId="32" fillId="4" borderId="2" xfId="0" applyFont="1" applyFill="1" applyBorder="1" applyAlignment="1">
      <alignment horizontal="center" vertical="center" wrapText="1"/>
    </xf>
    <xf numFmtId="0" fontId="2" fillId="13" borderId="1" xfId="0" applyFon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2" fillId="10"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0" fillId="10" borderId="1" xfId="0" applyFill="1" applyBorder="1" applyAlignment="1">
      <alignment horizontal="center" vertical="center" wrapText="1"/>
    </xf>
    <xf numFmtId="165" fontId="36" fillId="0" borderId="1" xfId="0" applyNumberFormat="1" applyFont="1" applyBorder="1" applyAlignment="1">
      <alignment horizontal="center" vertical="center"/>
    </xf>
    <xf numFmtId="0" fontId="2" fillId="4" borderId="1" xfId="0" applyNumberFormat="1" applyFont="1" applyFill="1" applyBorder="1" applyAlignment="1">
      <alignment horizontal="center" vertical="center" wrapText="1"/>
    </xf>
    <xf numFmtId="0" fontId="2" fillId="4" borderId="0" xfId="0" applyFont="1" applyFill="1" applyBorder="1" applyAlignment="1">
      <alignment horizontal="center" vertical="center" wrapText="1"/>
    </xf>
    <xf numFmtId="0" fontId="9" fillId="4" borderId="0" xfId="0"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34" fillId="4" borderId="0" xfId="0" applyFont="1" applyFill="1" applyBorder="1" applyAlignment="1">
      <alignment horizontal="left" vertical="center" wrapText="1"/>
    </xf>
    <xf numFmtId="0" fontId="7" fillId="4" borderId="2" xfId="0" applyFont="1" applyFill="1" applyBorder="1" applyAlignment="1">
      <alignment horizontal="center" vertical="center" wrapText="1"/>
    </xf>
    <xf numFmtId="0" fontId="9" fillId="0" borderId="2" xfId="0" applyFont="1" applyBorder="1" applyAlignment="1">
      <alignment horizontal="center" vertical="center" wrapText="1"/>
    </xf>
    <xf numFmtId="0" fontId="34" fillId="4" borderId="2" xfId="0" applyFont="1" applyFill="1" applyBorder="1" applyAlignment="1">
      <alignment horizontal="center" vertical="center"/>
    </xf>
    <xf numFmtId="0" fontId="34" fillId="4" borderId="0" xfId="0" applyFont="1" applyFill="1" applyBorder="1" applyAlignment="1">
      <alignment wrapText="1"/>
    </xf>
    <xf numFmtId="0" fontId="10" fillId="4" borderId="0" xfId="0" applyFont="1" applyFill="1" applyBorder="1" applyAlignment="1">
      <alignment horizontal="center" vertical="center" wrapText="1"/>
    </xf>
    <xf numFmtId="20" fontId="9" fillId="4" borderId="2" xfId="0" applyNumberFormat="1" applyFont="1" applyFill="1" applyBorder="1" applyAlignment="1">
      <alignment horizontal="center" vertical="center" wrapText="1"/>
    </xf>
    <xf numFmtId="0" fontId="2" fillId="6" borderId="9" xfId="0" applyFont="1" applyFill="1" applyBorder="1" applyAlignment="1">
      <alignment horizontal="center" vertical="center"/>
    </xf>
    <xf numFmtId="0" fontId="2" fillId="6" borderId="23" xfId="0" applyFont="1" applyFill="1" applyBorder="1" applyAlignment="1">
      <alignment horizontal="center" vertical="center"/>
    </xf>
    <xf numFmtId="0" fontId="2" fillId="0" borderId="23" xfId="0" applyFont="1" applyBorder="1"/>
    <xf numFmtId="0" fontId="2" fillId="15" borderId="17" xfId="1" applyFont="1" applyFill="1" applyBorder="1" applyAlignment="1">
      <alignment horizontal="center" vertical="center" wrapText="1"/>
    </xf>
    <xf numFmtId="0" fontId="2" fillId="15" borderId="10" xfId="1" applyFill="1" applyBorder="1" applyAlignment="1">
      <alignment horizontal="center" vertical="center"/>
    </xf>
    <xf numFmtId="0" fontId="0" fillId="0" borderId="9" xfId="0" applyBorder="1" applyAlignment="1">
      <alignment horizontal="center" vertical="center"/>
    </xf>
    <xf numFmtId="0" fontId="2" fillId="0" borderId="23" xfId="0" applyFont="1" applyBorder="1" applyAlignment="1">
      <alignment horizontal="center" vertical="center"/>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49" fontId="2" fillId="0" borderId="0" xfId="0" applyNumberFormat="1" applyFont="1" applyFill="1" applyBorder="1" applyAlignment="1">
      <alignment horizontal="center" vertical="center"/>
    </xf>
    <xf numFmtId="0" fontId="34" fillId="4" borderId="0" xfId="0" applyFont="1" applyFill="1" applyBorder="1" applyAlignment="1">
      <alignment horizontal="center" vertical="center" wrapText="1"/>
    </xf>
    <xf numFmtId="0" fontId="34" fillId="4" borderId="1" xfId="0" applyFont="1" applyFill="1" applyBorder="1" applyAlignment="1">
      <alignment wrapText="1"/>
    </xf>
    <xf numFmtId="0" fontId="34" fillId="4" borderId="0" xfId="0" applyFont="1" applyFill="1" applyBorder="1"/>
    <xf numFmtId="0" fontId="0" fillId="0" borderId="2" xfId="0" applyBorder="1" applyAlignment="1">
      <alignment horizontal="center" vertical="center" wrapText="1"/>
    </xf>
    <xf numFmtId="0" fontId="0" fillId="12" borderId="1" xfId="0" applyFill="1" applyBorder="1" applyAlignment="1">
      <alignment horizontal="center" vertical="center" wrapText="1"/>
    </xf>
    <xf numFmtId="0" fontId="2" fillId="15" borderId="31" xfId="0" applyFont="1" applyFill="1" applyBorder="1" applyAlignment="1">
      <alignment horizontal="center" wrapText="1"/>
    </xf>
    <xf numFmtId="0" fontId="2" fillId="15" borderId="32" xfId="0" applyFont="1" applyFill="1" applyBorder="1" applyAlignment="1">
      <alignment horizontal="center" wrapText="1"/>
    </xf>
    <xf numFmtId="0" fontId="2" fillId="15" borderId="13" xfId="0" applyFont="1" applyFill="1" applyBorder="1" applyAlignment="1">
      <alignment horizontal="center" wrapText="1"/>
    </xf>
    <xf numFmtId="0" fontId="2" fillId="15" borderId="15" xfId="0" applyFont="1" applyFill="1" applyBorder="1" applyAlignment="1">
      <alignment horizontal="center" wrapText="1"/>
    </xf>
    <xf numFmtId="0" fontId="2" fillId="15" borderId="7" xfId="0" applyFont="1" applyFill="1" applyBorder="1" applyAlignment="1">
      <alignment horizontal="center" wrapText="1"/>
    </xf>
    <xf numFmtId="0" fontId="2" fillId="15" borderId="8" xfId="0" applyFont="1" applyFill="1" applyBorder="1" applyAlignment="1">
      <alignment horizont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aje"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'Informe de Gestión mensual'!$A$6:$A$15</c:f>
              <c:strCache>
                <c:ptCount val="10"/>
                <c:pt idx="0">
                  <c:v>Marzo</c:v>
                </c:pt>
                <c:pt idx="1">
                  <c:v>Abril</c:v>
                </c:pt>
                <c:pt idx="2">
                  <c:v>Mayo</c:v>
                </c:pt>
                <c:pt idx="3">
                  <c:v>Junio</c:v>
                </c:pt>
                <c:pt idx="4">
                  <c:v>Julio</c:v>
                </c:pt>
                <c:pt idx="5">
                  <c:v>Agosto</c:v>
                </c:pt>
                <c:pt idx="6">
                  <c:v>Septiembre</c:v>
                </c:pt>
                <c:pt idx="7">
                  <c:v>Octubre</c:v>
                </c:pt>
                <c:pt idx="8">
                  <c:v>Noviembre</c:v>
                </c:pt>
                <c:pt idx="9">
                  <c:v>Diciembre</c:v>
                </c:pt>
              </c:strCache>
            </c:strRef>
          </c:cat>
          <c:val>
            <c:numRef>
              <c:f>'Informe de Gestión mensual'!$B$6:$B$15</c:f>
              <c:numCache>
                <c:formatCode>General</c:formatCode>
                <c:ptCount val="10"/>
                <c:pt idx="0">
                  <c:v>12</c:v>
                </c:pt>
                <c:pt idx="1">
                  <c:v>7</c:v>
                </c:pt>
                <c:pt idx="2">
                  <c:v>6</c:v>
                </c:pt>
                <c:pt idx="3">
                  <c:v>6</c:v>
                </c:pt>
                <c:pt idx="4">
                  <c:v>8</c:v>
                </c:pt>
                <c:pt idx="5">
                  <c:v>6</c:v>
                </c:pt>
                <c:pt idx="6">
                  <c:v>9</c:v>
                </c:pt>
                <c:pt idx="7">
                  <c:v>10</c:v>
                </c:pt>
              </c:numCache>
            </c:numRef>
          </c:val>
          <c:smooth val="0"/>
          <c:extLst>
            <c:ext xmlns:c16="http://schemas.microsoft.com/office/drawing/2014/chart" uri="{C3380CC4-5D6E-409C-BE32-E72D297353CC}">
              <c16:uniqueId val="{00000000-C4E5-4436-8E74-B5ED6F77649A}"/>
            </c:ext>
          </c:extLst>
        </c:ser>
        <c:dLbls>
          <c:dLblPos val="t"/>
          <c:showLegendKey val="0"/>
          <c:showVal val="1"/>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282331152"/>
        <c:axId val="1282328240"/>
      </c:lineChart>
      <c:catAx>
        <c:axId val="12823311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S"/>
                  <a:t>Tiempo</a:t>
                </a:r>
                <a:r>
                  <a:rPr lang="es-ES" baseline="0"/>
                  <a:t> (dias) desde llegada del escrito hasta la fecha de audiencia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28240"/>
        <c:crosses val="autoZero"/>
        <c:auto val="1"/>
        <c:lblAlgn val="ctr"/>
        <c:lblOffset val="100"/>
        <c:noMultiLvlLbl val="0"/>
      </c:catAx>
      <c:valAx>
        <c:axId val="1282328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31152"/>
        <c:crosses val="autoZero"/>
        <c:crossBetween val="between"/>
      </c:valAx>
      <c:spPr>
        <a:noFill/>
        <a:ln>
          <a:noFill/>
        </a:ln>
        <a:effectLst/>
      </c:spPr>
    </c:plotArea>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Comparacion audiencias realizadas/Preventivas recibidas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Audiencias</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'Informe de Gestión mensual'!$G$5:$G$13</c:f>
              <c:strCache>
                <c:ptCount val="9"/>
                <c:pt idx="0">
                  <c:v>Febrero</c:v>
                </c:pt>
                <c:pt idx="1">
                  <c:v>Marzo</c:v>
                </c:pt>
                <c:pt idx="2">
                  <c:v>Abril</c:v>
                </c:pt>
                <c:pt idx="3">
                  <c:v>Mayo</c:v>
                </c:pt>
                <c:pt idx="4">
                  <c:v>Junio</c:v>
                </c:pt>
                <c:pt idx="5">
                  <c:v>Julio</c:v>
                </c:pt>
                <c:pt idx="6">
                  <c:v>Agosto</c:v>
                </c:pt>
                <c:pt idx="7">
                  <c:v>Setiembre</c:v>
                </c:pt>
                <c:pt idx="8">
                  <c:v>Octubre</c:v>
                </c:pt>
              </c:strCache>
            </c:strRef>
          </c:cat>
          <c:val>
            <c:numRef>
              <c:f>'Informe de Gestión mensual'!$H$5:$H$13</c:f>
              <c:numCache>
                <c:formatCode>General</c:formatCode>
                <c:ptCount val="9"/>
                <c:pt idx="0">
                  <c:v>4</c:v>
                </c:pt>
                <c:pt idx="1">
                  <c:v>84</c:v>
                </c:pt>
                <c:pt idx="2">
                  <c:v>63</c:v>
                </c:pt>
                <c:pt idx="3">
                  <c:v>44</c:v>
                </c:pt>
                <c:pt idx="4">
                  <c:v>87</c:v>
                </c:pt>
                <c:pt idx="5">
                  <c:v>128</c:v>
                </c:pt>
                <c:pt idx="6">
                  <c:v>128</c:v>
                </c:pt>
                <c:pt idx="7">
                  <c:v>117</c:v>
                </c:pt>
                <c:pt idx="8">
                  <c:v>138</c:v>
                </c:pt>
              </c:numCache>
            </c:numRef>
          </c:val>
          <c:smooth val="0"/>
          <c:extLst>
            <c:ext xmlns:c16="http://schemas.microsoft.com/office/drawing/2014/chart" uri="{C3380CC4-5D6E-409C-BE32-E72D297353CC}">
              <c16:uniqueId val="{00000000-C104-4CA0-AEA3-BC37C639EBEA}"/>
            </c:ext>
          </c:extLst>
        </c:ser>
        <c:ser>
          <c:idx val="1"/>
          <c:order val="1"/>
          <c:tx>
            <c:v>Preventivas</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'Informe de Gestión mensual'!$G$5:$G$13</c:f>
              <c:strCache>
                <c:ptCount val="9"/>
                <c:pt idx="0">
                  <c:v>Febrero</c:v>
                </c:pt>
                <c:pt idx="1">
                  <c:v>Marzo</c:v>
                </c:pt>
                <c:pt idx="2">
                  <c:v>Abril</c:v>
                </c:pt>
                <c:pt idx="3">
                  <c:v>Mayo</c:v>
                </c:pt>
                <c:pt idx="4">
                  <c:v>Junio</c:v>
                </c:pt>
                <c:pt idx="5">
                  <c:v>Julio</c:v>
                </c:pt>
                <c:pt idx="6">
                  <c:v>Agosto</c:v>
                </c:pt>
                <c:pt idx="7">
                  <c:v>Setiembre</c:v>
                </c:pt>
                <c:pt idx="8">
                  <c:v>Octubre</c:v>
                </c:pt>
              </c:strCache>
            </c:strRef>
          </c:cat>
          <c:val>
            <c:numRef>
              <c:f>'Informe de Gestión mensual'!$E$5:$E$13</c:f>
              <c:numCache>
                <c:formatCode>General</c:formatCode>
                <c:ptCount val="9"/>
                <c:pt idx="0">
                  <c:v>17</c:v>
                </c:pt>
                <c:pt idx="1">
                  <c:v>131</c:v>
                </c:pt>
                <c:pt idx="2">
                  <c:v>6</c:v>
                </c:pt>
                <c:pt idx="3">
                  <c:v>64</c:v>
                </c:pt>
                <c:pt idx="4">
                  <c:v>110</c:v>
                </c:pt>
                <c:pt idx="5">
                  <c:v>116</c:v>
                </c:pt>
                <c:pt idx="6">
                  <c:v>137</c:v>
                </c:pt>
                <c:pt idx="7">
                  <c:v>151</c:v>
                </c:pt>
                <c:pt idx="8">
                  <c:v>158</c:v>
                </c:pt>
              </c:numCache>
            </c:numRef>
          </c:val>
          <c:smooth val="0"/>
          <c:extLst>
            <c:ext xmlns:c16="http://schemas.microsoft.com/office/drawing/2014/chart" uri="{C3380CC4-5D6E-409C-BE32-E72D297353CC}">
              <c16:uniqueId val="{00000002-C104-4CA0-AEA3-BC37C639EBEA}"/>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324188464"/>
        <c:axId val="1324173488"/>
      </c:lineChart>
      <c:catAx>
        <c:axId val="132418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73488"/>
        <c:crosses val="autoZero"/>
        <c:auto val="1"/>
        <c:lblAlgn val="ctr"/>
        <c:lblOffset val="100"/>
        <c:noMultiLvlLbl val="0"/>
      </c:catAx>
      <c:valAx>
        <c:axId val="1324173488"/>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88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5971"/>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Suspensión de juicio a prueba</c:v>
                </c:pt>
              </c:strCache>
            </c:strRef>
          </c:cat>
          <c:val>
            <c:numRef>
              <c:f>'Informe semana'!$A$6:$A$10</c:f>
              <c:numCache>
                <c:formatCode>General</c:formatCode>
                <c:ptCount val="5"/>
                <c:pt idx="0">
                  <c:v>11</c:v>
                </c:pt>
                <c:pt idx="1">
                  <c:v>19</c:v>
                </c:pt>
                <c:pt idx="2">
                  <c:v>1</c:v>
                </c:pt>
                <c:pt idx="3">
                  <c:v>1</c:v>
                </c:pt>
                <c:pt idx="4">
                  <c:v>1</c:v>
                </c:pt>
              </c:numCache>
            </c:numRef>
          </c:val>
          <c:extLst>
            <c:ext xmlns:c16="http://schemas.microsoft.com/office/drawing/2014/chart" uri="{C3380CC4-5D6E-409C-BE32-E72D297353CC}">
              <c16:uniqueId val="{00000000-BD5B-4DC1-8FBE-BF525F5D353F}"/>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CB3-40B8-AE80-F54E60C4183C}"/>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CB3-40B8-AE80-F54E60C4183C}"/>
            </c:ext>
          </c:extLst>
        </c:ser>
        <c:dLbls>
          <c:showLegendKey val="0"/>
          <c:showVal val="0"/>
          <c:showCatName val="0"/>
          <c:showSerName val="0"/>
          <c:showPercent val="0"/>
          <c:showBubbleSize val="0"/>
        </c:dLbls>
        <c:gapWidth val="150"/>
        <c:axId val="151746048"/>
        <c:axId val="151747584"/>
      </c:barChart>
      <c:catAx>
        <c:axId val="151746048"/>
        <c:scaling>
          <c:orientation val="minMax"/>
        </c:scaling>
        <c:delete val="0"/>
        <c:axPos val="b"/>
        <c:majorTickMark val="none"/>
        <c:minorTickMark val="none"/>
        <c:tickLblPos val="nextTo"/>
        <c:txPr>
          <a:bodyPr/>
          <a:lstStyle/>
          <a:p>
            <a:pPr>
              <a:defRPr lang="es-ES"/>
            </a:pPr>
            <a:endParaRPr lang="es-ES"/>
          </a:p>
        </c:txPr>
        <c:crossAx val="151747584"/>
        <c:crosses val="autoZero"/>
        <c:auto val="1"/>
        <c:lblAlgn val="ctr"/>
        <c:lblOffset val="100"/>
        <c:noMultiLvlLbl val="0"/>
      </c:catAx>
      <c:valAx>
        <c:axId val="151747584"/>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1746048"/>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72-42F2-A36B-D64DAE1A7720}"/>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E1E-42DB-8BEB-634887074342}"/>
            </c:ext>
          </c:extLst>
        </c:ser>
        <c:dLbls>
          <c:showLegendKey val="0"/>
          <c:showVal val="0"/>
          <c:showCatName val="0"/>
          <c:showSerName val="0"/>
          <c:showPercent val="0"/>
          <c:showBubbleSize val="0"/>
        </c:dLbls>
        <c:gapWidth val="150"/>
        <c:axId val="150898560"/>
        <c:axId val="150900096"/>
      </c:barChart>
      <c:catAx>
        <c:axId val="150898560"/>
        <c:scaling>
          <c:orientation val="minMax"/>
        </c:scaling>
        <c:delete val="0"/>
        <c:axPos val="b"/>
        <c:majorTickMark val="none"/>
        <c:minorTickMark val="none"/>
        <c:tickLblPos val="nextTo"/>
        <c:txPr>
          <a:bodyPr/>
          <a:lstStyle/>
          <a:p>
            <a:pPr>
              <a:defRPr lang="es-ES"/>
            </a:pPr>
            <a:endParaRPr lang="es-ES"/>
          </a:p>
        </c:txPr>
        <c:crossAx val="150900096"/>
        <c:crosses val="autoZero"/>
        <c:auto val="1"/>
        <c:lblAlgn val="ctr"/>
        <c:lblOffset val="100"/>
        <c:noMultiLvlLbl val="0"/>
      </c:catAx>
      <c:valAx>
        <c:axId val="150900096"/>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089856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FAAB-4CF0-B916-CB89EF247BED}"/>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02-44AF-BF46-3012743CA5D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C302-44AF-BF46-3012743CA5D7}"/>
            </c:ext>
          </c:extLst>
        </c:ser>
        <c:dLbls>
          <c:showLegendKey val="0"/>
          <c:showVal val="0"/>
          <c:showCatName val="0"/>
          <c:showSerName val="0"/>
          <c:showPercent val="0"/>
          <c:showBubbleSize val="0"/>
        </c:dLbls>
        <c:gapWidth val="150"/>
        <c:axId val="151800448"/>
        <c:axId val="151818624"/>
      </c:barChart>
      <c:catAx>
        <c:axId val="151800448"/>
        <c:scaling>
          <c:orientation val="minMax"/>
        </c:scaling>
        <c:delete val="0"/>
        <c:axPos val="b"/>
        <c:majorTickMark val="none"/>
        <c:minorTickMark val="none"/>
        <c:tickLblPos val="nextTo"/>
        <c:txPr>
          <a:bodyPr/>
          <a:lstStyle/>
          <a:p>
            <a:pPr>
              <a:defRPr lang="es-ES"/>
            </a:pPr>
            <a:endParaRPr lang="es-ES"/>
          </a:p>
        </c:txPr>
        <c:crossAx val="151818624"/>
        <c:crosses val="autoZero"/>
        <c:auto val="1"/>
        <c:lblAlgn val="ctr"/>
        <c:lblOffset val="100"/>
        <c:noMultiLvlLbl val="0"/>
      </c:catAx>
      <c:valAx>
        <c:axId val="151818624"/>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0044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A1-4B49-B376-B45FE4F92BBB}"/>
              </c:ext>
            </c:extLst>
          </c:dPt>
          <c:dPt>
            <c:idx val="1"/>
            <c:invertIfNegative val="0"/>
            <c:bubble3D val="0"/>
            <c:spPr>
              <a:solidFill>
                <a:srgbClr val="00B050"/>
              </a:solidFill>
            </c:spPr>
            <c:extLst>
              <c:ext xmlns:c16="http://schemas.microsoft.com/office/drawing/2014/chart" uri="{C3380CC4-5D6E-409C-BE32-E72D297353CC}">
                <c16:uniqueId val="{00000001-C3A1-4B49-B376-B45FE4F92BBB}"/>
              </c:ext>
            </c:extLst>
          </c:dPt>
          <c:dPt>
            <c:idx val="2"/>
            <c:invertIfNegative val="0"/>
            <c:bubble3D val="0"/>
            <c:spPr>
              <a:solidFill>
                <a:srgbClr val="92D050"/>
              </a:solidFill>
            </c:spPr>
            <c:extLst>
              <c:ext xmlns:c16="http://schemas.microsoft.com/office/drawing/2014/chart" uri="{C3380CC4-5D6E-409C-BE32-E72D297353CC}">
                <c16:uniqueId val="{00000002-C3A1-4B49-B376-B45FE4F92BBB}"/>
              </c:ext>
            </c:extLst>
          </c:dPt>
          <c:dPt>
            <c:idx val="4"/>
            <c:invertIfNegative val="0"/>
            <c:bubble3D val="0"/>
            <c:spPr>
              <a:solidFill>
                <a:srgbClr val="7030A0"/>
              </a:solidFill>
            </c:spPr>
            <c:extLst>
              <c:ext xmlns:c16="http://schemas.microsoft.com/office/drawing/2014/chart" uri="{C3380CC4-5D6E-409C-BE32-E72D297353CC}">
                <c16:uniqueId val="{00000003-C3A1-4B49-B376-B45FE4F92BBB}"/>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C3A1-4B49-B376-B45FE4F92BBB}"/>
            </c:ext>
          </c:extLst>
        </c:ser>
        <c:dLbls>
          <c:showLegendKey val="0"/>
          <c:showVal val="0"/>
          <c:showCatName val="0"/>
          <c:showSerName val="0"/>
          <c:showPercent val="0"/>
          <c:showBubbleSize val="0"/>
        </c:dLbls>
        <c:gapWidth val="150"/>
        <c:axId val="151849984"/>
        <c:axId val="151855872"/>
      </c:barChart>
      <c:catAx>
        <c:axId val="151849984"/>
        <c:scaling>
          <c:orientation val="minMax"/>
        </c:scaling>
        <c:delete val="0"/>
        <c:axPos val="b"/>
        <c:numFmt formatCode="General" sourceLinked="0"/>
        <c:majorTickMark val="none"/>
        <c:minorTickMark val="none"/>
        <c:tickLblPos val="nextTo"/>
        <c:txPr>
          <a:bodyPr/>
          <a:lstStyle/>
          <a:p>
            <a:pPr>
              <a:defRPr lang="es-ES"/>
            </a:pPr>
            <a:endParaRPr lang="es-ES"/>
          </a:p>
        </c:txPr>
        <c:crossAx val="151855872"/>
        <c:crosses val="autoZero"/>
        <c:auto val="1"/>
        <c:lblAlgn val="ctr"/>
        <c:lblOffset val="100"/>
        <c:noMultiLvlLbl val="0"/>
      </c:catAx>
      <c:valAx>
        <c:axId val="151855872"/>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49984"/>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04-41C2-A109-5AA69C78BCF4}"/>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3346-4F0F-AAD0-2D7CC1F79D30}"/>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1"/>
    <c:view3D>
      <c:rotX val="40"/>
      <c:rotY val="10"/>
      <c:depthPercent val="100"/>
      <c:rAngAx val="0"/>
      <c:perspective val="20"/>
    </c:view3D>
    <c:floor>
      <c:thickness val="0"/>
    </c:floor>
    <c:sideWall>
      <c:thickness val="0"/>
    </c:sideWall>
    <c:backWall>
      <c:thickness val="0"/>
    </c:backWall>
    <c:plotArea>
      <c:layout/>
      <c:pie3DChart>
        <c:varyColors val="1"/>
        <c:ser>
          <c:idx val="0"/>
          <c:order val="0"/>
          <c:tx>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A53-495D-A91D-9854E6CF16B9}"/>
                </c:ext>
              </c:extLst>
            </c:dLbl>
            <c:dLbl>
              <c:idx val="1"/>
              <c:layout>
                <c:manualLayout>
                  <c:x val="0.20419595783738873"/>
                  <c:y val="-0.13389714619230464"/>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A53-495D-A91D-9854E6CF16B9}"/>
                </c:ext>
              </c:extLst>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A53-495D-A91D-9854E6CF16B9}"/>
                </c:ext>
              </c:extLst>
            </c:dLbl>
            <c:dLbl>
              <c:idx val="3"/>
              <c:layout>
                <c:manualLayout>
                  <c:x val="-0.28198209459998685"/>
                  <c:y val="-3.35442895509383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A53-495D-A91D-9854E6CF16B9}"/>
                </c:ext>
              </c:extLst>
            </c:dLbl>
            <c:dLbl>
              <c:idx val="4"/>
              <c:layout>
                <c:manualLayout>
                  <c:x val="-0.14314243785878294"/>
                  <c:y val="-7.867970345546636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A53-495D-A91D-9854E6CF16B9}"/>
                </c:ext>
              </c:extLst>
            </c:dLbl>
            <c:dLbl>
              <c:idx val="5"/>
              <c:layout>
                <c:manualLayout>
                  <c:x val="-4.9264472471034614E-3"/>
                  <c:y val="-5.173277786443143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A53-495D-A91D-9854E6CF16B9}"/>
                </c:ext>
              </c:extLst>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A53-495D-A91D-9854E6CF16B9}"/>
                </c:ext>
              </c:extLst>
            </c:dLbl>
            <c:dLbl>
              <c:idx val="7"/>
              <c:layout>
                <c:manualLayout>
                  <c:x val="0.27997078648452056"/>
                  <c:y val="-3.8029270993357775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A53-495D-A91D-9854E6CF16B9}"/>
                </c:ext>
              </c:extLst>
            </c:dLbl>
            <c:dLbl>
              <c:idx val="8"/>
              <c:layout>
                <c:manualLayout>
                  <c:x val="0.29249880865527472"/>
                  <c:y val="7.19916628578754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A53-495D-A91D-9854E6CF16B9}"/>
                </c:ext>
              </c:extLst>
            </c:dLbl>
            <c:spPr>
              <a:scene3d>
                <a:camera prst="orthographicFront"/>
                <a:lightRig rig="threePt" dir="t"/>
              </a:scene3d>
              <a:sp3d prstMaterial="legacyWireframe"/>
            </c:spPr>
            <c:txPr>
              <a:bodyPr/>
              <a:lstStyle/>
              <a:p>
                <a:pPr>
                  <a:defRPr lang="es-ES" sz="1200"/>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365</c:v>
                </c:pt>
                <c:pt idx="1">
                  <c:v>275</c:v>
                </c:pt>
                <c:pt idx="2">
                  <c:v>92</c:v>
                </c:pt>
                <c:pt idx="3">
                  <c:v>19</c:v>
                </c:pt>
                <c:pt idx="4">
                  <c:v>15</c:v>
                </c:pt>
                <c:pt idx="5">
                  <c:v>20</c:v>
                </c:pt>
                <c:pt idx="6">
                  <c:v>2</c:v>
                </c:pt>
                <c:pt idx="7">
                  <c:v>2</c:v>
                </c:pt>
                <c:pt idx="8">
                  <c:v>3</c:v>
                </c:pt>
              </c:numCache>
            </c:numRef>
          </c:val>
          <c:extLst>
            <c:ext xmlns:c16="http://schemas.microsoft.com/office/drawing/2014/chart" uri="{C3380CC4-5D6E-409C-BE32-E72D297353CC}">
              <c16:uniqueId val="{00000009-8A53-495D-A91D-9854E6CF16B9}"/>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19685039370078738" l="0.19685039370078738" r="0.19685039370078738" t="0.19685039370078738" header="0.31496062992130497" footer="0.31496062992130497"/>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03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3E5-4942-9EF9-51EEBCC560AC}"/>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3E5-4942-9EF9-51EEBCC560AC}"/>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3E5-4942-9EF9-51EEBCC560AC}"/>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3E5-4942-9EF9-51EEBCC560AC}"/>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C3E5-4942-9EF9-51EEBCC560AC}"/>
                </c:ext>
              </c:extLst>
            </c:dLbl>
            <c:dLbl>
              <c:idx val="5"/>
              <c:layout>
                <c:manualLayout>
                  <c:x val="-0.13150205388581279"/>
                  <c:y val="-0.115394175531280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3E5-4942-9EF9-51EEBCC560AC}"/>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C3E5-4942-9EF9-51EEBCC560AC}"/>
                </c:ext>
              </c:extLst>
            </c:dLbl>
            <c:dLbl>
              <c:idx val="7"/>
              <c:layout>
                <c:manualLayout>
                  <c:x val="-3.1402367051327285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C3E5-4942-9EF9-51EEBCC560AC}"/>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C3E5-4942-9EF9-51EEBCC560AC}"/>
                </c:ext>
              </c:extLst>
            </c:dLbl>
            <c:dLbl>
              <c:idx val="9"/>
              <c:layout>
                <c:manualLayout>
                  <c:x val="-0.21274939846977614"/>
                  <c:y val="0.3511126178195104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C3E5-4942-9EF9-51EEBCC560AC}"/>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124</c:v>
                </c:pt>
                <c:pt idx="1">
                  <c:v>230</c:v>
                </c:pt>
                <c:pt idx="2">
                  <c:v>11</c:v>
                </c:pt>
              </c:numCache>
            </c:numRef>
          </c:val>
          <c:extLst>
            <c:ext xmlns:c16="http://schemas.microsoft.com/office/drawing/2014/chart" uri="{C3380CC4-5D6E-409C-BE32-E72D297353CC}">
              <c16:uniqueId val="{0000000A-C3E5-4942-9EF9-51EEBCC560AC}"/>
            </c:ext>
          </c:extLst>
        </c:ser>
        <c:dLbls>
          <c:showLegendKey val="0"/>
          <c:showVal val="0"/>
          <c:showCatName val="0"/>
          <c:showSerName val="0"/>
          <c:showPercent val="0"/>
          <c:showBubbleSize val="0"/>
          <c:showLeaderLines val="1"/>
        </c:dLbls>
      </c:pie3DChart>
      <c:spPr>
        <a:noFill/>
      </c:spPr>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75"/>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4122-4B1E-BCF3-76DD5AB0905B}"/>
                </c:ext>
              </c:extLst>
            </c:dLbl>
            <c:dLbl>
              <c:idx val="1"/>
              <c:layout>
                <c:manualLayout>
                  <c:x val="-0.34680714491641884"/>
                  <c:y val="9.8800800923204857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122-4B1E-BCF3-76DD5AB0905B}"/>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122-4B1E-BCF3-76DD5AB0905B}"/>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122-4B1E-BCF3-76DD5AB0905B}"/>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4122-4B1E-BCF3-76DD5AB0905B}"/>
                </c:ext>
              </c:extLst>
            </c:dLbl>
            <c:dLbl>
              <c:idx val="6"/>
              <c:layout>
                <c:manualLayout>
                  <c:x val="-1.4543279228397831E-2"/>
                  <c:y val="-0.202221386651350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4122-4B1E-BCF3-76DD5AB0905B}"/>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4122-4B1E-BCF3-76DD5AB0905B}"/>
                </c:ext>
              </c:extLst>
            </c:dLbl>
            <c:dLbl>
              <c:idx val="9"/>
              <c:layout>
                <c:manualLayout>
                  <c:x val="0.12207628077483972"/>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4122-4B1E-BCF3-76DD5AB0905B}"/>
                </c:ext>
              </c:extLst>
            </c:dLbl>
            <c:dLbl>
              <c:idx val="10"/>
              <c:layout>
                <c:manualLayout>
                  <c:x val="0.15381044618908649"/>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4122-4B1E-BCF3-76DD5AB0905B}"/>
                </c:ext>
              </c:extLst>
            </c:dLbl>
            <c:dLbl>
              <c:idx val="11"/>
              <c:layout>
                <c:manualLayout>
                  <c:x val="0.19633672921483961"/>
                  <c:y val="0.1493162344699292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122-4B1E-BCF3-76DD5AB0905B}"/>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4122-4B1E-BCF3-76DD5AB0905B}"/>
                </c:ext>
              </c:extLst>
            </c:dLbl>
            <c:dLbl>
              <c:idx val="14"/>
              <c:layout>
                <c:manualLayout>
                  <c:x val="-0.23186722402413004"/>
                  <c:y val="0.1749824271419414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4122-4B1E-BCF3-76DD5AB0905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124</c:v>
                </c:pt>
                <c:pt idx="3">
                  <c:v>230</c:v>
                </c:pt>
                <c:pt idx="4">
                  <c:v>9</c:v>
                </c:pt>
                <c:pt idx="5">
                  <c:v>83</c:v>
                </c:pt>
                <c:pt idx="6">
                  <c:v>12</c:v>
                </c:pt>
                <c:pt idx="7">
                  <c:v>3</c:v>
                </c:pt>
                <c:pt idx="8">
                  <c:v>275</c:v>
                </c:pt>
                <c:pt idx="9">
                  <c:v>11</c:v>
                </c:pt>
                <c:pt idx="10">
                  <c:v>7</c:v>
                </c:pt>
                <c:pt idx="11">
                  <c:v>20</c:v>
                </c:pt>
                <c:pt idx="12">
                  <c:v>1</c:v>
                </c:pt>
                <c:pt idx="13">
                  <c:v>11</c:v>
                </c:pt>
                <c:pt idx="14">
                  <c:v>3</c:v>
                </c:pt>
              </c:numCache>
            </c:numRef>
          </c:val>
          <c:extLst>
            <c:ext xmlns:c16="http://schemas.microsoft.com/office/drawing/2014/chart" uri="{C3380CC4-5D6E-409C-BE32-E72D297353CC}">
              <c16:uniqueId val="{0000000C-4122-4B1E-BCF3-76DD5AB0905B}"/>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92"/>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2F2-43F2-A0AB-7BB63DEF7C40}"/>
                </c:ext>
              </c:extLst>
            </c:dLbl>
            <c:dLbl>
              <c:idx val="1"/>
              <c:layout>
                <c:manualLayout>
                  <c:x val="-0.34680714491641884"/>
                  <c:y val="9.8800800923204922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2F2-43F2-A0AB-7BB63DEF7C40}"/>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2F2-43F2-A0AB-7BB63DEF7C40}"/>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2F2-43F2-A0AB-7BB63DEF7C40}"/>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22F2-43F2-A0AB-7BB63DEF7C40}"/>
                </c:ext>
              </c:extLst>
            </c:dLbl>
            <c:dLbl>
              <c:idx val="6"/>
              <c:layout>
                <c:manualLayout>
                  <c:x val="-1.4543279228397836E-2"/>
                  <c:y val="-0.20222138665135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2F2-43F2-A0AB-7BB63DEF7C40}"/>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22F2-43F2-A0AB-7BB63DEF7C40}"/>
                </c:ext>
              </c:extLst>
            </c:dLbl>
            <c:dLbl>
              <c:idx val="9"/>
              <c:layout>
                <c:manualLayout>
                  <c:x val="0.12207628077483977"/>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2F2-43F2-A0AB-7BB63DEF7C40}"/>
                </c:ext>
              </c:extLst>
            </c:dLbl>
            <c:dLbl>
              <c:idx val="10"/>
              <c:layout>
                <c:manualLayout>
                  <c:x val="0.15381044618908654"/>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22F2-43F2-A0AB-7BB63DEF7C40}"/>
                </c:ext>
              </c:extLst>
            </c:dLbl>
            <c:dLbl>
              <c:idx val="11"/>
              <c:layout>
                <c:manualLayout>
                  <c:x val="0.19633672921483955"/>
                  <c:y val="0.1493162344699293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22F2-43F2-A0AB-7BB63DEF7C40}"/>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22F2-43F2-A0AB-7BB63DEF7C40}"/>
                </c:ext>
              </c:extLst>
            </c:dLbl>
            <c:dLbl>
              <c:idx val="14"/>
              <c:layout>
                <c:manualLayout>
                  <c:x val="-0.23186722402413004"/>
                  <c:y val="0.1749824271419414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22F2-43F2-A0AB-7BB63DEF7C40}"/>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22F2-43F2-A0AB-7BB63DEF7C40}"/>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1009650</xdr:rowOff>
        </xdr:from>
        <xdr:to>
          <xdr:col>8</xdr:col>
          <xdr:colOff>561975</xdr:colOff>
          <xdr:row>0</xdr:row>
          <xdr:rowOff>1323975</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0</xdr:row>
          <xdr:rowOff>1000125</xdr:rowOff>
        </xdr:from>
        <xdr:to>
          <xdr:col>6</xdr:col>
          <xdr:colOff>104775</xdr:colOff>
          <xdr:row>0</xdr:row>
          <xdr:rowOff>1276350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381000</xdr:rowOff>
        </xdr:from>
        <xdr:to>
          <xdr:col>6</xdr:col>
          <xdr:colOff>95250</xdr:colOff>
          <xdr:row>0</xdr:row>
          <xdr:rowOff>666750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390525</xdr:rowOff>
        </xdr:from>
        <xdr:to>
          <xdr:col>8</xdr:col>
          <xdr:colOff>104775</xdr:colOff>
          <xdr:row>0</xdr:row>
          <xdr:rowOff>704850</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1609725</xdr:rowOff>
        </xdr:from>
        <xdr:to>
          <xdr:col>6</xdr:col>
          <xdr:colOff>866775</xdr:colOff>
          <xdr:row>0</xdr:row>
          <xdr:rowOff>1924050</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1609725</xdr:rowOff>
        </xdr:from>
        <xdr:to>
          <xdr:col>6</xdr:col>
          <xdr:colOff>95250</xdr:colOff>
          <xdr:row>0</xdr:row>
          <xdr:rowOff>1885950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76200</xdr:colOff>
          <xdr:row>0</xdr:row>
          <xdr:rowOff>19050</xdr:rowOff>
        </xdr:from>
        <xdr:to>
          <xdr:col>8</xdr:col>
          <xdr:colOff>428625</xdr:colOff>
          <xdr:row>1</xdr:row>
          <xdr:rowOff>133350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xdr:twoCellAnchor>
    <xdr:from>
      <xdr:col>0</xdr:col>
      <xdr:colOff>104776</xdr:colOff>
      <xdr:row>17</xdr:row>
      <xdr:rowOff>76200</xdr:rowOff>
    </xdr:from>
    <xdr:to>
      <xdr:col>3</xdr:col>
      <xdr:colOff>647700</xdr:colOff>
      <xdr:row>35</xdr:row>
      <xdr:rowOff>152400</xdr:rowOff>
    </xdr:to>
    <xdr:graphicFrame macro="">
      <xdr:nvGraphicFramePr>
        <xdr:cNvPr id="2" name="Grá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257175</xdr:colOff>
      <xdr:row>16</xdr:row>
      <xdr:rowOff>104774</xdr:rowOff>
    </xdr:from>
    <xdr:to>
      <xdr:col>10</xdr:col>
      <xdr:colOff>257175</xdr:colOff>
      <xdr:row>35</xdr:row>
      <xdr:rowOff>161924</xdr:rowOff>
    </xdr:to>
    <xdr:graphicFrame macro="">
      <xdr:nvGraphicFramePr>
        <xdr:cNvPr id="3" name="Gráfico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26.5088142361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26.508814583336"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1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2">
    <i>
      <x/>
    </i>
    <i r="1">
      <x v="7"/>
    </i>
    <i r="2">
      <x v="3"/>
    </i>
    <i r="1">
      <x v="19"/>
    </i>
    <i r="2">
      <x v="5"/>
    </i>
    <i>
      <x v="6"/>
    </i>
    <i r="1">
      <x v="13"/>
    </i>
    <i r="2">
      <x v="3"/>
    </i>
    <i>
      <x v="10"/>
    </i>
    <i r="1">
      <x v="8"/>
    </i>
    <i r="2">
      <x v="3"/>
    </i>
    <i t="grand">
      <x/>
    </i>
  </rowItems>
  <colItems count="1">
    <i/>
  </colItems>
  <pageFields count="1">
    <pageField fld="4" item="167"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9">
    <i>
      <x/>
    </i>
    <i r="1">
      <x v="7"/>
    </i>
    <i r="2">
      <x v="3"/>
    </i>
    <i r="1">
      <x v="13"/>
    </i>
    <i r="2">
      <x v="5"/>
    </i>
    <i>
      <x v="3"/>
    </i>
    <i r="1">
      <x v="16"/>
    </i>
    <i r="2">
      <x v="5"/>
    </i>
    <i r="1">
      <x v="17"/>
    </i>
    <i r="2">
      <x v="12"/>
    </i>
    <i>
      <x v="4"/>
    </i>
    <i r="1">
      <x v="13"/>
    </i>
    <i r="2">
      <x v="6"/>
    </i>
    <i>
      <x v="6"/>
    </i>
    <i r="1">
      <x v="18"/>
    </i>
    <i r="2">
      <x v="3"/>
    </i>
    <i>
      <x v="10"/>
    </i>
    <i r="1">
      <x v="4"/>
    </i>
    <i r="2">
      <x v="5"/>
    </i>
    <i>
      <x v="13"/>
    </i>
    <i r="1">
      <x v="8"/>
    </i>
    <i r="2">
      <x v="20"/>
    </i>
    <i>
      <x v="15"/>
    </i>
    <i r="1">
      <x v="2"/>
    </i>
    <i r="2">
      <x v="3"/>
    </i>
    <i>
      <x v="16"/>
    </i>
    <i r="1">
      <x v="6"/>
    </i>
    <i r="2">
      <x v="3"/>
    </i>
    <i t="grand">
      <x/>
    </i>
  </rowItems>
  <colItems count="1">
    <i/>
  </colItems>
  <pageFields count="1">
    <pageField fld="4" item="161" hier="-1"/>
  </pageFields>
  <formats count="9">
    <format dxfId="64">
      <pivotArea dataOnly="0" labelOnly="1" outline="0" fieldPosition="0">
        <references count="1">
          <reference field="4" count="1">
            <x v="85"/>
          </reference>
        </references>
      </pivotArea>
    </format>
    <format dxfId="63">
      <pivotArea type="all" dataOnly="0" outline="0" fieldPosition="0"/>
    </format>
    <format dxfId="62">
      <pivotArea dataOnly="0" labelOnly="1" outline="0" fieldPosition="0">
        <references count="1">
          <reference field="4" count="1">
            <x v="85"/>
          </reference>
        </references>
      </pivotArea>
    </format>
    <format dxfId="61">
      <pivotArea field="6" type="button" dataOnly="0" labelOnly="1" outline="0" axis="axisRow" fieldPosition="0"/>
    </format>
    <format dxfId="60">
      <pivotArea dataOnly="0" labelOnly="1" fieldPosition="0">
        <references count="1">
          <reference field="6" count="3">
            <x v="0"/>
            <x v="2"/>
            <x v="8"/>
          </reference>
        </references>
      </pivotArea>
    </format>
    <format dxfId="59">
      <pivotArea dataOnly="0" labelOnly="1" outline="0" fieldPosition="0">
        <references count="1">
          <reference field="4" count="1">
            <x v="90"/>
          </reference>
        </references>
      </pivotArea>
    </format>
    <format dxfId="58">
      <pivotArea dataOnly="0" labelOnly="1" outline="0" fieldPosition="0">
        <references count="1">
          <reference field="4" count="1">
            <x v="99"/>
          </reference>
        </references>
      </pivotArea>
    </format>
    <format dxfId="57">
      <pivotArea dataOnly="0" labelOnly="1" outline="0" fieldPosition="0">
        <references count="1">
          <reference field="4" count="1">
            <x v="99"/>
          </reference>
        </references>
      </pivotArea>
    </format>
    <format dxfId="56">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4">
    <i>
      <x/>
    </i>
    <i r="1">
      <x v="8"/>
    </i>
    <i r="2">
      <x v="3"/>
    </i>
    <i>
      <x v="2"/>
    </i>
    <i r="1">
      <x v="13"/>
    </i>
    <i r="2">
      <x v="3"/>
    </i>
    <i>
      <x v="4"/>
    </i>
    <i r="1">
      <x v="6"/>
    </i>
    <i r="2">
      <x v="5"/>
    </i>
    <i>
      <x v="6"/>
    </i>
    <i r="1">
      <x v="4"/>
    </i>
    <i r="2">
      <x v="3"/>
    </i>
    <i r="1">
      <x v="18"/>
    </i>
    <i r="2">
      <x v="5"/>
    </i>
    <i>
      <x v="7"/>
    </i>
    <i r="1">
      <x v="2"/>
    </i>
    <i r="2">
      <x v="5"/>
    </i>
    <i>
      <x v="13"/>
    </i>
    <i r="1">
      <x v="7"/>
    </i>
    <i r="2">
      <x v="20"/>
    </i>
    <i>
      <x v="15"/>
    </i>
    <i r="1">
      <x v="19"/>
    </i>
    <i r="2">
      <x v="3"/>
    </i>
    <i t="grand">
      <x/>
    </i>
  </rowItems>
  <colItems count="1">
    <i/>
  </colItems>
  <pageFields count="1">
    <pageField fld="4" item="165" hier="-1"/>
  </pageFields>
  <formats count="8">
    <format dxfId="72">
      <pivotArea dataOnly="0" labelOnly="1" outline="0" fieldPosition="0">
        <references count="1">
          <reference field="4" count="1">
            <x v="86"/>
          </reference>
        </references>
      </pivotArea>
    </format>
    <format dxfId="71">
      <pivotArea dataOnly="0" labelOnly="1" outline="0" fieldPosition="0">
        <references count="1">
          <reference field="4" count="1">
            <x v="86"/>
          </reference>
        </references>
      </pivotArea>
    </format>
    <format dxfId="70">
      <pivotArea dataOnly="0" labelOnly="1" fieldPosition="0">
        <references count="1">
          <reference field="6" count="3">
            <x v="0"/>
            <x v="2"/>
            <x v="8"/>
          </reference>
        </references>
      </pivotArea>
    </format>
    <format dxfId="69">
      <pivotArea dataOnly="0" labelOnly="1" outline="0" fieldPosition="0">
        <references count="1">
          <reference field="4" count="1">
            <x v="91"/>
          </reference>
        </references>
      </pivotArea>
    </format>
    <format dxfId="68">
      <pivotArea dataOnly="0" labelOnly="1" outline="0" fieldPosition="0">
        <references count="1">
          <reference field="4" count="1">
            <x v="95"/>
          </reference>
        </references>
      </pivotArea>
    </format>
    <format dxfId="67">
      <pivotArea dataOnly="0" labelOnly="1" outline="0" fieldPosition="0">
        <references count="1">
          <reference field="4" count="1">
            <x v="95"/>
          </reference>
        </references>
      </pivotArea>
    </format>
    <format dxfId="66">
      <pivotArea dataOnly="0" labelOnly="1" outline="0" fieldPosition="0">
        <references count="1">
          <reference field="4" count="1">
            <x v="100"/>
          </reference>
        </references>
      </pivotArea>
    </format>
    <format dxfId="65">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6">
    <i>
      <x/>
    </i>
    <i r="1">
      <x v="7"/>
    </i>
    <i r="2">
      <x v="3"/>
    </i>
    <i>
      <x v="4"/>
    </i>
    <i r="1">
      <x v="4"/>
    </i>
    <i r="2">
      <x v="5"/>
    </i>
    <i>
      <x v="6"/>
    </i>
    <i r="1">
      <x v="2"/>
    </i>
    <i r="2">
      <x v="5"/>
    </i>
    <i>
      <x v="10"/>
    </i>
    <i r="1">
      <x v="8"/>
    </i>
    <i r="2">
      <x v="3"/>
    </i>
    <i>
      <x v="16"/>
    </i>
    <i r="1">
      <x v="13"/>
    </i>
    <i r="2">
      <x v="3"/>
    </i>
    <i t="grand">
      <x/>
    </i>
  </rowItems>
  <colItems count="1">
    <i/>
  </colItems>
  <pageFields count="1">
    <pageField fld="4" item="166" hier="-1"/>
  </pageFields>
  <formats count="8">
    <format dxfId="80">
      <pivotArea dataOnly="0" labelOnly="1" outline="0" fieldPosition="0">
        <references count="1">
          <reference field="4" count="1">
            <x v="88"/>
          </reference>
        </references>
      </pivotArea>
    </format>
    <format dxfId="79">
      <pivotArea dataOnly="0" labelOnly="1" outline="0" fieldPosition="0">
        <references count="1">
          <reference field="4" count="1">
            <x v="88"/>
          </reference>
        </references>
      </pivotArea>
    </format>
    <format dxfId="78">
      <pivotArea dataOnly="0" labelOnly="1" fieldPosition="0">
        <references count="1">
          <reference field="6" count="3">
            <x v="0"/>
            <x v="2"/>
            <x v="8"/>
          </reference>
        </references>
      </pivotArea>
    </format>
    <format dxfId="77">
      <pivotArea dataOnly="0" outline="0" fieldPosition="0">
        <references count="1">
          <reference field="4" count="1">
            <x v="92"/>
          </reference>
        </references>
      </pivotArea>
    </format>
    <format dxfId="76">
      <pivotArea dataOnly="0" labelOnly="1" outline="0" fieldPosition="0">
        <references count="1">
          <reference field="4" count="1">
            <x v="96"/>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101"/>
          </reference>
        </references>
      </pivotArea>
    </format>
    <format dxfId="73">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v="6"/>
    </i>
    <i r="1">
      <x v="18"/>
    </i>
    <i r="2">
      <x v="3"/>
    </i>
    <i>
      <x v="7"/>
    </i>
    <i r="1">
      <x v="6"/>
    </i>
    <i r="2">
      <x v="5"/>
    </i>
    <i t="grand">
      <x/>
    </i>
  </rowItems>
  <colItems count="1">
    <i/>
  </colItems>
  <pageFields count="1">
    <pageField fld="4" item="169" hier="-1"/>
  </pageFields>
  <formats count="8">
    <format dxfId="88">
      <pivotArea dataOnly="0" labelOnly="1" outline="0" fieldPosition="0">
        <references count="1">
          <reference field="4" count="1">
            <x v="88"/>
          </reference>
        </references>
      </pivotArea>
    </format>
    <format dxfId="87">
      <pivotArea dataOnly="0" labelOnly="1" outline="0" fieldPosition="0">
        <references count="1">
          <reference field="4" count="1">
            <x v="88"/>
          </reference>
        </references>
      </pivotArea>
    </format>
    <format dxfId="86">
      <pivotArea dataOnly="0" labelOnly="1" fieldPosition="0">
        <references count="1">
          <reference field="6" count="3">
            <x v="0"/>
            <x v="2"/>
            <x v="8"/>
          </reference>
        </references>
      </pivotArea>
    </format>
    <format dxfId="85">
      <pivotArea dataOnly="0" outline="0" fieldPosition="0">
        <references count="1">
          <reference field="4" count="1">
            <x v="92"/>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101"/>
          </reference>
        </references>
      </pivotArea>
    </format>
    <format dxfId="8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i>
    <i r="1">
      <x v="6"/>
    </i>
    <i r="2">
      <x v="3"/>
    </i>
    <i>
      <x v="6"/>
    </i>
    <i r="1">
      <x v="2"/>
    </i>
    <i r="2">
      <x v="3"/>
    </i>
    <i t="grand">
      <x/>
    </i>
  </rowItems>
  <colItems count="1">
    <i/>
  </colItems>
  <pageFields count="1">
    <pageField fld="4" item="168"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7.bin"/><Relationship Id="rId13" Type="http://schemas.openxmlformats.org/officeDocument/2006/relationships/drawing" Target="../drawings/drawing6.xml"/><Relationship Id="rId3" Type="http://schemas.openxmlformats.org/officeDocument/2006/relationships/pivotTable" Target="../pivotTables/pivotTable3.xml"/><Relationship Id="rId7" Type="http://schemas.openxmlformats.org/officeDocument/2006/relationships/printerSettings" Target="../printerSettings/printerSettings16.bin"/><Relationship Id="rId12" Type="http://schemas.openxmlformats.org/officeDocument/2006/relationships/printerSettings" Target="../printerSettings/printerSettings21.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0.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9.bin"/><Relationship Id="rId4" Type="http://schemas.openxmlformats.org/officeDocument/2006/relationships/pivotTable" Target="../pivotTables/pivotTable4.xml"/><Relationship Id="rId9" Type="http://schemas.openxmlformats.org/officeDocument/2006/relationships/printerSettings" Target="../printerSettings/printerSettings18.bin"/><Relationship Id="rId1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5"/>
  </sheetPr>
  <dimension ref="A1:AC977"/>
  <sheetViews>
    <sheetView showGridLines="0" tabSelected="1" zoomScale="60" zoomScaleNormal="60" zoomScaleSheetLayoutView="55" workbookViewId="0">
      <pane ySplit="2" topLeftCell="A3" activePane="bottomLeft" state="frozen"/>
      <selection pane="bottomLeft" activeCell="A3" sqref="A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5"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1"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99" customFormat="1" ht="180" customHeight="1" x14ac:dyDescent="0.3">
      <c r="A1" s="232">
        <v>902</v>
      </c>
      <c r="B1" s="233" t="str">
        <f ca="1" xml:space="preserve"> COUNTIF(O:O,"NO") &amp;
"                                      -                 "                 &amp; COUNTIF(O:O,"LIMBO")</f>
        <v>72                                      -                 37</v>
      </c>
      <c r="C1" s="233">
        <f ca="1" xml:space="preserve"> COUNTIF(O:O,"SI")</f>
        <v>793</v>
      </c>
      <c r="D1" s="231"/>
      <c r="E1" s="270" t="str">
        <f ca="1" xml:space="preserve"> "Cantidad de audiencias de la fecha:   " &amp; COUNTIF(H:H,TODAY())</f>
        <v>Cantidad de audiencias de la fecha:   0</v>
      </c>
      <c r="F1" s="234"/>
      <c r="G1" s="235"/>
      <c r="H1" s="236"/>
      <c r="I1" s="236"/>
      <c r="J1" s="236" t="s">
        <v>1442</v>
      </c>
      <c r="K1" s="235" t="s">
        <v>899</v>
      </c>
      <c r="L1" s="237" t="s">
        <v>1098</v>
      </c>
      <c r="M1" s="100"/>
      <c r="N1" s="101"/>
      <c r="O1" s="101"/>
      <c r="P1" s="102">
        <v>45229</v>
      </c>
      <c r="Q1" s="238">
        <v>45098</v>
      </c>
      <c r="R1" s="238">
        <v>45100</v>
      </c>
      <c r="S1" s="231"/>
      <c r="T1" s="103"/>
      <c r="U1" s="100"/>
      <c r="Y1" s="231"/>
      <c r="Z1" s="239"/>
    </row>
    <row r="2" spans="1:29" ht="38.25" x14ac:dyDescent="0.2">
      <c r="A2" s="85" t="s">
        <v>1281</v>
      </c>
      <c r="B2" s="86" t="s">
        <v>0</v>
      </c>
      <c r="C2" s="85" t="s">
        <v>18</v>
      </c>
      <c r="D2" s="85" t="s">
        <v>1</v>
      </c>
      <c r="E2" s="85" t="s">
        <v>2</v>
      </c>
      <c r="F2" s="85" t="s">
        <v>662</v>
      </c>
      <c r="G2" s="85" t="s">
        <v>919</v>
      </c>
      <c r="H2" s="86" t="s">
        <v>5</v>
      </c>
      <c r="I2" s="85" t="s">
        <v>18</v>
      </c>
      <c r="J2" s="85" t="s">
        <v>30</v>
      </c>
      <c r="K2" s="85" t="s">
        <v>89</v>
      </c>
      <c r="L2" s="85" t="s">
        <v>79</v>
      </c>
      <c r="M2" s="85" t="s">
        <v>80</v>
      </c>
      <c r="N2" s="85" t="s">
        <v>920</v>
      </c>
      <c r="O2" s="49" t="s">
        <v>637</v>
      </c>
      <c r="P2" s="49" t="s">
        <v>1672</v>
      </c>
      <c r="Q2" s="49" t="s">
        <v>947</v>
      </c>
      <c r="R2" s="49" t="s">
        <v>948</v>
      </c>
      <c r="S2" s="49" t="s">
        <v>1021</v>
      </c>
      <c r="T2" s="87" t="s">
        <v>1673</v>
      </c>
      <c r="U2" s="76" t="s">
        <v>931</v>
      </c>
      <c r="V2" s="49" t="s">
        <v>1674</v>
      </c>
      <c r="W2" s="49" t="s">
        <v>1022</v>
      </c>
      <c r="X2" s="49" t="s">
        <v>990</v>
      </c>
      <c r="Y2" s="49" t="s">
        <v>996</v>
      </c>
      <c r="Z2" s="49" t="s">
        <v>1053</v>
      </c>
      <c r="AA2" s="49" t="s">
        <v>1181</v>
      </c>
      <c r="AB2" s="49" t="s">
        <v>1182</v>
      </c>
      <c r="AC2" s="49" t="s">
        <v>3459</v>
      </c>
    </row>
    <row r="3" spans="1:29" ht="51" outlineLevel="1" x14ac:dyDescent="0.2">
      <c r="A3" s="6">
        <v>218</v>
      </c>
      <c r="B3" s="18">
        <v>45077</v>
      </c>
      <c r="C3" s="14">
        <v>0.45833333333333331</v>
      </c>
      <c r="D3" s="6" t="s">
        <v>1000</v>
      </c>
      <c r="E3" s="40" t="s">
        <v>997</v>
      </c>
      <c r="F3" s="6">
        <v>8</v>
      </c>
      <c r="G3" s="6" t="s">
        <v>1441</v>
      </c>
      <c r="H3" s="18">
        <v>45084</v>
      </c>
      <c r="I3" s="6" t="s">
        <v>686</v>
      </c>
      <c r="J3" s="18" t="s">
        <v>35</v>
      </c>
      <c r="K3" s="6">
        <f>IFERROR(VLOOKUP(J3,Jueces!$A$1:$B$11,2,FALSE),"")</f>
        <v>3</v>
      </c>
      <c r="L3" s="6" t="s">
        <v>813</v>
      </c>
      <c r="M3" s="6" t="s">
        <v>723</v>
      </c>
      <c r="N3" s="6" t="s">
        <v>1068</v>
      </c>
      <c r="O3" s="6" t="str">
        <f t="shared" ref="O3:O66" ca="1" si="0">IF(H3&lt;&gt;"",IF(H3&lt;=TODAY(),"SI","NO"),"LIMBO")</f>
        <v>SI</v>
      </c>
      <c r="P3" s="6" t="str">
        <f t="shared" ref="P3:P66" si="1">IF($P$1=H3,"DIASOL", "DIANOSOL")</f>
        <v>DIANOSOL</v>
      </c>
      <c r="Q3" s="6" t="s">
        <v>905</v>
      </c>
      <c r="R3" s="6" t="str">
        <f>VLOOKUP($Q3,Resultados!$A$1:$B$49,2,FALSE)</f>
        <v>Juicio Abreviado</v>
      </c>
      <c r="S3" s="14" t="s">
        <v>1125</v>
      </c>
      <c r="T3" s="71" t="str">
        <f t="shared" ref="T3:T66" si="2">IF(G3=$J$1,"SI","NO")</f>
        <v>NO</v>
      </c>
      <c r="U3" s="71">
        <f t="shared" ref="U3:U66" si="3">IF(H3="",0,MONTH(H3))</f>
        <v>6</v>
      </c>
      <c r="V3" s="6"/>
      <c r="W3" s="14" t="s">
        <v>1126</v>
      </c>
      <c r="X3" s="6"/>
      <c r="Y3" s="6"/>
      <c r="Z3" s="279"/>
      <c r="AA3" s="71"/>
      <c r="AB3" s="71"/>
      <c r="AC3" s="361"/>
    </row>
    <row r="4" spans="1:29" ht="64.5" customHeight="1" x14ac:dyDescent="0.2">
      <c r="A4" s="6">
        <v>1</v>
      </c>
      <c r="B4" s="18">
        <v>44973</v>
      </c>
      <c r="C4" s="14" t="s">
        <v>73</v>
      </c>
      <c r="D4" s="6" t="s">
        <v>101</v>
      </c>
      <c r="E4" s="40" t="s">
        <v>104</v>
      </c>
      <c r="F4" s="6">
        <v>3</v>
      </c>
      <c r="G4" s="6" t="s">
        <v>1441</v>
      </c>
      <c r="H4" s="18">
        <v>44974</v>
      </c>
      <c r="I4" s="6" t="s">
        <v>73</v>
      </c>
      <c r="J4" s="18" t="s">
        <v>33</v>
      </c>
      <c r="K4" s="6">
        <f>IFERROR(VLOOKUP(J4,Jueces!$A$1:$B$11,2,FALSE),"")</f>
        <v>4</v>
      </c>
      <c r="L4" s="6" t="s">
        <v>102</v>
      </c>
      <c r="M4" s="6" t="s">
        <v>103</v>
      </c>
      <c r="N4" s="6" t="s">
        <v>100</v>
      </c>
      <c r="O4" s="6" t="str">
        <f t="shared" ca="1" si="0"/>
        <v>SI</v>
      </c>
      <c r="P4" s="6" t="str">
        <f t="shared" si="1"/>
        <v>DIANOSOL</v>
      </c>
      <c r="Q4" s="6" t="s">
        <v>904</v>
      </c>
      <c r="R4" s="6" t="str">
        <f>VLOOKUP($Q4,Resultados!$A$1:$B$49,2,FALSE)</f>
        <v>Juicio Abreviado</v>
      </c>
      <c r="S4" s="14"/>
      <c r="T4" s="71" t="str">
        <f t="shared" si="2"/>
        <v>NO</v>
      </c>
      <c r="U4" s="71">
        <f t="shared" si="3"/>
        <v>2</v>
      </c>
      <c r="V4" s="6"/>
      <c r="W4" s="6"/>
      <c r="X4" s="6"/>
      <c r="Y4" s="6"/>
      <c r="Z4" s="71"/>
      <c r="AA4" s="71"/>
      <c r="AB4" s="71"/>
      <c r="AC4" s="257"/>
    </row>
    <row r="5" spans="1:29" ht="51" x14ac:dyDescent="0.2">
      <c r="A5" s="6">
        <v>2</v>
      </c>
      <c r="B5" s="18">
        <v>44979</v>
      </c>
      <c r="C5" s="6" t="s">
        <v>20</v>
      </c>
      <c r="D5" s="6" t="s">
        <v>14</v>
      </c>
      <c r="E5" s="40" t="s">
        <v>15</v>
      </c>
      <c r="F5" s="6">
        <v>3</v>
      </c>
      <c r="G5" s="6" t="s">
        <v>283</v>
      </c>
      <c r="H5" s="18">
        <v>44984</v>
      </c>
      <c r="I5" s="6" t="s">
        <v>73</v>
      </c>
      <c r="J5" s="18" t="s">
        <v>33</v>
      </c>
      <c r="K5" s="6">
        <f>IFERROR(VLOOKUP(J5,Jueces!$A$1:$B$11,2,FALSE),"")</f>
        <v>4</v>
      </c>
      <c r="L5" s="6" t="s">
        <v>82</v>
      </c>
      <c r="M5" s="6" t="s">
        <v>83</v>
      </c>
      <c r="N5" s="6" t="s">
        <v>116</v>
      </c>
      <c r="O5" s="6" t="str">
        <f t="shared" ca="1" si="0"/>
        <v>SI</v>
      </c>
      <c r="P5" s="6" t="str">
        <f t="shared" si="1"/>
        <v>DIANOSOL</v>
      </c>
      <c r="Q5" s="6" t="s">
        <v>904</v>
      </c>
      <c r="R5" s="6" t="str">
        <f>VLOOKUP($Q5,Resultados!$A$1:$B$49,2,FALSE)</f>
        <v>Juicio Abreviado</v>
      </c>
      <c r="S5" s="6"/>
      <c r="T5" s="71" t="str">
        <f t="shared" si="2"/>
        <v>NO</v>
      </c>
      <c r="U5" s="71">
        <f t="shared" si="3"/>
        <v>2</v>
      </c>
      <c r="V5" s="6"/>
      <c r="W5" s="6"/>
      <c r="X5" s="6"/>
      <c r="Y5" s="6"/>
      <c r="Z5" s="71"/>
      <c r="AA5" s="71"/>
      <c r="AB5" s="71"/>
      <c r="AC5" s="361"/>
    </row>
    <row r="6" spans="1:29" ht="38.25" x14ac:dyDescent="0.2">
      <c r="A6" s="6">
        <v>3</v>
      </c>
      <c r="B6" s="18">
        <v>44979</v>
      </c>
      <c r="C6" s="6" t="s">
        <v>19</v>
      </c>
      <c r="D6" s="6" t="s">
        <v>10</v>
      </c>
      <c r="E6" s="40" t="s">
        <v>11</v>
      </c>
      <c r="F6" s="6">
        <v>3</v>
      </c>
      <c r="G6" s="6" t="s">
        <v>29</v>
      </c>
      <c r="H6" s="18">
        <v>44984</v>
      </c>
      <c r="I6" s="6" t="s">
        <v>76</v>
      </c>
      <c r="J6" s="18" t="s">
        <v>33</v>
      </c>
      <c r="K6" s="6">
        <f>IFERROR(VLOOKUP(J6,Jueces!$A$1:$B$11,2,FALSE),"")</f>
        <v>4</v>
      </c>
      <c r="L6" s="6" t="s">
        <v>95</v>
      </c>
      <c r="M6" s="6" t="s">
        <v>81</v>
      </c>
      <c r="N6" s="6" t="s">
        <v>117</v>
      </c>
      <c r="O6" s="6" t="str">
        <f t="shared" ca="1" si="0"/>
        <v>SI</v>
      </c>
      <c r="P6" s="6" t="str">
        <f t="shared" si="1"/>
        <v>DIANOSOL</v>
      </c>
      <c r="Q6" s="6" t="s">
        <v>904</v>
      </c>
      <c r="R6" s="6" t="str">
        <f>VLOOKUP($Q6,Resultados!$A$1:$B$49,2,FALSE)</f>
        <v>Juicio Abreviado</v>
      </c>
      <c r="S6" s="6" t="s">
        <v>675</v>
      </c>
      <c r="T6" s="71" t="str">
        <f t="shared" si="2"/>
        <v>NO</v>
      </c>
      <c r="U6" s="71">
        <f t="shared" si="3"/>
        <v>2</v>
      </c>
      <c r="V6" s="6"/>
      <c r="W6" s="6"/>
      <c r="X6" s="6"/>
      <c r="Y6" s="6"/>
      <c r="Z6" s="71"/>
      <c r="AA6" s="71"/>
      <c r="AB6" s="71"/>
      <c r="AC6" s="361"/>
    </row>
    <row r="7" spans="1:29" ht="38.25" x14ac:dyDescent="0.2">
      <c r="A7" s="6">
        <v>4</v>
      </c>
      <c r="B7" s="18">
        <v>44979</v>
      </c>
      <c r="C7" s="6" t="s">
        <v>21</v>
      </c>
      <c r="D7" s="6" t="s">
        <v>7</v>
      </c>
      <c r="E7" s="40" t="s">
        <v>526</v>
      </c>
      <c r="F7" s="6">
        <v>3</v>
      </c>
      <c r="G7" s="6" t="s">
        <v>283</v>
      </c>
      <c r="H7" s="18">
        <v>44985</v>
      </c>
      <c r="I7" s="6" t="s">
        <v>75</v>
      </c>
      <c r="J7" s="18" t="s">
        <v>78</v>
      </c>
      <c r="K7" s="6">
        <f>IFERROR(VLOOKUP(J7,Jueces!$A$1:$B$11,2,FALSE),"")</f>
        <v>8</v>
      </c>
      <c r="L7" s="6" t="s">
        <v>93</v>
      </c>
      <c r="M7" s="6" t="s">
        <v>84</v>
      </c>
      <c r="N7" s="6" t="s">
        <v>156</v>
      </c>
      <c r="O7" s="6" t="str">
        <f t="shared" ca="1" si="0"/>
        <v>SI</v>
      </c>
      <c r="P7" s="6" t="str">
        <f t="shared" si="1"/>
        <v>DIANOSOL</v>
      </c>
      <c r="Q7" s="6" t="s">
        <v>1023</v>
      </c>
      <c r="R7" s="6" t="str">
        <f>VLOOKUP($Q7,Resultados!$A$1:$B$49,2,FALSE)</f>
        <v>Difiere Resolución</v>
      </c>
      <c r="S7" s="6"/>
      <c r="T7" s="71" t="str">
        <f t="shared" si="2"/>
        <v>NO</v>
      </c>
      <c r="U7" s="71">
        <f t="shared" si="3"/>
        <v>2</v>
      </c>
      <c r="V7" s="6"/>
      <c r="W7" s="6"/>
      <c r="X7" s="6"/>
      <c r="Y7" s="6"/>
      <c r="Z7" s="71"/>
      <c r="AA7" s="71"/>
      <c r="AB7" s="71"/>
      <c r="AC7" s="361"/>
    </row>
    <row r="8" spans="1:29" ht="25.5" x14ac:dyDescent="0.2">
      <c r="A8" s="6">
        <v>5</v>
      </c>
      <c r="B8" s="18">
        <v>44980</v>
      </c>
      <c r="C8" s="6" t="s">
        <v>22</v>
      </c>
      <c r="D8" s="6" t="s">
        <v>16</v>
      </c>
      <c r="E8" s="40" t="s">
        <v>17</v>
      </c>
      <c r="F8" s="6">
        <v>3</v>
      </c>
      <c r="G8" s="6" t="s">
        <v>34</v>
      </c>
      <c r="H8" s="18">
        <v>44986</v>
      </c>
      <c r="I8" s="6" t="s">
        <v>228</v>
      </c>
      <c r="J8" s="18" t="s">
        <v>78</v>
      </c>
      <c r="K8" s="6">
        <f>IFERROR(VLOOKUP(J8,Jueces!$A$1:$B$11,2,FALSE),"")</f>
        <v>8</v>
      </c>
      <c r="L8" s="6" t="s">
        <v>119</v>
      </c>
      <c r="M8" s="6" t="s">
        <v>106</v>
      </c>
      <c r="N8" s="6" t="s">
        <v>118</v>
      </c>
      <c r="O8" s="6" t="str">
        <f t="shared" ca="1" si="0"/>
        <v>SI</v>
      </c>
      <c r="P8" s="6" t="str">
        <f t="shared" si="1"/>
        <v>DIANOSOL</v>
      </c>
      <c r="Q8" s="6" t="s">
        <v>904</v>
      </c>
      <c r="R8" s="6" t="str">
        <f>VLOOKUP($Q8,Resultados!$A$1:$B$49,2,FALSE)</f>
        <v>Juicio Abreviado</v>
      </c>
      <c r="S8" s="6"/>
      <c r="T8" s="71" t="str">
        <f t="shared" si="2"/>
        <v>NO</v>
      </c>
      <c r="U8" s="71">
        <f t="shared" si="3"/>
        <v>3</v>
      </c>
      <c r="V8" s="6"/>
      <c r="W8" s="6"/>
      <c r="X8" s="6"/>
      <c r="Y8" s="6"/>
      <c r="Z8" s="71"/>
      <c r="AA8" s="71"/>
      <c r="AB8" s="71"/>
      <c r="AC8" s="361"/>
    </row>
    <row r="9" spans="1:29" ht="25.5" x14ac:dyDescent="0.2">
      <c r="A9" s="6">
        <v>6</v>
      </c>
      <c r="B9" s="18">
        <v>44980</v>
      </c>
      <c r="C9" s="6" t="s">
        <v>23</v>
      </c>
      <c r="D9" s="6" t="s">
        <v>8</v>
      </c>
      <c r="E9" s="40" t="s">
        <v>9</v>
      </c>
      <c r="F9" s="6">
        <v>3</v>
      </c>
      <c r="G9" s="6" t="s">
        <v>32</v>
      </c>
      <c r="H9" s="18">
        <v>44987</v>
      </c>
      <c r="I9" s="6" t="s">
        <v>360</v>
      </c>
      <c r="J9" s="18" t="s">
        <v>31</v>
      </c>
      <c r="K9" s="6">
        <f>IFERROR(VLOOKUP(J9,Jueces!$A$1:$B$11,2,FALSE),"")</f>
        <v>2</v>
      </c>
      <c r="L9" s="6" t="s">
        <v>87</v>
      </c>
      <c r="M9" s="6" t="s">
        <v>86</v>
      </c>
      <c r="N9" s="6" t="s">
        <v>85</v>
      </c>
      <c r="O9" s="6" t="str">
        <f t="shared" ca="1" si="0"/>
        <v>SI</v>
      </c>
      <c r="P9" s="6" t="str">
        <f t="shared" si="1"/>
        <v>DIANOSOL</v>
      </c>
      <c r="Q9" s="6" t="s">
        <v>904</v>
      </c>
      <c r="R9" s="6" t="str">
        <f>VLOOKUP($Q9,Resultados!$A$1:$B$49,2,FALSE)</f>
        <v>Juicio Abreviado</v>
      </c>
      <c r="S9" s="6"/>
      <c r="T9" s="71" t="str">
        <f t="shared" si="2"/>
        <v>NO</v>
      </c>
      <c r="U9" s="71">
        <f t="shared" si="3"/>
        <v>3</v>
      </c>
      <c r="V9" s="6"/>
      <c r="W9" s="6"/>
      <c r="X9" s="6"/>
      <c r="Y9" s="6"/>
      <c r="Z9" s="71"/>
      <c r="AA9" s="71"/>
      <c r="AB9" s="71"/>
      <c r="AC9" s="361"/>
    </row>
    <row r="10" spans="1:29" ht="25.5" x14ac:dyDescent="0.2">
      <c r="A10" s="6">
        <v>7</v>
      </c>
      <c r="B10" s="18">
        <v>44980</v>
      </c>
      <c r="C10" s="6" t="s">
        <v>24</v>
      </c>
      <c r="D10" s="6" t="s">
        <v>12</v>
      </c>
      <c r="E10" s="40" t="s">
        <v>13</v>
      </c>
      <c r="F10" s="6">
        <v>3</v>
      </c>
      <c r="G10" s="6" t="s">
        <v>34</v>
      </c>
      <c r="H10" s="18">
        <v>44988</v>
      </c>
      <c r="I10" s="6" t="s">
        <v>73</v>
      </c>
      <c r="J10" s="18" t="s">
        <v>35</v>
      </c>
      <c r="K10" s="6">
        <f>IFERROR(VLOOKUP(J10,Jueces!$A$1:$B$11,2,FALSE),"")</f>
        <v>3</v>
      </c>
      <c r="L10" s="6" t="s">
        <v>152</v>
      </c>
      <c r="M10" s="6" t="s">
        <v>106</v>
      </c>
      <c r="N10" s="6" t="s">
        <v>151</v>
      </c>
      <c r="O10" s="6" t="str">
        <f t="shared" ca="1" si="0"/>
        <v>SI</v>
      </c>
      <c r="P10" s="6" t="str">
        <f t="shared" si="1"/>
        <v>DIANOSOL</v>
      </c>
      <c r="Q10" s="6" t="s">
        <v>151</v>
      </c>
      <c r="R10" s="6" t="str">
        <f>VLOOKUP($Q10,Resultados!$A$1:$B$49,2,FALSE)</f>
        <v>Prisión Preventiva</v>
      </c>
      <c r="S10" s="6"/>
      <c r="T10" s="71" t="str">
        <f t="shared" si="2"/>
        <v>NO</v>
      </c>
      <c r="U10" s="71">
        <f t="shared" si="3"/>
        <v>3</v>
      </c>
      <c r="V10" s="6"/>
      <c r="W10" s="6"/>
      <c r="X10" s="6"/>
      <c r="Y10" s="6"/>
      <c r="Z10" s="71"/>
      <c r="AA10" s="71"/>
      <c r="AB10" s="71"/>
      <c r="AC10" s="361"/>
    </row>
    <row r="11" spans="1:29" ht="63.75" x14ac:dyDescent="0.2">
      <c r="A11" s="6">
        <v>8</v>
      </c>
      <c r="B11" s="18">
        <v>44980</v>
      </c>
      <c r="C11" s="6" t="s">
        <v>25</v>
      </c>
      <c r="D11" s="6" t="s">
        <v>57</v>
      </c>
      <c r="E11" s="40" t="s">
        <v>40</v>
      </c>
      <c r="F11" s="6">
        <v>3</v>
      </c>
      <c r="G11" s="6" t="s">
        <v>29</v>
      </c>
      <c r="H11" s="18">
        <v>44988</v>
      </c>
      <c r="I11" s="6" t="s">
        <v>76</v>
      </c>
      <c r="J11" s="18" t="s">
        <v>35</v>
      </c>
      <c r="K11" s="6">
        <f>IFERROR(VLOOKUP(J11,Jueces!$A$1:$B$11,2,FALSE),"")</f>
        <v>3</v>
      </c>
      <c r="L11" s="6" t="s">
        <v>94</v>
      </c>
      <c r="M11" s="6" t="s">
        <v>90</v>
      </c>
      <c r="N11" s="6" t="s">
        <v>155</v>
      </c>
      <c r="O11" s="6" t="str">
        <f t="shared" ca="1" si="0"/>
        <v>SI</v>
      </c>
      <c r="P11" s="6" t="str">
        <f t="shared" si="1"/>
        <v>DIANOSOL</v>
      </c>
      <c r="Q11" s="6" t="s">
        <v>904</v>
      </c>
      <c r="R11" s="6" t="str">
        <f>VLOOKUP($Q11,Resultados!$A$1:$B$49,2,FALSE)</f>
        <v>Juicio Abreviado</v>
      </c>
      <c r="S11" s="6"/>
      <c r="T11" s="71" t="str">
        <f t="shared" si="2"/>
        <v>NO</v>
      </c>
      <c r="U11" s="71">
        <f t="shared" si="3"/>
        <v>3</v>
      </c>
      <c r="V11" s="6"/>
      <c r="W11" s="6"/>
      <c r="X11" s="6"/>
      <c r="Y11" s="6"/>
      <c r="Z11" s="71"/>
      <c r="AA11" s="71"/>
      <c r="AB11" s="71"/>
      <c r="AC11" s="361"/>
    </row>
    <row r="12" spans="1:29" ht="51" x14ac:dyDescent="0.2">
      <c r="A12" s="6">
        <v>9</v>
      </c>
      <c r="B12" s="18">
        <v>44981</v>
      </c>
      <c r="C12" s="6" t="s">
        <v>26</v>
      </c>
      <c r="D12" s="6" t="s">
        <v>4</v>
      </c>
      <c r="E12" s="40" t="s">
        <v>6</v>
      </c>
      <c r="F12" s="6">
        <v>3</v>
      </c>
      <c r="G12" s="6" t="s">
        <v>283</v>
      </c>
      <c r="H12" s="18">
        <v>44991</v>
      </c>
      <c r="I12" s="6" t="s">
        <v>73</v>
      </c>
      <c r="J12" s="18" t="s">
        <v>31</v>
      </c>
      <c r="K12" s="6">
        <f>IFERROR(VLOOKUP(J12,Jueces!$A$1:$B$11,2,FALSE),"")</f>
        <v>2</v>
      </c>
      <c r="L12" s="6" t="s">
        <v>91</v>
      </c>
      <c r="M12" s="6" t="s">
        <v>684</v>
      </c>
      <c r="N12" s="6" t="s">
        <v>203</v>
      </c>
      <c r="O12" s="6" t="str">
        <f t="shared" ca="1" si="0"/>
        <v>SI</v>
      </c>
      <c r="P12" s="6" t="str">
        <f t="shared" si="1"/>
        <v>DIANOSOL</v>
      </c>
      <c r="Q12" s="6" t="s">
        <v>151</v>
      </c>
      <c r="R12" s="6" t="str">
        <f>VLOOKUP($Q12,Resultados!$A$1:$B$49,2,FALSE)</f>
        <v>Prisión Preventiva</v>
      </c>
      <c r="S12" s="6"/>
      <c r="T12" s="71" t="str">
        <f t="shared" si="2"/>
        <v>NO</v>
      </c>
      <c r="U12" s="71">
        <f t="shared" si="3"/>
        <v>3</v>
      </c>
      <c r="V12" s="6"/>
      <c r="W12" s="6"/>
      <c r="X12" s="6"/>
      <c r="Y12" s="6"/>
      <c r="Z12" s="71"/>
      <c r="AA12" s="71"/>
      <c r="AB12" s="71"/>
      <c r="AC12" s="361"/>
    </row>
    <row r="13" spans="1:29" ht="25.5" x14ac:dyDescent="0.2">
      <c r="A13" s="6">
        <v>10</v>
      </c>
      <c r="B13" s="18">
        <v>44984</v>
      </c>
      <c r="C13" s="6" t="s">
        <v>36</v>
      </c>
      <c r="D13" s="6" t="s">
        <v>56</v>
      </c>
      <c r="E13" s="40" t="s">
        <v>39</v>
      </c>
      <c r="F13" s="6">
        <v>3</v>
      </c>
      <c r="G13" s="6" t="s">
        <v>43</v>
      </c>
      <c r="H13" s="18">
        <v>44991</v>
      </c>
      <c r="I13" s="6" t="s">
        <v>76</v>
      </c>
      <c r="J13" s="18" t="s">
        <v>78</v>
      </c>
      <c r="K13" s="6">
        <f>IFERROR(VLOOKUP(J13,Jueces!$A$1:$B$11,2,FALSE),"")</f>
        <v>8</v>
      </c>
      <c r="L13" s="6" t="s">
        <v>92</v>
      </c>
      <c r="M13" s="6" t="s">
        <v>96</v>
      </c>
      <c r="N13" s="6" t="s">
        <v>167</v>
      </c>
      <c r="O13" s="6" t="str">
        <f t="shared" ca="1" si="0"/>
        <v>SI</v>
      </c>
      <c r="P13" s="6" t="str">
        <f t="shared" si="1"/>
        <v>DIANOSOL</v>
      </c>
      <c r="Q13" s="6" t="s">
        <v>904</v>
      </c>
      <c r="R13" s="6" t="str">
        <f>VLOOKUP($Q13,Resultados!$A$1:$B$49,2,FALSE)</f>
        <v>Juicio Abreviado</v>
      </c>
      <c r="S13" s="6"/>
      <c r="T13" s="71" t="str">
        <f t="shared" si="2"/>
        <v>NO</v>
      </c>
      <c r="U13" s="71">
        <f t="shared" si="3"/>
        <v>3</v>
      </c>
      <c r="V13" s="6"/>
      <c r="W13" s="6"/>
      <c r="X13" s="6"/>
      <c r="Y13" s="6"/>
      <c r="Z13" s="71"/>
      <c r="AA13" s="71"/>
      <c r="AB13" s="71"/>
      <c r="AC13" s="361"/>
    </row>
    <row r="14" spans="1:29" ht="25.5" x14ac:dyDescent="0.2">
      <c r="A14" s="6">
        <v>11</v>
      </c>
      <c r="B14" s="18">
        <v>44985</v>
      </c>
      <c r="C14" s="6" t="s">
        <v>38</v>
      </c>
      <c r="D14" s="6" t="s">
        <v>53</v>
      </c>
      <c r="E14" s="40" t="s">
        <v>48</v>
      </c>
      <c r="F14" s="6">
        <v>3</v>
      </c>
      <c r="G14" s="6" t="s">
        <v>283</v>
      </c>
      <c r="H14" s="18">
        <v>44992</v>
      </c>
      <c r="I14" s="6" t="s">
        <v>73</v>
      </c>
      <c r="J14" s="18" t="s">
        <v>35</v>
      </c>
      <c r="K14" s="6">
        <f>IFERROR(VLOOKUP(J14,Jueces!$A$1:$B$11,2,FALSE),"")</f>
        <v>3</v>
      </c>
      <c r="L14" s="6" t="s">
        <v>93</v>
      </c>
      <c r="M14" s="6" t="s">
        <v>83</v>
      </c>
      <c r="N14" s="6" t="s">
        <v>208</v>
      </c>
      <c r="O14" s="6" t="str">
        <f t="shared" ca="1" si="0"/>
        <v>SI</v>
      </c>
      <c r="P14" s="6" t="str">
        <f t="shared" si="1"/>
        <v>DIANOSOL</v>
      </c>
      <c r="Q14" s="6" t="s">
        <v>904</v>
      </c>
      <c r="R14" s="6" t="str">
        <f>VLOOKUP($Q14,Resultados!$A$1:$B$49,2,FALSE)</f>
        <v>Juicio Abreviado</v>
      </c>
      <c r="S14" s="6"/>
      <c r="T14" s="71" t="str">
        <f t="shared" si="2"/>
        <v>NO</v>
      </c>
      <c r="U14" s="71">
        <f t="shared" si="3"/>
        <v>3</v>
      </c>
      <c r="V14" s="6"/>
      <c r="W14" s="6"/>
      <c r="X14" s="6"/>
      <c r="Y14" s="6"/>
      <c r="Z14" s="71"/>
      <c r="AA14" s="71"/>
      <c r="AB14" s="71"/>
      <c r="AC14" s="361"/>
    </row>
    <row r="15" spans="1:29" ht="51" x14ac:dyDescent="0.2">
      <c r="A15" s="6">
        <v>12</v>
      </c>
      <c r="B15" s="18">
        <v>44985</v>
      </c>
      <c r="C15" s="6" t="s">
        <v>38</v>
      </c>
      <c r="D15" s="6" t="s">
        <v>27</v>
      </c>
      <c r="E15" s="40" t="s">
        <v>28</v>
      </c>
      <c r="F15" s="6">
        <v>3</v>
      </c>
      <c r="G15" s="6" t="s">
        <v>29</v>
      </c>
      <c r="H15" s="18">
        <v>44992</v>
      </c>
      <c r="I15" s="6" t="s">
        <v>75</v>
      </c>
      <c r="J15" s="18" t="s">
        <v>35</v>
      </c>
      <c r="K15" s="6">
        <f>IFERROR(VLOOKUP(J15,Jueces!$A$1:$B$11,2,FALSE),"")</f>
        <v>3</v>
      </c>
      <c r="L15" s="6" t="s">
        <v>93</v>
      </c>
      <c r="M15" s="6" t="s">
        <v>88</v>
      </c>
      <c r="N15" s="6" t="s">
        <v>204</v>
      </c>
      <c r="O15" s="6" t="str">
        <f t="shared" ca="1" si="0"/>
        <v>SI</v>
      </c>
      <c r="P15" s="6" t="str">
        <f t="shared" si="1"/>
        <v>DIANOSOL</v>
      </c>
      <c r="Q15" s="6" t="s">
        <v>909</v>
      </c>
      <c r="R15" s="6" t="str">
        <f>VLOOKUP($Q15,Resultados!$A$1:$B$49,2,FALSE)</f>
        <v>Suspensión de juicio a prueba</v>
      </c>
      <c r="S15" s="6"/>
      <c r="T15" s="71" t="str">
        <f t="shared" si="2"/>
        <v>NO</v>
      </c>
      <c r="U15" s="71">
        <f t="shared" si="3"/>
        <v>3</v>
      </c>
      <c r="V15" s="6"/>
      <c r="W15" s="6"/>
      <c r="X15" s="6"/>
      <c r="Y15" s="6"/>
      <c r="Z15" s="71"/>
      <c r="AA15" s="71"/>
      <c r="AB15" s="71"/>
      <c r="AC15" s="361"/>
    </row>
    <row r="16" spans="1:29" ht="76.5" x14ac:dyDescent="0.2">
      <c r="A16" s="6">
        <v>13</v>
      </c>
      <c r="B16" s="18">
        <v>44985</v>
      </c>
      <c r="C16" s="6" t="s">
        <v>42</v>
      </c>
      <c r="D16" s="6" t="s">
        <v>67</v>
      </c>
      <c r="E16" s="40" t="s">
        <v>70</v>
      </c>
      <c r="F16" s="6">
        <v>3</v>
      </c>
      <c r="G16" s="6" t="s">
        <v>283</v>
      </c>
      <c r="H16" s="18">
        <v>44992</v>
      </c>
      <c r="I16" s="6" t="s">
        <v>228</v>
      </c>
      <c r="J16" s="18" t="s">
        <v>78</v>
      </c>
      <c r="K16" s="6">
        <f>IFERROR(VLOOKUP(J16,Jueces!$A$1:$B$11,2,FALSE),"")</f>
        <v>8</v>
      </c>
      <c r="L16" s="6" t="s">
        <v>97</v>
      </c>
      <c r="M16" s="6" t="s">
        <v>199</v>
      </c>
      <c r="N16" s="6" t="s">
        <v>200</v>
      </c>
      <c r="O16" s="6" t="str">
        <f t="shared" ca="1" si="0"/>
        <v>SI</v>
      </c>
      <c r="P16" s="6" t="str">
        <f t="shared" si="1"/>
        <v>DIANOSOL</v>
      </c>
      <c r="Q16" s="6" t="s">
        <v>905</v>
      </c>
      <c r="R16" s="6" t="str">
        <f>VLOOKUP($Q16,Resultados!$A$1:$B$49,2,FALSE)</f>
        <v>Juicio Abreviado</v>
      </c>
      <c r="S16" s="6"/>
      <c r="T16" s="71" t="str">
        <f t="shared" si="2"/>
        <v>NO</v>
      </c>
      <c r="U16" s="71">
        <f t="shared" si="3"/>
        <v>3</v>
      </c>
      <c r="V16" s="6"/>
      <c r="W16" s="6"/>
      <c r="X16" s="6"/>
      <c r="Y16" s="6"/>
      <c r="Z16" s="71"/>
      <c r="AA16" s="71"/>
      <c r="AB16" s="71"/>
      <c r="AC16" s="361"/>
    </row>
    <row r="17" spans="1:29" ht="63.75" x14ac:dyDescent="0.2">
      <c r="A17" s="6">
        <v>14</v>
      </c>
      <c r="B17" s="18">
        <v>44985</v>
      </c>
      <c r="C17" s="6" t="s">
        <v>45</v>
      </c>
      <c r="D17" s="6" t="s">
        <v>55</v>
      </c>
      <c r="E17" s="40" t="s">
        <v>50</v>
      </c>
      <c r="F17" s="6">
        <v>3</v>
      </c>
      <c r="G17" s="6" t="s">
        <v>34</v>
      </c>
      <c r="H17" s="18">
        <v>44993</v>
      </c>
      <c r="I17" s="6" t="s">
        <v>73</v>
      </c>
      <c r="J17" s="18" t="s">
        <v>31</v>
      </c>
      <c r="K17" s="6">
        <f>IFERROR(VLOOKUP(J17,Jueces!$A$1:$B$11,2,FALSE),"")</f>
        <v>2</v>
      </c>
      <c r="L17" s="6" t="s">
        <v>98</v>
      </c>
      <c r="M17" s="6" t="s">
        <v>99</v>
      </c>
      <c r="N17" s="6" t="s">
        <v>234</v>
      </c>
      <c r="O17" s="6" t="str">
        <f t="shared" ca="1" si="0"/>
        <v>SI</v>
      </c>
      <c r="P17" s="6" t="str">
        <f t="shared" si="1"/>
        <v>DIANOSOL</v>
      </c>
      <c r="Q17" s="6" t="s">
        <v>151</v>
      </c>
      <c r="R17" s="6" t="str">
        <f>VLOOKUP($Q17,Resultados!$A$1:$B$49,2,FALSE)</f>
        <v>Prisión Preventiva</v>
      </c>
      <c r="S17" s="6"/>
      <c r="T17" s="71" t="str">
        <f t="shared" si="2"/>
        <v>NO</v>
      </c>
      <c r="U17" s="71">
        <f t="shared" si="3"/>
        <v>3</v>
      </c>
      <c r="V17" s="6"/>
      <c r="W17" s="6"/>
      <c r="X17" s="6"/>
      <c r="Y17" s="6"/>
      <c r="Z17" s="71"/>
      <c r="AA17" s="71"/>
      <c r="AB17" s="71"/>
      <c r="AC17" s="361"/>
    </row>
    <row r="18" spans="1:29" ht="25.5" x14ac:dyDescent="0.2">
      <c r="A18" s="6">
        <v>15</v>
      </c>
      <c r="B18" s="18">
        <v>44987</v>
      </c>
      <c r="C18" s="14">
        <v>0.33333333333333331</v>
      </c>
      <c r="D18" s="6" t="s">
        <v>109</v>
      </c>
      <c r="E18" s="40" t="s">
        <v>110</v>
      </c>
      <c r="F18" s="6">
        <v>3</v>
      </c>
      <c r="G18" s="6" t="s">
        <v>1441</v>
      </c>
      <c r="H18" s="18">
        <v>44993</v>
      </c>
      <c r="I18" s="6" t="s">
        <v>73</v>
      </c>
      <c r="J18" s="18" t="s">
        <v>31</v>
      </c>
      <c r="K18" s="6">
        <f>IFERROR(VLOOKUP(J18,Jueces!$A$1:$B$11,2,FALSE),"")</f>
        <v>2</v>
      </c>
      <c r="L18" s="6" t="s">
        <v>126</v>
      </c>
      <c r="M18" s="6" t="s">
        <v>127</v>
      </c>
      <c r="N18" s="6" t="s">
        <v>235</v>
      </c>
      <c r="O18" s="6" t="str">
        <f t="shared" ca="1" si="0"/>
        <v>SI</v>
      </c>
      <c r="P18" s="6" t="str">
        <f t="shared" si="1"/>
        <v>DIANOSOL</v>
      </c>
      <c r="Q18" s="6" t="s">
        <v>151</v>
      </c>
      <c r="R18" s="6" t="str">
        <f>VLOOKUP($Q18,Resultados!$A$1:$B$49,2,FALSE)</f>
        <v>Prisión Preventiva</v>
      </c>
      <c r="S18" s="6"/>
      <c r="T18" s="71" t="str">
        <f t="shared" si="2"/>
        <v>NO</v>
      </c>
      <c r="U18" s="71">
        <f t="shared" si="3"/>
        <v>3</v>
      </c>
      <c r="V18" s="6"/>
      <c r="W18" s="6"/>
      <c r="X18" s="6"/>
      <c r="Y18" s="6"/>
      <c r="Z18" s="71"/>
      <c r="AA18" s="71"/>
      <c r="AB18" s="71"/>
      <c r="AC18" s="361"/>
    </row>
    <row r="19" spans="1:29" ht="51" x14ac:dyDescent="0.2">
      <c r="A19" s="6">
        <v>16</v>
      </c>
      <c r="B19" s="18">
        <v>44985</v>
      </c>
      <c r="C19" s="6" t="s">
        <v>51</v>
      </c>
      <c r="D19" s="6" t="s">
        <v>62</v>
      </c>
      <c r="E19" s="40" t="s">
        <v>66</v>
      </c>
      <c r="F19" s="6">
        <v>3</v>
      </c>
      <c r="G19" s="6" t="s">
        <v>43</v>
      </c>
      <c r="H19" s="18">
        <v>44993</v>
      </c>
      <c r="I19" s="6" t="s">
        <v>73</v>
      </c>
      <c r="J19" s="18" t="s">
        <v>31</v>
      </c>
      <c r="K19" s="6">
        <f>IFERROR(VLOOKUP(J19,Jueces!$A$1:$B$11,2,FALSE),"")</f>
        <v>2</v>
      </c>
      <c r="L19" s="6" t="s">
        <v>105</v>
      </c>
      <c r="M19" s="6" t="s">
        <v>106</v>
      </c>
      <c r="N19" s="6" t="s">
        <v>100</v>
      </c>
      <c r="O19" s="6" t="str">
        <f t="shared" ca="1" si="0"/>
        <v>SI</v>
      </c>
      <c r="P19" s="6" t="str">
        <f t="shared" si="1"/>
        <v>DIANOSOL</v>
      </c>
      <c r="Q19" s="6" t="s">
        <v>904</v>
      </c>
      <c r="R19" s="6" t="str">
        <f>VLOOKUP($Q19,Resultados!$A$1:$B$49,2,FALSE)</f>
        <v>Juicio Abreviado</v>
      </c>
      <c r="S19" s="6"/>
      <c r="T19" s="71" t="str">
        <f t="shared" si="2"/>
        <v>NO</v>
      </c>
      <c r="U19" s="71">
        <f t="shared" si="3"/>
        <v>3</v>
      </c>
      <c r="V19" s="6"/>
      <c r="W19" s="6"/>
      <c r="X19" s="6"/>
      <c r="Y19" s="6"/>
      <c r="Z19" s="71"/>
      <c r="AA19" s="71"/>
      <c r="AB19" s="71"/>
      <c r="AC19" s="361"/>
    </row>
    <row r="20" spans="1:29" ht="76.5" x14ac:dyDescent="0.2">
      <c r="A20" s="6">
        <v>17</v>
      </c>
      <c r="B20" s="5">
        <v>44985</v>
      </c>
      <c r="C20" s="4" t="s">
        <v>47</v>
      </c>
      <c r="D20" s="4" t="s">
        <v>69</v>
      </c>
      <c r="E20" s="39" t="s">
        <v>72</v>
      </c>
      <c r="F20" s="4">
        <v>3</v>
      </c>
      <c r="G20" s="4" t="s">
        <v>43</v>
      </c>
      <c r="H20" s="5">
        <v>44993</v>
      </c>
      <c r="I20" s="4" t="s">
        <v>76</v>
      </c>
      <c r="J20" s="5" t="s">
        <v>35</v>
      </c>
      <c r="K20" s="6">
        <f>IFERROR(VLOOKUP(J20,Jueces!$A$1:$B$11,2,FALSE),"")</f>
        <v>3</v>
      </c>
      <c r="L20" s="4" t="s">
        <v>142</v>
      </c>
      <c r="M20" s="4" t="s">
        <v>226</v>
      </c>
      <c r="N20" s="4" t="s">
        <v>227</v>
      </c>
      <c r="O20" s="49" t="str">
        <f t="shared" ca="1" si="0"/>
        <v>SI</v>
      </c>
      <c r="P20" s="49" t="str">
        <f t="shared" si="1"/>
        <v>DIANOSOL</v>
      </c>
      <c r="Q20" s="6" t="s">
        <v>899</v>
      </c>
      <c r="R20" s="6" t="str">
        <f>VLOOKUP($Q20,Resultados!$A$1:$B$49,2,FALSE)</f>
        <v>Libertad</v>
      </c>
      <c r="S20" s="6"/>
      <c r="T20" s="71" t="str">
        <f t="shared" si="2"/>
        <v>NO</v>
      </c>
      <c r="U20" s="71">
        <f t="shared" si="3"/>
        <v>3</v>
      </c>
      <c r="V20" s="6"/>
      <c r="W20" s="6"/>
      <c r="X20" s="6"/>
      <c r="Y20" s="6"/>
      <c r="Z20" s="71"/>
      <c r="AA20" s="71"/>
      <c r="AB20" s="71"/>
      <c r="AC20" s="361"/>
    </row>
    <row r="21" spans="1:29" ht="25.5" x14ac:dyDescent="0.2">
      <c r="A21" s="6">
        <v>18</v>
      </c>
      <c r="B21" s="5">
        <v>44985</v>
      </c>
      <c r="C21" s="4" t="s">
        <v>49</v>
      </c>
      <c r="D21" s="4" t="s">
        <v>60</v>
      </c>
      <c r="E21" s="39" t="s">
        <v>61</v>
      </c>
      <c r="F21" s="4">
        <v>3</v>
      </c>
      <c r="G21" s="4" t="s">
        <v>283</v>
      </c>
      <c r="H21" s="5">
        <v>44993</v>
      </c>
      <c r="I21" s="4" t="s">
        <v>75</v>
      </c>
      <c r="J21" s="5" t="s">
        <v>78</v>
      </c>
      <c r="K21" s="6">
        <f>IFERROR(VLOOKUP(J21,Jueces!$A$1:$B$11,2,FALSE),"")</f>
        <v>8</v>
      </c>
      <c r="L21" s="4" t="s">
        <v>98</v>
      </c>
      <c r="M21" s="4" t="s">
        <v>99</v>
      </c>
      <c r="N21" s="4" t="s">
        <v>233</v>
      </c>
      <c r="O21" s="49" t="str">
        <f t="shared" ca="1" si="0"/>
        <v>SI</v>
      </c>
      <c r="P21" s="49" t="str">
        <f t="shared" si="1"/>
        <v>DIANOSOL</v>
      </c>
      <c r="Q21" s="6" t="s">
        <v>904</v>
      </c>
      <c r="R21" s="6" t="str">
        <f>VLOOKUP($Q21,Resultados!$A$1:$B$49,2,FALSE)</f>
        <v>Juicio Abreviado</v>
      </c>
      <c r="S21" s="6"/>
      <c r="T21" s="71" t="str">
        <f t="shared" si="2"/>
        <v>NO</v>
      </c>
      <c r="U21" s="71">
        <f t="shared" si="3"/>
        <v>3</v>
      </c>
      <c r="V21" s="6"/>
      <c r="W21" s="6"/>
      <c r="X21" s="6"/>
      <c r="Y21" s="6"/>
      <c r="Z21" s="71"/>
      <c r="AA21" s="71"/>
      <c r="AB21" s="71"/>
      <c r="AC21" s="361"/>
    </row>
    <row r="22" spans="1:29" ht="25.5" x14ac:dyDescent="0.2">
      <c r="A22" s="6">
        <v>19</v>
      </c>
      <c r="B22" s="5">
        <v>44986</v>
      </c>
      <c r="C22" s="4" t="s">
        <v>38</v>
      </c>
      <c r="D22" s="4" t="s">
        <v>44</v>
      </c>
      <c r="E22" s="39" t="s">
        <v>37</v>
      </c>
      <c r="F22" s="4">
        <v>3</v>
      </c>
      <c r="G22" s="4" t="s">
        <v>1441</v>
      </c>
      <c r="H22" s="5">
        <v>44994</v>
      </c>
      <c r="I22" s="4" t="s">
        <v>73</v>
      </c>
      <c r="J22" s="5" t="s">
        <v>31</v>
      </c>
      <c r="K22" s="6">
        <f>IFERROR(VLOOKUP(J22,Jueces!$A$1:$B$11,2,FALSE),"")</f>
        <v>2</v>
      </c>
      <c r="L22" s="4" t="s">
        <v>184</v>
      </c>
      <c r="M22" s="4" t="s">
        <v>106</v>
      </c>
      <c r="N22" s="4" t="s">
        <v>261</v>
      </c>
      <c r="O22" s="49" t="str">
        <f t="shared" ca="1" si="0"/>
        <v>SI</v>
      </c>
      <c r="P22" s="49" t="str">
        <f t="shared" si="1"/>
        <v>DIANOSOL</v>
      </c>
      <c r="Q22" s="6" t="s">
        <v>904</v>
      </c>
      <c r="R22" s="6" t="str">
        <f>VLOOKUP($Q22,Resultados!$A$1:$B$49,2,FALSE)</f>
        <v>Juicio Abreviado</v>
      </c>
      <c r="S22" s="6"/>
      <c r="T22" s="71" t="str">
        <f t="shared" si="2"/>
        <v>NO</v>
      </c>
      <c r="U22" s="71">
        <f t="shared" si="3"/>
        <v>3</v>
      </c>
      <c r="V22" s="6"/>
      <c r="W22" s="6"/>
      <c r="X22" s="6"/>
      <c r="Y22" s="6"/>
      <c r="Z22" s="71"/>
      <c r="AA22" s="71"/>
      <c r="AB22" s="71"/>
      <c r="AC22" s="361"/>
    </row>
    <row r="23" spans="1:29" ht="38.25" x14ac:dyDescent="0.2">
      <c r="A23" s="6">
        <v>20</v>
      </c>
      <c r="B23" s="5">
        <v>44986</v>
      </c>
      <c r="C23" s="384">
        <v>0.36388888888888887</v>
      </c>
      <c r="D23" s="4" t="s">
        <v>59</v>
      </c>
      <c r="E23" s="39" t="s">
        <v>46</v>
      </c>
      <c r="F23" s="4">
        <v>3</v>
      </c>
      <c r="G23" s="4" t="s">
        <v>43</v>
      </c>
      <c r="H23" s="5">
        <v>44994</v>
      </c>
      <c r="I23" s="4" t="s">
        <v>73</v>
      </c>
      <c r="J23" s="5" t="s">
        <v>35</v>
      </c>
      <c r="K23" s="6">
        <f>IFERROR(VLOOKUP(J23,Jueces!$A$1:$B$11,2,FALSE),"")</f>
        <v>3</v>
      </c>
      <c r="L23" s="4" t="s">
        <v>181</v>
      </c>
      <c r="M23" s="4" t="s">
        <v>127</v>
      </c>
      <c r="N23" s="4" t="s">
        <v>281</v>
      </c>
      <c r="O23" s="49" t="str">
        <f t="shared" ca="1" si="0"/>
        <v>SI</v>
      </c>
      <c r="P23" s="49" t="str">
        <f t="shared" si="1"/>
        <v>DIANOSOL</v>
      </c>
      <c r="Q23" s="6" t="s">
        <v>904</v>
      </c>
      <c r="R23" s="6" t="str">
        <f>VLOOKUP($Q23,Resultados!$A$1:$B$49,2,FALSE)</f>
        <v>Juicio Abreviado</v>
      </c>
      <c r="S23" s="6"/>
      <c r="T23" s="71" t="str">
        <f t="shared" si="2"/>
        <v>NO</v>
      </c>
      <c r="U23" s="71">
        <f t="shared" si="3"/>
        <v>3</v>
      </c>
      <c r="V23" s="6"/>
      <c r="W23" s="6"/>
      <c r="X23" s="6"/>
      <c r="Y23" s="6"/>
      <c r="Z23" s="71"/>
      <c r="AA23" s="71"/>
      <c r="AB23" s="71"/>
      <c r="AC23" s="361"/>
    </row>
    <row r="24" spans="1:29" ht="38.25" x14ac:dyDescent="0.2">
      <c r="A24" s="6">
        <v>21</v>
      </c>
      <c r="B24" s="5">
        <v>44986</v>
      </c>
      <c r="C24" s="384">
        <v>0.36388888888888887</v>
      </c>
      <c r="D24" s="4" t="s">
        <v>58</v>
      </c>
      <c r="E24" s="39" t="s">
        <v>41</v>
      </c>
      <c r="F24" s="4">
        <v>3</v>
      </c>
      <c r="G24" s="4" t="s">
        <v>34</v>
      </c>
      <c r="H24" s="5">
        <v>44994</v>
      </c>
      <c r="I24" s="4" t="s">
        <v>76</v>
      </c>
      <c r="J24" s="5" t="s">
        <v>31</v>
      </c>
      <c r="K24" s="6">
        <f>IFERROR(VLOOKUP(J24,Jueces!$A$1:$B$11,2,FALSE),"")</f>
        <v>2</v>
      </c>
      <c r="L24" s="4" t="s">
        <v>262</v>
      </c>
      <c r="M24" s="4" t="s">
        <v>106</v>
      </c>
      <c r="N24" s="4" t="s">
        <v>677</v>
      </c>
      <c r="O24" s="49" t="str">
        <f t="shared" ca="1" si="0"/>
        <v>SI</v>
      </c>
      <c r="P24" s="49" t="str">
        <f t="shared" si="1"/>
        <v>DIANOSOL</v>
      </c>
      <c r="Q24" s="6" t="s">
        <v>905</v>
      </c>
      <c r="R24" s="6" t="str">
        <f>VLOOKUP($Q24,Resultados!$A$1:$B$49,2,FALSE)</f>
        <v>Juicio Abreviado</v>
      </c>
      <c r="S24" s="6"/>
      <c r="T24" s="71" t="str">
        <f t="shared" si="2"/>
        <v>NO</v>
      </c>
      <c r="U24" s="71">
        <f t="shared" si="3"/>
        <v>3</v>
      </c>
      <c r="V24" s="6"/>
      <c r="W24" s="6"/>
      <c r="X24" s="6"/>
      <c r="Y24" s="6"/>
      <c r="Z24" s="71"/>
      <c r="AA24" s="71"/>
      <c r="AB24" s="71"/>
      <c r="AC24" s="361"/>
    </row>
    <row r="25" spans="1:29" ht="38.25" x14ac:dyDescent="0.2">
      <c r="A25" s="6">
        <v>22</v>
      </c>
      <c r="B25" s="5">
        <v>44987</v>
      </c>
      <c r="C25" s="384">
        <v>0.375</v>
      </c>
      <c r="D25" s="4" t="s">
        <v>107</v>
      </c>
      <c r="E25" s="39" t="s">
        <v>108</v>
      </c>
      <c r="F25" s="4">
        <v>3</v>
      </c>
      <c r="G25" s="4" t="s">
        <v>283</v>
      </c>
      <c r="H25" s="5">
        <v>44995</v>
      </c>
      <c r="I25" s="4" t="s">
        <v>511</v>
      </c>
      <c r="J25" s="5" t="s">
        <v>35</v>
      </c>
      <c r="K25" s="6">
        <f>IFERROR(VLOOKUP(J25,Jueces!$A$1:$B$11,2,FALSE),"")</f>
        <v>3</v>
      </c>
      <c r="L25" s="4" t="s">
        <v>128</v>
      </c>
      <c r="M25" s="4" t="s">
        <v>127</v>
      </c>
      <c r="N25" s="4" t="s">
        <v>298</v>
      </c>
      <c r="O25" s="49" t="str">
        <f t="shared" ca="1" si="0"/>
        <v>SI</v>
      </c>
      <c r="P25" s="49" t="str">
        <f t="shared" si="1"/>
        <v>DIANOSOL</v>
      </c>
      <c r="Q25" s="6" t="s">
        <v>151</v>
      </c>
      <c r="R25" s="6" t="str">
        <f>VLOOKUP($Q25,Resultados!$A$1:$B$49,2,FALSE)</f>
        <v>Prisión Preventiva</v>
      </c>
      <c r="S25" s="6"/>
      <c r="T25" s="71" t="str">
        <f t="shared" si="2"/>
        <v>NO</v>
      </c>
      <c r="U25" s="71">
        <f t="shared" si="3"/>
        <v>3</v>
      </c>
      <c r="V25" s="6"/>
      <c r="W25" s="6"/>
      <c r="X25" s="6"/>
      <c r="Y25" s="6"/>
      <c r="Z25" s="71"/>
      <c r="AA25" s="71"/>
      <c r="AB25" s="71"/>
      <c r="AC25" s="361"/>
    </row>
    <row r="26" spans="1:29" ht="63.75" x14ac:dyDescent="0.2">
      <c r="A26" s="6">
        <v>23</v>
      </c>
      <c r="B26" s="5">
        <v>44988</v>
      </c>
      <c r="C26" s="4"/>
      <c r="D26" s="4" t="s">
        <v>137</v>
      </c>
      <c r="E26" s="39" t="s">
        <v>148</v>
      </c>
      <c r="F26" s="4">
        <v>3</v>
      </c>
      <c r="G26" s="4" t="s">
        <v>32</v>
      </c>
      <c r="H26" s="5">
        <v>44995</v>
      </c>
      <c r="I26" s="4" t="s">
        <v>73</v>
      </c>
      <c r="J26" s="5" t="s">
        <v>31</v>
      </c>
      <c r="K26" s="6">
        <f>IFERROR(VLOOKUP(J26,Jueces!$A$1:$B$11,2,FALSE),"")</f>
        <v>2</v>
      </c>
      <c r="L26" s="4" t="s">
        <v>355</v>
      </c>
      <c r="M26" s="4" t="s">
        <v>147</v>
      </c>
      <c r="N26" s="4" t="s">
        <v>235</v>
      </c>
      <c r="O26" s="49" t="str">
        <f t="shared" ca="1" si="0"/>
        <v>SI</v>
      </c>
      <c r="P26" s="49" t="str">
        <f t="shared" si="1"/>
        <v>DIANOSOL</v>
      </c>
      <c r="Q26" s="6" t="s">
        <v>151</v>
      </c>
      <c r="R26" s="6" t="str">
        <f>VLOOKUP($Q26,Resultados!$A$1:$B$49,2,FALSE)</f>
        <v>Prisión Preventiva</v>
      </c>
      <c r="S26" s="6"/>
      <c r="T26" s="71" t="str">
        <f t="shared" si="2"/>
        <v>NO</v>
      </c>
      <c r="U26" s="71">
        <f t="shared" si="3"/>
        <v>3</v>
      </c>
      <c r="V26" s="6"/>
      <c r="W26" s="6"/>
      <c r="X26" s="6"/>
      <c r="Y26" s="6"/>
      <c r="Z26" s="71"/>
      <c r="AA26" s="71"/>
      <c r="AB26" s="71"/>
      <c r="AC26" s="361"/>
    </row>
    <row r="27" spans="1:29" ht="51" x14ac:dyDescent="0.2">
      <c r="A27" s="6">
        <v>24</v>
      </c>
      <c r="B27" s="5">
        <v>44986</v>
      </c>
      <c r="C27" s="4"/>
      <c r="D27" s="4" t="s">
        <v>63</v>
      </c>
      <c r="E27" s="39" t="s">
        <v>682</v>
      </c>
      <c r="F27" s="4">
        <v>3</v>
      </c>
      <c r="G27" s="4" t="s">
        <v>34</v>
      </c>
      <c r="H27" s="5">
        <v>44995</v>
      </c>
      <c r="I27" s="4" t="s">
        <v>73</v>
      </c>
      <c r="J27" s="5" t="s">
        <v>78</v>
      </c>
      <c r="K27" s="6">
        <f>IFERROR(VLOOKUP(J27,Jueces!$A$1:$B$11,2,FALSE),"")</f>
        <v>8</v>
      </c>
      <c r="L27" s="4" t="s">
        <v>133</v>
      </c>
      <c r="M27" s="4" t="s">
        <v>132</v>
      </c>
      <c r="N27" s="4" t="s">
        <v>291</v>
      </c>
      <c r="O27" s="49" t="str">
        <f t="shared" ca="1" si="0"/>
        <v>SI</v>
      </c>
      <c r="P27" s="49" t="str">
        <f t="shared" si="1"/>
        <v>DIANOSOL</v>
      </c>
      <c r="Q27" s="6" t="s">
        <v>899</v>
      </c>
      <c r="R27" s="6" t="str">
        <f>VLOOKUP($Q27,Resultados!$A$1:$B$49,2,FALSE)</f>
        <v>Libertad</v>
      </c>
      <c r="S27" s="6"/>
      <c r="T27" s="71" t="str">
        <f t="shared" si="2"/>
        <v>NO</v>
      </c>
      <c r="U27" s="71">
        <f t="shared" si="3"/>
        <v>3</v>
      </c>
      <c r="V27" s="6"/>
      <c r="W27" s="6"/>
      <c r="X27" s="6"/>
      <c r="Y27" s="6"/>
      <c r="Z27" s="71"/>
      <c r="AA27" s="71"/>
      <c r="AB27" s="71"/>
      <c r="AC27" s="361"/>
    </row>
    <row r="28" spans="1:29" ht="25.5" x14ac:dyDescent="0.2">
      <c r="A28" s="6">
        <v>25</v>
      </c>
      <c r="B28" s="5">
        <v>44986</v>
      </c>
      <c r="C28" s="384">
        <v>0.36388888888888887</v>
      </c>
      <c r="D28" s="4" t="s">
        <v>54</v>
      </c>
      <c r="E28" s="39" t="s">
        <v>52</v>
      </c>
      <c r="F28" s="4">
        <v>3</v>
      </c>
      <c r="G28" s="4" t="s">
        <v>43</v>
      </c>
      <c r="H28" s="5">
        <v>44995</v>
      </c>
      <c r="I28" s="4" t="s">
        <v>73</v>
      </c>
      <c r="J28" s="5" t="s">
        <v>78</v>
      </c>
      <c r="K28" s="6">
        <f>IFERROR(VLOOKUP(J28,Jueces!$A$1:$B$11,2,FALSE),"")</f>
        <v>8</v>
      </c>
      <c r="L28" s="4" t="s">
        <v>131</v>
      </c>
      <c r="M28" s="4" t="s">
        <v>132</v>
      </c>
      <c r="N28" s="4" t="s">
        <v>235</v>
      </c>
      <c r="O28" s="49" t="str">
        <f t="shared" ca="1" si="0"/>
        <v>SI</v>
      </c>
      <c r="P28" s="49" t="str">
        <f t="shared" si="1"/>
        <v>DIANOSOL</v>
      </c>
      <c r="Q28" s="6" t="s">
        <v>151</v>
      </c>
      <c r="R28" s="6" t="str">
        <f>VLOOKUP($Q28,Resultados!$A$1:$B$49,2,FALSE)</f>
        <v>Prisión Preventiva</v>
      </c>
      <c r="S28" s="6"/>
      <c r="T28" s="71" t="str">
        <f t="shared" si="2"/>
        <v>NO</v>
      </c>
      <c r="U28" s="71">
        <f t="shared" si="3"/>
        <v>3</v>
      </c>
      <c r="V28" s="6"/>
      <c r="W28" s="6"/>
      <c r="X28" s="6"/>
      <c r="Y28" s="6"/>
      <c r="Z28" s="71"/>
      <c r="AA28" s="71"/>
      <c r="AB28" s="71"/>
      <c r="AC28" s="361"/>
    </row>
    <row r="29" spans="1:29" ht="51" x14ac:dyDescent="0.2">
      <c r="A29" s="6">
        <v>26</v>
      </c>
      <c r="B29" s="5">
        <v>44992</v>
      </c>
      <c r="C29" s="384">
        <v>0.37291666666666662</v>
      </c>
      <c r="D29" s="6" t="s">
        <v>198</v>
      </c>
      <c r="E29" s="40" t="s">
        <v>197</v>
      </c>
      <c r="F29" s="4">
        <v>4</v>
      </c>
      <c r="G29" s="4" t="s">
        <v>32</v>
      </c>
      <c r="H29" s="5">
        <v>44995</v>
      </c>
      <c r="I29" s="4" t="s">
        <v>73</v>
      </c>
      <c r="J29" s="5" t="s">
        <v>31</v>
      </c>
      <c r="K29" s="6">
        <f>IFERROR(VLOOKUP(J29,Jueces!$A$1:$B$11,2,FALSE),"")</f>
        <v>2</v>
      </c>
      <c r="L29" s="4" t="s">
        <v>213</v>
      </c>
      <c r="M29" s="4" t="s">
        <v>214</v>
      </c>
      <c r="N29" s="4" t="s">
        <v>292</v>
      </c>
      <c r="O29" s="49" t="str">
        <f t="shared" ca="1" si="0"/>
        <v>SI</v>
      </c>
      <c r="P29" s="49" t="str">
        <f t="shared" si="1"/>
        <v>DIANOSOL</v>
      </c>
      <c r="Q29" s="6" t="s">
        <v>899</v>
      </c>
      <c r="R29" s="6" t="str">
        <f>VLOOKUP($Q29,Resultados!$A$1:$B$49,2,FALSE)</f>
        <v>Libertad</v>
      </c>
      <c r="S29" s="6"/>
      <c r="T29" s="71" t="str">
        <f t="shared" si="2"/>
        <v>NO</v>
      </c>
      <c r="U29" s="71">
        <f t="shared" si="3"/>
        <v>3</v>
      </c>
      <c r="V29" s="6"/>
      <c r="W29" s="6"/>
      <c r="X29" s="6"/>
      <c r="Y29" s="6"/>
      <c r="Z29" s="71"/>
      <c r="AA29" s="71"/>
      <c r="AB29" s="71"/>
      <c r="AC29" s="361"/>
    </row>
    <row r="30" spans="1:29" ht="38.25" x14ac:dyDescent="0.2">
      <c r="A30" s="6">
        <v>27</v>
      </c>
      <c r="B30" s="5">
        <v>44986</v>
      </c>
      <c r="C30" s="4"/>
      <c r="D30" s="4" t="s">
        <v>64</v>
      </c>
      <c r="E30" s="39" t="s">
        <v>65</v>
      </c>
      <c r="F30" s="4">
        <v>3</v>
      </c>
      <c r="G30" s="4" t="s">
        <v>29</v>
      </c>
      <c r="H30" s="5">
        <v>44995</v>
      </c>
      <c r="I30" s="4" t="s">
        <v>73</v>
      </c>
      <c r="J30" s="5" t="s">
        <v>35</v>
      </c>
      <c r="K30" s="6">
        <f>IFERROR(VLOOKUP(J30,Jueces!$A$1:$B$11,2,FALSE),"")</f>
        <v>3</v>
      </c>
      <c r="L30" s="4" t="s">
        <v>134</v>
      </c>
      <c r="M30" s="4" t="s">
        <v>132</v>
      </c>
      <c r="N30" s="4" t="s">
        <v>299</v>
      </c>
      <c r="O30" s="49" t="str">
        <f t="shared" ca="1" si="0"/>
        <v>SI</v>
      </c>
      <c r="P30" s="49" t="str">
        <f t="shared" si="1"/>
        <v>DIANOSOL</v>
      </c>
      <c r="Q30" s="6" t="s">
        <v>904</v>
      </c>
      <c r="R30" s="6" t="str">
        <f>VLOOKUP($Q30,Resultados!$A$1:$B$49,2,FALSE)</f>
        <v>Juicio Abreviado</v>
      </c>
      <c r="S30" s="6"/>
      <c r="T30" s="71" t="str">
        <f t="shared" si="2"/>
        <v>NO</v>
      </c>
      <c r="U30" s="71">
        <f t="shared" si="3"/>
        <v>3</v>
      </c>
      <c r="V30" s="6"/>
      <c r="W30" s="6"/>
      <c r="X30" s="6"/>
      <c r="Y30" s="6"/>
      <c r="Z30" s="71"/>
      <c r="AA30" s="71"/>
      <c r="AB30" s="71"/>
      <c r="AC30" s="361"/>
    </row>
    <row r="31" spans="1:29" ht="51" x14ac:dyDescent="0.2">
      <c r="A31" s="6">
        <v>28</v>
      </c>
      <c r="B31" s="5">
        <v>44987</v>
      </c>
      <c r="C31" s="384" t="s">
        <v>113</v>
      </c>
      <c r="D31" s="4" t="s">
        <v>111</v>
      </c>
      <c r="E31" s="39" t="s">
        <v>112</v>
      </c>
      <c r="F31" s="4">
        <v>3</v>
      </c>
      <c r="G31" s="4" t="s">
        <v>34</v>
      </c>
      <c r="H31" s="5">
        <v>44998</v>
      </c>
      <c r="I31" s="4" t="s">
        <v>73</v>
      </c>
      <c r="J31" s="5" t="s">
        <v>78</v>
      </c>
      <c r="K31" s="6">
        <f>IFERROR(VLOOKUP(J31,Jueces!$A$1:$B$11,2,FALSE),"")</f>
        <v>8</v>
      </c>
      <c r="L31" s="4" t="s">
        <v>128</v>
      </c>
      <c r="M31" s="4" t="s">
        <v>127</v>
      </c>
      <c r="N31" s="4" t="s">
        <v>235</v>
      </c>
      <c r="O31" s="49" t="str">
        <f t="shared" ca="1" si="0"/>
        <v>SI</v>
      </c>
      <c r="P31" s="49" t="str">
        <f t="shared" si="1"/>
        <v>DIANOSOL</v>
      </c>
      <c r="Q31" s="6" t="s">
        <v>151</v>
      </c>
      <c r="R31" s="6" t="str">
        <f>VLOOKUP($Q31,Resultados!$A$1:$B$49,2,FALSE)</f>
        <v>Prisión Preventiva</v>
      </c>
      <c r="S31" s="6"/>
      <c r="T31" s="71" t="str">
        <f t="shared" si="2"/>
        <v>NO</v>
      </c>
      <c r="U31" s="71">
        <f t="shared" si="3"/>
        <v>3</v>
      </c>
      <c r="V31" s="6"/>
      <c r="W31" s="6"/>
      <c r="X31" s="6"/>
      <c r="Y31" s="6"/>
      <c r="Z31" s="71"/>
      <c r="AA31" s="71"/>
      <c r="AB31" s="71"/>
      <c r="AC31" s="361"/>
    </row>
    <row r="32" spans="1:29" ht="51" x14ac:dyDescent="0.2">
      <c r="A32" s="6">
        <v>29</v>
      </c>
      <c r="B32" s="5">
        <v>44986</v>
      </c>
      <c r="C32" s="4"/>
      <c r="D32" s="4" t="s">
        <v>68</v>
      </c>
      <c r="E32" s="39" t="s">
        <v>71</v>
      </c>
      <c r="F32" s="4">
        <v>3</v>
      </c>
      <c r="G32" s="4" t="s">
        <v>43</v>
      </c>
      <c r="H32" s="5">
        <v>44998</v>
      </c>
      <c r="I32" s="4" t="s">
        <v>73</v>
      </c>
      <c r="J32" s="5" t="s">
        <v>31</v>
      </c>
      <c r="K32" s="6">
        <f>IFERROR(VLOOKUP(J32,Jueces!$A$1:$B$11,2,FALSE),"")</f>
        <v>2</v>
      </c>
      <c r="L32" s="4" t="s">
        <v>129</v>
      </c>
      <c r="M32" s="4" t="s">
        <v>127</v>
      </c>
      <c r="N32" s="4" t="s">
        <v>350</v>
      </c>
      <c r="O32" s="49" t="str">
        <f t="shared" ca="1" si="0"/>
        <v>SI</v>
      </c>
      <c r="P32" s="49" t="str">
        <f t="shared" si="1"/>
        <v>DIANOSOL</v>
      </c>
      <c r="Q32" s="6" t="s">
        <v>905</v>
      </c>
      <c r="R32" s="6" t="str">
        <f>VLOOKUP($Q32,Resultados!$A$1:$B$49,2,FALSE)</f>
        <v>Juicio Abreviado</v>
      </c>
      <c r="S32" s="6"/>
      <c r="T32" s="71" t="str">
        <f t="shared" si="2"/>
        <v>NO</v>
      </c>
      <c r="U32" s="71">
        <f t="shared" si="3"/>
        <v>3</v>
      </c>
      <c r="V32" s="6"/>
      <c r="W32" s="6"/>
      <c r="X32" s="6"/>
      <c r="Y32" s="6"/>
      <c r="Z32" s="71"/>
      <c r="AA32" s="71"/>
      <c r="AB32" s="71"/>
      <c r="AC32" s="361"/>
    </row>
    <row r="33" spans="1:29" ht="51" x14ac:dyDescent="0.2">
      <c r="A33" s="6">
        <v>30</v>
      </c>
      <c r="B33" s="5">
        <v>44987</v>
      </c>
      <c r="C33" s="384">
        <v>0.45416666666666666</v>
      </c>
      <c r="D33" s="4" t="s">
        <v>114</v>
      </c>
      <c r="E33" s="39" t="s">
        <v>115</v>
      </c>
      <c r="F33" s="4">
        <v>3</v>
      </c>
      <c r="G33" s="4" t="s">
        <v>29</v>
      </c>
      <c r="H33" s="5">
        <v>44998</v>
      </c>
      <c r="I33" s="4" t="s">
        <v>76</v>
      </c>
      <c r="J33" s="5" t="s">
        <v>31</v>
      </c>
      <c r="K33" s="6">
        <f>IFERROR(VLOOKUP(J33,Jueces!$A$1:$B$11,2,FALSE),"")</f>
        <v>2</v>
      </c>
      <c r="L33" s="4" t="s">
        <v>129</v>
      </c>
      <c r="M33" s="4" t="s">
        <v>130</v>
      </c>
      <c r="N33" s="4" t="s">
        <v>410</v>
      </c>
      <c r="O33" s="49" t="str">
        <f t="shared" ca="1" si="0"/>
        <v>SI</v>
      </c>
      <c r="P33" s="49" t="str">
        <f t="shared" si="1"/>
        <v>DIANOSOL</v>
      </c>
      <c r="Q33" s="6" t="s">
        <v>151</v>
      </c>
      <c r="R33" s="6" t="str">
        <f>VLOOKUP($Q33,Resultados!$A$1:$B$49,2,FALSE)</f>
        <v>Prisión Preventiva</v>
      </c>
      <c r="S33" s="6"/>
      <c r="T33" s="71" t="str">
        <f t="shared" si="2"/>
        <v>NO</v>
      </c>
      <c r="U33" s="71">
        <f t="shared" si="3"/>
        <v>3</v>
      </c>
      <c r="V33" s="6"/>
      <c r="W33" s="6"/>
      <c r="X33" s="6"/>
      <c r="Y33" s="6"/>
      <c r="Z33" s="71"/>
      <c r="AA33" s="71"/>
      <c r="AB33" s="71"/>
      <c r="AC33" s="361"/>
    </row>
    <row r="34" spans="1:29" ht="89.25" x14ac:dyDescent="0.2">
      <c r="A34" s="6">
        <v>31</v>
      </c>
      <c r="B34" s="18">
        <v>44987</v>
      </c>
      <c r="C34" s="14">
        <v>0.50972222222222219</v>
      </c>
      <c r="D34" s="6" t="s">
        <v>122</v>
      </c>
      <c r="E34" s="40" t="s">
        <v>124</v>
      </c>
      <c r="F34" s="6">
        <v>3</v>
      </c>
      <c r="G34" s="6" t="s">
        <v>283</v>
      </c>
      <c r="H34" s="18">
        <v>44999</v>
      </c>
      <c r="I34" s="6" t="s">
        <v>73</v>
      </c>
      <c r="J34" s="18" t="s">
        <v>78</v>
      </c>
      <c r="K34" s="6">
        <f>IFERROR(VLOOKUP(J34,Jueces!$A$1:$B$11,2,FALSE),"")</f>
        <v>8</v>
      </c>
      <c r="L34" s="6" t="s">
        <v>139</v>
      </c>
      <c r="M34" s="6" t="s">
        <v>127</v>
      </c>
      <c r="N34" s="6" t="s">
        <v>384</v>
      </c>
      <c r="O34" s="49" t="str">
        <f t="shared" ca="1" si="0"/>
        <v>SI</v>
      </c>
      <c r="P34" s="49" t="str">
        <f t="shared" si="1"/>
        <v>DIANOSOL</v>
      </c>
      <c r="Q34" s="6" t="s">
        <v>899</v>
      </c>
      <c r="R34" s="6" t="str">
        <f>VLOOKUP($Q34,Resultados!$A$1:$B$49,2,FALSE)</f>
        <v>Libertad</v>
      </c>
      <c r="S34" s="6"/>
      <c r="T34" s="71" t="str">
        <f t="shared" si="2"/>
        <v>NO</v>
      </c>
      <c r="U34" s="71">
        <f t="shared" si="3"/>
        <v>3</v>
      </c>
      <c r="V34" s="6"/>
      <c r="W34" s="6"/>
      <c r="X34" s="6"/>
      <c r="Y34" s="6"/>
      <c r="Z34" s="71"/>
      <c r="AA34" s="71"/>
      <c r="AB34" s="71"/>
      <c r="AC34" s="361"/>
    </row>
    <row r="35" spans="1:29" ht="89.25" x14ac:dyDescent="0.2">
      <c r="A35" s="6">
        <v>32</v>
      </c>
      <c r="B35" s="18">
        <v>44987</v>
      </c>
      <c r="C35" s="14">
        <v>0.5180555555555556</v>
      </c>
      <c r="D35" s="6" t="s">
        <v>123</v>
      </c>
      <c r="E35" s="40" t="s">
        <v>125</v>
      </c>
      <c r="F35" s="6">
        <v>3</v>
      </c>
      <c r="G35" s="6" t="s">
        <v>29</v>
      </c>
      <c r="H35" s="18">
        <v>44999</v>
      </c>
      <c r="I35" s="6" t="s">
        <v>73</v>
      </c>
      <c r="J35" s="18" t="s">
        <v>31</v>
      </c>
      <c r="K35" s="6">
        <f>IFERROR(VLOOKUP(J35,Jueces!$A$1:$B$11,2,FALSE),"")</f>
        <v>2</v>
      </c>
      <c r="L35" s="6" t="s">
        <v>140</v>
      </c>
      <c r="M35" s="6" t="s">
        <v>141</v>
      </c>
      <c r="N35" s="6" t="s">
        <v>593</v>
      </c>
      <c r="O35" s="49" t="str">
        <f t="shared" ca="1" si="0"/>
        <v>SI</v>
      </c>
      <c r="P35" s="49" t="str">
        <f t="shared" si="1"/>
        <v>DIANOSOL</v>
      </c>
      <c r="Q35" s="6" t="s">
        <v>904</v>
      </c>
      <c r="R35" s="6" t="str">
        <f>VLOOKUP($Q35,Resultados!$A$1:$B$49,2,FALSE)</f>
        <v>Juicio Abreviado</v>
      </c>
      <c r="S35" s="6"/>
      <c r="T35" s="71" t="str">
        <f t="shared" si="2"/>
        <v>NO</v>
      </c>
      <c r="U35" s="71">
        <f t="shared" si="3"/>
        <v>3</v>
      </c>
      <c r="V35" s="6"/>
      <c r="W35" s="6"/>
      <c r="X35" s="6"/>
      <c r="Y35" s="6"/>
      <c r="Z35" s="71"/>
      <c r="AA35" s="71"/>
      <c r="AB35" s="71"/>
      <c r="AC35" s="361"/>
    </row>
    <row r="36" spans="1:29" ht="51" x14ac:dyDescent="0.2">
      <c r="A36" s="6">
        <v>33</v>
      </c>
      <c r="B36" s="18">
        <v>44988</v>
      </c>
      <c r="C36" s="14">
        <v>0.52708333333333335</v>
      </c>
      <c r="D36" s="6" t="s">
        <v>154</v>
      </c>
      <c r="E36" s="40" t="s">
        <v>153</v>
      </c>
      <c r="F36" s="6">
        <v>3</v>
      </c>
      <c r="G36" s="6" t="s">
        <v>34</v>
      </c>
      <c r="H36" s="18">
        <v>44999</v>
      </c>
      <c r="I36" s="6" t="s">
        <v>73</v>
      </c>
      <c r="J36" s="18" t="s">
        <v>35</v>
      </c>
      <c r="K36" s="6">
        <f>IFERROR(VLOOKUP(J36,Jueces!$A$1:$B$11,2,FALSE),"")</f>
        <v>3</v>
      </c>
      <c r="L36" s="6" t="s">
        <v>170</v>
      </c>
      <c r="M36" s="6" t="s">
        <v>171</v>
      </c>
      <c r="N36" s="6" t="s">
        <v>594</v>
      </c>
      <c r="O36" s="49" t="str">
        <f t="shared" ca="1" si="0"/>
        <v>SI</v>
      </c>
      <c r="P36" s="49" t="str">
        <f t="shared" si="1"/>
        <v>DIANOSOL</v>
      </c>
      <c r="Q36" s="6" t="s">
        <v>905</v>
      </c>
      <c r="R36" s="6" t="str">
        <f>VLOOKUP($Q36,Resultados!$A$1:$B$49,2,FALSE)</f>
        <v>Juicio Abreviado</v>
      </c>
      <c r="S36" s="6"/>
      <c r="T36" s="71" t="str">
        <f t="shared" si="2"/>
        <v>NO</v>
      </c>
      <c r="U36" s="71">
        <f t="shared" si="3"/>
        <v>3</v>
      </c>
      <c r="V36" s="6"/>
      <c r="W36" s="6"/>
      <c r="X36" s="6"/>
      <c r="Y36" s="6"/>
      <c r="Z36" s="71"/>
      <c r="AA36" s="71"/>
      <c r="AB36" s="71"/>
      <c r="AC36" s="361"/>
    </row>
    <row r="37" spans="1:29" ht="51" x14ac:dyDescent="0.2">
      <c r="A37" s="6">
        <v>34</v>
      </c>
      <c r="B37" s="5">
        <v>44991</v>
      </c>
      <c r="C37" s="14">
        <v>0.50208333333333333</v>
      </c>
      <c r="D37" s="6" t="s">
        <v>120</v>
      </c>
      <c r="E37" s="40" t="s">
        <v>121</v>
      </c>
      <c r="F37" s="6">
        <v>3</v>
      </c>
      <c r="G37" s="6" t="s">
        <v>32</v>
      </c>
      <c r="H37" s="18">
        <v>44999</v>
      </c>
      <c r="I37" s="6" t="s">
        <v>73</v>
      </c>
      <c r="J37" s="18" t="s">
        <v>35</v>
      </c>
      <c r="K37" s="6">
        <f>IFERROR(VLOOKUP(J37,Jueces!$A$1:$B$11,2,FALSE),"")</f>
        <v>3</v>
      </c>
      <c r="L37" s="6" t="s">
        <v>138</v>
      </c>
      <c r="M37" s="6" t="s">
        <v>391</v>
      </c>
      <c r="N37" s="6" t="s">
        <v>595</v>
      </c>
      <c r="O37" s="49" t="str">
        <f t="shared" ca="1" si="0"/>
        <v>SI</v>
      </c>
      <c r="P37" s="49" t="str">
        <f t="shared" si="1"/>
        <v>DIANOSOL</v>
      </c>
      <c r="Q37" s="6" t="s">
        <v>905</v>
      </c>
      <c r="R37" s="6" t="str">
        <f>VLOOKUP($Q37,Resultados!$A$1:$B$49,2,FALSE)</f>
        <v>Juicio Abreviado</v>
      </c>
      <c r="S37" s="6"/>
      <c r="T37" s="71" t="str">
        <f t="shared" si="2"/>
        <v>NO</v>
      </c>
      <c r="U37" s="71">
        <f t="shared" si="3"/>
        <v>3</v>
      </c>
      <c r="V37" s="6"/>
      <c r="W37" s="6"/>
      <c r="X37" s="6"/>
      <c r="Y37" s="6"/>
      <c r="Z37" s="71"/>
      <c r="AA37" s="71"/>
      <c r="AB37" s="71"/>
      <c r="AC37" s="361"/>
    </row>
    <row r="38" spans="1:29" ht="51" x14ac:dyDescent="0.2">
      <c r="A38" s="6">
        <v>35</v>
      </c>
      <c r="B38" s="18">
        <v>44988</v>
      </c>
      <c r="C38" s="14">
        <v>0.36041666666666666</v>
      </c>
      <c r="D38" s="6" t="s">
        <v>136</v>
      </c>
      <c r="E38" s="40" t="s">
        <v>135</v>
      </c>
      <c r="F38" s="6">
        <v>4</v>
      </c>
      <c r="G38" s="6" t="s">
        <v>43</v>
      </c>
      <c r="H38" s="18">
        <v>44999</v>
      </c>
      <c r="I38" s="6" t="s">
        <v>228</v>
      </c>
      <c r="J38" s="18" t="s">
        <v>78</v>
      </c>
      <c r="K38" s="6">
        <f>IFERROR(VLOOKUP(J38,Jueces!$A$1:$B$11,2,FALSE),"")</f>
        <v>8</v>
      </c>
      <c r="L38" s="6" t="s">
        <v>166</v>
      </c>
      <c r="M38" s="6" t="s">
        <v>147</v>
      </c>
      <c r="N38" s="6" t="s">
        <v>596</v>
      </c>
      <c r="O38" s="49" t="str">
        <f t="shared" ca="1" si="0"/>
        <v>SI</v>
      </c>
      <c r="P38" s="49" t="str">
        <f t="shared" si="1"/>
        <v>DIANOSOL</v>
      </c>
      <c r="Q38" s="6" t="s">
        <v>905</v>
      </c>
      <c r="R38" s="6" t="str">
        <f>VLOOKUP($Q38,Resultados!$A$1:$B$49,2,FALSE)</f>
        <v>Juicio Abreviado</v>
      </c>
      <c r="S38" s="6"/>
      <c r="T38" s="71" t="str">
        <f t="shared" si="2"/>
        <v>NO</v>
      </c>
      <c r="U38" s="71">
        <f t="shared" si="3"/>
        <v>3</v>
      </c>
      <c r="V38" s="6"/>
      <c r="W38" s="6"/>
      <c r="X38" s="6"/>
      <c r="Y38" s="6"/>
      <c r="Z38" s="71"/>
      <c r="AA38" s="71"/>
      <c r="AB38" s="71"/>
      <c r="AC38" s="361"/>
    </row>
    <row r="39" spans="1:29" ht="51" x14ac:dyDescent="0.2">
      <c r="A39" s="6">
        <v>36</v>
      </c>
      <c r="B39" s="18">
        <v>44988</v>
      </c>
      <c r="C39" s="14">
        <v>0.44513888888888892</v>
      </c>
      <c r="D39" s="6" t="s">
        <v>144</v>
      </c>
      <c r="E39" s="40" t="s">
        <v>143</v>
      </c>
      <c r="F39" s="6">
        <v>3</v>
      </c>
      <c r="G39" s="6" t="s">
        <v>1441</v>
      </c>
      <c r="H39" s="18">
        <v>45000</v>
      </c>
      <c r="I39" s="6" t="s">
        <v>73</v>
      </c>
      <c r="J39" s="18" t="s">
        <v>78</v>
      </c>
      <c r="K39" s="6">
        <f>IFERROR(VLOOKUP(J39,Jueces!$A$1:$B$11,2,FALSE),"")</f>
        <v>8</v>
      </c>
      <c r="L39" s="6" t="s">
        <v>150</v>
      </c>
      <c r="M39" s="6" t="s">
        <v>149</v>
      </c>
      <c r="N39" s="6" t="s">
        <v>383</v>
      </c>
      <c r="O39" s="49" t="str">
        <f t="shared" ca="1" si="0"/>
        <v>SI</v>
      </c>
      <c r="P39" s="49" t="str">
        <f t="shared" si="1"/>
        <v>DIANOSOL</v>
      </c>
      <c r="Q39" s="6" t="s">
        <v>151</v>
      </c>
      <c r="R39" s="6" t="str">
        <f>VLOOKUP($Q39,Resultados!$A$1:$B$49,2,FALSE)</f>
        <v>Prisión Preventiva</v>
      </c>
      <c r="S39" s="6"/>
      <c r="T39" s="71" t="str">
        <f t="shared" si="2"/>
        <v>NO</v>
      </c>
      <c r="U39" s="71">
        <f t="shared" si="3"/>
        <v>3</v>
      </c>
      <c r="V39" s="6"/>
      <c r="W39" s="6"/>
      <c r="X39" s="6"/>
      <c r="Y39" s="6"/>
      <c r="Z39" s="71"/>
      <c r="AA39" s="71"/>
      <c r="AB39" s="71"/>
      <c r="AC39" s="361"/>
    </row>
    <row r="40" spans="1:29" ht="38.25" x14ac:dyDescent="0.2">
      <c r="A40" s="6">
        <v>37</v>
      </c>
      <c r="B40" s="18">
        <v>44991</v>
      </c>
      <c r="C40" s="14">
        <v>0.39166666666666666</v>
      </c>
      <c r="D40" s="6" t="s">
        <v>175</v>
      </c>
      <c r="E40" s="40" t="s">
        <v>174</v>
      </c>
      <c r="F40" s="6">
        <v>4</v>
      </c>
      <c r="G40" s="6" t="s">
        <v>34</v>
      </c>
      <c r="H40" s="18">
        <v>45000</v>
      </c>
      <c r="I40" s="6" t="s">
        <v>73</v>
      </c>
      <c r="J40" s="18" t="s">
        <v>35</v>
      </c>
      <c r="K40" s="6">
        <f>IFERROR(VLOOKUP(J40,Jueces!$A$1:$B$11,2,FALSE),"")</f>
        <v>3</v>
      </c>
      <c r="L40" s="6" t="s">
        <v>194</v>
      </c>
      <c r="M40" s="6" t="s">
        <v>147</v>
      </c>
      <c r="N40" s="6" t="s">
        <v>235</v>
      </c>
      <c r="O40" s="49" t="str">
        <f t="shared" ca="1" si="0"/>
        <v>SI</v>
      </c>
      <c r="P40" s="49" t="str">
        <f t="shared" si="1"/>
        <v>DIANOSOL</v>
      </c>
      <c r="Q40" s="6" t="s">
        <v>151</v>
      </c>
      <c r="R40" s="6" t="str">
        <f>VLOOKUP($Q40,Resultados!$A$1:$B$49,2,FALSE)</f>
        <v>Prisión Preventiva</v>
      </c>
      <c r="S40" s="6"/>
      <c r="T40" s="71" t="str">
        <f t="shared" si="2"/>
        <v>NO</v>
      </c>
      <c r="U40" s="71">
        <f t="shared" si="3"/>
        <v>3</v>
      </c>
      <c r="V40" s="6"/>
      <c r="W40" s="6"/>
      <c r="X40" s="6"/>
      <c r="Y40" s="6"/>
      <c r="Z40" s="71"/>
      <c r="AA40" s="71"/>
      <c r="AB40" s="71"/>
      <c r="AC40" s="361"/>
    </row>
    <row r="41" spans="1:29" ht="76.5" x14ac:dyDescent="0.2">
      <c r="A41" s="6">
        <v>38</v>
      </c>
      <c r="B41" s="18">
        <v>44991</v>
      </c>
      <c r="C41" s="14">
        <v>0.53611111111111109</v>
      </c>
      <c r="D41" s="6" t="s">
        <v>182</v>
      </c>
      <c r="E41" s="40" t="s">
        <v>183</v>
      </c>
      <c r="F41" s="6">
        <v>3</v>
      </c>
      <c r="G41" s="6" t="s">
        <v>29</v>
      </c>
      <c r="H41" s="18">
        <v>45000</v>
      </c>
      <c r="I41" s="6" t="s">
        <v>73</v>
      </c>
      <c r="J41" s="18" t="s">
        <v>31</v>
      </c>
      <c r="K41" s="6">
        <f>IFERROR(VLOOKUP(J41,Jueces!$A$1:$B$11,2,FALSE),"")</f>
        <v>2</v>
      </c>
      <c r="L41" s="6" t="s">
        <v>209</v>
      </c>
      <c r="M41" s="6" t="s">
        <v>391</v>
      </c>
      <c r="N41" s="6" t="s">
        <v>235</v>
      </c>
      <c r="O41" s="49" t="str">
        <f t="shared" ca="1" si="0"/>
        <v>SI</v>
      </c>
      <c r="P41" s="49" t="str">
        <f t="shared" si="1"/>
        <v>DIANOSOL</v>
      </c>
      <c r="Q41" s="6" t="s">
        <v>151</v>
      </c>
      <c r="R41" s="6" t="str">
        <f>VLOOKUP($Q41,Resultados!$A$1:$B$49,2,FALSE)</f>
        <v>Prisión Preventiva</v>
      </c>
      <c r="S41" s="6"/>
      <c r="T41" s="71" t="str">
        <f t="shared" si="2"/>
        <v>NO</v>
      </c>
      <c r="U41" s="71">
        <f t="shared" si="3"/>
        <v>3</v>
      </c>
      <c r="V41" s="6"/>
      <c r="W41" s="6"/>
      <c r="X41" s="6"/>
      <c r="Y41" s="6"/>
      <c r="Z41" s="71"/>
      <c r="AA41" s="71"/>
      <c r="AB41" s="71"/>
      <c r="AC41" s="361"/>
    </row>
    <row r="42" spans="1:29" ht="63.75" x14ac:dyDescent="0.2">
      <c r="A42" s="6">
        <v>39</v>
      </c>
      <c r="B42" s="18">
        <v>44988</v>
      </c>
      <c r="C42" s="14">
        <v>0.52777777777777779</v>
      </c>
      <c r="D42" s="6" t="s">
        <v>146</v>
      </c>
      <c r="E42" s="40" t="s">
        <v>145</v>
      </c>
      <c r="F42" s="6">
        <v>3</v>
      </c>
      <c r="G42" s="6" t="s">
        <v>1441</v>
      </c>
      <c r="H42" s="18">
        <v>45001</v>
      </c>
      <c r="I42" s="6" t="s">
        <v>73</v>
      </c>
      <c r="J42" s="18" t="s">
        <v>31</v>
      </c>
      <c r="K42" s="6">
        <f>IFERROR(VLOOKUP(J42,Jueces!$A$1:$B$11,2,FALSE),"")</f>
        <v>2</v>
      </c>
      <c r="L42" s="6" t="s">
        <v>168</v>
      </c>
      <c r="M42" s="6" t="s">
        <v>169</v>
      </c>
      <c r="N42" s="6" t="s">
        <v>394</v>
      </c>
      <c r="O42" s="49" t="str">
        <f t="shared" ca="1" si="0"/>
        <v>SI</v>
      </c>
      <c r="P42" s="49" t="str">
        <f t="shared" si="1"/>
        <v>DIANOSOL</v>
      </c>
      <c r="Q42" s="6" t="s">
        <v>151</v>
      </c>
      <c r="R42" s="6" t="str">
        <f>VLOOKUP($Q42,Resultados!$A$1:$B$49,2,FALSE)</f>
        <v>Prisión Preventiva</v>
      </c>
      <c r="S42" s="6"/>
      <c r="T42" s="71" t="str">
        <f t="shared" si="2"/>
        <v>NO</v>
      </c>
      <c r="U42" s="71">
        <f t="shared" si="3"/>
        <v>3</v>
      </c>
      <c r="V42" s="6"/>
      <c r="W42" s="6"/>
      <c r="X42" s="6"/>
      <c r="Y42" s="6"/>
      <c r="Z42" s="71"/>
      <c r="AA42" s="71"/>
      <c r="AB42" s="71"/>
      <c r="AC42" s="361"/>
    </row>
    <row r="43" spans="1:29" ht="25.5" x14ac:dyDescent="0.2">
      <c r="A43" s="6">
        <v>40</v>
      </c>
      <c r="B43" s="18">
        <v>44991</v>
      </c>
      <c r="C43" s="14">
        <v>0.33333333333333331</v>
      </c>
      <c r="D43" s="6" t="s">
        <v>162</v>
      </c>
      <c r="E43" s="40" t="s">
        <v>163</v>
      </c>
      <c r="F43" s="6">
        <v>3</v>
      </c>
      <c r="G43" s="6" t="s">
        <v>29</v>
      </c>
      <c r="H43" s="18">
        <v>45001</v>
      </c>
      <c r="I43" s="6" t="s">
        <v>73</v>
      </c>
      <c r="J43" s="18" t="s">
        <v>35</v>
      </c>
      <c r="K43" s="6">
        <f>IFERROR(VLOOKUP(J43,Jueces!$A$1:$B$11,2,FALSE),"")</f>
        <v>3</v>
      </c>
      <c r="L43" s="6" t="s">
        <v>191</v>
      </c>
      <c r="M43" s="6" t="s">
        <v>147</v>
      </c>
      <c r="N43" s="6" t="s">
        <v>235</v>
      </c>
      <c r="O43" s="49" t="str">
        <f t="shared" ca="1" si="0"/>
        <v>SI</v>
      </c>
      <c r="P43" s="49" t="str">
        <f t="shared" si="1"/>
        <v>DIANOSOL</v>
      </c>
      <c r="Q43" s="6" t="s">
        <v>151</v>
      </c>
      <c r="R43" s="6" t="str">
        <f>VLOOKUP($Q43,Resultados!$A$1:$B$49,2,FALSE)</f>
        <v>Prisión Preventiva</v>
      </c>
      <c r="S43" s="6"/>
      <c r="T43" s="71" t="str">
        <f t="shared" si="2"/>
        <v>NO</v>
      </c>
      <c r="U43" s="71">
        <f t="shared" si="3"/>
        <v>3</v>
      </c>
      <c r="V43" s="6"/>
      <c r="W43" s="6"/>
      <c r="X43" s="6"/>
      <c r="Y43" s="6"/>
      <c r="Z43" s="71"/>
      <c r="AA43" s="71"/>
      <c r="AB43" s="71"/>
      <c r="AC43" s="361"/>
    </row>
    <row r="44" spans="1:29" ht="38.25" x14ac:dyDescent="0.2">
      <c r="A44" s="6">
        <v>41</v>
      </c>
      <c r="B44" s="18">
        <v>44991</v>
      </c>
      <c r="C44" s="14">
        <v>0.39027777777777778</v>
      </c>
      <c r="D44" s="6" t="s">
        <v>173</v>
      </c>
      <c r="E44" s="40" t="s">
        <v>172</v>
      </c>
      <c r="F44" s="6">
        <v>4</v>
      </c>
      <c r="G44" s="6" t="s">
        <v>43</v>
      </c>
      <c r="H44" s="18">
        <v>45001</v>
      </c>
      <c r="I44" s="6" t="s">
        <v>73</v>
      </c>
      <c r="J44" s="18" t="s">
        <v>31</v>
      </c>
      <c r="K44" s="6">
        <f>IFERROR(VLOOKUP(J44,Jueces!$A$1:$B$11,2,FALSE),"")</f>
        <v>2</v>
      </c>
      <c r="L44" s="6" t="s">
        <v>166</v>
      </c>
      <c r="M44" s="6" t="s">
        <v>147</v>
      </c>
      <c r="N44" s="6" t="s">
        <v>399</v>
      </c>
      <c r="O44" s="49" t="str">
        <f t="shared" ca="1" si="0"/>
        <v>SI</v>
      </c>
      <c r="P44" s="49" t="str">
        <f t="shared" si="1"/>
        <v>DIANOSOL</v>
      </c>
      <c r="Q44" s="6" t="s">
        <v>904</v>
      </c>
      <c r="R44" s="6" t="str">
        <f>VLOOKUP($Q44,Resultados!$A$1:$B$49,2,FALSE)</f>
        <v>Juicio Abreviado</v>
      </c>
      <c r="S44" s="6"/>
      <c r="T44" s="71" t="str">
        <f t="shared" si="2"/>
        <v>NO</v>
      </c>
      <c r="U44" s="71">
        <f t="shared" si="3"/>
        <v>3</v>
      </c>
      <c r="V44" s="6"/>
      <c r="W44" s="6"/>
      <c r="X44" s="6"/>
      <c r="Y44" s="6"/>
      <c r="Z44" s="71"/>
      <c r="AA44" s="71"/>
      <c r="AB44" s="71"/>
      <c r="AC44" s="361"/>
    </row>
    <row r="45" spans="1:29" ht="76.5" x14ac:dyDescent="0.2">
      <c r="A45" s="6">
        <v>42</v>
      </c>
      <c r="B45" s="18">
        <v>44991</v>
      </c>
      <c r="C45" s="14">
        <v>0.35833333333333334</v>
      </c>
      <c r="D45" s="6" t="s">
        <v>159</v>
      </c>
      <c r="E45" s="40" t="s">
        <v>158</v>
      </c>
      <c r="F45" s="6">
        <v>3</v>
      </c>
      <c r="G45" s="6" t="s">
        <v>283</v>
      </c>
      <c r="H45" s="18">
        <v>45001</v>
      </c>
      <c r="I45" s="6" t="s">
        <v>76</v>
      </c>
      <c r="J45" s="18" t="s">
        <v>35</v>
      </c>
      <c r="K45" s="6">
        <f>IFERROR(VLOOKUP(J45,Jueces!$A$1:$B$11,2,FALSE),"")</f>
        <v>3</v>
      </c>
      <c r="L45" s="6" t="s">
        <v>185</v>
      </c>
      <c r="M45" s="6" t="s">
        <v>186</v>
      </c>
      <c r="N45" s="6" t="s">
        <v>400</v>
      </c>
      <c r="O45" s="49" t="str">
        <f t="shared" ca="1" si="0"/>
        <v>SI</v>
      </c>
      <c r="P45" s="49" t="str">
        <f t="shared" si="1"/>
        <v>DIANOSOL</v>
      </c>
      <c r="Q45" s="6" t="s">
        <v>912</v>
      </c>
      <c r="R45" s="6" t="str">
        <f>VLOOKUP($Q45,Resultados!$A$1:$B$49,2,FALSE)</f>
        <v>Suspendida</v>
      </c>
      <c r="S45" s="6"/>
      <c r="T45" s="71" t="str">
        <f t="shared" si="2"/>
        <v>NO</v>
      </c>
      <c r="U45" s="71">
        <f t="shared" si="3"/>
        <v>3</v>
      </c>
      <c r="V45" s="6"/>
      <c r="W45" s="6"/>
      <c r="X45" s="6"/>
      <c r="Y45" s="6"/>
      <c r="Z45" s="71"/>
      <c r="AA45" s="71"/>
      <c r="AB45" s="71"/>
      <c r="AC45" s="361"/>
    </row>
    <row r="46" spans="1:29" ht="38.25" x14ac:dyDescent="0.2">
      <c r="A46" s="6">
        <v>43</v>
      </c>
      <c r="B46" s="18">
        <v>44991</v>
      </c>
      <c r="C46" s="14">
        <v>0.33333333333333331</v>
      </c>
      <c r="D46" s="6" t="s">
        <v>161</v>
      </c>
      <c r="E46" s="40" t="s">
        <v>353</v>
      </c>
      <c r="F46" s="6">
        <v>4</v>
      </c>
      <c r="G46" s="6" t="s">
        <v>43</v>
      </c>
      <c r="H46" s="18">
        <v>45002</v>
      </c>
      <c r="I46" s="6" t="s">
        <v>73</v>
      </c>
      <c r="J46" s="18" t="s">
        <v>78</v>
      </c>
      <c r="K46" s="6">
        <f>IFERROR(VLOOKUP(J46,Jueces!$A$1:$B$11,2,FALSE),"")</f>
        <v>8</v>
      </c>
      <c r="L46" s="6" t="s">
        <v>185</v>
      </c>
      <c r="M46" s="6" t="s">
        <v>147</v>
      </c>
      <c r="N46" s="6" t="s">
        <v>434</v>
      </c>
      <c r="O46" s="49" t="str">
        <f t="shared" ca="1" si="0"/>
        <v>SI</v>
      </c>
      <c r="P46" s="49" t="str">
        <f t="shared" si="1"/>
        <v>DIANOSOL</v>
      </c>
      <c r="Q46" s="6" t="s">
        <v>904</v>
      </c>
      <c r="R46" s="6" t="str">
        <f>VLOOKUP($Q46,Resultados!$A$1:$B$49,2,FALSE)</f>
        <v>Juicio Abreviado</v>
      </c>
      <c r="S46" s="6"/>
      <c r="T46" s="71" t="str">
        <f t="shared" si="2"/>
        <v>NO</v>
      </c>
      <c r="U46" s="71">
        <f t="shared" si="3"/>
        <v>3</v>
      </c>
      <c r="V46" s="6"/>
      <c r="W46" s="6"/>
      <c r="X46" s="6"/>
      <c r="Y46" s="6"/>
      <c r="Z46" s="71"/>
      <c r="AA46" s="71"/>
      <c r="AB46" s="71"/>
      <c r="AC46" s="361"/>
    </row>
    <row r="47" spans="1:29" ht="63.75" x14ac:dyDescent="0.2">
      <c r="A47" s="6">
        <v>44</v>
      </c>
      <c r="B47" s="18">
        <v>44991</v>
      </c>
      <c r="C47" s="14">
        <v>0.37361111111111112</v>
      </c>
      <c r="D47" s="6" t="s">
        <v>164</v>
      </c>
      <c r="E47" s="40" t="s">
        <v>165</v>
      </c>
      <c r="F47" s="6">
        <v>3</v>
      </c>
      <c r="G47" s="6" t="s">
        <v>1441</v>
      </c>
      <c r="H47" s="18">
        <v>45002</v>
      </c>
      <c r="I47" s="6" t="s">
        <v>73</v>
      </c>
      <c r="J47" s="18" t="s">
        <v>31</v>
      </c>
      <c r="K47" s="6">
        <f>IFERROR(VLOOKUP(J47,Jueces!$A$1:$B$11,2,FALSE),"")</f>
        <v>2</v>
      </c>
      <c r="L47" s="6" t="s">
        <v>166</v>
      </c>
      <c r="M47" s="6" t="s">
        <v>189</v>
      </c>
      <c r="N47" s="6" t="s">
        <v>420</v>
      </c>
      <c r="O47" s="49" t="str">
        <f t="shared" ca="1" si="0"/>
        <v>SI</v>
      </c>
      <c r="P47" s="49" t="str">
        <f t="shared" si="1"/>
        <v>DIANOSOL</v>
      </c>
      <c r="Q47" s="6" t="s">
        <v>904</v>
      </c>
      <c r="R47" s="6" t="str">
        <f>VLOOKUP($Q47,Resultados!$A$1:$B$49,2,FALSE)</f>
        <v>Juicio Abreviado</v>
      </c>
      <c r="S47" s="6"/>
      <c r="T47" s="71" t="str">
        <f t="shared" si="2"/>
        <v>NO</v>
      </c>
      <c r="U47" s="71">
        <f t="shared" si="3"/>
        <v>3</v>
      </c>
      <c r="V47" s="6"/>
      <c r="W47" s="6"/>
      <c r="X47" s="6"/>
      <c r="Y47" s="6"/>
      <c r="Z47" s="71"/>
      <c r="AA47" s="71"/>
      <c r="AB47" s="71"/>
      <c r="AC47" s="361"/>
    </row>
    <row r="48" spans="1:29" ht="51" x14ac:dyDescent="0.2">
      <c r="A48" s="6">
        <v>45</v>
      </c>
      <c r="B48" s="18">
        <v>44993</v>
      </c>
      <c r="C48" s="14">
        <v>0.34652777777777777</v>
      </c>
      <c r="D48" s="6" t="s">
        <v>221</v>
      </c>
      <c r="E48" s="40" t="s">
        <v>220</v>
      </c>
      <c r="F48" s="6">
        <v>3</v>
      </c>
      <c r="G48" s="6" t="s">
        <v>1441</v>
      </c>
      <c r="H48" s="18">
        <v>45002</v>
      </c>
      <c r="I48" s="6" t="s">
        <v>73</v>
      </c>
      <c r="J48" s="18" t="s">
        <v>33</v>
      </c>
      <c r="K48" s="6">
        <f>IFERROR(VLOOKUP(J48,Jueces!$A$1:$B$11,2,FALSE),"")</f>
        <v>4</v>
      </c>
      <c r="L48" s="6" t="s">
        <v>248</v>
      </c>
      <c r="M48" s="6" t="s">
        <v>188</v>
      </c>
      <c r="N48" s="6" t="s">
        <v>445</v>
      </c>
      <c r="O48" s="49" t="str">
        <f t="shared" ca="1" si="0"/>
        <v>SI</v>
      </c>
      <c r="P48" s="49" t="str">
        <f t="shared" si="1"/>
        <v>DIANOSOL</v>
      </c>
      <c r="Q48" s="6" t="s">
        <v>904</v>
      </c>
      <c r="R48" s="6" t="str">
        <f>VLOOKUP($Q48,Resultados!$A$1:$B$49,2,FALSE)</f>
        <v>Juicio Abreviado</v>
      </c>
      <c r="S48" s="6"/>
      <c r="T48" s="71" t="str">
        <f t="shared" si="2"/>
        <v>NO</v>
      </c>
      <c r="U48" s="71">
        <f t="shared" si="3"/>
        <v>3</v>
      </c>
      <c r="V48" s="6"/>
      <c r="W48" s="6"/>
      <c r="X48" s="6"/>
      <c r="Y48" s="6"/>
      <c r="Z48" s="71"/>
      <c r="AA48" s="71"/>
      <c r="AB48" s="71"/>
      <c r="AC48" s="361"/>
    </row>
    <row r="49" spans="1:29" ht="25.5" x14ac:dyDescent="0.2">
      <c r="A49" s="6">
        <v>46</v>
      </c>
      <c r="B49" s="18">
        <v>44991</v>
      </c>
      <c r="C49" s="14">
        <v>0.3923611111111111</v>
      </c>
      <c r="D49" s="6" t="s">
        <v>260</v>
      </c>
      <c r="E49" s="40" t="s">
        <v>176</v>
      </c>
      <c r="F49" s="6">
        <v>4</v>
      </c>
      <c r="G49" s="6" t="s">
        <v>283</v>
      </c>
      <c r="H49" s="18">
        <v>45002</v>
      </c>
      <c r="I49" s="6" t="s">
        <v>76</v>
      </c>
      <c r="J49" s="18" t="s">
        <v>35</v>
      </c>
      <c r="K49" s="6">
        <f>IFERROR(VLOOKUP(J49,Jueces!$A$1:$B$11,2,FALSE),"")</f>
        <v>3</v>
      </c>
      <c r="L49" s="6" t="s">
        <v>166</v>
      </c>
      <c r="M49" s="6" t="s">
        <v>147</v>
      </c>
      <c r="N49" s="6" t="s">
        <v>423</v>
      </c>
      <c r="O49" s="49" t="str">
        <f t="shared" ca="1" si="0"/>
        <v>SI</v>
      </c>
      <c r="P49" s="49" t="str">
        <f t="shared" si="1"/>
        <v>DIANOSOL</v>
      </c>
      <c r="Q49" s="6" t="s">
        <v>904</v>
      </c>
      <c r="R49" s="6" t="str">
        <f>VLOOKUP($Q49,Resultados!$A$1:$B$49,2,FALSE)</f>
        <v>Juicio Abreviado</v>
      </c>
      <c r="S49" s="6"/>
      <c r="T49" s="71" t="str">
        <f t="shared" si="2"/>
        <v>NO</v>
      </c>
      <c r="U49" s="71">
        <f t="shared" si="3"/>
        <v>3</v>
      </c>
      <c r="V49" s="6"/>
      <c r="W49" s="6"/>
      <c r="X49" s="6"/>
      <c r="Y49" s="6"/>
      <c r="Z49" s="71"/>
      <c r="AA49" s="71"/>
      <c r="AB49" s="71"/>
      <c r="AC49" s="361"/>
    </row>
    <row r="50" spans="1:29" ht="51" x14ac:dyDescent="0.2">
      <c r="A50" s="6">
        <v>47</v>
      </c>
      <c r="B50" s="18">
        <v>44998</v>
      </c>
      <c r="C50" s="14">
        <v>0.4069444444444445</v>
      </c>
      <c r="D50" s="6" t="s">
        <v>321</v>
      </c>
      <c r="E50" s="40" t="s">
        <v>322</v>
      </c>
      <c r="F50" s="6">
        <v>3</v>
      </c>
      <c r="G50" s="6" t="s">
        <v>32</v>
      </c>
      <c r="H50" s="18">
        <v>45002</v>
      </c>
      <c r="I50" s="6" t="s">
        <v>228</v>
      </c>
      <c r="J50" s="18" t="s">
        <v>33</v>
      </c>
      <c r="K50" s="6">
        <f>IFERROR(VLOOKUP(J50,Jueces!$A$1:$B$11,2,FALSE),"")</f>
        <v>4</v>
      </c>
      <c r="L50" s="6" t="s">
        <v>338</v>
      </c>
      <c r="M50" s="6" t="s">
        <v>337</v>
      </c>
      <c r="N50" s="6" t="s">
        <v>419</v>
      </c>
      <c r="O50" s="49" t="str">
        <f t="shared" ca="1" si="0"/>
        <v>SI</v>
      </c>
      <c r="P50" s="49" t="str">
        <f t="shared" si="1"/>
        <v>DIANOSOL</v>
      </c>
      <c r="Q50" s="6" t="s">
        <v>905</v>
      </c>
      <c r="R50" s="6" t="str">
        <f>VLOOKUP($Q50,Resultados!$A$1:$B$49,2,FALSE)</f>
        <v>Juicio Abreviado</v>
      </c>
      <c r="S50" s="6"/>
      <c r="T50" s="71" t="str">
        <f t="shared" si="2"/>
        <v>NO</v>
      </c>
      <c r="U50" s="71">
        <f t="shared" si="3"/>
        <v>3</v>
      </c>
      <c r="V50" s="6"/>
      <c r="W50" s="6"/>
      <c r="X50" s="6"/>
      <c r="Y50" s="6"/>
      <c r="Z50" s="71"/>
      <c r="AA50" s="71"/>
      <c r="AB50" s="71"/>
      <c r="AC50" s="361"/>
    </row>
    <row r="51" spans="1:29" ht="51" x14ac:dyDescent="0.2">
      <c r="A51" s="6">
        <v>48</v>
      </c>
      <c r="B51" s="18">
        <v>44994</v>
      </c>
      <c r="C51" s="14">
        <v>0.43541666666666662</v>
      </c>
      <c r="D51" s="6" t="s">
        <v>280</v>
      </c>
      <c r="E51" s="40" t="s">
        <v>282</v>
      </c>
      <c r="F51" s="6">
        <v>3</v>
      </c>
      <c r="G51" s="6" t="s">
        <v>43</v>
      </c>
      <c r="H51" s="18">
        <v>45005</v>
      </c>
      <c r="I51" s="6" t="s">
        <v>73</v>
      </c>
      <c r="J51" s="18" t="s">
        <v>78</v>
      </c>
      <c r="K51" s="6">
        <f>IFERROR(VLOOKUP(J51,Jueces!$A$1:$B$11,2,FALSE),"")</f>
        <v>8</v>
      </c>
      <c r="L51" s="6" t="s">
        <v>142</v>
      </c>
      <c r="M51" s="6" t="s">
        <v>307</v>
      </c>
      <c r="N51" s="6" t="s">
        <v>456</v>
      </c>
      <c r="O51" s="49" t="str">
        <f t="shared" ca="1" si="0"/>
        <v>SI</v>
      </c>
      <c r="P51" s="49" t="str">
        <f t="shared" si="1"/>
        <v>DIANOSOL</v>
      </c>
      <c r="Q51" s="6" t="s">
        <v>905</v>
      </c>
      <c r="R51" s="6" t="str">
        <f>VLOOKUP($Q51,Resultados!$A$1:$B$49,2,FALSE)</f>
        <v>Juicio Abreviado</v>
      </c>
      <c r="S51" s="6"/>
      <c r="T51" s="71" t="str">
        <f t="shared" si="2"/>
        <v>NO</v>
      </c>
      <c r="U51" s="71">
        <f t="shared" si="3"/>
        <v>3</v>
      </c>
      <c r="V51" s="6"/>
      <c r="W51" s="6"/>
      <c r="X51" s="6"/>
      <c r="Y51" s="6"/>
      <c r="Z51" s="71"/>
      <c r="AA51" s="71"/>
      <c r="AB51" s="71"/>
      <c r="AC51" s="361"/>
    </row>
    <row r="52" spans="1:29" ht="51" x14ac:dyDescent="0.2">
      <c r="A52" s="6">
        <v>49</v>
      </c>
      <c r="B52" s="18">
        <v>44991</v>
      </c>
      <c r="C52" s="14">
        <v>0.35833333333333334</v>
      </c>
      <c r="D52" s="6" t="s">
        <v>160</v>
      </c>
      <c r="E52" s="40" t="s">
        <v>157</v>
      </c>
      <c r="F52" s="6">
        <v>3</v>
      </c>
      <c r="G52" s="6" t="s">
        <v>1441</v>
      </c>
      <c r="H52" s="18">
        <v>45005</v>
      </c>
      <c r="I52" s="6" t="s">
        <v>73</v>
      </c>
      <c r="J52" s="18" t="s">
        <v>78</v>
      </c>
      <c r="K52" s="6">
        <f>IFERROR(VLOOKUP(J52,Jueces!$A$1:$B$11,2,FALSE),"")</f>
        <v>8</v>
      </c>
      <c r="L52" s="6" t="s">
        <v>187</v>
      </c>
      <c r="M52" s="6" t="s">
        <v>188</v>
      </c>
      <c r="N52" s="6" t="s">
        <v>466</v>
      </c>
      <c r="O52" s="49" t="str">
        <f t="shared" ca="1" si="0"/>
        <v>SI</v>
      </c>
      <c r="P52" s="49" t="str">
        <f t="shared" si="1"/>
        <v>DIANOSOL</v>
      </c>
      <c r="Q52" s="6" t="s">
        <v>902</v>
      </c>
      <c r="R52" s="6" t="str">
        <f>VLOOKUP($Q52,Resultados!$A$1:$B$49,2,FALSE)</f>
        <v>Libertad</v>
      </c>
      <c r="S52" s="6"/>
      <c r="T52" s="71" t="str">
        <f t="shared" si="2"/>
        <v>NO</v>
      </c>
      <c r="U52" s="71">
        <f t="shared" si="3"/>
        <v>3</v>
      </c>
      <c r="V52" s="6"/>
      <c r="W52" s="6"/>
      <c r="X52" s="6"/>
      <c r="Y52" s="6"/>
      <c r="Z52" s="71"/>
      <c r="AA52" s="71"/>
      <c r="AB52" s="71"/>
      <c r="AC52" s="361"/>
    </row>
    <row r="53" spans="1:29" ht="38.25" x14ac:dyDescent="0.2">
      <c r="A53" s="6">
        <v>50</v>
      </c>
      <c r="B53" s="5">
        <v>45001</v>
      </c>
      <c r="C53" s="14">
        <v>0.36805555555555558</v>
      </c>
      <c r="D53" s="6" t="s">
        <v>270</v>
      </c>
      <c r="E53" s="40" t="s">
        <v>442</v>
      </c>
      <c r="F53" s="6">
        <v>4</v>
      </c>
      <c r="G53" s="6" t="s">
        <v>283</v>
      </c>
      <c r="H53" s="18">
        <v>45005</v>
      </c>
      <c r="I53" s="6" t="s">
        <v>76</v>
      </c>
      <c r="J53" s="18" t="s">
        <v>31</v>
      </c>
      <c r="K53" s="6">
        <f>IFERROR(VLOOKUP(J53,Jueces!$A$1:$B$11,2,FALSE),"")</f>
        <v>2</v>
      </c>
      <c r="L53" s="6" t="s">
        <v>284</v>
      </c>
      <c r="M53" s="6" t="s">
        <v>285</v>
      </c>
      <c r="N53" s="6" t="s">
        <v>461</v>
      </c>
      <c r="O53" s="49" t="str">
        <f t="shared" ca="1" si="0"/>
        <v>SI</v>
      </c>
      <c r="P53" s="49" t="str">
        <f t="shared" si="1"/>
        <v>DIANOSOL</v>
      </c>
      <c r="Q53" s="6" t="s">
        <v>899</v>
      </c>
      <c r="R53" s="6" t="str">
        <f>VLOOKUP($Q53,Resultados!$A$1:$B$49,2,FALSE)</f>
        <v>Libertad</v>
      </c>
      <c r="S53" s="6"/>
      <c r="T53" s="71" t="str">
        <f t="shared" si="2"/>
        <v>NO</v>
      </c>
      <c r="U53" s="71">
        <f t="shared" si="3"/>
        <v>3</v>
      </c>
      <c r="V53" s="6"/>
      <c r="W53" s="6"/>
      <c r="X53" s="6"/>
      <c r="Y53" s="6"/>
      <c r="Z53" s="71"/>
      <c r="AA53" s="71"/>
      <c r="AB53" s="71"/>
      <c r="AC53" s="361"/>
    </row>
    <row r="54" spans="1:29" ht="38.25" x14ac:dyDescent="0.2">
      <c r="A54" s="6">
        <v>51</v>
      </c>
      <c r="B54" s="18">
        <v>44995</v>
      </c>
      <c r="C54" s="14">
        <v>0.53402777777777777</v>
      </c>
      <c r="D54" s="6" t="s">
        <v>309</v>
      </c>
      <c r="E54" s="40" t="s">
        <v>310</v>
      </c>
      <c r="F54" s="6">
        <v>4</v>
      </c>
      <c r="G54" s="6" t="s">
        <v>29</v>
      </c>
      <c r="H54" s="18">
        <v>45005</v>
      </c>
      <c r="I54" s="6" t="s">
        <v>74</v>
      </c>
      <c r="J54" s="18" t="s">
        <v>33</v>
      </c>
      <c r="K54" s="6">
        <f>IFERROR(VLOOKUP(J54,Jueces!$A$1:$B$11,2,FALSE),"")</f>
        <v>4</v>
      </c>
      <c r="L54" s="6" t="s">
        <v>327</v>
      </c>
      <c r="M54" s="6" t="s">
        <v>287</v>
      </c>
      <c r="N54" s="6" t="s">
        <v>673</v>
      </c>
      <c r="O54" s="49" t="str">
        <f t="shared" ca="1" si="0"/>
        <v>SI</v>
      </c>
      <c r="P54" s="49" t="str">
        <f t="shared" si="1"/>
        <v>DIANOSOL</v>
      </c>
      <c r="Q54" s="6" t="s">
        <v>151</v>
      </c>
      <c r="R54" s="6" t="str">
        <f>VLOOKUP($Q54,Resultados!$A$1:$B$49,2,FALSE)</f>
        <v>Prisión Preventiva</v>
      </c>
      <c r="S54" s="6"/>
      <c r="T54" s="71" t="str">
        <f t="shared" si="2"/>
        <v>NO</v>
      </c>
      <c r="U54" s="71">
        <f t="shared" si="3"/>
        <v>3</v>
      </c>
      <c r="V54" s="6"/>
      <c r="W54" s="6"/>
      <c r="X54" s="6"/>
      <c r="Y54" s="6"/>
      <c r="Z54" s="71"/>
      <c r="AA54" s="71"/>
      <c r="AB54" s="71"/>
      <c r="AC54" s="361"/>
    </row>
    <row r="55" spans="1:29" ht="25.5" x14ac:dyDescent="0.2">
      <c r="A55" s="6">
        <v>52</v>
      </c>
      <c r="B55" s="18">
        <v>44992</v>
      </c>
      <c r="C55" s="14">
        <v>0.33333333333333331</v>
      </c>
      <c r="D55" s="6" t="s">
        <v>195</v>
      </c>
      <c r="E55" s="40" t="s">
        <v>196</v>
      </c>
      <c r="F55" s="6">
        <v>4</v>
      </c>
      <c r="G55" s="6" t="s">
        <v>34</v>
      </c>
      <c r="H55" s="18">
        <v>45006</v>
      </c>
      <c r="I55" s="6" t="s">
        <v>73</v>
      </c>
      <c r="J55" s="18" t="s">
        <v>78</v>
      </c>
      <c r="K55" s="6">
        <f>IFERROR(VLOOKUP(J55,Jueces!$A$1:$B$11,2,FALSE),"")</f>
        <v>8</v>
      </c>
      <c r="L55" s="6" t="s">
        <v>210</v>
      </c>
      <c r="M55" s="6" t="s">
        <v>211</v>
      </c>
      <c r="N55" s="6" t="s">
        <v>674</v>
      </c>
      <c r="O55" s="49" t="str">
        <f t="shared" ca="1" si="0"/>
        <v>SI</v>
      </c>
      <c r="P55" s="49" t="str">
        <f t="shared" si="1"/>
        <v>DIANOSOL</v>
      </c>
      <c r="Q55" s="6" t="s">
        <v>151</v>
      </c>
      <c r="R55" s="6" t="str">
        <f>VLOOKUP($Q55,Resultados!$A$1:$B$49,2,FALSE)</f>
        <v>Prisión Preventiva</v>
      </c>
      <c r="S55" s="6"/>
      <c r="T55" s="71" t="str">
        <f t="shared" si="2"/>
        <v>NO</v>
      </c>
      <c r="U55" s="71">
        <f t="shared" si="3"/>
        <v>3</v>
      </c>
      <c r="V55" s="6"/>
      <c r="W55" s="6"/>
      <c r="X55" s="6"/>
      <c r="Y55" s="6"/>
      <c r="Z55" s="71"/>
      <c r="AA55" s="71"/>
      <c r="AB55" s="71"/>
      <c r="AC55" s="361"/>
    </row>
    <row r="56" spans="1:29" ht="51" x14ac:dyDescent="0.2">
      <c r="A56" s="6">
        <v>53</v>
      </c>
      <c r="B56" s="18">
        <v>44994</v>
      </c>
      <c r="C56" s="14">
        <v>0.34791666666666665</v>
      </c>
      <c r="D56" s="6" t="s">
        <v>253</v>
      </c>
      <c r="E56" s="40" t="s">
        <v>255</v>
      </c>
      <c r="F56" s="6">
        <v>3</v>
      </c>
      <c r="G56" s="6" t="s">
        <v>43</v>
      </c>
      <c r="H56" s="18">
        <v>45006</v>
      </c>
      <c r="I56" s="6" t="s">
        <v>73</v>
      </c>
      <c r="J56" s="18" t="s">
        <v>33</v>
      </c>
      <c r="K56" s="6">
        <f>IFERROR(VLOOKUP(J56,Jueces!$A$1:$B$11,2,FALSE),"")</f>
        <v>4</v>
      </c>
      <c r="L56" s="6" t="s">
        <v>688</v>
      </c>
      <c r="M56" s="6" t="s">
        <v>267</v>
      </c>
      <c r="N56" s="6" t="s">
        <v>235</v>
      </c>
      <c r="O56" s="49" t="str">
        <f t="shared" ca="1" si="0"/>
        <v>SI</v>
      </c>
      <c r="P56" s="49" t="str">
        <f t="shared" si="1"/>
        <v>DIANOSOL</v>
      </c>
      <c r="Q56" s="6" t="s">
        <v>151</v>
      </c>
      <c r="R56" s="6" t="str">
        <f>VLOOKUP($Q56,Resultados!$A$1:$B$49,2,FALSE)</f>
        <v>Prisión Preventiva</v>
      </c>
      <c r="S56" s="6"/>
      <c r="T56" s="71" t="str">
        <f t="shared" si="2"/>
        <v>NO</v>
      </c>
      <c r="U56" s="71">
        <f t="shared" si="3"/>
        <v>3</v>
      </c>
      <c r="V56" s="6"/>
      <c r="W56" s="6"/>
      <c r="X56" s="6"/>
      <c r="Y56" s="6"/>
      <c r="Z56" s="71"/>
      <c r="AA56" s="71"/>
      <c r="AB56" s="71"/>
      <c r="AC56" s="361"/>
    </row>
    <row r="57" spans="1:29" ht="89.25" x14ac:dyDescent="0.2">
      <c r="A57" s="6">
        <v>54</v>
      </c>
      <c r="B57" s="18">
        <v>44992</v>
      </c>
      <c r="C57" s="14">
        <v>0.53819444444444442</v>
      </c>
      <c r="D57" s="6" t="s">
        <v>215</v>
      </c>
      <c r="E57" s="40" t="s">
        <v>217</v>
      </c>
      <c r="F57" s="6">
        <v>4</v>
      </c>
      <c r="G57" s="6" t="s">
        <v>32</v>
      </c>
      <c r="H57" s="18">
        <v>45006</v>
      </c>
      <c r="I57" s="6" t="s">
        <v>76</v>
      </c>
      <c r="J57" s="18" t="s">
        <v>78</v>
      </c>
      <c r="K57" s="6">
        <f>IFERROR(VLOOKUP(J57,Jueces!$A$1:$B$11,2,FALSE),"")</f>
        <v>8</v>
      </c>
      <c r="L57" s="6" t="s">
        <v>246</v>
      </c>
      <c r="M57" s="6" t="s">
        <v>241</v>
      </c>
      <c r="N57" s="6" t="s">
        <v>469</v>
      </c>
      <c r="O57" s="49" t="str">
        <f t="shared" ca="1" si="0"/>
        <v>SI</v>
      </c>
      <c r="P57" s="49" t="str">
        <f t="shared" si="1"/>
        <v>DIANOSOL</v>
      </c>
      <c r="Q57" s="6" t="s">
        <v>904</v>
      </c>
      <c r="R57" s="6" t="str">
        <f>VLOOKUP($Q57,Resultados!$A$1:$B$49,2,FALSE)</f>
        <v>Juicio Abreviado</v>
      </c>
      <c r="S57" s="6"/>
      <c r="T57" s="71" t="str">
        <f t="shared" si="2"/>
        <v>NO</v>
      </c>
      <c r="U57" s="71">
        <f t="shared" si="3"/>
        <v>3</v>
      </c>
      <c r="V57" s="6"/>
      <c r="W57" s="6"/>
      <c r="X57" s="6"/>
      <c r="Y57" s="6"/>
      <c r="Z57" s="71"/>
      <c r="AA57" s="71"/>
      <c r="AB57" s="71"/>
      <c r="AC57" s="361"/>
    </row>
    <row r="58" spans="1:29" ht="63.75" x14ac:dyDescent="0.2">
      <c r="A58" s="6">
        <v>55</v>
      </c>
      <c r="B58" s="18">
        <v>44995</v>
      </c>
      <c r="C58" s="14">
        <v>0.33333333333333331</v>
      </c>
      <c r="D58" s="6" t="s">
        <v>446</v>
      </c>
      <c r="E58" s="40" t="s">
        <v>354</v>
      </c>
      <c r="F58" s="6">
        <v>4</v>
      </c>
      <c r="G58" s="6" t="s">
        <v>34</v>
      </c>
      <c r="H58" s="18">
        <v>45006</v>
      </c>
      <c r="I58" s="6" t="s">
        <v>76</v>
      </c>
      <c r="J58" s="18" t="s">
        <v>35</v>
      </c>
      <c r="K58" s="6">
        <f>IFERROR(VLOOKUP(J58,Jueces!$A$1:$B$11,2,FALSE),"")</f>
        <v>3</v>
      </c>
      <c r="L58" s="6" t="s">
        <v>326</v>
      </c>
      <c r="M58" s="6" t="s">
        <v>307</v>
      </c>
      <c r="N58" s="6" t="s">
        <v>481</v>
      </c>
      <c r="O58" s="49" t="str">
        <f t="shared" ca="1" si="0"/>
        <v>SI</v>
      </c>
      <c r="P58" s="49" t="str">
        <f t="shared" si="1"/>
        <v>DIANOSOL</v>
      </c>
      <c r="Q58" s="6" t="s">
        <v>912</v>
      </c>
      <c r="R58" s="6" t="str">
        <f>VLOOKUP($Q58,Resultados!$A$1:$B$49,2,FALSE)</f>
        <v>Suspendida</v>
      </c>
      <c r="S58" s="6"/>
      <c r="T58" s="71" t="str">
        <f t="shared" si="2"/>
        <v>NO</v>
      </c>
      <c r="U58" s="71">
        <f t="shared" si="3"/>
        <v>3</v>
      </c>
      <c r="V58" s="6"/>
      <c r="W58" s="6"/>
      <c r="X58" s="6"/>
      <c r="Y58" s="6"/>
      <c r="Z58" s="71"/>
      <c r="AA58" s="71"/>
      <c r="AB58" s="71"/>
      <c r="AC58" s="361"/>
    </row>
    <row r="59" spans="1:29" ht="63.75" x14ac:dyDescent="0.2">
      <c r="A59" s="6">
        <v>56</v>
      </c>
      <c r="B59" s="18">
        <v>44992</v>
      </c>
      <c r="C59" s="14">
        <v>0.50902777777777775</v>
      </c>
      <c r="D59" s="6" t="s">
        <v>207</v>
      </c>
      <c r="E59" s="40" t="s">
        <v>206</v>
      </c>
      <c r="F59" s="6">
        <v>3</v>
      </c>
      <c r="G59" s="6" t="s">
        <v>1441</v>
      </c>
      <c r="H59" s="18">
        <v>45006</v>
      </c>
      <c r="I59" s="6" t="s">
        <v>228</v>
      </c>
      <c r="J59" s="18" t="s">
        <v>33</v>
      </c>
      <c r="K59" s="6">
        <f>IFERROR(VLOOKUP(J59,Jueces!$A$1:$B$11,2,FALSE),"")</f>
        <v>4</v>
      </c>
      <c r="L59" s="6" t="s">
        <v>244</v>
      </c>
      <c r="M59" s="6" t="s">
        <v>188</v>
      </c>
      <c r="N59" s="6" t="s">
        <v>484</v>
      </c>
      <c r="O59" s="49" t="str">
        <f t="shared" ca="1" si="0"/>
        <v>SI</v>
      </c>
      <c r="P59" s="49" t="str">
        <f t="shared" si="1"/>
        <v>DIANOSOL</v>
      </c>
      <c r="Q59" s="6" t="s">
        <v>905</v>
      </c>
      <c r="R59" s="6" t="str">
        <f>VLOOKUP($Q59,Resultados!$A$1:$B$49,2,FALSE)</f>
        <v>Juicio Abreviado</v>
      </c>
      <c r="S59" s="6"/>
      <c r="T59" s="71" t="str">
        <f t="shared" si="2"/>
        <v>NO</v>
      </c>
      <c r="U59" s="71">
        <f t="shared" si="3"/>
        <v>3</v>
      </c>
      <c r="V59" s="6"/>
      <c r="W59" s="6"/>
      <c r="X59" s="6"/>
      <c r="Y59" s="6"/>
      <c r="Z59" s="71"/>
      <c r="AA59" s="71"/>
      <c r="AB59" s="71"/>
      <c r="AC59" s="361"/>
    </row>
    <row r="60" spans="1:29" ht="25.5" x14ac:dyDescent="0.2">
      <c r="A60" s="6">
        <v>57</v>
      </c>
      <c r="B60" s="18">
        <v>45001</v>
      </c>
      <c r="C60" s="14">
        <v>0.36319444444444443</v>
      </c>
      <c r="D60" s="6" t="s">
        <v>257</v>
      </c>
      <c r="E60" s="40" t="s">
        <v>258</v>
      </c>
      <c r="F60" s="6">
        <v>4</v>
      </c>
      <c r="G60" s="6" t="s">
        <v>29</v>
      </c>
      <c r="H60" s="18">
        <v>45007</v>
      </c>
      <c r="I60" s="6" t="s">
        <v>73</v>
      </c>
      <c r="J60" s="18" t="s">
        <v>78</v>
      </c>
      <c r="K60" s="6">
        <f>IFERROR(VLOOKUP(J60,Jueces!$A$1:$B$11,2,FALSE),"")</f>
        <v>8</v>
      </c>
      <c r="L60" s="6" t="s">
        <v>288</v>
      </c>
      <c r="M60" s="6" t="s">
        <v>287</v>
      </c>
      <c r="N60" s="6" t="s">
        <v>235</v>
      </c>
      <c r="O60" s="49" t="str">
        <f t="shared" ca="1" si="0"/>
        <v>SI</v>
      </c>
      <c r="P60" s="49" t="str">
        <f t="shared" si="1"/>
        <v>DIANOSOL</v>
      </c>
      <c r="Q60" s="6" t="s">
        <v>151</v>
      </c>
      <c r="R60" s="6" t="str">
        <f>VLOOKUP($Q60,Resultados!$A$1:$B$49,2,FALSE)</f>
        <v>Prisión Preventiva</v>
      </c>
      <c r="S60" s="6"/>
      <c r="T60" s="71" t="str">
        <f t="shared" si="2"/>
        <v>NO</v>
      </c>
      <c r="U60" s="71">
        <f t="shared" si="3"/>
        <v>3</v>
      </c>
      <c r="V60" s="6"/>
      <c r="W60" s="6"/>
      <c r="X60" s="6"/>
      <c r="Y60" s="6"/>
      <c r="Z60" s="71"/>
      <c r="AA60" s="71"/>
      <c r="AB60" s="71"/>
      <c r="AC60" s="361"/>
    </row>
    <row r="61" spans="1:29" ht="38.25" x14ac:dyDescent="0.2">
      <c r="A61" s="6">
        <v>58</v>
      </c>
      <c r="B61" s="18">
        <v>44994</v>
      </c>
      <c r="C61" s="14">
        <v>0.44444444444444442</v>
      </c>
      <c r="D61" s="6" t="s">
        <v>276</v>
      </c>
      <c r="E61" s="40" t="s">
        <v>286</v>
      </c>
      <c r="F61" s="6">
        <v>4</v>
      </c>
      <c r="G61" s="6" t="s">
        <v>283</v>
      </c>
      <c r="H61" s="18">
        <v>45007</v>
      </c>
      <c r="I61" s="6" t="s">
        <v>73</v>
      </c>
      <c r="J61" s="18" t="s">
        <v>33</v>
      </c>
      <c r="K61" s="6">
        <f>IFERROR(VLOOKUP(J61,Jueces!$A$1:$B$11,2,FALSE),"")</f>
        <v>4</v>
      </c>
      <c r="L61" s="6" t="s">
        <v>300</v>
      </c>
      <c r="M61" s="6" t="s">
        <v>285</v>
      </c>
      <c r="N61" s="6" t="s">
        <v>482</v>
      </c>
      <c r="O61" s="49" t="str">
        <f t="shared" ca="1" si="0"/>
        <v>SI</v>
      </c>
      <c r="P61" s="49" t="str">
        <f t="shared" si="1"/>
        <v>DIANOSOL</v>
      </c>
      <c r="Q61" s="6" t="s">
        <v>151</v>
      </c>
      <c r="R61" s="6" t="str">
        <f>VLOOKUP($Q61,Resultados!$A$1:$B$49,2,FALSE)</f>
        <v>Prisión Preventiva</v>
      </c>
      <c r="S61" s="6"/>
      <c r="T61" s="71" t="str">
        <f t="shared" si="2"/>
        <v>NO</v>
      </c>
      <c r="U61" s="71">
        <f t="shared" si="3"/>
        <v>3</v>
      </c>
      <c r="V61" s="6"/>
      <c r="W61" s="6"/>
      <c r="X61" s="6"/>
      <c r="Y61" s="6"/>
      <c r="Z61" s="71"/>
      <c r="AA61" s="71"/>
      <c r="AB61" s="71"/>
      <c r="AC61" s="361"/>
    </row>
    <row r="62" spans="1:29" ht="63.75" x14ac:dyDescent="0.2">
      <c r="A62" s="6">
        <v>59</v>
      </c>
      <c r="B62" s="18">
        <v>44991</v>
      </c>
      <c r="C62" s="14">
        <v>0.49444444444444446</v>
      </c>
      <c r="D62" s="6" t="s">
        <v>180</v>
      </c>
      <c r="E62" s="40" t="s">
        <v>179</v>
      </c>
      <c r="F62" s="6">
        <v>3</v>
      </c>
      <c r="G62" s="6" t="s">
        <v>29</v>
      </c>
      <c r="H62" s="18">
        <v>45007</v>
      </c>
      <c r="I62" s="6" t="s">
        <v>76</v>
      </c>
      <c r="J62" s="18" t="s">
        <v>35</v>
      </c>
      <c r="K62" s="6">
        <f>IFERROR(VLOOKUP(J62,Jueces!$A$1:$B$11,2,FALSE),"")</f>
        <v>3</v>
      </c>
      <c r="L62" s="6" t="s">
        <v>190</v>
      </c>
      <c r="M62" s="6" t="s">
        <v>188</v>
      </c>
      <c r="N62" s="6" t="s">
        <v>235</v>
      </c>
      <c r="O62" s="49" t="str">
        <f t="shared" ca="1" si="0"/>
        <v>SI</v>
      </c>
      <c r="P62" s="49" t="str">
        <f t="shared" si="1"/>
        <v>DIANOSOL</v>
      </c>
      <c r="Q62" s="6" t="s">
        <v>151</v>
      </c>
      <c r="R62" s="6" t="str">
        <f>VLOOKUP($Q62,Resultados!$A$1:$B$49,2,FALSE)</f>
        <v>Prisión Preventiva</v>
      </c>
      <c r="S62" s="6"/>
      <c r="T62" s="71" t="str">
        <f t="shared" si="2"/>
        <v>NO</v>
      </c>
      <c r="U62" s="71">
        <f t="shared" si="3"/>
        <v>3</v>
      </c>
      <c r="V62" s="6"/>
      <c r="W62" s="6"/>
      <c r="X62" s="6"/>
      <c r="Y62" s="6"/>
      <c r="Z62" s="71"/>
      <c r="AA62" s="71"/>
      <c r="AB62" s="71"/>
      <c r="AC62" s="361"/>
    </row>
    <row r="63" spans="1:29" ht="76.5" x14ac:dyDescent="0.2">
      <c r="A63" s="6">
        <v>60</v>
      </c>
      <c r="B63" s="18">
        <v>44993</v>
      </c>
      <c r="C63" s="14">
        <v>0.3527777777777778</v>
      </c>
      <c r="D63" s="6" t="s">
        <v>222</v>
      </c>
      <c r="E63" s="40" t="s">
        <v>223</v>
      </c>
      <c r="F63" s="6">
        <v>4</v>
      </c>
      <c r="G63" s="6" t="s">
        <v>283</v>
      </c>
      <c r="H63" s="18">
        <v>45007</v>
      </c>
      <c r="I63" s="6" t="s">
        <v>76</v>
      </c>
      <c r="J63" s="18" t="s">
        <v>78</v>
      </c>
      <c r="K63" s="6">
        <f>IFERROR(VLOOKUP(J63,Jueces!$A$1:$B$11,2,FALSE),"")</f>
        <v>8</v>
      </c>
      <c r="L63" s="6" t="s">
        <v>249</v>
      </c>
      <c r="M63" s="6" t="s">
        <v>241</v>
      </c>
      <c r="N63" s="6" t="s">
        <v>483</v>
      </c>
      <c r="O63" s="49" t="str">
        <f t="shared" ca="1" si="0"/>
        <v>SI</v>
      </c>
      <c r="P63" s="49" t="str">
        <f t="shared" si="1"/>
        <v>DIANOSOL</v>
      </c>
      <c r="Q63" s="6" t="s">
        <v>912</v>
      </c>
      <c r="R63" s="6" t="str">
        <f>VLOOKUP($Q63,Resultados!$A$1:$B$49,2,FALSE)</f>
        <v>Suspendida</v>
      </c>
      <c r="S63" s="6"/>
      <c r="T63" s="71" t="str">
        <f t="shared" si="2"/>
        <v>NO</v>
      </c>
      <c r="U63" s="71">
        <f t="shared" si="3"/>
        <v>3</v>
      </c>
      <c r="V63" s="6"/>
      <c r="W63" s="6"/>
      <c r="X63" s="6"/>
      <c r="Y63" s="6"/>
      <c r="Z63" s="71"/>
      <c r="AA63" s="71"/>
      <c r="AB63" s="71"/>
      <c r="AC63" s="361"/>
    </row>
    <row r="64" spans="1:29" ht="51" x14ac:dyDescent="0.2">
      <c r="A64" s="6">
        <v>61</v>
      </c>
      <c r="B64" s="18">
        <v>44993</v>
      </c>
      <c r="C64" s="14">
        <v>0.33333333333333331</v>
      </c>
      <c r="D64" s="6" t="s">
        <v>219</v>
      </c>
      <c r="E64" s="40" t="s">
        <v>218</v>
      </c>
      <c r="F64" s="6">
        <v>3</v>
      </c>
      <c r="G64" s="6" t="s">
        <v>34</v>
      </c>
      <c r="H64" s="18">
        <v>45007</v>
      </c>
      <c r="I64" s="6" t="s">
        <v>75</v>
      </c>
      <c r="J64" s="18" t="s">
        <v>31</v>
      </c>
      <c r="K64" s="6">
        <f>IFERROR(VLOOKUP(J64,Jueces!$A$1:$B$11,2,FALSE),"")</f>
        <v>2</v>
      </c>
      <c r="L64" s="6" t="s">
        <v>247</v>
      </c>
      <c r="M64" s="6" t="s">
        <v>188</v>
      </c>
      <c r="N64" s="6" t="s">
        <v>485</v>
      </c>
      <c r="O64" s="49" t="str">
        <f t="shared" ca="1" si="0"/>
        <v>SI</v>
      </c>
      <c r="P64" s="49" t="str">
        <f t="shared" si="1"/>
        <v>DIANOSOL</v>
      </c>
      <c r="Q64" s="6" t="s">
        <v>904</v>
      </c>
      <c r="R64" s="6" t="str">
        <f>VLOOKUP($Q64,Resultados!$A$1:$B$49,2,FALSE)</f>
        <v>Juicio Abreviado</v>
      </c>
      <c r="S64" s="6"/>
      <c r="T64" s="71" t="str">
        <f t="shared" si="2"/>
        <v>NO</v>
      </c>
      <c r="U64" s="71">
        <f t="shared" si="3"/>
        <v>3</v>
      </c>
      <c r="V64" s="6"/>
      <c r="W64" s="6"/>
      <c r="X64" s="6"/>
      <c r="Y64" s="6"/>
      <c r="Z64" s="71"/>
      <c r="AA64" s="71"/>
      <c r="AB64" s="71"/>
      <c r="AC64" s="361"/>
    </row>
    <row r="65" spans="1:29" ht="63.75" x14ac:dyDescent="0.2">
      <c r="A65" s="6">
        <v>62</v>
      </c>
      <c r="B65" s="18">
        <v>44994</v>
      </c>
      <c r="C65" s="14">
        <v>0.3520833333333333</v>
      </c>
      <c r="D65" s="6" t="s">
        <v>254</v>
      </c>
      <c r="E65" s="40" t="s">
        <v>256</v>
      </c>
      <c r="F65" s="6">
        <v>3</v>
      </c>
      <c r="G65" s="6" t="s">
        <v>32</v>
      </c>
      <c r="H65" s="18">
        <v>45007</v>
      </c>
      <c r="I65" s="6" t="s">
        <v>77</v>
      </c>
      <c r="J65" s="18" t="s">
        <v>33</v>
      </c>
      <c r="K65" s="6">
        <f>IFERROR(VLOOKUP(J65,Jueces!$A$1:$B$11,2,FALSE),"")</f>
        <v>4</v>
      </c>
      <c r="L65" s="6" t="s">
        <v>338</v>
      </c>
      <c r="M65" s="6" t="s">
        <v>266</v>
      </c>
      <c r="N65" s="6" t="s">
        <v>494</v>
      </c>
      <c r="O65" s="49" t="str">
        <f t="shared" ca="1" si="0"/>
        <v>SI</v>
      </c>
      <c r="P65" s="49" t="str">
        <f t="shared" si="1"/>
        <v>DIANOSOL</v>
      </c>
      <c r="Q65" s="6" t="s">
        <v>905</v>
      </c>
      <c r="R65" s="6" t="str">
        <f>VLOOKUP($Q65,Resultados!$A$1:$B$49,2,FALSE)</f>
        <v>Juicio Abreviado</v>
      </c>
      <c r="S65" s="6"/>
      <c r="T65" s="71" t="str">
        <f t="shared" si="2"/>
        <v>NO</v>
      </c>
      <c r="U65" s="71">
        <f t="shared" si="3"/>
        <v>3</v>
      </c>
      <c r="V65" s="6"/>
      <c r="W65" s="6"/>
      <c r="X65" s="6"/>
      <c r="Y65" s="6"/>
      <c r="Z65" s="71"/>
      <c r="AA65" s="71"/>
      <c r="AB65" s="71"/>
      <c r="AC65" s="361"/>
    </row>
    <row r="66" spans="1:29" ht="25.5" x14ac:dyDescent="0.2">
      <c r="A66" s="6">
        <v>63</v>
      </c>
      <c r="B66" s="18">
        <v>44993</v>
      </c>
      <c r="C66" s="14">
        <v>0.3576388888888889</v>
      </c>
      <c r="D66" s="6" t="s">
        <v>224</v>
      </c>
      <c r="E66" s="40" t="s">
        <v>225</v>
      </c>
      <c r="F66" s="6">
        <v>4</v>
      </c>
      <c r="G66" s="6" t="s">
        <v>32</v>
      </c>
      <c r="H66" s="18">
        <v>45008</v>
      </c>
      <c r="I66" s="6" t="s">
        <v>73</v>
      </c>
      <c r="J66" s="18" t="s">
        <v>35</v>
      </c>
      <c r="K66" s="6">
        <f>IFERROR(VLOOKUP(J66,Jueces!$A$1:$B$11,2,FALSE),"")</f>
        <v>3</v>
      </c>
      <c r="L66" s="6" t="s">
        <v>240</v>
      </c>
      <c r="M66" s="6" t="s">
        <v>241</v>
      </c>
      <c r="N66" s="6" t="s">
        <v>573</v>
      </c>
      <c r="O66" s="49" t="str">
        <f t="shared" ca="1" si="0"/>
        <v>SI</v>
      </c>
      <c r="P66" s="49" t="str">
        <f t="shared" si="1"/>
        <v>DIANOSOL</v>
      </c>
      <c r="Q66" s="6" t="s">
        <v>151</v>
      </c>
      <c r="R66" s="6" t="str">
        <f>VLOOKUP($Q66,Resultados!$A$1:$B$49,2,FALSE)</f>
        <v>Prisión Preventiva</v>
      </c>
      <c r="S66" s="6"/>
      <c r="T66" s="71" t="str">
        <f t="shared" si="2"/>
        <v>NO</v>
      </c>
      <c r="U66" s="71">
        <f t="shared" si="3"/>
        <v>3</v>
      </c>
      <c r="V66" s="6"/>
      <c r="W66" s="6"/>
      <c r="X66" s="6"/>
      <c r="Y66" s="6"/>
      <c r="Z66" s="71"/>
      <c r="AA66" s="71"/>
      <c r="AB66" s="71"/>
      <c r="AC66" s="361"/>
    </row>
    <row r="67" spans="1:29" ht="51" x14ac:dyDescent="0.2">
      <c r="A67" s="6">
        <v>64</v>
      </c>
      <c r="B67" s="18">
        <v>44992</v>
      </c>
      <c r="C67" s="14">
        <v>0.48749999999999999</v>
      </c>
      <c r="D67" s="6" t="s">
        <v>259</v>
      </c>
      <c r="E67" s="40" t="s">
        <v>205</v>
      </c>
      <c r="F67" s="6">
        <v>4</v>
      </c>
      <c r="G67" s="6" t="s">
        <v>1441</v>
      </c>
      <c r="H67" s="18">
        <v>45008</v>
      </c>
      <c r="I67" s="6" t="s">
        <v>73</v>
      </c>
      <c r="J67" s="18" t="s">
        <v>33</v>
      </c>
      <c r="K67" s="6">
        <f>IFERROR(VLOOKUP(J67,Jueces!$A$1:$B$11,2,FALSE),"")</f>
        <v>4</v>
      </c>
      <c r="L67" s="6" t="s">
        <v>242</v>
      </c>
      <c r="M67" s="6" t="s">
        <v>243</v>
      </c>
      <c r="N67" s="6" t="s">
        <v>509</v>
      </c>
      <c r="O67" s="49" t="str">
        <f t="shared" ref="O67:O130" ca="1" si="4">IF(H67&lt;&gt;"",IF(H67&lt;=TODAY(),"SI","NO"),"LIMBO")</f>
        <v>SI</v>
      </c>
      <c r="P67" s="49" t="str">
        <f t="shared" ref="P67:P130" si="5">IF($P$1=H67,"DIASOL", "DIANOSOL")</f>
        <v>DIANOSOL</v>
      </c>
      <c r="Q67" s="6" t="s">
        <v>905</v>
      </c>
      <c r="R67" s="6" t="str">
        <f>VLOOKUP($Q67,Resultados!$A$1:$B$49,2,FALSE)</f>
        <v>Juicio Abreviado</v>
      </c>
      <c r="S67" s="6"/>
      <c r="T67" s="71" t="str">
        <f t="shared" ref="T67:T130" si="6">IF(G67=$J$1,"SI","NO")</f>
        <v>NO</v>
      </c>
      <c r="U67" s="71">
        <f t="shared" ref="U67:U130" si="7">IF(H67="",0,MONTH(H67))</f>
        <v>3</v>
      </c>
      <c r="V67" s="6"/>
      <c r="W67" s="6"/>
      <c r="X67" s="6"/>
      <c r="Y67" s="6"/>
      <c r="Z67" s="71"/>
      <c r="AA67" s="71"/>
      <c r="AB67" s="71"/>
      <c r="AC67" s="361"/>
    </row>
    <row r="68" spans="1:29" ht="38.25" x14ac:dyDescent="0.2">
      <c r="A68" s="6">
        <v>65</v>
      </c>
      <c r="B68" s="18">
        <v>44998</v>
      </c>
      <c r="C68" s="14">
        <v>0.33333333333333331</v>
      </c>
      <c r="D68" s="6" t="s">
        <v>7</v>
      </c>
      <c r="E68" s="40" t="s">
        <v>316</v>
      </c>
      <c r="F68" s="6">
        <v>3</v>
      </c>
      <c r="G68" s="6" t="s">
        <v>283</v>
      </c>
      <c r="H68" s="18">
        <v>45008</v>
      </c>
      <c r="I68" s="6" t="s">
        <v>73</v>
      </c>
      <c r="J68" s="18" t="s">
        <v>78</v>
      </c>
      <c r="K68" s="6">
        <f>IFERROR(VLOOKUP(J68,Jueces!$A$1:$B$11,2,FALSE),"")</f>
        <v>8</v>
      </c>
      <c r="L68" s="6" t="s">
        <v>93</v>
      </c>
      <c r="M68" s="6" t="s">
        <v>317</v>
      </c>
      <c r="N68" s="6" t="s">
        <v>235</v>
      </c>
      <c r="O68" s="49" t="str">
        <f t="shared" ca="1" si="4"/>
        <v>SI</v>
      </c>
      <c r="P68" s="49" t="str">
        <f t="shared" si="5"/>
        <v>DIANOSOL</v>
      </c>
      <c r="Q68" s="6" t="s">
        <v>151</v>
      </c>
      <c r="R68" s="6" t="str">
        <f>VLOOKUP($Q68,Resultados!$A$1:$B$49,2,FALSE)</f>
        <v>Prisión Preventiva</v>
      </c>
      <c r="S68" s="6"/>
      <c r="T68" s="71" t="str">
        <f t="shared" si="6"/>
        <v>NO</v>
      </c>
      <c r="U68" s="71">
        <f t="shared" si="7"/>
        <v>3</v>
      </c>
      <c r="V68" s="6"/>
      <c r="W68" s="6"/>
      <c r="X68" s="6"/>
      <c r="Y68" s="6"/>
      <c r="Z68" s="71"/>
      <c r="AA68" s="71"/>
      <c r="AB68" s="71"/>
      <c r="AC68" s="361"/>
    </row>
    <row r="69" spans="1:29" ht="38.25" x14ac:dyDescent="0.2">
      <c r="A69" s="6">
        <v>66</v>
      </c>
      <c r="B69" s="18">
        <v>44992</v>
      </c>
      <c r="C69" s="14">
        <v>0.45833333333333331</v>
      </c>
      <c r="D69" s="6" t="s">
        <v>202</v>
      </c>
      <c r="E69" s="40" t="s">
        <v>201</v>
      </c>
      <c r="F69" s="6">
        <v>4</v>
      </c>
      <c r="G69" s="6" t="s">
        <v>29</v>
      </c>
      <c r="H69" s="18">
        <v>45008</v>
      </c>
      <c r="I69" s="6" t="s">
        <v>76</v>
      </c>
      <c r="J69" s="18" t="s">
        <v>35</v>
      </c>
      <c r="K69" s="6">
        <f>IFERROR(VLOOKUP(J69,Jueces!$A$1:$B$11,2,FALSE),"")</f>
        <v>3</v>
      </c>
      <c r="L69" s="6" t="s">
        <v>245</v>
      </c>
      <c r="M69" s="6" t="s">
        <v>169</v>
      </c>
      <c r="N69" s="6" t="s">
        <v>510</v>
      </c>
      <c r="O69" s="49" t="str">
        <f t="shared" ca="1" si="4"/>
        <v>SI</v>
      </c>
      <c r="P69" s="49" t="str">
        <f t="shared" si="5"/>
        <v>DIANOSOL</v>
      </c>
      <c r="Q69" s="6" t="s">
        <v>899</v>
      </c>
      <c r="R69" s="6" t="str">
        <f>VLOOKUP($Q69,Resultados!$A$1:$B$49,2,FALSE)</f>
        <v>Libertad</v>
      </c>
      <c r="S69" s="6"/>
      <c r="T69" s="71" t="str">
        <f t="shared" si="6"/>
        <v>NO</v>
      </c>
      <c r="U69" s="71">
        <f t="shared" si="7"/>
        <v>3</v>
      </c>
      <c r="V69" s="6"/>
      <c r="W69" s="6"/>
      <c r="X69" s="6"/>
      <c r="Y69" s="6"/>
      <c r="Z69" s="71"/>
      <c r="AA69" s="71"/>
      <c r="AB69" s="71"/>
      <c r="AC69" s="361"/>
    </row>
    <row r="70" spans="1:29" ht="89.25" x14ac:dyDescent="0.2">
      <c r="A70" s="6">
        <v>67</v>
      </c>
      <c r="B70" s="18">
        <v>44993</v>
      </c>
      <c r="C70" s="14">
        <v>0.52500000000000002</v>
      </c>
      <c r="D70" s="6" t="s">
        <v>236</v>
      </c>
      <c r="E70" s="40" t="s">
        <v>237</v>
      </c>
      <c r="F70" s="6">
        <v>3</v>
      </c>
      <c r="G70" s="6" t="s">
        <v>34</v>
      </c>
      <c r="H70" s="18">
        <v>45008</v>
      </c>
      <c r="I70" s="6" t="s">
        <v>228</v>
      </c>
      <c r="J70" s="18" t="s">
        <v>31</v>
      </c>
      <c r="K70" s="6">
        <f>IFERROR(VLOOKUP(J70,Jueces!$A$1:$B$11,2,FALSE),"")</f>
        <v>2</v>
      </c>
      <c r="L70" s="6" t="s">
        <v>271</v>
      </c>
      <c r="M70" s="6" t="s">
        <v>272</v>
      </c>
      <c r="N70" s="6" t="s">
        <v>513</v>
      </c>
      <c r="O70" s="49" t="str">
        <f t="shared" ca="1" si="4"/>
        <v>SI</v>
      </c>
      <c r="P70" s="49" t="str">
        <f t="shared" si="5"/>
        <v>DIANOSOL</v>
      </c>
      <c r="Q70" s="6" t="s">
        <v>904</v>
      </c>
      <c r="R70" s="6" t="str">
        <f>VLOOKUP($Q70,Resultados!$A$1:$B$49,2,FALSE)</f>
        <v>Juicio Abreviado</v>
      </c>
      <c r="S70" s="6"/>
      <c r="T70" s="71" t="str">
        <f t="shared" si="6"/>
        <v>NO</v>
      </c>
      <c r="U70" s="71">
        <f t="shared" si="7"/>
        <v>3</v>
      </c>
      <c r="V70" s="6"/>
      <c r="W70" s="6"/>
      <c r="X70" s="6"/>
      <c r="Y70" s="6"/>
      <c r="Z70" s="71"/>
      <c r="AA70" s="71"/>
      <c r="AB70" s="71"/>
      <c r="AC70" s="361"/>
    </row>
    <row r="71" spans="1:29" ht="63.75" x14ac:dyDescent="0.2">
      <c r="A71" s="6">
        <v>68</v>
      </c>
      <c r="B71" s="18">
        <v>44993</v>
      </c>
      <c r="C71" s="14">
        <v>0.4604166666666667</v>
      </c>
      <c r="D71" s="6" t="s">
        <v>232</v>
      </c>
      <c r="E71" s="40" t="s">
        <v>231</v>
      </c>
      <c r="F71" s="6">
        <v>3</v>
      </c>
      <c r="G71" s="6" t="s">
        <v>43</v>
      </c>
      <c r="H71" s="18">
        <v>45012</v>
      </c>
      <c r="I71" s="6" t="s">
        <v>73</v>
      </c>
      <c r="J71" s="18" t="s">
        <v>31</v>
      </c>
      <c r="K71" s="6">
        <f>IFERROR(VLOOKUP(J71,Jueces!$A$1:$B$11,2,FALSE),"")</f>
        <v>2</v>
      </c>
      <c r="L71" s="6" t="s">
        <v>263</v>
      </c>
      <c r="M71" s="6" t="s">
        <v>188</v>
      </c>
      <c r="N71" s="6" t="s">
        <v>530</v>
      </c>
      <c r="O71" s="49" t="str">
        <f t="shared" ca="1" si="4"/>
        <v>SI</v>
      </c>
      <c r="P71" s="49" t="str">
        <f t="shared" si="5"/>
        <v>DIANOSOL</v>
      </c>
      <c r="Q71" s="6" t="s">
        <v>1023</v>
      </c>
      <c r="R71" s="6" t="str">
        <f>VLOOKUP($Q71,Resultados!$A$1:$B$49,2,FALSE)</f>
        <v>Difiere Resolución</v>
      </c>
      <c r="S71" s="6"/>
      <c r="T71" s="71" t="str">
        <f t="shared" si="6"/>
        <v>NO</v>
      </c>
      <c r="U71" s="71">
        <f t="shared" si="7"/>
        <v>3</v>
      </c>
      <c r="V71" s="6"/>
      <c r="W71" s="6"/>
      <c r="X71" s="6"/>
      <c r="Y71" s="6"/>
      <c r="Z71" s="71"/>
      <c r="AA71" s="71"/>
      <c r="AB71" s="71"/>
      <c r="AC71" s="361"/>
    </row>
    <row r="72" spans="1:29" ht="38.25" x14ac:dyDescent="0.2">
      <c r="A72" s="6">
        <v>69</v>
      </c>
      <c r="B72" s="18">
        <v>44992</v>
      </c>
      <c r="C72" s="14">
        <v>0.53402777777777777</v>
      </c>
      <c r="D72" s="6" t="s">
        <v>212</v>
      </c>
      <c r="E72" s="40" t="s">
        <v>216</v>
      </c>
      <c r="F72" s="6">
        <v>4</v>
      </c>
      <c r="G72" s="6" t="s">
        <v>1441</v>
      </c>
      <c r="H72" s="18">
        <v>45012</v>
      </c>
      <c r="I72" s="6" t="s">
        <v>73</v>
      </c>
      <c r="J72" s="18" t="s">
        <v>33</v>
      </c>
      <c r="K72" s="6">
        <f>IFERROR(VLOOKUP(J72,Jueces!$A$1:$B$11,2,FALSE),"")</f>
        <v>4</v>
      </c>
      <c r="L72" s="6" t="s">
        <v>245</v>
      </c>
      <c r="M72" s="6" t="s">
        <v>241</v>
      </c>
      <c r="N72" s="6" t="s">
        <v>597</v>
      </c>
      <c r="O72" s="49" t="str">
        <f t="shared" ca="1" si="4"/>
        <v>SI</v>
      </c>
      <c r="P72" s="49" t="str">
        <f t="shared" si="5"/>
        <v>DIANOSOL</v>
      </c>
      <c r="Q72" s="6" t="s">
        <v>151</v>
      </c>
      <c r="R72" s="6" t="str">
        <f>VLOOKUP($Q72,Resultados!$A$1:$B$49,2,FALSE)</f>
        <v>Prisión Preventiva</v>
      </c>
      <c r="S72" s="6"/>
      <c r="T72" s="71" t="str">
        <f t="shared" si="6"/>
        <v>NO</v>
      </c>
      <c r="U72" s="71">
        <f t="shared" si="7"/>
        <v>3</v>
      </c>
      <c r="V72" s="6"/>
      <c r="W72" s="6"/>
      <c r="X72" s="6"/>
      <c r="Y72" s="6"/>
      <c r="Z72" s="71"/>
      <c r="AA72" s="71"/>
      <c r="AB72" s="71"/>
      <c r="AC72" s="361"/>
    </row>
    <row r="73" spans="1:29" ht="25.5" x14ac:dyDescent="0.2">
      <c r="A73" s="6">
        <v>70</v>
      </c>
      <c r="B73" s="18">
        <v>44998</v>
      </c>
      <c r="C73" s="14">
        <v>0.41875000000000001</v>
      </c>
      <c r="D73" s="6" t="s">
        <v>324</v>
      </c>
      <c r="E73" s="40" t="s">
        <v>356</v>
      </c>
      <c r="F73" s="6">
        <v>4</v>
      </c>
      <c r="G73" s="6" t="s">
        <v>283</v>
      </c>
      <c r="H73" s="18">
        <v>45012</v>
      </c>
      <c r="I73" s="6" t="s">
        <v>73</v>
      </c>
      <c r="J73" s="18" t="s">
        <v>78</v>
      </c>
      <c r="K73" s="6">
        <f>IFERROR(VLOOKUP(J73,Jueces!$A$1:$B$11,2,FALSE),"")</f>
        <v>8</v>
      </c>
      <c r="L73" s="6" t="s">
        <v>330</v>
      </c>
      <c r="M73" s="6" t="s">
        <v>307</v>
      </c>
      <c r="N73" s="6" t="s">
        <v>529</v>
      </c>
      <c r="O73" s="49" t="str">
        <f t="shared" ca="1" si="4"/>
        <v>SI</v>
      </c>
      <c r="P73" s="49" t="str">
        <f t="shared" si="5"/>
        <v>DIANOSOL</v>
      </c>
      <c r="Q73" s="6" t="s">
        <v>912</v>
      </c>
      <c r="R73" s="6" t="str">
        <f>VLOOKUP($Q73,Resultados!$A$1:$B$49,2,FALSE)</f>
        <v>Suspendida</v>
      </c>
      <c r="S73" s="6"/>
      <c r="T73" s="71" t="str">
        <f t="shared" si="6"/>
        <v>NO</v>
      </c>
      <c r="U73" s="71">
        <f t="shared" si="7"/>
        <v>3</v>
      </c>
      <c r="V73" s="6"/>
      <c r="W73" s="6"/>
      <c r="X73" s="6"/>
      <c r="Y73" s="6"/>
      <c r="Z73" s="71"/>
      <c r="AA73" s="71"/>
      <c r="AB73" s="71"/>
      <c r="AC73" s="361"/>
    </row>
    <row r="74" spans="1:29" ht="51" x14ac:dyDescent="0.2">
      <c r="A74" s="6">
        <v>71</v>
      </c>
      <c r="B74" s="18">
        <v>44994</v>
      </c>
      <c r="C74" s="14">
        <v>0.3666666666666667</v>
      </c>
      <c r="D74" s="6" t="s">
        <v>268</v>
      </c>
      <c r="E74" s="40" t="s">
        <v>269</v>
      </c>
      <c r="F74" s="6">
        <v>4</v>
      </c>
      <c r="G74" s="6" t="s">
        <v>1441</v>
      </c>
      <c r="H74" s="18">
        <v>45012</v>
      </c>
      <c r="I74" s="6" t="s">
        <v>76</v>
      </c>
      <c r="J74" s="18" t="s">
        <v>35</v>
      </c>
      <c r="K74" s="6">
        <f>IFERROR(VLOOKUP(J74,Jueces!$A$1:$B$11,2,FALSE),"")</f>
        <v>3</v>
      </c>
      <c r="L74" s="6" t="s">
        <v>290</v>
      </c>
      <c r="M74" s="6" t="s">
        <v>287</v>
      </c>
      <c r="N74" s="6" t="s">
        <v>519</v>
      </c>
      <c r="O74" s="49" t="str">
        <f t="shared" ca="1" si="4"/>
        <v>SI</v>
      </c>
      <c r="P74" s="49" t="str">
        <f t="shared" si="5"/>
        <v>DIANOSOL</v>
      </c>
      <c r="Q74" s="6" t="s">
        <v>904</v>
      </c>
      <c r="R74" s="6" t="str">
        <f>VLOOKUP($Q74,Resultados!$A$1:$B$49,2,FALSE)</f>
        <v>Juicio Abreviado</v>
      </c>
      <c r="S74" s="6"/>
      <c r="T74" s="71" t="str">
        <f t="shared" si="6"/>
        <v>NO</v>
      </c>
      <c r="U74" s="71">
        <f t="shared" si="7"/>
        <v>3</v>
      </c>
      <c r="V74" s="6"/>
      <c r="W74" s="6"/>
      <c r="X74" s="6"/>
      <c r="Y74" s="6"/>
      <c r="Z74" s="71"/>
      <c r="AA74" s="71"/>
      <c r="AB74" s="71"/>
      <c r="AC74" s="361"/>
    </row>
    <row r="75" spans="1:29" ht="63.75" x14ac:dyDescent="0.2">
      <c r="A75" s="6">
        <v>72</v>
      </c>
      <c r="B75" s="18">
        <v>44999</v>
      </c>
      <c r="C75" s="14">
        <v>0.44861111111111113</v>
      </c>
      <c r="D75" s="6" t="s">
        <v>357</v>
      </c>
      <c r="E75" s="40" t="s">
        <v>358</v>
      </c>
      <c r="F75" s="6">
        <v>4</v>
      </c>
      <c r="G75" s="6" t="s">
        <v>32</v>
      </c>
      <c r="H75" s="18">
        <v>45012</v>
      </c>
      <c r="I75" s="6" t="s">
        <v>77</v>
      </c>
      <c r="J75" s="18" t="s">
        <v>33</v>
      </c>
      <c r="K75" s="6">
        <f>IFERROR(VLOOKUP(J75,Jueces!$A$1:$B$11,2,FALSE),"")</f>
        <v>4</v>
      </c>
      <c r="L75" s="6" t="s">
        <v>369</v>
      </c>
      <c r="M75" s="6" t="s">
        <v>377</v>
      </c>
      <c r="N75" s="6" t="s">
        <v>520</v>
      </c>
      <c r="O75" s="49" t="str">
        <f t="shared" ca="1" si="4"/>
        <v>SI</v>
      </c>
      <c r="P75" s="49" t="str">
        <f t="shared" si="5"/>
        <v>DIANOSOL</v>
      </c>
      <c r="Q75" s="6" t="s">
        <v>905</v>
      </c>
      <c r="R75" s="6" t="str">
        <f>VLOOKUP($Q75,Resultados!$A$1:$B$49,2,FALSE)</f>
        <v>Juicio Abreviado</v>
      </c>
      <c r="S75" s="6"/>
      <c r="T75" s="71" t="str">
        <f t="shared" si="6"/>
        <v>NO</v>
      </c>
      <c r="U75" s="71">
        <f t="shared" si="7"/>
        <v>3</v>
      </c>
      <c r="V75" s="6"/>
      <c r="W75" s="6"/>
      <c r="X75" s="6"/>
      <c r="Y75" s="6"/>
      <c r="Z75" s="71"/>
      <c r="AA75" s="71"/>
      <c r="AB75" s="71"/>
      <c r="AC75" s="361"/>
    </row>
    <row r="76" spans="1:29" ht="38.25" x14ac:dyDescent="0.2">
      <c r="A76" s="6">
        <v>73</v>
      </c>
      <c r="B76" s="18">
        <v>44994</v>
      </c>
      <c r="C76" s="14">
        <v>0.45416666666666666</v>
      </c>
      <c r="D76" s="6" t="s">
        <v>114</v>
      </c>
      <c r="E76" s="40" t="s">
        <v>115</v>
      </c>
      <c r="F76" s="6">
        <v>3</v>
      </c>
      <c r="G76" s="6" t="s">
        <v>29</v>
      </c>
      <c r="H76" s="18">
        <v>45012</v>
      </c>
      <c r="I76" s="6" t="s">
        <v>228</v>
      </c>
      <c r="J76" s="18" t="s">
        <v>31</v>
      </c>
      <c r="K76" s="6">
        <f>IFERROR(VLOOKUP(J76,Jueces!$A$1:$B$11,2,FALSE),"")</f>
        <v>2</v>
      </c>
      <c r="L76" s="6" t="s">
        <v>313</v>
      </c>
      <c r="M76" s="6" t="s">
        <v>377</v>
      </c>
      <c r="N76" s="6" t="s">
        <v>532</v>
      </c>
      <c r="O76" s="49" t="str">
        <f t="shared" ca="1" si="4"/>
        <v>SI</v>
      </c>
      <c r="P76" s="49" t="str">
        <f t="shared" si="5"/>
        <v>DIANOSOL</v>
      </c>
      <c r="Q76" s="6" t="s">
        <v>904</v>
      </c>
      <c r="R76" s="6" t="str">
        <f>VLOOKUP($Q76,Resultados!$A$1:$B$49,2,FALSE)</f>
        <v>Juicio Abreviado</v>
      </c>
      <c r="S76" s="6"/>
      <c r="T76" s="71" t="str">
        <f t="shared" si="6"/>
        <v>NO</v>
      </c>
      <c r="U76" s="71">
        <f t="shared" si="7"/>
        <v>3</v>
      </c>
      <c r="V76" s="6"/>
      <c r="W76" s="6"/>
      <c r="X76" s="6"/>
      <c r="Y76" s="6"/>
      <c r="Z76" s="71"/>
      <c r="AA76" s="71"/>
      <c r="AB76" s="71"/>
      <c r="AC76" s="361"/>
    </row>
    <row r="77" spans="1:29" ht="76.5" x14ac:dyDescent="0.2">
      <c r="A77" s="6">
        <v>74</v>
      </c>
      <c r="B77" s="18">
        <v>44993</v>
      </c>
      <c r="C77" s="14">
        <v>0.46111111111111108</v>
      </c>
      <c r="D77" s="6" t="s">
        <v>229</v>
      </c>
      <c r="E77" s="40" t="s">
        <v>230</v>
      </c>
      <c r="F77" s="6">
        <v>3</v>
      </c>
      <c r="G77" s="6" t="s">
        <v>32</v>
      </c>
      <c r="H77" s="18">
        <v>45013</v>
      </c>
      <c r="I77" s="6" t="s">
        <v>73</v>
      </c>
      <c r="J77" s="18" t="s">
        <v>35</v>
      </c>
      <c r="K77" s="6">
        <f>IFERROR(VLOOKUP(J77,Jueces!$A$1:$B$11,2,FALSE),"")</f>
        <v>3</v>
      </c>
      <c r="L77" s="6" t="s">
        <v>264</v>
      </c>
      <c r="M77" s="6" t="s">
        <v>265</v>
      </c>
      <c r="N77" s="6" t="s">
        <v>535</v>
      </c>
      <c r="O77" s="49" t="str">
        <f t="shared" ca="1" si="4"/>
        <v>SI</v>
      </c>
      <c r="P77" s="49" t="str">
        <f t="shared" si="5"/>
        <v>DIANOSOL</v>
      </c>
      <c r="Q77" s="6" t="s">
        <v>911</v>
      </c>
      <c r="R77" s="6" t="str">
        <f>VLOOKUP($Q77,Resultados!$A$1:$B$49,2,FALSE)</f>
        <v>Suspendida</v>
      </c>
      <c r="S77" s="6"/>
      <c r="T77" s="71" t="str">
        <f t="shared" si="6"/>
        <v>NO</v>
      </c>
      <c r="U77" s="71">
        <f t="shared" si="7"/>
        <v>3</v>
      </c>
      <c r="V77" s="6"/>
      <c r="W77" s="6"/>
      <c r="X77" s="6"/>
      <c r="Y77" s="6"/>
      <c r="Z77" s="71"/>
      <c r="AA77" s="71"/>
      <c r="AB77" s="71"/>
      <c r="AC77" s="361"/>
    </row>
    <row r="78" spans="1:29" ht="38.25" x14ac:dyDescent="0.2">
      <c r="A78" s="6">
        <v>75</v>
      </c>
      <c r="B78" s="18">
        <v>44995</v>
      </c>
      <c r="C78" s="14">
        <v>0.42986111111111108</v>
      </c>
      <c r="D78" s="6" t="s">
        <v>311</v>
      </c>
      <c r="E78" s="40" t="s">
        <v>312</v>
      </c>
      <c r="F78" s="6">
        <v>3</v>
      </c>
      <c r="G78" s="6" t="s">
        <v>43</v>
      </c>
      <c r="H78" s="18">
        <v>45013</v>
      </c>
      <c r="I78" s="6" t="s">
        <v>73</v>
      </c>
      <c r="J78" s="18" t="s">
        <v>31</v>
      </c>
      <c r="K78" s="6">
        <f>IFERROR(VLOOKUP(J78,Jueces!$A$1:$B$11,2,FALSE),"")</f>
        <v>2</v>
      </c>
      <c r="L78" s="6" t="s">
        <v>313</v>
      </c>
      <c r="M78" s="6" t="s">
        <v>314</v>
      </c>
      <c r="N78" s="6" t="s">
        <v>533</v>
      </c>
      <c r="O78" s="49" t="str">
        <f t="shared" ca="1" si="4"/>
        <v>SI</v>
      </c>
      <c r="P78" s="49" t="str">
        <f t="shared" si="5"/>
        <v>DIANOSOL</v>
      </c>
      <c r="Q78" s="6" t="s">
        <v>905</v>
      </c>
      <c r="R78" s="6" t="str">
        <f>VLOOKUP($Q78,Resultados!$A$1:$B$49,2,FALSE)</f>
        <v>Juicio Abreviado</v>
      </c>
      <c r="S78" s="6"/>
      <c r="T78" s="71" t="str">
        <f t="shared" si="6"/>
        <v>NO</v>
      </c>
      <c r="U78" s="71">
        <f t="shared" si="7"/>
        <v>3</v>
      </c>
      <c r="V78" s="6"/>
      <c r="W78" s="6"/>
      <c r="X78" s="6"/>
      <c r="Y78" s="6"/>
      <c r="Z78" s="71"/>
      <c r="AA78" s="71"/>
      <c r="AB78" s="71"/>
      <c r="AC78" s="361"/>
    </row>
    <row r="79" spans="1:29" ht="25.5" x14ac:dyDescent="0.2">
      <c r="A79" s="6">
        <v>76</v>
      </c>
      <c r="B79" s="18">
        <v>44994</v>
      </c>
      <c r="C79" s="14">
        <v>0.44097222222222227</v>
      </c>
      <c r="D79" s="6" t="s">
        <v>293</v>
      </c>
      <c r="E79" s="40" t="s">
        <v>279</v>
      </c>
      <c r="F79" s="6">
        <v>3</v>
      </c>
      <c r="G79" s="6" t="s">
        <v>29</v>
      </c>
      <c r="H79" s="18">
        <v>45013</v>
      </c>
      <c r="I79" s="6" t="s">
        <v>76</v>
      </c>
      <c r="J79" s="18" t="s">
        <v>35</v>
      </c>
      <c r="K79" s="6">
        <f>IFERROR(VLOOKUP(J79,Jueces!$A$1:$B$11,2,FALSE),"")</f>
        <v>3</v>
      </c>
      <c r="L79" s="6" t="s">
        <v>301</v>
      </c>
      <c r="M79" s="6" t="s">
        <v>302</v>
      </c>
      <c r="N79" s="6" t="s">
        <v>536</v>
      </c>
      <c r="O79" s="49" t="str">
        <f t="shared" ca="1" si="4"/>
        <v>SI</v>
      </c>
      <c r="P79" s="49" t="str">
        <f t="shared" si="5"/>
        <v>DIANOSOL</v>
      </c>
      <c r="Q79" s="6" t="s">
        <v>151</v>
      </c>
      <c r="R79" s="6" t="str">
        <f>VLOOKUP($Q79,Resultados!$A$1:$B$49,2,FALSE)</f>
        <v>Prisión Preventiva</v>
      </c>
      <c r="S79" s="6"/>
      <c r="T79" s="71" t="str">
        <f t="shared" si="6"/>
        <v>NO</v>
      </c>
      <c r="U79" s="71">
        <f t="shared" si="7"/>
        <v>3</v>
      </c>
      <c r="V79" s="6"/>
      <c r="W79" s="6"/>
      <c r="X79" s="6"/>
      <c r="Y79" s="6"/>
      <c r="Z79" s="71"/>
      <c r="AA79" s="71"/>
      <c r="AB79" s="71"/>
      <c r="AC79" s="361"/>
    </row>
    <row r="80" spans="1:29" ht="89.25" x14ac:dyDescent="0.2">
      <c r="A80" s="6">
        <v>77</v>
      </c>
      <c r="B80" s="18">
        <v>44993</v>
      </c>
      <c r="C80" s="14">
        <v>0.52569444444444446</v>
      </c>
      <c r="D80" s="6" t="s">
        <v>238</v>
      </c>
      <c r="E80" s="40" t="s">
        <v>239</v>
      </c>
      <c r="F80" s="6">
        <v>3</v>
      </c>
      <c r="G80" s="6" t="s">
        <v>34</v>
      </c>
      <c r="H80" s="18">
        <v>45013</v>
      </c>
      <c r="I80" s="6" t="s">
        <v>228</v>
      </c>
      <c r="J80" s="18" t="s">
        <v>78</v>
      </c>
      <c r="K80" s="6">
        <f>IFERROR(VLOOKUP(J80,Jueces!$A$1:$B$11,2,FALSE),"")</f>
        <v>8</v>
      </c>
      <c r="L80" s="6" t="s">
        <v>277</v>
      </c>
      <c r="M80" s="6" t="s">
        <v>278</v>
      </c>
      <c r="N80" s="6" t="s">
        <v>734</v>
      </c>
      <c r="O80" s="49" t="str">
        <f t="shared" ca="1" si="4"/>
        <v>SI</v>
      </c>
      <c r="P80" s="49" t="str">
        <f t="shared" si="5"/>
        <v>DIANOSOL</v>
      </c>
      <c r="Q80" s="6" t="s">
        <v>904</v>
      </c>
      <c r="R80" s="6" t="str">
        <f>VLOOKUP($Q80,Resultados!$A$1:$B$49,2,FALSE)</f>
        <v>Juicio Abreviado</v>
      </c>
      <c r="S80" s="6"/>
      <c r="T80" s="71" t="str">
        <f t="shared" si="6"/>
        <v>NO</v>
      </c>
      <c r="U80" s="71">
        <f t="shared" si="7"/>
        <v>3</v>
      </c>
      <c r="V80" s="6"/>
      <c r="W80" s="6"/>
      <c r="X80" s="6"/>
      <c r="Y80" s="6"/>
      <c r="Z80" s="71"/>
      <c r="AA80" s="71"/>
      <c r="AB80" s="71"/>
      <c r="AC80" s="361"/>
    </row>
    <row r="81" spans="1:29" ht="38.25" x14ac:dyDescent="0.2">
      <c r="A81" s="6">
        <v>78</v>
      </c>
      <c r="B81" s="18">
        <v>44995</v>
      </c>
      <c r="C81" s="14">
        <v>0.33333333333333331</v>
      </c>
      <c r="D81" s="6" t="s">
        <v>295</v>
      </c>
      <c r="E81" s="40" t="s">
        <v>297</v>
      </c>
      <c r="F81" s="6">
        <v>4</v>
      </c>
      <c r="G81" s="6" t="s">
        <v>32</v>
      </c>
      <c r="H81" s="18">
        <v>45014</v>
      </c>
      <c r="I81" s="6" t="s">
        <v>73</v>
      </c>
      <c r="J81" s="18" t="s">
        <v>33</v>
      </c>
      <c r="K81" s="6">
        <f>IFERROR(VLOOKUP(J81,Jueces!$A$1:$B$11,2,FALSE),"")</f>
        <v>4</v>
      </c>
      <c r="L81" s="6" t="s">
        <v>142</v>
      </c>
      <c r="M81" s="6" t="s">
        <v>287</v>
      </c>
      <c r="N81" s="6" t="s">
        <v>735</v>
      </c>
      <c r="O81" s="49" t="str">
        <f t="shared" ca="1" si="4"/>
        <v>SI</v>
      </c>
      <c r="P81" s="49" t="str">
        <f t="shared" si="5"/>
        <v>DIANOSOL</v>
      </c>
      <c r="Q81" s="6" t="s">
        <v>904</v>
      </c>
      <c r="R81" s="6" t="str">
        <f>VLOOKUP($Q81,Resultados!$A$1:$B$49,2,FALSE)</f>
        <v>Juicio Abreviado</v>
      </c>
      <c r="S81" s="6"/>
      <c r="T81" s="71" t="str">
        <f t="shared" si="6"/>
        <v>NO</v>
      </c>
      <c r="U81" s="71">
        <f t="shared" si="7"/>
        <v>3</v>
      </c>
      <c r="V81" s="6"/>
      <c r="W81" s="6"/>
      <c r="X81" s="6"/>
      <c r="Y81" s="6"/>
      <c r="Z81" s="71"/>
      <c r="AA81" s="71"/>
      <c r="AB81" s="71"/>
      <c r="AC81" s="361"/>
    </row>
    <row r="82" spans="1:29" ht="89.25" x14ac:dyDescent="0.2">
      <c r="A82" s="6">
        <v>79</v>
      </c>
      <c r="B82" s="18">
        <v>44995</v>
      </c>
      <c r="C82" s="6"/>
      <c r="D82" s="6" t="s">
        <v>294</v>
      </c>
      <c r="E82" s="40" t="s">
        <v>296</v>
      </c>
      <c r="F82" s="6">
        <v>4</v>
      </c>
      <c r="G82" s="6" t="s">
        <v>43</v>
      </c>
      <c r="H82" s="18">
        <v>45014</v>
      </c>
      <c r="I82" s="6" t="s">
        <v>76</v>
      </c>
      <c r="J82" s="18" t="s">
        <v>31</v>
      </c>
      <c r="K82" s="6">
        <f>IFERROR(VLOOKUP(J82,Jueces!$A$1:$B$11,2,FALSE),"")</f>
        <v>2</v>
      </c>
      <c r="L82" s="6" t="s">
        <v>303</v>
      </c>
      <c r="M82" s="6" t="s">
        <v>287</v>
      </c>
      <c r="N82" s="6" t="s">
        <v>571</v>
      </c>
      <c r="O82" s="49" t="str">
        <f t="shared" ca="1" si="4"/>
        <v>SI</v>
      </c>
      <c r="P82" s="49" t="str">
        <f t="shared" si="5"/>
        <v>DIANOSOL</v>
      </c>
      <c r="Q82" s="6" t="s">
        <v>904</v>
      </c>
      <c r="R82" s="6" t="str">
        <f>VLOOKUP($Q82,Resultados!$A$1:$B$49,2,FALSE)</f>
        <v>Juicio Abreviado</v>
      </c>
      <c r="S82" s="6"/>
      <c r="T82" s="71" t="str">
        <f t="shared" si="6"/>
        <v>NO</v>
      </c>
      <c r="U82" s="71">
        <f t="shared" si="7"/>
        <v>3</v>
      </c>
      <c r="V82" s="6"/>
      <c r="W82" s="6"/>
      <c r="X82" s="6"/>
      <c r="Y82" s="6"/>
      <c r="Z82" s="71"/>
      <c r="AA82" s="71"/>
      <c r="AB82" s="71"/>
      <c r="AC82" s="361"/>
    </row>
    <row r="83" spans="1:29" ht="51" x14ac:dyDescent="0.2">
      <c r="A83" s="6">
        <v>80</v>
      </c>
      <c r="B83" s="18">
        <v>44999</v>
      </c>
      <c r="C83" s="14">
        <v>0.33333333333333331</v>
      </c>
      <c r="D83" s="6" t="s">
        <v>342</v>
      </c>
      <c r="E83" s="40" t="s">
        <v>348</v>
      </c>
      <c r="F83" s="6">
        <v>4</v>
      </c>
      <c r="G83" s="6" t="s">
        <v>29</v>
      </c>
      <c r="H83" s="18">
        <v>45014</v>
      </c>
      <c r="I83" s="6" t="s">
        <v>75</v>
      </c>
      <c r="J83" s="18" t="s">
        <v>33</v>
      </c>
      <c r="K83" s="6">
        <f>IFERROR(VLOOKUP(J83,Jueces!$A$1:$B$11,2,FALSE),"")</f>
        <v>4</v>
      </c>
      <c r="L83" s="6" t="s">
        <v>365</v>
      </c>
      <c r="M83" s="6" t="s">
        <v>584</v>
      </c>
      <c r="N83" s="6" t="s">
        <v>598</v>
      </c>
      <c r="O83" s="49" t="str">
        <f t="shared" ca="1" si="4"/>
        <v>SI</v>
      </c>
      <c r="P83" s="49" t="str">
        <f t="shared" si="5"/>
        <v>DIANOSOL</v>
      </c>
      <c r="Q83" s="6" t="s">
        <v>905</v>
      </c>
      <c r="R83" s="6" t="str">
        <f>VLOOKUP($Q83,Resultados!$A$1:$B$49,2,FALSE)</f>
        <v>Juicio Abreviado</v>
      </c>
      <c r="S83" s="6"/>
      <c r="T83" s="71" t="str">
        <f t="shared" si="6"/>
        <v>NO</v>
      </c>
      <c r="U83" s="71">
        <f t="shared" si="7"/>
        <v>3</v>
      </c>
      <c r="V83" s="6"/>
      <c r="W83" s="6"/>
      <c r="X83" s="6"/>
      <c r="Y83" s="6"/>
      <c r="Z83" s="71"/>
      <c r="AA83" s="71"/>
      <c r="AB83" s="71"/>
      <c r="AC83" s="361"/>
    </row>
    <row r="84" spans="1:29" ht="38.25" x14ac:dyDescent="0.2">
      <c r="A84" s="6">
        <v>81</v>
      </c>
      <c r="B84" s="18">
        <v>45008</v>
      </c>
      <c r="C84" s="14">
        <v>0.33333333333333331</v>
      </c>
      <c r="D84" s="6" t="s">
        <v>502</v>
      </c>
      <c r="E84" s="40" t="s">
        <v>507</v>
      </c>
      <c r="F84" s="6">
        <v>4</v>
      </c>
      <c r="G84" s="6" t="s">
        <v>283</v>
      </c>
      <c r="H84" s="18">
        <v>45014</v>
      </c>
      <c r="I84" s="6" t="s">
        <v>547</v>
      </c>
      <c r="J84" s="18" t="s">
        <v>33</v>
      </c>
      <c r="K84" s="6">
        <f>IFERROR(VLOOKUP(J84,Jueces!$A$1:$B$11,2,FALSE),"")</f>
        <v>4</v>
      </c>
      <c r="L84" s="6" t="s">
        <v>380</v>
      </c>
      <c r="M84" s="6" t="s">
        <v>363</v>
      </c>
      <c r="N84" s="6" t="s">
        <v>554</v>
      </c>
      <c r="O84" s="49" t="str">
        <f t="shared" ca="1" si="4"/>
        <v>SI</v>
      </c>
      <c r="P84" s="49" t="str">
        <f t="shared" si="5"/>
        <v>DIANOSOL</v>
      </c>
      <c r="Q84" s="6" t="s">
        <v>899</v>
      </c>
      <c r="R84" s="6" t="str">
        <f>VLOOKUP($Q84,Resultados!$A$1:$B$49,2,FALSE)</f>
        <v>Libertad</v>
      </c>
      <c r="S84" s="6"/>
      <c r="T84" s="71" t="str">
        <f t="shared" si="6"/>
        <v>NO</v>
      </c>
      <c r="U84" s="71">
        <f t="shared" si="7"/>
        <v>3</v>
      </c>
      <c r="V84" s="6"/>
      <c r="W84" s="6"/>
      <c r="X84" s="6"/>
      <c r="Y84" s="6"/>
      <c r="Z84" s="71"/>
      <c r="AA84" s="71"/>
      <c r="AB84" s="71"/>
      <c r="AC84" s="361"/>
    </row>
    <row r="85" spans="1:29" ht="38.25" x14ac:dyDescent="0.2">
      <c r="A85" s="6">
        <v>82</v>
      </c>
      <c r="B85" s="18">
        <v>45006</v>
      </c>
      <c r="C85" s="14">
        <v>0.375</v>
      </c>
      <c r="D85" s="6" t="s">
        <v>487</v>
      </c>
      <c r="E85" s="40" t="s">
        <v>486</v>
      </c>
      <c r="F85" s="6">
        <v>4</v>
      </c>
      <c r="G85" s="6" t="s">
        <v>1441</v>
      </c>
      <c r="H85" s="18">
        <v>45014</v>
      </c>
      <c r="I85" s="6" t="s">
        <v>228</v>
      </c>
      <c r="J85" s="18" t="s">
        <v>31</v>
      </c>
      <c r="K85" s="6">
        <f>IFERROR(VLOOKUP(J85,Jueces!$A$1:$B$11,2,FALSE),"")</f>
        <v>2</v>
      </c>
      <c r="L85" s="6" t="s">
        <v>512</v>
      </c>
      <c r="M85" s="6" t="s">
        <v>570</v>
      </c>
      <c r="N85" s="6" t="s">
        <v>572</v>
      </c>
      <c r="O85" s="49" t="str">
        <f t="shared" ca="1" si="4"/>
        <v>SI</v>
      </c>
      <c r="P85" s="49" t="str">
        <f t="shared" si="5"/>
        <v>DIANOSOL</v>
      </c>
      <c r="Q85" s="6" t="s">
        <v>151</v>
      </c>
      <c r="R85" s="6" t="str">
        <f>VLOOKUP($Q85,Resultados!$A$1:$B$49,2,FALSE)</f>
        <v>Prisión Preventiva</v>
      </c>
      <c r="S85" s="6"/>
      <c r="T85" s="71" t="str">
        <f t="shared" si="6"/>
        <v>NO</v>
      </c>
      <c r="U85" s="71">
        <f t="shared" si="7"/>
        <v>3</v>
      </c>
      <c r="V85" s="6"/>
      <c r="W85" s="6"/>
      <c r="X85" s="6"/>
      <c r="Y85" s="6"/>
      <c r="Z85" s="71"/>
      <c r="AA85" s="71"/>
      <c r="AB85" s="71"/>
      <c r="AC85" s="361"/>
    </row>
    <row r="86" spans="1:29" ht="25.5" x14ac:dyDescent="0.2">
      <c r="A86" s="6">
        <v>83</v>
      </c>
      <c r="B86" s="18">
        <v>44995</v>
      </c>
      <c r="C86" s="14">
        <v>0.47430555555555554</v>
      </c>
      <c r="D86" s="6" t="s">
        <v>305</v>
      </c>
      <c r="E86" s="40" t="s">
        <v>306</v>
      </c>
      <c r="F86" s="6">
        <v>4</v>
      </c>
      <c r="G86" s="6" t="s">
        <v>34</v>
      </c>
      <c r="H86" s="18">
        <v>45014</v>
      </c>
      <c r="I86" s="6" t="s">
        <v>74</v>
      </c>
      <c r="J86" s="18" t="s">
        <v>33</v>
      </c>
      <c r="K86" s="6">
        <f>IFERROR(VLOOKUP(J86,Jueces!$A$1:$B$11,2,FALSE),"")</f>
        <v>4</v>
      </c>
      <c r="L86" s="6" t="s">
        <v>134</v>
      </c>
      <c r="M86" s="6" t="s">
        <v>287</v>
      </c>
      <c r="N86" s="6" t="s">
        <v>585</v>
      </c>
      <c r="O86" s="49" t="str">
        <f t="shared" ca="1" si="4"/>
        <v>SI</v>
      </c>
      <c r="P86" s="49" t="str">
        <f t="shared" si="5"/>
        <v>DIANOSOL</v>
      </c>
      <c r="Q86" s="6" t="s">
        <v>904</v>
      </c>
      <c r="R86" s="6" t="str">
        <f>VLOOKUP($Q86,Resultados!$A$1:$B$49,2,FALSE)</f>
        <v>Juicio Abreviado</v>
      </c>
      <c r="S86" s="6"/>
      <c r="T86" s="71" t="str">
        <f t="shared" si="6"/>
        <v>NO</v>
      </c>
      <c r="U86" s="71">
        <f t="shared" si="7"/>
        <v>3</v>
      </c>
      <c r="V86" s="6"/>
      <c r="W86" s="6"/>
      <c r="X86" s="6"/>
      <c r="Y86" s="6"/>
      <c r="Z86" s="71"/>
      <c r="AA86" s="71"/>
      <c r="AB86" s="71"/>
      <c r="AC86" s="361"/>
    </row>
    <row r="87" spans="1:29" ht="38.25" x14ac:dyDescent="0.2">
      <c r="A87" s="6">
        <v>84</v>
      </c>
      <c r="B87" s="18">
        <v>44998</v>
      </c>
      <c r="C87" s="14">
        <v>0.4375</v>
      </c>
      <c r="D87" s="6" t="s">
        <v>318</v>
      </c>
      <c r="E87" s="40" t="s">
        <v>319</v>
      </c>
      <c r="F87" s="6">
        <v>4</v>
      </c>
      <c r="G87" s="6" t="s">
        <v>1441</v>
      </c>
      <c r="H87" s="18">
        <v>45015</v>
      </c>
      <c r="I87" s="6" t="s">
        <v>73</v>
      </c>
      <c r="J87" s="18" t="s">
        <v>31</v>
      </c>
      <c r="K87" s="6">
        <f>IFERROR(VLOOKUP(J87,Jueces!$A$1:$B$11,2,FALSE),"")</f>
        <v>2</v>
      </c>
      <c r="L87" s="6" t="s">
        <v>303</v>
      </c>
      <c r="M87" s="6" t="s">
        <v>287</v>
      </c>
      <c r="N87" s="6" t="s">
        <v>577</v>
      </c>
      <c r="O87" s="49" t="str">
        <f t="shared" ca="1" si="4"/>
        <v>SI</v>
      </c>
      <c r="P87" s="49" t="str">
        <f t="shared" si="5"/>
        <v>DIANOSOL</v>
      </c>
      <c r="Q87" s="6" t="s">
        <v>151</v>
      </c>
      <c r="R87" s="6" t="str">
        <f>VLOOKUP($Q87,Resultados!$A$1:$B$49,2,FALSE)</f>
        <v>Prisión Preventiva</v>
      </c>
      <c r="S87" s="6"/>
      <c r="T87" s="71" t="str">
        <f t="shared" si="6"/>
        <v>NO</v>
      </c>
      <c r="U87" s="71">
        <f t="shared" si="7"/>
        <v>3</v>
      </c>
      <c r="V87" s="6"/>
      <c r="W87" s="6"/>
      <c r="X87" s="6"/>
      <c r="Y87" s="6"/>
      <c r="Z87" s="71"/>
      <c r="AA87" s="71"/>
      <c r="AB87" s="71"/>
      <c r="AC87" s="361"/>
    </row>
    <row r="88" spans="1:29" ht="95.25" customHeight="1" x14ac:dyDescent="0.2">
      <c r="A88" s="6">
        <v>85</v>
      </c>
      <c r="B88" s="18">
        <v>44994</v>
      </c>
      <c r="C88" s="14">
        <v>0.43888888888888888</v>
      </c>
      <c r="D88" s="6" t="s">
        <v>274</v>
      </c>
      <c r="E88" s="40" t="s">
        <v>275</v>
      </c>
      <c r="F88" s="6">
        <v>4</v>
      </c>
      <c r="G88" s="6" t="s">
        <v>34</v>
      </c>
      <c r="H88" s="18">
        <v>45015</v>
      </c>
      <c r="I88" s="6" t="s">
        <v>73</v>
      </c>
      <c r="J88" s="18" t="s">
        <v>78</v>
      </c>
      <c r="K88" s="6">
        <f>IFERROR(VLOOKUP(J88,Jueces!$A$1:$B$11,2,FALSE),"")</f>
        <v>8</v>
      </c>
      <c r="L88" s="6" t="s">
        <v>304</v>
      </c>
      <c r="M88" s="6" t="s">
        <v>285</v>
      </c>
      <c r="N88" s="6" t="s">
        <v>576</v>
      </c>
      <c r="O88" s="49" t="str">
        <f t="shared" ca="1" si="4"/>
        <v>SI</v>
      </c>
      <c r="P88" s="49" t="str">
        <f t="shared" si="5"/>
        <v>DIANOSOL</v>
      </c>
      <c r="Q88" s="6" t="s">
        <v>151</v>
      </c>
      <c r="R88" s="6" t="str">
        <f>VLOOKUP($Q88,Resultados!$A$1:$B$49,2,FALSE)</f>
        <v>Prisión Preventiva</v>
      </c>
      <c r="S88" s="6"/>
      <c r="T88" s="71" t="str">
        <f t="shared" si="6"/>
        <v>NO</v>
      </c>
      <c r="U88" s="71">
        <f t="shared" si="7"/>
        <v>3</v>
      </c>
      <c r="V88" s="6"/>
      <c r="W88" s="6"/>
      <c r="X88" s="6"/>
      <c r="Y88" s="6"/>
      <c r="Z88" s="71"/>
      <c r="AA88" s="71"/>
      <c r="AB88" s="71"/>
      <c r="AC88" s="361"/>
    </row>
    <row r="89" spans="1:29" ht="76.5" x14ac:dyDescent="0.2">
      <c r="A89" s="6">
        <v>86</v>
      </c>
      <c r="B89" s="18">
        <v>44995</v>
      </c>
      <c r="C89" s="14">
        <v>0.48680555555555555</v>
      </c>
      <c r="D89" s="6" t="s">
        <v>308</v>
      </c>
      <c r="E89" s="40" t="s">
        <v>683</v>
      </c>
      <c r="F89" s="6">
        <v>3</v>
      </c>
      <c r="G89" s="6" t="s">
        <v>32</v>
      </c>
      <c r="H89" s="18">
        <v>45016</v>
      </c>
      <c r="I89" s="6" t="s">
        <v>73</v>
      </c>
      <c r="J89" s="18" t="s">
        <v>35</v>
      </c>
      <c r="K89" s="6">
        <f>IFERROR(VLOOKUP(J89,Jueces!$A$1:$B$11,2,FALSE),"")</f>
        <v>3</v>
      </c>
      <c r="L89" s="6" t="s">
        <v>315</v>
      </c>
      <c r="M89" s="6" t="s">
        <v>307</v>
      </c>
      <c r="N89" s="6" t="s">
        <v>589</v>
      </c>
      <c r="O89" s="49" t="str">
        <f t="shared" ca="1" si="4"/>
        <v>SI</v>
      </c>
      <c r="P89" s="49" t="str">
        <f t="shared" si="5"/>
        <v>DIANOSOL</v>
      </c>
      <c r="Q89" s="6" t="s">
        <v>151</v>
      </c>
      <c r="R89" s="6" t="str">
        <f>VLOOKUP($Q89,Resultados!$A$1:$B$49,2,FALSE)</f>
        <v>Prisión Preventiva</v>
      </c>
      <c r="S89" s="6"/>
      <c r="T89" s="71" t="str">
        <f t="shared" si="6"/>
        <v>NO</v>
      </c>
      <c r="U89" s="71">
        <f t="shared" si="7"/>
        <v>3</v>
      </c>
      <c r="V89" s="6"/>
      <c r="W89" s="6"/>
      <c r="X89" s="6"/>
      <c r="Y89" s="6"/>
      <c r="Z89" s="71"/>
      <c r="AA89" s="71"/>
      <c r="AB89" s="71"/>
      <c r="AC89" s="361"/>
    </row>
    <row r="90" spans="1:29" ht="46.5" customHeight="1" x14ac:dyDescent="0.2">
      <c r="A90" s="6">
        <v>87</v>
      </c>
      <c r="B90" s="18">
        <v>45005</v>
      </c>
      <c r="C90" s="14">
        <v>0.53888888888888886</v>
      </c>
      <c r="D90" s="6" t="s">
        <v>467</v>
      </c>
      <c r="E90" s="40" t="s">
        <v>468</v>
      </c>
      <c r="F90" s="6">
        <v>4</v>
      </c>
      <c r="G90" s="6" t="s">
        <v>43</v>
      </c>
      <c r="H90" s="18">
        <v>45016</v>
      </c>
      <c r="I90" s="6" t="s">
        <v>73</v>
      </c>
      <c r="J90" s="18" t="s">
        <v>33</v>
      </c>
      <c r="K90" s="6">
        <f>IFERROR(VLOOKUP(J90,Jueces!$A$1:$B$11,2,FALSE),"")</f>
        <v>4</v>
      </c>
      <c r="L90" s="6" t="s">
        <v>411</v>
      </c>
      <c r="M90" s="6" t="s">
        <v>287</v>
      </c>
      <c r="N90" s="6" t="s">
        <v>599</v>
      </c>
      <c r="O90" s="49" t="str">
        <f t="shared" ca="1" si="4"/>
        <v>SI</v>
      </c>
      <c r="P90" s="49" t="str">
        <f t="shared" si="5"/>
        <v>DIANOSOL</v>
      </c>
      <c r="Q90" s="6" t="s">
        <v>905</v>
      </c>
      <c r="R90" s="6" t="str">
        <f>VLOOKUP($Q90,Resultados!$A$1:$B$49,2,FALSE)</f>
        <v>Juicio Abreviado</v>
      </c>
      <c r="S90" s="6"/>
      <c r="T90" s="71" t="str">
        <f t="shared" si="6"/>
        <v>NO</v>
      </c>
      <c r="U90" s="71">
        <f t="shared" si="7"/>
        <v>3</v>
      </c>
      <c r="V90" s="6"/>
      <c r="W90" s="6"/>
      <c r="X90" s="6"/>
      <c r="Y90" s="6"/>
      <c r="Z90" s="71"/>
      <c r="AA90" s="71"/>
      <c r="AB90" s="71"/>
      <c r="AC90" s="361"/>
    </row>
    <row r="91" spans="1:29" ht="25.5" x14ac:dyDescent="0.2">
      <c r="A91" s="6">
        <v>88</v>
      </c>
      <c r="B91" s="18">
        <v>44998</v>
      </c>
      <c r="C91" s="14">
        <v>0.46319444444444446</v>
      </c>
      <c r="D91" s="6" t="s">
        <v>331</v>
      </c>
      <c r="E91" s="40" t="s">
        <v>332</v>
      </c>
      <c r="F91" s="6">
        <v>4</v>
      </c>
      <c r="G91" s="6" t="s">
        <v>34</v>
      </c>
      <c r="H91" s="18">
        <v>45016</v>
      </c>
      <c r="I91" s="6" t="s">
        <v>76</v>
      </c>
      <c r="J91" s="18" t="s">
        <v>33</v>
      </c>
      <c r="K91" s="6">
        <f>IFERROR(VLOOKUP(J91,Jueces!$A$1:$B$11,2,FALSE),"")</f>
        <v>4</v>
      </c>
      <c r="L91" s="6" t="s">
        <v>303</v>
      </c>
      <c r="M91" s="6" t="s">
        <v>287</v>
      </c>
      <c r="N91" s="6" t="s">
        <v>620</v>
      </c>
      <c r="O91" s="49" t="str">
        <f t="shared" ca="1" si="4"/>
        <v>SI</v>
      </c>
      <c r="P91" s="49" t="str">
        <f t="shared" si="5"/>
        <v>DIANOSOL</v>
      </c>
      <c r="Q91" s="6" t="s">
        <v>909</v>
      </c>
      <c r="R91" s="6" t="str">
        <f>VLOOKUP($Q91,Resultados!$A$1:$B$49,2,FALSE)</f>
        <v>Suspensión de juicio a prueba</v>
      </c>
      <c r="S91" s="6"/>
      <c r="T91" s="71" t="str">
        <f t="shared" si="6"/>
        <v>NO</v>
      </c>
      <c r="U91" s="71">
        <f t="shared" si="7"/>
        <v>3</v>
      </c>
      <c r="V91" s="6"/>
      <c r="W91" s="6"/>
      <c r="X91" s="6"/>
      <c r="Y91" s="6"/>
      <c r="Z91" s="71"/>
      <c r="AA91" s="71"/>
      <c r="AB91" s="71"/>
      <c r="AC91" s="361"/>
    </row>
    <row r="92" spans="1:29" ht="76.5" x14ac:dyDescent="0.2">
      <c r="A92" s="6">
        <v>89</v>
      </c>
      <c r="B92" s="18">
        <v>44994</v>
      </c>
      <c r="C92" s="6" t="s">
        <v>251</v>
      </c>
      <c r="D92" s="6" t="s">
        <v>250</v>
      </c>
      <c r="E92" s="40" t="s">
        <v>252</v>
      </c>
      <c r="F92" s="6">
        <v>3</v>
      </c>
      <c r="G92" s="6" t="s">
        <v>29</v>
      </c>
      <c r="H92" s="18">
        <v>45019</v>
      </c>
      <c r="I92" s="6" t="s">
        <v>73</v>
      </c>
      <c r="J92" s="18" t="s">
        <v>35</v>
      </c>
      <c r="K92" s="6">
        <f>IFERROR(VLOOKUP(J92,Jueces!$A$1:$B$11,2,FALSE),"")</f>
        <v>3</v>
      </c>
      <c r="L92" s="6" t="s">
        <v>289</v>
      </c>
      <c r="M92" s="6" t="s">
        <v>273</v>
      </c>
      <c r="N92" s="6" t="s">
        <v>235</v>
      </c>
      <c r="O92" s="49" t="str">
        <f t="shared" ca="1" si="4"/>
        <v>SI</v>
      </c>
      <c r="P92" s="49" t="str">
        <f t="shared" si="5"/>
        <v>DIANOSOL</v>
      </c>
      <c r="Q92" s="6" t="s">
        <v>151</v>
      </c>
      <c r="R92" s="6" t="str">
        <f>VLOOKUP($Q92,Resultados!$A$1:$B$49,2,FALSE)</f>
        <v>Prisión Preventiva</v>
      </c>
      <c r="S92" s="6"/>
      <c r="T92" s="71" t="str">
        <f t="shared" si="6"/>
        <v>NO</v>
      </c>
      <c r="U92" s="71">
        <f t="shared" si="7"/>
        <v>4</v>
      </c>
      <c r="V92" s="6"/>
      <c r="W92" s="6"/>
      <c r="X92" s="6"/>
      <c r="Y92" s="6"/>
      <c r="Z92" s="71"/>
      <c r="AA92" s="71"/>
      <c r="AB92" s="71"/>
      <c r="AC92" s="361"/>
    </row>
    <row r="93" spans="1:29" s="7" customFormat="1" ht="25.5" x14ac:dyDescent="0.2">
      <c r="A93" s="6">
        <v>90</v>
      </c>
      <c r="B93" s="18">
        <v>45000</v>
      </c>
      <c r="C93" s="14">
        <v>0.39444444444444443</v>
      </c>
      <c r="D93" s="6" t="s">
        <v>387</v>
      </c>
      <c r="E93" s="40" t="s">
        <v>390</v>
      </c>
      <c r="F93" s="6">
        <v>4</v>
      </c>
      <c r="G93" s="6" t="s">
        <v>1441</v>
      </c>
      <c r="H93" s="18">
        <v>45019</v>
      </c>
      <c r="I93" s="6" t="s">
        <v>73</v>
      </c>
      <c r="J93" s="18" t="s">
        <v>33</v>
      </c>
      <c r="K93" s="6">
        <f>IFERROR(VLOOKUP(J93,Jueces!$A$1:$B$11,2,FALSE),"")</f>
        <v>4</v>
      </c>
      <c r="L93" s="6" t="s">
        <v>405</v>
      </c>
      <c r="M93" s="6" t="s">
        <v>363</v>
      </c>
      <c r="N93" s="6" t="s">
        <v>235</v>
      </c>
      <c r="O93" s="49" t="str">
        <f t="shared" ca="1" si="4"/>
        <v>SI</v>
      </c>
      <c r="P93" s="49" t="str">
        <f t="shared" si="5"/>
        <v>DIANOSOL</v>
      </c>
      <c r="Q93" s="6" t="s">
        <v>151</v>
      </c>
      <c r="R93" s="6" t="str">
        <f>VLOOKUP($Q93,Resultados!$A$1:$B$49,2,FALSE)</f>
        <v>Prisión Preventiva</v>
      </c>
      <c r="S93" s="6"/>
      <c r="T93" s="71" t="str">
        <f t="shared" si="6"/>
        <v>NO</v>
      </c>
      <c r="U93" s="71">
        <f t="shared" si="7"/>
        <v>4</v>
      </c>
      <c r="V93" s="6"/>
      <c r="W93" s="6"/>
      <c r="X93" s="6"/>
      <c r="Y93" s="6"/>
      <c r="Z93" s="71"/>
      <c r="AA93" s="71"/>
      <c r="AB93" s="71"/>
      <c r="AC93" s="361"/>
    </row>
    <row r="94" spans="1:29" ht="76.5" x14ac:dyDescent="0.2">
      <c r="A94" s="6">
        <v>91</v>
      </c>
      <c r="B94" s="18">
        <v>44998</v>
      </c>
      <c r="C94" s="14">
        <v>0.4680555555555555</v>
      </c>
      <c r="D94" s="6" t="s">
        <v>471</v>
      </c>
      <c r="E94" s="40" t="s">
        <v>325</v>
      </c>
      <c r="F94" s="6">
        <v>3</v>
      </c>
      <c r="G94" s="6" t="s">
        <v>43</v>
      </c>
      <c r="H94" s="18">
        <v>45019</v>
      </c>
      <c r="I94" s="6" t="s">
        <v>76</v>
      </c>
      <c r="J94" s="18" t="s">
        <v>31</v>
      </c>
      <c r="K94" s="6">
        <f>IFERROR(VLOOKUP(J94,Jueces!$A$1:$B$11,2,FALSE),"")</f>
        <v>2</v>
      </c>
      <c r="L94" s="6" t="s">
        <v>301</v>
      </c>
      <c r="M94" s="6" t="s">
        <v>302</v>
      </c>
      <c r="N94" s="6" t="s">
        <v>605</v>
      </c>
      <c r="O94" s="49" t="str">
        <f t="shared" ca="1" si="4"/>
        <v>SI</v>
      </c>
      <c r="P94" s="49" t="str">
        <f t="shared" si="5"/>
        <v>DIANOSOL</v>
      </c>
      <c r="Q94" s="6" t="s">
        <v>904</v>
      </c>
      <c r="R94" s="6" t="str">
        <f>VLOOKUP($Q94,Resultados!$A$1:$B$49,2,FALSE)</f>
        <v>Juicio Abreviado</v>
      </c>
      <c r="S94" s="6"/>
      <c r="T94" s="71" t="str">
        <f t="shared" si="6"/>
        <v>NO</v>
      </c>
      <c r="U94" s="71">
        <f t="shared" si="7"/>
        <v>4</v>
      </c>
      <c r="V94" s="6"/>
      <c r="W94" s="6"/>
      <c r="X94" s="6"/>
      <c r="Y94" s="6"/>
      <c r="Z94" s="71"/>
      <c r="AA94" s="71"/>
      <c r="AB94" s="71"/>
      <c r="AC94" s="259"/>
    </row>
    <row r="95" spans="1:29" s="3" customFormat="1" ht="127.5" x14ac:dyDescent="0.2">
      <c r="A95" s="6">
        <v>92</v>
      </c>
      <c r="B95" s="18">
        <v>44998</v>
      </c>
      <c r="C95" s="14">
        <v>0.34027777777777773</v>
      </c>
      <c r="D95" s="6" t="s">
        <v>333</v>
      </c>
      <c r="E95" s="40" t="s">
        <v>334</v>
      </c>
      <c r="F95" s="6">
        <v>3</v>
      </c>
      <c r="G95" s="6" t="s">
        <v>283</v>
      </c>
      <c r="H95" s="18">
        <v>45019</v>
      </c>
      <c r="I95" s="6" t="s">
        <v>75</v>
      </c>
      <c r="J95" s="18" t="s">
        <v>31</v>
      </c>
      <c r="K95" s="6">
        <f>IFERROR(VLOOKUP(J95,Jueces!$A$1:$B$11,2,FALSE),"")</f>
        <v>2</v>
      </c>
      <c r="L95" s="6" t="s">
        <v>315</v>
      </c>
      <c r="M95" s="6" t="s">
        <v>586</v>
      </c>
      <c r="N95" s="6" t="s">
        <v>608</v>
      </c>
      <c r="O95" s="49" t="str">
        <f t="shared" ca="1" si="4"/>
        <v>SI</v>
      </c>
      <c r="P95" s="49" t="str">
        <f t="shared" si="5"/>
        <v>DIANOSOL</v>
      </c>
      <c r="Q95" s="6" t="s">
        <v>151</v>
      </c>
      <c r="R95" s="6" t="str">
        <f>VLOOKUP($Q95,Resultados!$A$1:$B$49,2,FALSE)</f>
        <v>Prisión Preventiva</v>
      </c>
      <c r="S95" s="6"/>
      <c r="T95" s="71" t="str">
        <f t="shared" si="6"/>
        <v>NO</v>
      </c>
      <c r="U95" s="71">
        <f t="shared" si="7"/>
        <v>4</v>
      </c>
      <c r="V95" s="6"/>
      <c r="W95" s="6"/>
      <c r="X95" s="6"/>
      <c r="Y95" s="6"/>
      <c r="Z95" s="71"/>
      <c r="AA95" s="71"/>
      <c r="AB95" s="71"/>
      <c r="AC95" s="361"/>
    </row>
    <row r="96" spans="1:29" ht="76.5" x14ac:dyDescent="0.2">
      <c r="A96" s="6">
        <v>93</v>
      </c>
      <c r="B96" s="18">
        <v>44998</v>
      </c>
      <c r="C96" s="14">
        <v>0.45277777777777778</v>
      </c>
      <c r="D96" s="6" t="s">
        <v>329</v>
      </c>
      <c r="E96" s="40" t="s">
        <v>328</v>
      </c>
      <c r="F96" s="6">
        <v>4</v>
      </c>
      <c r="G96" s="6" t="s">
        <v>34</v>
      </c>
      <c r="H96" s="18">
        <v>45019</v>
      </c>
      <c r="I96" s="6" t="s">
        <v>228</v>
      </c>
      <c r="J96" s="18" t="s">
        <v>33</v>
      </c>
      <c r="K96" s="6">
        <f>IFERROR(VLOOKUP(J96,Jueces!$A$1:$B$11,2,FALSE),"")</f>
        <v>4</v>
      </c>
      <c r="L96" s="6" t="s">
        <v>304</v>
      </c>
      <c r="M96" s="6" t="s">
        <v>287</v>
      </c>
      <c r="N96" s="6" t="s">
        <v>606</v>
      </c>
      <c r="O96" s="49" t="str">
        <f t="shared" ca="1" si="4"/>
        <v>SI</v>
      </c>
      <c r="P96" s="49" t="str">
        <f t="shared" si="5"/>
        <v>DIANOSOL</v>
      </c>
      <c r="Q96" s="6" t="s">
        <v>904</v>
      </c>
      <c r="R96" s="6" t="str">
        <f>VLOOKUP($Q96,Resultados!$A$1:$B$49,2,FALSE)</f>
        <v>Juicio Abreviado</v>
      </c>
      <c r="S96" s="6"/>
      <c r="T96" s="71" t="str">
        <f t="shared" si="6"/>
        <v>NO</v>
      </c>
      <c r="U96" s="71">
        <f t="shared" si="7"/>
        <v>4</v>
      </c>
      <c r="V96" s="6"/>
      <c r="W96" s="6"/>
      <c r="X96" s="6"/>
      <c r="Y96" s="6"/>
      <c r="Z96" s="71"/>
      <c r="AA96" s="71"/>
      <c r="AB96" s="71"/>
      <c r="AC96" s="49"/>
    </row>
    <row r="97" spans="1:29" ht="51" x14ac:dyDescent="0.2">
      <c r="A97" s="6">
        <v>94</v>
      </c>
      <c r="B97" s="18">
        <v>44999</v>
      </c>
      <c r="C97" s="14">
        <v>0.3527777777777778</v>
      </c>
      <c r="D97" s="6" t="s">
        <v>222</v>
      </c>
      <c r="E97" s="40" t="s">
        <v>223</v>
      </c>
      <c r="F97" s="6">
        <v>4</v>
      </c>
      <c r="G97" s="6" t="s">
        <v>283</v>
      </c>
      <c r="H97" s="18">
        <v>45020</v>
      </c>
      <c r="I97" s="6" t="s">
        <v>73</v>
      </c>
      <c r="J97" s="18" t="s">
        <v>78</v>
      </c>
      <c r="K97" s="6">
        <f>IFERROR(VLOOKUP(J97,Jueces!$A$1:$B$11,2,FALSE),"")</f>
        <v>8</v>
      </c>
      <c r="L97" s="6" t="s">
        <v>249</v>
      </c>
      <c r="M97" s="6" t="s">
        <v>580</v>
      </c>
      <c r="N97" s="6" t="s">
        <v>785</v>
      </c>
      <c r="O97" s="49" t="str">
        <f t="shared" ca="1" si="4"/>
        <v>SI</v>
      </c>
      <c r="P97" s="49" t="str">
        <f t="shared" si="5"/>
        <v>DIANOSOL</v>
      </c>
      <c r="Q97" s="6" t="s">
        <v>151</v>
      </c>
      <c r="R97" s="6" t="str">
        <f>VLOOKUP($Q97,Resultados!$A$1:$B$49,2,FALSE)</f>
        <v>Prisión Preventiva</v>
      </c>
      <c r="S97" s="6"/>
      <c r="T97" s="71" t="str">
        <f t="shared" si="6"/>
        <v>NO</v>
      </c>
      <c r="U97" s="71">
        <f t="shared" si="7"/>
        <v>4</v>
      </c>
      <c r="V97" s="6"/>
      <c r="W97" s="6"/>
      <c r="X97" s="6"/>
      <c r="Y97" s="6"/>
      <c r="Z97" s="71"/>
      <c r="AA97" s="71"/>
      <c r="AB97" s="71"/>
      <c r="AC97" s="361"/>
    </row>
    <row r="98" spans="1:29" ht="25.5" x14ac:dyDescent="0.2">
      <c r="A98" s="6">
        <v>95</v>
      </c>
      <c r="B98" s="18">
        <v>44999</v>
      </c>
      <c r="C98" s="14">
        <v>0.33333333333333331</v>
      </c>
      <c r="D98" s="6" t="s">
        <v>340</v>
      </c>
      <c r="E98" s="40" t="s">
        <v>346</v>
      </c>
      <c r="F98" s="6">
        <v>4</v>
      </c>
      <c r="G98" s="6" t="s">
        <v>29</v>
      </c>
      <c r="H98" s="18">
        <v>45020</v>
      </c>
      <c r="I98" s="6" t="s">
        <v>76</v>
      </c>
      <c r="J98" s="18" t="s">
        <v>31</v>
      </c>
      <c r="K98" s="6">
        <f>IFERROR(VLOOKUP(J98,Jueces!$A$1:$B$11,2,FALSE),"")</f>
        <v>2</v>
      </c>
      <c r="L98" s="6" t="s">
        <v>364</v>
      </c>
      <c r="M98" s="6" t="s">
        <v>287</v>
      </c>
      <c r="N98" s="6" t="s">
        <v>611</v>
      </c>
      <c r="O98" s="49" t="str">
        <f t="shared" ca="1" si="4"/>
        <v>SI</v>
      </c>
      <c r="P98" s="49" t="str">
        <f t="shared" si="5"/>
        <v>DIANOSOL</v>
      </c>
      <c r="Q98" s="6" t="s">
        <v>904</v>
      </c>
      <c r="R98" s="6" t="str">
        <f>VLOOKUP($Q98,Resultados!$A$1:$B$49,2,FALSE)</f>
        <v>Juicio Abreviado</v>
      </c>
      <c r="S98" s="6"/>
      <c r="T98" s="71" t="str">
        <f t="shared" si="6"/>
        <v>NO</v>
      </c>
      <c r="U98" s="71">
        <f t="shared" si="7"/>
        <v>4</v>
      </c>
      <c r="V98" s="6"/>
      <c r="W98" s="6"/>
      <c r="X98" s="6"/>
      <c r="Y98" s="6"/>
      <c r="Z98" s="71"/>
      <c r="AA98" s="71"/>
      <c r="AB98" s="71"/>
      <c r="AC98" s="361"/>
    </row>
    <row r="99" spans="1:29" ht="38.25" x14ac:dyDescent="0.2">
      <c r="A99" s="6">
        <v>96</v>
      </c>
      <c r="B99" s="18">
        <v>44998</v>
      </c>
      <c r="C99" s="14">
        <v>0.45694444444444443</v>
      </c>
      <c r="D99" s="6" t="s">
        <v>335</v>
      </c>
      <c r="E99" s="40" t="s">
        <v>336</v>
      </c>
      <c r="F99" s="6">
        <v>4</v>
      </c>
      <c r="G99" s="6" t="s">
        <v>1441</v>
      </c>
      <c r="H99" s="18">
        <v>45021</v>
      </c>
      <c r="I99" s="6" t="s">
        <v>73</v>
      </c>
      <c r="J99" s="18" t="s">
        <v>31</v>
      </c>
      <c r="K99" s="6">
        <f>IFERROR(VLOOKUP(J99,Jueces!$A$1:$B$11,2,FALSE),"")</f>
        <v>2</v>
      </c>
      <c r="L99" s="6" t="s">
        <v>134</v>
      </c>
      <c r="M99" s="6" t="s">
        <v>287</v>
      </c>
      <c r="N99" s="6" t="s">
        <v>612</v>
      </c>
      <c r="O99" s="49" t="str">
        <f t="shared" ca="1" si="4"/>
        <v>SI</v>
      </c>
      <c r="P99" s="49" t="str">
        <f t="shared" si="5"/>
        <v>DIANOSOL</v>
      </c>
      <c r="Q99" s="6" t="s">
        <v>899</v>
      </c>
      <c r="R99" s="6" t="str">
        <f>VLOOKUP($Q99,Resultados!$A$1:$B$49,2,FALSE)</f>
        <v>Libertad</v>
      </c>
      <c r="S99" s="6"/>
      <c r="T99" s="71" t="str">
        <f t="shared" si="6"/>
        <v>NO</v>
      </c>
      <c r="U99" s="71">
        <f t="shared" si="7"/>
        <v>4</v>
      </c>
      <c r="V99" s="6"/>
      <c r="W99" s="6"/>
      <c r="X99" s="6"/>
      <c r="Y99" s="6"/>
      <c r="Z99" s="71"/>
      <c r="AA99" s="71"/>
      <c r="AB99" s="71"/>
      <c r="AC99" s="361"/>
    </row>
    <row r="100" spans="1:29" ht="38.25" x14ac:dyDescent="0.2">
      <c r="A100" s="6">
        <v>97</v>
      </c>
      <c r="B100" s="18">
        <v>45000</v>
      </c>
      <c r="C100" s="14">
        <v>0.45833333333333331</v>
      </c>
      <c r="D100" s="6" t="s">
        <v>385</v>
      </c>
      <c r="E100" s="40" t="s">
        <v>388</v>
      </c>
      <c r="F100" s="6">
        <v>4</v>
      </c>
      <c r="G100" s="6" t="s">
        <v>34</v>
      </c>
      <c r="H100" s="18">
        <v>45021</v>
      </c>
      <c r="I100" s="6" t="s">
        <v>73</v>
      </c>
      <c r="J100" s="18" t="s">
        <v>78</v>
      </c>
      <c r="K100" s="6">
        <f>IFERROR(VLOOKUP(J100,Jueces!$A$1:$B$11,2,FALSE),"")</f>
        <v>8</v>
      </c>
      <c r="L100" s="6" t="s">
        <v>392</v>
      </c>
      <c r="M100" s="6" t="s">
        <v>377</v>
      </c>
      <c r="N100" s="6" t="s">
        <v>235</v>
      </c>
      <c r="O100" s="49" t="str">
        <f t="shared" ca="1" si="4"/>
        <v>SI</v>
      </c>
      <c r="P100" s="49" t="str">
        <f t="shared" si="5"/>
        <v>DIANOSOL</v>
      </c>
      <c r="Q100" s="6" t="s">
        <v>151</v>
      </c>
      <c r="R100" s="6" t="str">
        <f>VLOOKUP($Q100,Resultados!$A$1:$B$49,2,FALSE)</f>
        <v>Prisión Preventiva</v>
      </c>
      <c r="S100" s="6"/>
      <c r="T100" s="71" t="str">
        <f t="shared" si="6"/>
        <v>NO</v>
      </c>
      <c r="U100" s="71">
        <f t="shared" si="7"/>
        <v>4</v>
      </c>
      <c r="V100" s="6"/>
      <c r="W100" s="6"/>
      <c r="X100" s="6"/>
      <c r="Y100" s="6"/>
      <c r="Z100" s="71"/>
      <c r="AA100" s="71"/>
      <c r="AB100" s="71"/>
      <c r="AC100" s="361"/>
    </row>
    <row r="101" spans="1:29" ht="38.25" x14ac:dyDescent="0.2">
      <c r="A101" s="6">
        <v>98</v>
      </c>
      <c r="B101" s="18">
        <v>44999</v>
      </c>
      <c r="C101" s="14">
        <v>0.49027777777777781</v>
      </c>
      <c r="D101" s="6" t="s">
        <v>373</v>
      </c>
      <c r="E101" s="40" t="s">
        <v>374</v>
      </c>
      <c r="F101" s="6">
        <v>4</v>
      </c>
      <c r="G101" s="6" t="s">
        <v>1441</v>
      </c>
      <c r="H101" s="18">
        <v>45021</v>
      </c>
      <c r="I101" s="6" t="s">
        <v>76</v>
      </c>
      <c r="J101" s="18" t="s">
        <v>31</v>
      </c>
      <c r="K101" s="6">
        <f>IFERROR(VLOOKUP(J101,Jueces!$A$1:$B$11,2,FALSE),"")</f>
        <v>2</v>
      </c>
      <c r="L101" s="6" t="s">
        <v>375</v>
      </c>
      <c r="M101" s="6" t="s">
        <v>377</v>
      </c>
      <c r="N101" s="6" t="s">
        <v>613</v>
      </c>
      <c r="O101" s="49" t="str">
        <f t="shared" ca="1" si="4"/>
        <v>SI</v>
      </c>
      <c r="P101" s="49" t="str">
        <f t="shared" si="5"/>
        <v>DIANOSOL</v>
      </c>
      <c r="Q101" s="6" t="s">
        <v>904</v>
      </c>
      <c r="R101" s="6" t="str">
        <f>VLOOKUP($Q101,Resultados!$A$1:$B$49,2,FALSE)</f>
        <v>Juicio Abreviado</v>
      </c>
      <c r="S101" s="6"/>
      <c r="T101" s="71" t="str">
        <f t="shared" si="6"/>
        <v>NO</v>
      </c>
      <c r="U101" s="71">
        <f t="shared" si="7"/>
        <v>4</v>
      </c>
      <c r="V101" s="6"/>
      <c r="W101" s="6"/>
      <c r="X101" s="6"/>
      <c r="Y101" s="6"/>
      <c r="Z101" s="71"/>
      <c r="AA101" s="71"/>
      <c r="AB101" s="71"/>
      <c r="AC101" s="361"/>
    </row>
    <row r="102" spans="1:29" ht="63.75" x14ac:dyDescent="0.2">
      <c r="A102" s="6">
        <v>99</v>
      </c>
      <c r="B102" s="18">
        <v>45007</v>
      </c>
      <c r="C102" s="14">
        <v>0.53888888888888886</v>
      </c>
      <c r="D102" s="6" t="s">
        <v>491</v>
      </c>
      <c r="E102" s="40" t="s">
        <v>490</v>
      </c>
      <c r="F102" s="6">
        <v>4</v>
      </c>
      <c r="G102" s="6" t="s">
        <v>32</v>
      </c>
      <c r="H102" s="18">
        <v>45026</v>
      </c>
      <c r="I102" s="6" t="s">
        <v>73</v>
      </c>
      <c r="J102" s="18" t="s">
        <v>33</v>
      </c>
      <c r="K102" s="6">
        <f>IFERROR(VLOOKUP(J102,Jueces!$A$1:$B$11,2,FALSE),"")</f>
        <v>4</v>
      </c>
      <c r="L102" s="6" t="s">
        <v>528</v>
      </c>
      <c r="M102" s="6" t="s">
        <v>363</v>
      </c>
      <c r="N102" s="6" t="s">
        <v>616</v>
      </c>
      <c r="O102" s="49" t="str">
        <f t="shared" ca="1" si="4"/>
        <v>SI</v>
      </c>
      <c r="P102" s="49" t="str">
        <f t="shared" si="5"/>
        <v>DIANOSOL</v>
      </c>
      <c r="Q102" s="6" t="s">
        <v>905</v>
      </c>
      <c r="R102" s="6" t="str">
        <f>VLOOKUP($Q102,Resultados!$A$1:$B$49,2,FALSE)</f>
        <v>Juicio Abreviado</v>
      </c>
      <c r="S102" s="6"/>
      <c r="T102" s="71" t="str">
        <f t="shared" si="6"/>
        <v>NO</v>
      </c>
      <c r="U102" s="71">
        <f t="shared" si="7"/>
        <v>4</v>
      </c>
      <c r="V102" s="6"/>
      <c r="W102" s="6"/>
      <c r="X102" s="6"/>
      <c r="Y102" s="6"/>
      <c r="Z102" s="71"/>
      <c r="AA102" s="71"/>
      <c r="AB102" s="71"/>
      <c r="AC102" s="361"/>
    </row>
    <row r="103" spans="1:29" ht="51" x14ac:dyDescent="0.2">
      <c r="A103" s="6">
        <v>100</v>
      </c>
      <c r="B103" s="18">
        <v>45001</v>
      </c>
      <c r="C103" s="14">
        <v>0.48819444444444443</v>
      </c>
      <c r="D103" s="6" t="s">
        <v>417</v>
      </c>
      <c r="E103" s="40" t="s">
        <v>443</v>
      </c>
      <c r="F103" s="6">
        <v>4</v>
      </c>
      <c r="G103" s="6" t="s">
        <v>43</v>
      </c>
      <c r="H103" s="18">
        <v>45026</v>
      </c>
      <c r="I103" s="6" t="s">
        <v>73</v>
      </c>
      <c r="J103" s="18" t="s">
        <v>31</v>
      </c>
      <c r="K103" s="6">
        <f>IFERROR(VLOOKUP(J103,Jueces!$A$1:$B$11,2,FALSE),"")</f>
        <v>2</v>
      </c>
      <c r="L103" s="6" t="s">
        <v>313</v>
      </c>
      <c r="M103" s="6" t="s">
        <v>377</v>
      </c>
      <c r="N103" s="6" t="s">
        <v>617</v>
      </c>
      <c r="O103" s="49" t="str">
        <f t="shared" ca="1" si="4"/>
        <v>SI</v>
      </c>
      <c r="P103" s="49" t="str">
        <f t="shared" si="5"/>
        <v>DIANOSOL</v>
      </c>
      <c r="Q103" s="6" t="s">
        <v>910</v>
      </c>
      <c r="R103" s="6" t="str">
        <f>VLOOKUP($Q103,Resultados!$A$1:$B$49,2,FALSE)</f>
        <v>Audiencia cancelada - inimputabilidad</v>
      </c>
      <c r="S103" s="6"/>
      <c r="T103" s="71" t="str">
        <f t="shared" si="6"/>
        <v>NO</v>
      </c>
      <c r="U103" s="71">
        <f t="shared" si="7"/>
        <v>4</v>
      </c>
      <c r="V103" s="6"/>
      <c r="W103" s="6"/>
      <c r="X103" s="6"/>
      <c r="Y103" s="6"/>
      <c r="Z103" s="71"/>
      <c r="AA103" s="71"/>
      <c r="AB103" s="71"/>
      <c r="AC103" s="361"/>
    </row>
    <row r="104" spans="1:29" ht="38.25" x14ac:dyDescent="0.2">
      <c r="A104" s="6">
        <v>101</v>
      </c>
      <c r="B104" s="18">
        <v>44999</v>
      </c>
      <c r="C104" s="14">
        <v>0.33333333333333331</v>
      </c>
      <c r="D104" s="6" t="s">
        <v>339</v>
      </c>
      <c r="E104" s="40" t="s">
        <v>345</v>
      </c>
      <c r="F104" s="6">
        <v>4</v>
      </c>
      <c r="G104" s="6" t="s">
        <v>29</v>
      </c>
      <c r="H104" s="18">
        <v>45026</v>
      </c>
      <c r="I104" s="6" t="s">
        <v>73</v>
      </c>
      <c r="J104" s="18" t="s">
        <v>35</v>
      </c>
      <c r="K104" s="6">
        <f>IFERROR(VLOOKUP(J104,Jueces!$A$1:$B$11,2,FALSE),"")</f>
        <v>3</v>
      </c>
      <c r="L104" s="6" t="s">
        <v>134</v>
      </c>
      <c r="M104" s="6" t="s">
        <v>363</v>
      </c>
      <c r="N104" s="6" t="s">
        <v>614</v>
      </c>
      <c r="O104" s="49" t="str">
        <f t="shared" ca="1" si="4"/>
        <v>SI</v>
      </c>
      <c r="P104" s="49" t="str">
        <f t="shared" si="5"/>
        <v>DIANOSOL</v>
      </c>
      <c r="Q104" s="6" t="s">
        <v>151</v>
      </c>
      <c r="R104" s="6" t="str">
        <f>VLOOKUP($Q104,Resultados!$A$1:$B$49,2,FALSE)</f>
        <v>Prisión Preventiva</v>
      </c>
      <c r="S104" s="6"/>
      <c r="T104" s="71" t="str">
        <f t="shared" si="6"/>
        <v>NO</v>
      </c>
      <c r="U104" s="71">
        <f t="shared" si="7"/>
        <v>4</v>
      </c>
      <c r="V104" s="6"/>
      <c r="W104" s="6"/>
      <c r="X104" s="6"/>
      <c r="Y104" s="6"/>
      <c r="Z104" s="71"/>
      <c r="AA104" s="71"/>
      <c r="AB104" s="71"/>
      <c r="AC104" s="361"/>
    </row>
    <row r="105" spans="1:29" ht="38.25" x14ac:dyDescent="0.2">
      <c r="A105" s="6">
        <v>102</v>
      </c>
      <c r="B105" s="18">
        <v>44999</v>
      </c>
      <c r="C105" s="14">
        <v>0.46875</v>
      </c>
      <c r="D105" s="6" t="s">
        <v>351</v>
      </c>
      <c r="E105" s="40" t="s">
        <v>352</v>
      </c>
      <c r="F105" s="6">
        <v>4</v>
      </c>
      <c r="G105" s="6" t="s">
        <v>283</v>
      </c>
      <c r="H105" s="18">
        <v>45026</v>
      </c>
      <c r="I105" s="6" t="s">
        <v>73</v>
      </c>
      <c r="J105" s="18" t="s">
        <v>33</v>
      </c>
      <c r="K105" s="6">
        <f>IFERROR(VLOOKUP(J105,Jueces!$A$1:$B$11,2,FALSE),"")</f>
        <v>4</v>
      </c>
      <c r="L105" s="6" t="s">
        <v>368</v>
      </c>
      <c r="M105" s="6" t="s">
        <v>287</v>
      </c>
      <c r="N105" s="6" t="s">
        <v>618</v>
      </c>
      <c r="O105" s="49" t="str">
        <f t="shared" ca="1" si="4"/>
        <v>SI</v>
      </c>
      <c r="P105" s="49" t="str">
        <f t="shared" si="5"/>
        <v>DIANOSOL</v>
      </c>
      <c r="Q105" s="6" t="s">
        <v>151</v>
      </c>
      <c r="R105" s="6" t="str">
        <f>VLOOKUP($Q105,Resultados!$A$1:$B$49,2,FALSE)</f>
        <v>Prisión Preventiva</v>
      </c>
      <c r="S105" s="6"/>
      <c r="T105" s="71" t="str">
        <f t="shared" si="6"/>
        <v>NO</v>
      </c>
      <c r="U105" s="71">
        <f t="shared" si="7"/>
        <v>4</v>
      </c>
      <c r="V105" s="6"/>
      <c r="W105" s="6"/>
      <c r="X105" s="6"/>
      <c r="Y105" s="6"/>
      <c r="Z105" s="71"/>
      <c r="AA105" s="71"/>
      <c r="AB105" s="71"/>
      <c r="AC105" s="361"/>
    </row>
    <row r="106" spans="1:29" ht="51" x14ac:dyDescent="0.2">
      <c r="A106" s="6">
        <v>103</v>
      </c>
      <c r="B106" s="18">
        <v>44999</v>
      </c>
      <c r="C106" s="14">
        <v>0.59791666666666665</v>
      </c>
      <c r="D106" s="6" t="s">
        <v>386</v>
      </c>
      <c r="E106" s="40" t="s">
        <v>389</v>
      </c>
      <c r="F106" s="6">
        <v>4</v>
      </c>
      <c r="G106" s="6" t="s">
        <v>1441</v>
      </c>
      <c r="H106" s="18">
        <v>45026</v>
      </c>
      <c r="I106" s="6" t="s">
        <v>76</v>
      </c>
      <c r="J106" s="18" t="s">
        <v>78</v>
      </c>
      <c r="K106" s="6">
        <f>IFERROR(VLOOKUP(J106,Jueces!$A$1:$B$11,2,FALSE),"")</f>
        <v>8</v>
      </c>
      <c r="L106" s="6" t="s">
        <v>303</v>
      </c>
      <c r="M106" s="6" t="s">
        <v>363</v>
      </c>
      <c r="N106" s="6" t="s">
        <v>615</v>
      </c>
      <c r="O106" s="49" t="str">
        <f t="shared" ca="1" si="4"/>
        <v>SI</v>
      </c>
      <c r="P106" s="49" t="str">
        <f t="shared" si="5"/>
        <v>DIANOSOL</v>
      </c>
      <c r="Q106" s="6" t="s">
        <v>904</v>
      </c>
      <c r="R106" s="6" t="str">
        <f>VLOOKUP($Q106,Resultados!$A$1:$B$49,2,FALSE)</f>
        <v>Juicio Abreviado</v>
      </c>
      <c r="S106" s="6"/>
      <c r="T106" s="71" t="str">
        <f t="shared" si="6"/>
        <v>NO</v>
      </c>
      <c r="U106" s="71">
        <f t="shared" si="7"/>
        <v>4</v>
      </c>
      <c r="V106" s="6"/>
      <c r="W106" s="6"/>
      <c r="X106" s="6"/>
      <c r="Y106" s="6"/>
      <c r="Z106" s="71"/>
      <c r="AA106" s="71"/>
      <c r="AB106" s="71"/>
      <c r="AC106" s="361"/>
    </row>
    <row r="107" spans="1:29" ht="63.75" x14ac:dyDescent="0.2">
      <c r="A107" s="6">
        <v>104</v>
      </c>
      <c r="B107" s="18">
        <v>45000</v>
      </c>
      <c r="C107" s="14">
        <v>0.33333333333333331</v>
      </c>
      <c r="D107" s="6" t="s">
        <v>446</v>
      </c>
      <c r="E107" s="40" t="s">
        <v>588</v>
      </c>
      <c r="F107" s="6">
        <v>4</v>
      </c>
      <c r="G107" s="6" t="s">
        <v>34</v>
      </c>
      <c r="H107" s="18">
        <v>45026</v>
      </c>
      <c r="I107" s="6" t="s">
        <v>76</v>
      </c>
      <c r="J107" s="18" t="s">
        <v>35</v>
      </c>
      <c r="K107" s="6">
        <f>IFERROR(VLOOKUP(J107,Jueces!$A$1:$B$11,2,FALSE),"")</f>
        <v>3</v>
      </c>
      <c r="L107" s="6" t="s">
        <v>326</v>
      </c>
      <c r="M107" s="6" t="s">
        <v>377</v>
      </c>
      <c r="N107" s="6" t="s">
        <v>621</v>
      </c>
      <c r="O107" s="49" t="str">
        <f t="shared" ca="1" si="4"/>
        <v>SI</v>
      </c>
      <c r="P107" s="49" t="str">
        <f t="shared" si="5"/>
        <v>DIANOSOL</v>
      </c>
      <c r="Q107" s="6" t="s">
        <v>151</v>
      </c>
      <c r="R107" s="6" t="str">
        <f>VLOOKUP($Q107,Resultados!$A$1:$B$49,2,FALSE)</f>
        <v>Prisión Preventiva</v>
      </c>
      <c r="S107" s="6"/>
      <c r="T107" s="71" t="str">
        <f t="shared" si="6"/>
        <v>NO</v>
      </c>
      <c r="U107" s="71">
        <f t="shared" si="7"/>
        <v>4</v>
      </c>
      <c r="V107" s="6"/>
      <c r="W107" s="6"/>
      <c r="X107" s="6"/>
      <c r="Y107" s="6"/>
      <c r="Z107" s="71"/>
      <c r="AA107" s="71"/>
      <c r="AB107" s="71"/>
      <c r="AC107" s="361"/>
    </row>
    <row r="108" spans="1:29" ht="51" x14ac:dyDescent="0.2">
      <c r="A108" s="6">
        <v>105</v>
      </c>
      <c r="B108" s="18">
        <v>45001</v>
      </c>
      <c r="C108" s="14">
        <v>0.50416666666666665</v>
      </c>
      <c r="D108" s="6" t="s">
        <v>341</v>
      </c>
      <c r="E108" s="40" t="s">
        <v>347</v>
      </c>
      <c r="F108" s="6">
        <v>4</v>
      </c>
      <c r="G108" s="6" t="s">
        <v>32</v>
      </c>
      <c r="H108" s="18">
        <v>45027</v>
      </c>
      <c r="I108" s="6" t="s">
        <v>73</v>
      </c>
      <c r="J108" s="18" t="s">
        <v>35</v>
      </c>
      <c r="K108" s="6">
        <f>IFERROR(VLOOKUP(J108,Jueces!$A$1:$B$11,2,FALSE),"")</f>
        <v>3</v>
      </c>
      <c r="L108" s="6" t="s">
        <v>289</v>
      </c>
      <c r="M108" s="6" t="s">
        <v>307</v>
      </c>
      <c r="N108" s="6" t="s">
        <v>621</v>
      </c>
      <c r="O108" s="49" t="str">
        <f t="shared" ca="1" si="4"/>
        <v>SI</v>
      </c>
      <c r="P108" s="49" t="str">
        <f t="shared" si="5"/>
        <v>DIANOSOL</v>
      </c>
      <c r="Q108" s="6" t="s">
        <v>151</v>
      </c>
      <c r="R108" s="6" t="str">
        <f>VLOOKUP($Q108,Resultados!$A$1:$B$49,2,FALSE)</f>
        <v>Prisión Preventiva</v>
      </c>
      <c r="S108" s="6"/>
      <c r="T108" s="71" t="str">
        <f t="shared" si="6"/>
        <v>NO</v>
      </c>
      <c r="U108" s="71">
        <f t="shared" si="7"/>
        <v>4</v>
      </c>
      <c r="V108" s="6"/>
      <c r="W108" s="6"/>
      <c r="X108" s="6"/>
      <c r="Y108" s="6"/>
      <c r="Z108" s="71"/>
      <c r="AA108" s="71"/>
      <c r="AB108" s="71"/>
      <c r="AC108" s="361"/>
    </row>
    <row r="109" spans="1:29" ht="38.25" x14ac:dyDescent="0.2">
      <c r="A109" s="6">
        <v>106</v>
      </c>
      <c r="B109" s="18">
        <v>44999</v>
      </c>
      <c r="C109" s="14">
        <v>0.33333333333333331</v>
      </c>
      <c r="D109" s="6" t="s">
        <v>343</v>
      </c>
      <c r="E109" s="40" t="s">
        <v>349</v>
      </c>
      <c r="F109" s="6">
        <v>4</v>
      </c>
      <c r="G109" s="6" t="s">
        <v>43</v>
      </c>
      <c r="H109" s="18">
        <v>45027</v>
      </c>
      <c r="I109" s="6" t="s">
        <v>73</v>
      </c>
      <c r="J109" s="18" t="s">
        <v>31</v>
      </c>
      <c r="K109" s="6">
        <f>IFERROR(VLOOKUP(J109,Jueces!$A$1:$B$11,2,FALSE),"")</f>
        <v>2</v>
      </c>
      <c r="L109" s="6" t="s">
        <v>366</v>
      </c>
      <c r="M109" s="6" t="s">
        <v>287</v>
      </c>
      <c r="N109" s="6" t="s">
        <v>630</v>
      </c>
      <c r="O109" s="49" t="str">
        <f t="shared" ca="1" si="4"/>
        <v>SI</v>
      </c>
      <c r="P109" s="49" t="str">
        <f t="shared" si="5"/>
        <v>DIANOSOL</v>
      </c>
      <c r="Q109" s="6" t="s">
        <v>904</v>
      </c>
      <c r="R109" s="6" t="str">
        <f>VLOOKUP($Q109,Resultados!$A$1:$B$49,2,FALSE)</f>
        <v>Juicio Abreviado</v>
      </c>
      <c r="S109" s="6"/>
      <c r="T109" s="71" t="str">
        <f t="shared" si="6"/>
        <v>NO</v>
      </c>
      <c r="U109" s="71">
        <f t="shared" si="7"/>
        <v>4</v>
      </c>
      <c r="V109" s="6"/>
      <c r="W109" s="6"/>
      <c r="X109" s="6"/>
      <c r="Y109" s="6"/>
      <c r="Z109" s="71"/>
      <c r="AA109" s="71"/>
      <c r="AB109" s="71"/>
      <c r="AC109" s="361"/>
    </row>
    <row r="110" spans="1:29" ht="38.25" x14ac:dyDescent="0.2">
      <c r="A110" s="6">
        <v>107</v>
      </c>
      <c r="B110" s="18">
        <v>45000</v>
      </c>
      <c r="C110" s="14">
        <v>0.53749999999999998</v>
      </c>
      <c r="D110" s="6" t="s">
        <v>395</v>
      </c>
      <c r="E110" s="40" t="s">
        <v>396</v>
      </c>
      <c r="F110" s="6">
        <v>4</v>
      </c>
      <c r="G110" s="6" t="s">
        <v>34</v>
      </c>
      <c r="H110" s="18">
        <v>45027</v>
      </c>
      <c r="I110" s="6" t="s">
        <v>73</v>
      </c>
      <c r="J110" s="18" t="s">
        <v>78</v>
      </c>
      <c r="K110" s="6">
        <f>IFERROR(VLOOKUP(J110,Jueces!$A$1:$B$11,2,FALSE),"")</f>
        <v>8</v>
      </c>
      <c r="L110" s="6" t="s">
        <v>401</v>
      </c>
      <c r="M110" s="6" t="s">
        <v>363</v>
      </c>
      <c r="N110" s="6" t="s">
        <v>622</v>
      </c>
      <c r="O110" s="49" t="str">
        <f t="shared" ca="1" si="4"/>
        <v>SI</v>
      </c>
      <c r="P110" s="49" t="str">
        <f t="shared" si="5"/>
        <v>DIANOSOL</v>
      </c>
      <c r="Q110" s="6" t="s">
        <v>904</v>
      </c>
      <c r="R110" s="6" t="str">
        <f>VLOOKUP($Q110,Resultados!$A$1:$B$49,2,FALSE)</f>
        <v>Juicio Abreviado</v>
      </c>
      <c r="S110" s="6"/>
      <c r="T110" s="71" t="str">
        <f t="shared" si="6"/>
        <v>NO</v>
      </c>
      <c r="U110" s="71">
        <f t="shared" si="7"/>
        <v>4</v>
      </c>
      <c r="V110" s="6"/>
      <c r="W110" s="6"/>
      <c r="X110" s="6"/>
      <c r="Y110" s="6"/>
      <c r="Z110" s="71"/>
      <c r="AA110" s="71"/>
      <c r="AB110" s="71"/>
      <c r="AC110" s="361"/>
    </row>
    <row r="111" spans="1:29" ht="76.5" x14ac:dyDescent="0.2">
      <c r="A111" s="6">
        <v>108</v>
      </c>
      <c r="B111" s="18">
        <v>45016</v>
      </c>
      <c r="C111" s="14">
        <v>0.5</v>
      </c>
      <c r="D111" s="6" t="s">
        <v>604</v>
      </c>
      <c r="E111" s="40" t="s">
        <v>603</v>
      </c>
      <c r="F111" s="6">
        <v>4</v>
      </c>
      <c r="G111" s="6" t="s">
        <v>568</v>
      </c>
      <c r="H111" s="18">
        <v>45028</v>
      </c>
      <c r="I111" s="6" t="s">
        <v>73</v>
      </c>
      <c r="J111" s="18" t="s">
        <v>35</v>
      </c>
      <c r="K111" s="6">
        <f>IFERROR(VLOOKUP(J111,Jueces!$A$1:$B$11,2,FALSE),"")</f>
        <v>3</v>
      </c>
      <c r="L111" s="6" t="s">
        <v>413</v>
      </c>
      <c r="M111" s="6" t="s">
        <v>602</v>
      </c>
      <c r="N111" s="6" t="s">
        <v>629</v>
      </c>
      <c r="O111" s="49" t="str">
        <f t="shared" ca="1" si="4"/>
        <v>SI</v>
      </c>
      <c r="P111" s="49" t="str">
        <f t="shared" si="5"/>
        <v>DIANOSOL</v>
      </c>
      <c r="Q111" s="6" t="s">
        <v>904</v>
      </c>
      <c r="R111" s="6" t="str">
        <f>VLOOKUP($Q111,Resultados!$A$1:$B$49,2,FALSE)</f>
        <v>Juicio Abreviado</v>
      </c>
      <c r="S111" s="6"/>
      <c r="T111" s="71" t="str">
        <f t="shared" si="6"/>
        <v>NO</v>
      </c>
      <c r="U111" s="71">
        <f t="shared" si="7"/>
        <v>4</v>
      </c>
      <c r="V111" s="6"/>
      <c r="W111" s="6"/>
      <c r="X111" s="6"/>
      <c r="Y111" s="6"/>
      <c r="Z111" s="71"/>
      <c r="AA111" s="71"/>
      <c r="AB111" s="71"/>
      <c r="AC111" s="361"/>
    </row>
    <row r="112" spans="1:29" ht="38.25" x14ac:dyDescent="0.2">
      <c r="A112" s="6">
        <v>109</v>
      </c>
      <c r="B112" s="18">
        <v>45001</v>
      </c>
      <c r="C112" s="14">
        <v>0.41666666666666669</v>
      </c>
      <c r="D112" s="6" t="s">
        <v>544</v>
      </c>
      <c r="E112" s="40" t="s">
        <v>538</v>
      </c>
      <c r="F112" s="6">
        <v>4</v>
      </c>
      <c r="G112" s="6" t="s">
        <v>1441</v>
      </c>
      <c r="H112" s="18">
        <v>45028</v>
      </c>
      <c r="I112" s="6" t="s">
        <v>73</v>
      </c>
      <c r="J112" s="18" t="s">
        <v>35</v>
      </c>
      <c r="K112" s="6">
        <f>IFERROR(VLOOKUP(J112,Jueces!$A$1:$B$11,2,FALSE),"")</f>
        <v>3</v>
      </c>
      <c r="L112" s="6" t="s">
        <v>142</v>
      </c>
      <c r="M112" s="6" t="s">
        <v>363</v>
      </c>
      <c r="N112" s="6" t="s">
        <v>625</v>
      </c>
      <c r="O112" s="49" t="str">
        <f t="shared" ca="1" si="4"/>
        <v>SI</v>
      </c>
      <c r="P112" s="49" t="str">
        <f t="shared" si="5"/>
        <v>DIANOSOL</v>
      </c>
      <c r="Q112" s="6" t="s">
        <v>905</v>
      </c>
      <c r="R112" s="6" t="str">
        <f>VLOOKUP($Q112,Resultados!$A$1:$B$49,2,FALSE)</f>
        <v>Juicio Abreviado</v>
      </c>
      <c r="S112" s="6"/>
      <c r="T112" s="71" t="str">
        <f t="shared" si="6"/>
        <v>NO</v>
      </c>
      <c r="U112" s="71">
        <f t="shared" si="7"/>
        <v>4</v>
      </c>
      <c r="V112" s="6"/>
      <c r="W112" s="6"/>
      <c r="X112" s="6"/>
      <c r="Y112" s="6"/>
      <c r="Z112" s="71"/>
      <c r="AA112" s="71"/>
      <c r="AB112" s="71"/>
      <c r="AC112" s="361"/>
    </row>
    <row r="113" spans="1:29" ht="51" x14ac:dyDescent="0.2">
      <c r="A113" s="6">
        <v>110</v>
      </c>
      <c r="B113" s="18">
        <v>44999</v>
      </c>
      <c r="C113" s="14">
        <v>0.52847222222222223</v>
      </c>
      <c r="D113" s="6" t="s">
        <v>378</v>
      </c>
      <c r="E113" s="40" t="s">
        <v>376</v>
      </c>
      <c r="F113" s="6">
        <v>4</v>
      </c>
      <c r="G113" s="6" t="s">
        <v>32</v>
      </c>
      <c r="H113" s="18">
        <v>45028</v>
      </c>
      <c r="I113" s="6" t="s">
        <v>73</v>
      </c>
      <c r="J113" s="18" t="s">
        <v>33</v>
      </c>
      <c r="K113" s="6">
        <f>IFERROR(VLOOKUP(J113,Jueces!$A$1:$B$11,2,FALSE),"")</f>
        <v>4</v>
      </c>
      <c r="L113" s="6" t="s">
        <v>313</v>
      </c>
      <c r="M113" s="6" t="s">
        <v>287</v>
      </c>
      <c r="N113" s="6" t="s">
        <v>626</v>
      </c>
      <c r="O113" s="49" t="str">
        <f t="shared" ca="1" si="4"/>
        <v>SI</v>
      </c>
      <c r="P113" s="49" t="str">
        <f t="shared" si="5"/>
        <v>DIANOSOL</v>
      </c>
      <c r="Q113" s="6" t="s">
        <v>905</v>
      </c>
      <c r="R113" s="6" t="str">
        <f>VLOOKUP($Q113,Resultados!$A$1:$B$49,2,FALSE)</f>
        <v>Juicio Abreviado</v>
      </c>
      <c r="S113" s="6"/>
      <c r="T113" s="71" t="str">
        <f t="shared" si="6"/>
        <v>NO</v>
      </c>
      <c r="U113" s="71">
        <f t="shared" si="7"/>
        <v>4</v>
      </c>
      <c r="V113" s="6"/>
      <c r="W113" s="6"/>
      <c r="X113" s="6"/>
      <c r="Y113" s="6"/>
      <c r="Z113" s="71"/>
      <c r="AA113" s="71"/>
      <c r="AB113" s="71"/>
      <c r="AC113" s="361"/>
    </row>
    <row r="114" spans="1:29" ht="38.25" x14ac:dyDescent="0.2">
      <c r="A114" s="6">
        <v>111</v>
      </c>
      <c r="B114" s="18">
        <v>45001</v>
      </c>
      <c r="C114" s="14">
        <v>0.44097222222222227</v>
      </c>
      <c r="D114" s="6" t="s">
        <v>408</v>
      </c>
      <c r="E114" s="40" t="s">
        <v>404</v>
      </c>
      <c r="F114" s="6">
        <v>4</v>
      </c>
      <c r="G114" s="6" t="s">
        <v>29</v>
      </c>
      <c r="H114" s="18">
        <v>45028</v>
      </c>
      <c r="I114" s="6" t="s">
        <v>73</v>
      </c>
      <c r="J114" s="18" t="s">
        <v>78</v>
      </c>
      <c r="K114" s="6">
        <f>IFERROR(VLOOKUP(J114,Jueces!$A$1:$B$11,2,FALSE),"")</f>
        <v>8</v>
      </c>
      <c r="L114" s="6" t="s">
        <v>406</v>
      </c>
      <c r="M114" s="6" t="s">
        <v>407</v>
      </c>
      <c r="N114" s="6" t="s">
        <v>624</v>
      </c>
      <c r="O114" s="49" t="str">
        <f t="shared" ca="1" si="4"/>
        <v>SI</v>
      </c>
      <c r="P114" s="49" t="str">
        <f t="shared" si="5"/>
        <v>DIANOSOL</v>
      </c>
      <c r="Q114" s="6" t="s">
        <v>904</v>
      </c>
      <c r="R114" s="6" t="str">
        <f>VLOOKUP($Q114,Resultados!$A$1:$B$49,2,FALSE)</f>
        <v>Juicio Abreviado</v>
      </c>
      <c r="S114" s="6"/>
      <c r="T114" s="71" t="str">
        <f t="shared" si="6"/>
        <v>NO</v>
      </c>
      <c r="U114" s="71">
        <f t="shared" si="7"/>
        <v>4</v>
      </c>
      <c r="V114" s="6"/>
      <c r="W114" s="6"/>
      <c r="X114" s="6"/>
      <c r="Y114" s="6"/>
      <c r="Z114" s="71"/>
      <c r="AA114" s="71"/>
      <c r="AB114" s="71"/>
      <c r="AC114" s="361"/>
    </row>
    <row r="115" spans="1:29" ht="38.25" x14ac:dyDescent="0.2">
      <c r="A115" s="6">
        <v>112</v>
      </c>
      <c r="B115" s="18">
        <v>45001</v>
      </c>
      <c r="C115" s="14">
        <v>0.43958333333333338</v>
      </c>
      <c r="D115" s="6" t="s">
        <v>402</v>
      </c>
      <c r="E115" s="40" t="s">
        <v>403</v>
      </c>
      <c r="F115" s="6">
        <v>4</v>
      </c>
      <c r="G115" s="6" t="s">
        <v>32</v>
      </c>
      <c r="H115" s="18">
        <v>45029</v>
      </c>
      <c r="I115" s="6" t="s">
        <v>73</v>
      </c>
      <c r="J115" s="18" t="s">
        <v>35</v>
      </c>
      <c r="K115" s="6">
        <f>IFERROR(VLOOKUP(J115,Jueces!$A$1:$B$11,2,FALSE),"")</f>
        <v>3</v>
      </c>
      <c r="L115" s="6" t="s">
        <v>102</v>
      </c>
      <c r="M115" s="6" t="s">
        <v>363</v>
      </c>
      <c r="N115" s="6" t="s">
        <v>636</v>
      </c>
      <c r="O115" s="49" t="str">
        <f t="shared" ca="1" si="4"/>
        <v>SI</v>
      </c>
      <c r="P115" s="49" t="str">
        <f t="shared" si="5"/>
        <v>DIANOSOL</v>
      </c>
      <c r="Q115" s="6" t="s">
        <v>909</v>
      </c>
      <c r="R115" s="6" t="str">
        <f>VLOOKUP($Q115,Resultados!$A$1:$B$49,2,FALSE)</f>
        <v>Suspensión de juicio a prueba</v>
      </c>
      <c r="S115" s="6"/>
      <c r="T115" s="71" t="str">
        <f t="shared" si="6"/>
        <v>NO</v>
      </c>
      <c r="U115" s="71">
        <f t="shared" si="7"/>
        <v>4</v>
      </c>
      <c r="V115" s="6"/>
      <c r="W115" s="6"/>
      <c r="X115" s="6"/>
      <c r="Y115" s="6"/>
      <c r="Z115" s="71"/>
      <c r="AA115" s="71"/>
      <c r="AB115" s="71"/>
      <c r="AC115" s="361"/>
    </row>
    <row r="116" spans="1:29" ht="63.75" x14ac:dyDescent="0.2">
      <c r="A116" s="6">
        <v>113</v>
      </c>
      <c r="B116" s="18">
        <v>44998</v>
      </c>
      <c r="C116" s="14">
        <v>0.40069444444444446</v>
      </c>
      <c r="D116" s="6" t="s">
        <v>323</v>
      </c>
      <c r="E116" s="40" t="s">
        <v>633</v>
      </c>
      <c r="F116" s="6">
        <v>4</v>
      </c>
      <c r="G116" s="6" t="s">
        <v>43</v>
      </c>
      <c r="H116" s="18">
        <v>45029</v>
      </c>
      <c r="I116" s="6" t="s">
        <v>73</v>
      </c>
      <c r="J116" s="18" t="s">
        <v>31</v>
      </c>
      <c r="K116" s="6">
        <f>IFERROR(VLOOKUP(J116,Jueces!$A$1:$B$11,2,FALSE),"")</f>
        <v>2</v>
      </c>
      <c r="L116" s="6" t="s">
        <v>330</v>
      </c>
      <c r="M116" s="6" t="s">
        <v>287</v>
      </c>
      <c r="N116" s="6" t="s">
        <v>632</v>
      </c>
      <c r="O116" s="49" t="str">
        <f t="shared" ca="1" si="4"/>
        <v>SI</v>
      </c>
      <c r="P116" s="49" t="str">
        <f t="shared" si="5"/>
        <v>DIANOSOL</v>
      </c>
      <c r="Q116" s="6" t="s">
        <v>905</v>
      </c>
      <c r="R116" s="6" t="str">
        <f>VLOOKUP($Q116,Resultados!$A$1:$B$49,2,FALSE)</f>
        <v>Juicio Abreviado</v>
      </c>
      <c r="S116" s="6"/>
      <c r="T116" s="71" t="str">
        <f t="shared" si="6"/>
        <v>NO</v>
      </c>
      <c r="U116" s="71">
        <f t="shared" si="7"/>
        <v>4</v>
      </c>
      <c r="V116" s="6"/>
      <c r="W116" s="6"/>
      <c r="X116" s="6"/>
      <c r="Y116" s="6"/>
      <c r="Z116" s="71"/>
      <c r="AA116" s="71"/>
      <c r="AB116" s="71"/>
      <c r="AC116" s="361"/>
    </row>
    <row r="117" spans="1:29" ht="38.25" x14ac:dyDescent="0.2">
      <c r="A117" s="6">
        <v>114</v>
      </c>
      <c r="B117" s="18">
        <v>45007</v>
      </c>
      <c r="C117" s="14">
        <v>0.54027777777777775</v>
      </c>
      <c r="D117" s="6" t="s">
        <v>489</v>
      </c>
      <c r="E117" s="40" t="s">
        <v>541</v>
      </c>
      <c r="F117" s="6">
        <v>4</v>
      </c>
      <c r="G117" s="6" t="s">
        <v>29</v>
      </c>
      <c r="H117" s="18">
        <v>45029</v>
      </c>
      <c r="I117" s="6" t="s">
        <v>76</v>
      </c>
      <c r="J117" s="18" t="s">
        <v>35</v>
      </c>
      <c r="K117" s="6">
        <f>IFERROR(VLOOKUP(J117,Jueces!$A$1:$B$11,2,FALSE),"")</f>
        <v>3</v>
      </c>
      <c r="L117" s="6" t="s">
        <v>313</v>
      </c>
      <c r="M117" s="6" t="s">
        <v>634</v>
      </c>
      <c r="N117" s="6" t="s">
        <v>635</v>
      </c>
      <c r="O117" s="49" t="str">
        <f t="shared" ca="1" si="4"/>
        <v>SI</v>
      </c>
      <c r="P117" s="49" t="str">
        <f t="shared" si="5"/>
        <v>DIANOSOL</v>
      </c>
      <c r="Q117" s="6" t="s">
        <v>151</v>
      </c>
      <c r="R117" s="6" t="str">
        <f>VLOOKUP($Q117,Resultados!$A$1:$B$49,2,FALSE)</f>
        <v>Prisión Preventiva</v>
      </c>
      <c r="S117" s="6"/>
      <c r="T117" s="71" t="str">
        <f t="shared" si="6"/>
        <v>NO</v>
      </c>
      <c r="U117" s="71">
        <f t="shared" si="7"/>
        <v>4</v>
      </c>
      <c r="V117" s="6"/>
      <c r="W117" s="6"/>
      <c r="X117" s="6"/>
      <c r="Y117" s="6"/>
      <c r="Z117" s="71"/>
      <c r="AA117" s="71"/>
      <c r="AB117" s="71"/>
      <c r="AC117" s="361"/>
    </row>
    <row r="118" spans="1:29" ht="38.25" x14ac:dyDescent="0.2">
      <c r="A118" s="6">
        <v>115</v>
      </c>
      <c r="B118" s="18">
        <v>45002</v>
      </c>
      <c r="C118" s="14">
        <v>0.34930555555555554</v>
      </c>
      <c r="D118" s="6" t="s">
        <v>441</v>
      </c>
      <c r="E118" s="40" t="s">
        <v>444</v>
      </c>
      <c r="F118" s="6">
        <v>4</v>
      </c>
      <c r="G118" s="6" t="s">
        <v>283</v>
      </c>
      <c r="H118" s="18">
        <v>45029</v>
      </c>
      <c r="I118" s="6" t="s">
        <v>228</v>
      </c>
      <c r="J118" s="18" t="s">
        <v>78</v>
      </c>
      <c r="K118" s="6">
        <f>IFERROR(VLOOKUP(J118,Jueces!$A$1:$B$11,2,FALSE),"")</f>
        <v>8</v>
      </c>
      <c r="L118" s="6" t="s">
        <v>688</v>
      </c>
      <c r="M118" s="6" t="s">
        <v>363</v>
      </c>
      <c r="N118" s="6" t="s">
        <v>635</v>
      </c>
      <c r="O118" s="49" t="str">
        <f t="shared" ca="1" si="4"/>
        <v>SI</v>
      </c>
      <c r="P118" s="49" t="str">
        <f t="shared" si="5"/>
        <v>DIANOSOL</v>
      </c>
      <c r="Q118" s="6" t="s">
        <v>151</v>
      </c>
      <c r="R118" s="6" t="str">
        <f>VLOOKUP($Q118,Resultados!$A$1:$B$49,2,FALSE)</f>
        <v>Prisión Preventiva</v>
      </c>
      <c r="S118" s="6"/>
      <c r="T118" s="71" t="str">
        <f t="shared" si="6"/>
        <v>NO</v>
      </c>
      <c r="U118" s="71">
        <f t="shared" si="7"/>
        <v>4</v>
      </c>
      <c r="V118" s="6"/>
      <c r="W118" s="6"/>
      <c r="X118" s="6"/>
      <c r="Y118" s="6"/>
      <c r="Z118" s="71"/>
      <c r="AA118" s="71"/>
      <c r="AB118" s="71"/>
      <c r="AC118" s="361"/>
    </row>
    <row r="119" spans="1:29" ht="89.25" x14ac:dyDescent="0.2">
      <c r="A119" s="6">
        <v>116</v>
      </c>
      <c r="B119" s="18">
        <v>45000</v>
      </c>
      <c r="C119" s="14">
        <v>0.53541666666666665</v>
      </c>
      <c r="D119" s="6" t="s">
        <v>418</v>
      </c>
      <c r="E119" s="40" t="s">
        <v>421</v>
      </c>
      <c r="F119" s="6">
        <v>4</v>
      </c>
      <c r="G119" s="6" t="s">
        <v>43</v>
      </c>
      <c r="H119" s="18">
        <v>45030</v>
      </c>
      <c r="I119" s="6" t="s">
        <v>73</v>
      </c>
      <c r="J119" s="18" t="s">
        <v>78</v>
      </c>
      <c r="K119" s="6">
        <f>IFERROR(VLOOKUP(J119,Jueces!$A$1:$B$11,2,FALSE),"")</f>
        <v>8</v>
      </c>
      <c r="L119" s="6" t="s">
        <v>192</v>
      </c>
      <c r="M119" s="6" t="s">
        <v>422</v>
      </c>
      <c r="N119" s="6" t="s">
        <v>619</v>
      </c>
      <c r="O119" s="49" t="str">
        <f t="shared" ca="1" si="4"/>
        <v>SI</v>
      </c>
      <c r="P119" s="49" t="str">
        <f t="shared" si="5"/>
        <v>DIANOSOL</v>
      </c>
      <c r="Q119" s="6" t="s">
        <v>905</v>
      </c>
      <c r="R119" s="6" t="str">
        <f>VLOOKUP($Q119,Resultados!$A$1:$B$49,2,FALSE)</f>
        <v>Juicio Abreviado</v>
      </c>
      <c r="S119" s="6"/>
      <c r="T119" s="71" t="str">
        <f t="shared" si="6"/>
        <v>NO</v>
      </c>
      <c r="U119" s="71">
        <f t="shared" si="7"/>
        <v>4</v>
      </c>
      <c r="V119" s="6"/>
      <c r="W119" s="6"/>
      <c r="X119" s="6"/>
      <c r="Y119" s="6"/>
      <c r="Z119" s="71"/>
      <c r="AA119" s="71"/>
      <c r="AB119" s="71"/>
      <c r="AC119" s="361"/>
    </row>
    <row r="120" spans="1:29" ht="38.25" x14ac:dyDescent="0.2">
      <c r="A120" s="6">
        <v>117</v>
      </c>
      <c r="B120" s="18">
        <v>45012</v>
      </c>
      <c r="C120" s="14">
        <v>0.33333333333333331</v>
      </c>
      <c r="D120" s="6" t="s">
        <v>515</v>
      </c>
      <c r="E120" s="40" t="s">
        <v>518</v>
      </c>
      <c r="F120" s="6">
        <v>4</v>
      </c>
      <c r="G120" s="6" t="s">
        <v>29</v>
      </c>
      <c r="H120" s="18">
        <v>45030</v>
      </c>
      <c r="I120" s="6" t="s">
        <v>73</v>
      </c>
      <c r="J120" s="18" t="s">
        <v>35</v>
      </c>
      <c r="K120" s="6">
        <f>IFERROR(VLOOKUP(J120,Jueces!$A$1:$B$11,2,FALSE),"")</f>
        <v>3</v>
      </c>
      <c r="L120" s="6" t="s">
        <v>412</v>
      </c>
      <c r="M120" s="6" t="s">
        <v>638</v>
      </c>
      <c r="N120" s="6" t="s">
        <v>641</v>
      </c>
      <c r="O120" s="49" t="str">
        <f t="shared" ca="1" si="4"/>
        <v>SI</v>
      </c>
      <c r="P120" s="49" t="str">
        <f t="shared" si="5"/>
        <v>DIANOSOL</v>
      </c>
      <c r="Q120" s="6" t="s">
        <v>904</v>
      </c>
      <c r="R120" s="6" t="str">
        <f>VLOOKUP($Q120,Resultados!$A$1:$B$49,2,FALSE)</f>
        <v>Juicio Abreviado</v>
      </c>
      <c r="S120" s="6"/>
      <c r="T120" s="71" t="str">
        <f t="shared" si="6"/>
        <v>NO</v>
      </c>
      <c r="U120" s="71">
        <f t="shared" si="7"/>
        <v>4</v>
      </c>
      <c r="V120" s="6"/>
      <c r="W120" s="6"/>
      <c r="X120" s="6"/>
      <c r="Y120" s="6"/>
      <c r="Z120" s="71"/>
      <c r="AA120" s="71"/>
      <c r="AB120" s="71"/>
      <c r="AC120" s="361"/>
    </row>
    <row r="121" spans="1:29" ht="38.25" x14ac:dyDescent="0.2">
      <c r="A121" s="6">
        <v>118</v>
      </c>
      <c r="B121" s="18">
        <v>45013</v>
      </c>
      <c r="C121" s="14">
        <v>0.41666666666666669</v>
      </c>
      <c r="D121" s="6" t="s">
        <v>539</v>
      </c>
      <c r="E121" s="40" t="s">
        <v>540</v>
      </c>
      <c r="F121" s="6">
        <v>3</v>
      </c>
      <c r="G121" s="6" t="s">
        <v>568</v>
      </c>
      <c r="H121" s="18">
        <v>45030</v>
      </c>
      <c r="I121" s="6" t="s">
        <v>73</v>
      </c>
      <c r="J121" s="18" t="s">
        <v>31</v>
      </c>
      <c r="K121" s="6">
        <f>IFERROR(VLOOKUP(J121,Jueces!$A$1:$B$11,2,FALSE),"")</f>
        <v>2</v>
      </c>
      <c r="L121" s="6" t="s">
        <v>413</v>
      </c>
      <c r="M121" s="6" t="s">
        <v>693</v>
      </c>
      <c r="N121" s="6" t="s">
        <v>640</v>
      </c>
      <c r="O121" s="49" t="str">
        <f t="shared" ca="1" si="4"/>
        <v>SI</v>
      </c>
      <c r="P121" s="49" t="str">
        <f t="shared" si="5"/>
        <v>DIANOSOL</v>
      </c>
      <c r="Q121" s="6" t="s">
        <v>905</v>
      </c>
      <c r="R121" s="6" t="str">
        <f>VLOOKUP($Q121,Resultados!$A$1:$B$49,2,FALSE)</f>
        <v>Juicio Abreviado</v>
      </c>
      <c r="S121" s="6"/>
      <c r="T121" s="71" t="str">
        <f t="shared" si="6"/>
        <v>NO</v>
      </c>
      <c r="U121" s="71">
        <f t="shared" si="7"/>
        <v>4</v>
      </c>
      <c r="V121" s="6"/>
      <c r="W121" s="6"/>
      <c r="X121" s="6"/>
      <c r="Y121" s="6"/>
      <c r="Z121" s="71"/>
      <c r="AA121" s="71"/>
      <c r="AB121" s="71"/>
      <c r="AC121" s="361"/>
    </row>
    <row r="122" spans="1:29" ht="38.25" x14ac:dyDescent="0.2">
      <c r="A122" s="6">
        <v>119</v>
      </c>
      <c r="B122" s="18">
        <v>45001</v>
      </c>
      <c r="C122" s="14">
        <v>0.43402777777777773</v>
      </c>
      <c r="D122" s="6" t="s">
        <v>429</v>
      </c>
      <c r="E122" s="40" t="s">
        <v>646</v>
      </c>
      <c r="F122" s="6">
        <v>4</v>
      </c>
      <c r="G122" s="6" t="s">
        <v>34</v>
      </c>
      <c r="H122" s="18">
        <v>45030</v>
      </c>
      <c r="I122" s="6" t="s">
        <v>76</v>
      </c>
      <c r="J122" s="18" t="s">
        <v>78</v>
      </c>
      <c r="K122" s="6">
        <f>IFERROR(VLOOKUP(J122,Jueces!$A$1:$B$11,2,FALSE),"")</f>
        <v>8</v>
      </c>
      <c r="L122" s="6" t="s">
        <v>247</v>
      </c>
      <c r="M122" s="6" t="s">
        <v>693</v>
      </c>
      <c r="N122" s="6" t="s">
        <v>643</v>
      </c>
      <c r="O122" s="49" t="str">
        <f t="shared" ca="1" si="4"/>
        <v>SI</v>
      </c>
      <c r="P122" s="49" t="str">
        <f t="shared" si="5"/>
        <v>DIANOSOL</v>
      </c>
      <c r="Q122" s="6" t="s">
        <v>151</v>
      </c>
      <c r="R122" s="6" t="str">
        <f>VLOOKUP($Q122,Resultados!$A$1:$B$49,2,FALSE)</f>
        <v>Prisión Preventiva</v>
      </c>
      <c r="S122" s="6"/>
      <c r="T122" s="71" t="str">
        <f t="shared" si="6"/>
        <v>NO</v>
      </c>
      <c r="U122" s="71">
        <f t="shared" si="7"/>
        <v>4</v>
      </c>
      <c r="V122" s="6"/>
      <c r="W122" s="6"/>
      <c r="X122" s="6"/>
      <c r="Y122" s="6"/>
      <c r="Z122" s="71"/>
      <c r="AA122" s="71"/>
      <c r="AB122" s="71"/>
      <c r="AC122" s="361"/>
    </row>
    <row r="123" spans="1:29" ht="51" x14ac:dyDescent="0.2">
      <c r="A123" s="6">
        <v>120</v>
      </c>
      <c r="B123" s="18">
        <v>45005</v>
      </c>
      <c r="C123" s="14">
        <v>0.33333333333333331</v>
      </c>
      <c r="D123" s="6" t="s">
        <v>462</v>
      </c>
      <c r="E123" s="40" t="s">
        <v>463</v>
      </c>
      <c r="F123" s="6">
        <v>4</v>
      </c>
      <c r="G123" s="6" t="s">
        <v>34</v>
      </c>
      <c r="H123" s="18">
        <v>45033</v>
      </c>
      <c r="I123" s="6" t="s">
        <v>73</v>
      </c>
      <c r="J123" s="18" t="s">
        <v>33</v>
      </c>
      <c r="K123" s="6">
        <f>IFERROR(VLOOKUP(J123,Jueces!$A$1:$B$11,2,FALSE),"")</f>
        <v>4</v>
      </c>
      <c r="L123" s="6" t="s">
        <v>409</v>
      </c>
      <c r="M123" s="6" t="s">
        <v>694</v>
      </c>
      <c r="N123" s="6" t="s">
        <v>644</v>
      </c>
      <c r="O123" s="49" t="str">
        <f t="shared" ca="1" si="4"/>
        <v>SI</v>
      </c>
      <c r="P123" s="49" t="str">
        <f t="shared" si="5"/>
        <v>DIANOSOL</v>
      </c>
      <c r="Q123" s="6" t="s">
        <v>904</v>
      </c>
      <c r="R123" s="6" t="str">
        <f>VLOOKUP($Q123,Resultados!$A$1:$B$49,2,FALSE)</f>
        <v>Juicio Abreviado</v>
      </c>
      <c r="S123" s="6"/>
      <c r="T123" s="71" t="str">
        <f t="shared" si="6"/>
        <v>NO</v>
      </c>
      <c r="U123" s="71">
        <f t="shared" si="7"/>
        <v>4</v>
      </c>
      <c r="V123" s="6"/>
      <c r="W123" s="6"/>
      <c r="X123" s="6"/>
      <c r="Y123" s="6"/>
      <c r="Z123" s="71"/>
      <c r="AA123" s="71"/>
      <c r="AB123" s="71"/>
      <c r="AC123" s="361"/>
    </row>
    <row r="124" spans="1:29" ht="38.25" x14ac:dyDescent="0.2">
      <c r="A124" s="6">
        <v>121</v>
      </c>
      <c r="B124" s="18">
        <v>45008</v>
      </c>
      <c r="C124" s="14">
        <v>0.33333333333333331</v>
      </c>
      <c r="D124" s="6" t="s">
        <v>498</v>
      </c>
      <c r="E124" s="40" t="s">
        <v>499</v>
      </c>
      <c r="F124" s="6">
        <v>4</v>
      </c>
      <c r="G124" s="6" t="s">
        <v>32</v>
      </c>
      <c r="H124" s="18">
        <v>45033</v>
      </c>
      <c r="I124" s="6" t="s">
        <v>73</v>
      </c>
      <c r="J124" s="18" t="s">
        <v>78</v>
      </c>
      <c r="K124" s="6">
        <f>IFERROR(VLOOKUP(J124,Jueces!$A$1:$B$11,2,FALSE),"")</f>
        <v>8</v>
      </c>
      <c r="L124" s="6" t="s">
        <v>642</v>
      </c>
      <c r="M124" s="6" t="s">
        <v>695</v>
      </c>
      <c r="N124" s="6" t="s">
        <v>645</v>
      </c>
      <c r="O124" s="49" t="str">
        <f t="shared" ca="1" si="4"/>
        <v>SI</v>
      </c>
      <c r="P124" s="49" t="str">
        <f t="shared" si="5"/>
        <v>DIANOSOL</v>
      </c>
      <c r="Q124" s="6" t="s">
        <v>910</v>
      </c>
      <c r="R124" s="6" t="str">
        <f>VLOOKUP($Q124,Resultados!$A$1:$B$49,2,FALSE)</f>
        <v>Audiencia cancelada - inimputabilidad</v>
      </c>
      <c r="S124" s="6"/>
      <c r="T124" s="71" t="str">
        <f t="shared" si="6"/>
        <v>NO</v>
      </c>
      <c r="U124" s="71">
        <f t="shared" si="7"/>
        <v>4</v>
      </c>
      <c r="V124" s="6"/>
      <c r="W124" s="6"/>
      <c r="X124" s="6"/>
      <c r="Y124" s="6"/>
      <c r="Z124" s="71"/>
      <c r="AA124" s="71"/>
      <c r="AB124" s="71"/>
      <c r="AC124" s="361"/>
    </row>
    <row r="125" spans="1:29" ht="51" x14ac:dyDescent="0.2">
      <c r="A125" s="6">
        <v>122</v>
      </c>
      <c r="B125" s="18">
        <v>45000</v>
      </c>
      <c r="C125" s="14">
        <v>0.53611111111111109</v>
      </c>
      <c r="D125" s="6" t="s">
        <v>427</v>
      </c>
      <c r="E125" s="40" t="s">
        <v>428</v>
      </c>
      <c r="F125" s="6">
        <v>4</v>
      </c>
      <c r="G125" s="6" t="s">
        <v>43</v>
      </c>
      <c r="H125" s="18">
        <v>45033</v>
      </c>
      <c r="I125" s="6" t="s">
        <v>228</v>
      </c>
      <c r="J125" s="18" t="s">
        <v>78</v>
      </c>
      <c r="K125" s="6">
        <f>IFERROR(VLOOKUP(J125,Jueces!$A$1:$B$11,2,FALSE),"")</f>
        <v>8</v>
      </c>
      <c r="L125" s="6" t="s">
        <v>247</v>
      </c>
      <c r="M125" s="6" t="s">
        <v>694</v>
      </c>
      <c r="N125" s="6" t="s">
        <v>648</v>
      </c>
      <c r="O125" s="49" t="str">
        <f t="shared" ca="1" si="4"/>
        <v>SI</v>
      </c>
      <c r="P125" s="49" t="str">
        <f t="shared" si="5"/>
        <v>DIANOSOL</v>
      </c>
      <c r="Q125" s="6" t="s">
        <v>151</v>
      </c>
      <c r="R125" s="6" t="str">
        <f>VLOOKUP($Q125,Resultados!$A$1:$B$49,2,FALSE)</f>
        <v>Prisión Preventiva</v>
      </c>
      <c r="S125" s="6"/>
      <c r="T125" s="71" t="str">
        <f t="shared" si="6"/>
        <v>NO</v>
      </c>
      <c r="U125" s="71">
        <f t="shared" si="7"/>
        <v>4</v>
      </c>
      <c r="V125" s="6"/>
      <c r="W125" s="6"/>
      <c r="X125" s="6"/>
      <c r="Y125" s="6"/>
      <c r="Z125" s="71"/>
      <c r="AA125" s="71"/>
      <c r="AB125" s="71"/>
      <c r="AC125" s="361"/>
    </row>
    <row r="126" spans="1:29" ht="102" x14ac:dyDescent="0.2">
      <c r="A126" s="6">
        <v>123</v>
      </c>
      <c r="B126" s="18">
        <v>44999</v>
      </c>
      <c r="C126" s="14">
        <v>0.52708333333333335</v>
      </c>
      <c r="D126" s="6" t="s">
        <v>397</v>
      </c>
      <c r="E126" s="40" t="s">
        <v>398</v>
      </c>
      <c r="F126" s="6">
        <v>4</v>
      </c>
      <c r="G126" s="6" t="s">
        <v>283</v>
      </c>
      <c r="H126" s="18">
        <v>45034</v>
      </c>
      <c r="I126" s="6" t="s">
        <v>73</v>
      </c>
      <c r="J126" s="18" t="s">
        <v>33</v>
      </c>
      <c r="K126" s="6">
        <f>IFERROR(VLOOKUP(J126,Jueces!$A$1:$B$11,2,FALSE),"")</f>
        <v>4</v>
      </c>
      <c r="L126" s="6" t="s">
        <v>247</v>
      </c>
      <c r="M126" s="6" t="s">
        <v>695</v>
      </c>
      <c r="N126" s="6" t="s">
        <v>654</v>
      </c>
      <c r="O126" s="49" t="str">
        <f t="shared" ca="1" si="4"/>
        <v>SI</v>
      </c>
      <c r="P126" s="49" t="str">
        <f t="shared" si="5"/>
        <v>DIANOSOL</v>
      </c>
      <c r="Q126" s="6" t="s">
        <v>904</v>
      </c>
      <c r="R126" s="6" t="str">
        <f>VLOOKUP($Q126,Resultados!$A$1:$B$49,2,FALSE)</f>
        <v>Juicio Abreviado</v>
      </c>
      <c r="S126" s="6"/>
      <c r="T126" s="71" t="str">
        <f t="shared" si="6"/>
        <v>NO</v>
      </c>
      <c r="U126" s="71">
        <f t="shared" si="7"/>
        <v>4</v>
      </c>
      <c r="V126" s="6"/>
      <c r="W126" s="6"/>
      <c r="X126" s="6"/>
      <c r="Y126" s="6"/>
      <c r="Z126" s="71"/>
      <c r="AA126" s="71"/>
      <c r="AB126" s="71"/>
      <c r="AC126" s="361"/>
    </row>
    <row r="127" spans="1:29" ht="51" x14ac:dyDescent="0.2">
      <c r="A127" s="6">
        <v>124</v>
      </c>
      <c r="B127" s="18">
        <v>45006</v>
      </c>
      <c r="C127" s="14">
        <v>0.37013888888888885</v>
      </c>
      <c r="D127" s="6" t="s">
        <v>464</v>
      </c>
      <c r="E127" s="40" t="s">
        <v>465</v>
      </c>
      <c r="F127" s="6">
        <v>3</v>
      </c>
      <c r="G127" s="6" t="s">
        <v>29</v>
      </c>
      <c r="H127" s="18">
        <v>45034</v>
      </c>
      <c r="I127" s="6" t="s">
        <v>73</v>
      </c>
      <c r="J127" s="18" t="s">
        <v>35</v>
      </c>
      <c r="K127" s="6">
        <f>IFERROR(VLOOKUP(J127,Jueces!$A$1:$B$11,2,FALSE),"")</f>
        <v>3</v>
      </c>
      <c r="L127" s="6" t="s">
        <v>688</v>
      </c>
      <c r="M127" s="6" t="s">
        <v>652</v>
      </c>
      <c r="N127" s="6" t="s">
        <v>235</v>
      </c>
      <c r="O127" s="49" t="str">
        <f t="shared" ca="1" si="4"/>
        <v>SI</v>
      </c>
      <c r="P127" s="49" t="str">
        <f t="shared" si="5"/>
        <v>DIANOSOL</v>
      </c>
      <c r="Q127" s="6" t="s">
        <v>151</v>
      </c>
      <c r="R127" s="6" t="str">
        <f>VLOOKUP($Q127,Resultados!$A$1:$B$49,2,FALSE)</f>
        <v>Prisión Preventiva</v>
      </c>
      <c r="S127" s="6"/>
      <c r="T127" s="71" t="str">
        <f t="shared" si="6"/>
        <v>NO</v>
      </c>
      <c r="U127" s="71">
        <f t="shared" si="7"/>
        <v>4</v>
      </c>
      <c r="V127" s="6"/>
      <c r="W127" s="6"/>
      <c r="X127" s="6"/>
      <c r="Y127" s="6"/>
      <c r="Z127" s="71"/>
      <c r="AA127" s="71"/>
      <c r="AB127" s="71"/>
      <c r="AC127" s="361"/>
    </row>
    <row r="128" spans="1:29" ht="51" x14ac:dyDescent="0.2">
      <c r="A128" s="6">
        <v>125</v>
      </c>
      <c r="B128" s="18">
        <v>45006</v>
      </c>
      <c r="C128" s="14">
        <v>0.3611111111111111</v>
      </c>
      <c r="D128" s="6" t="s">
        <v>470</v>
      </c>
      <c r="E128" s="40" t="s">
        <v>647</v>
      </c>
      <c r="F128" s="6">
        <v>3</v>
      </c>
      <c r="G128" s="6" t="s">
        <v>1441</v>
      </c>
      <c r="H128" s="18">
        <v>45034</v>
      </c>
      <c r="I128" s="6" t="s">
        <v>73</v>
      </c>
      <c r="J128" s="18" t="s">
        <v>78</v>
      </c>
      <c r="K128" s="6">
        <f>IFERROR(VLOOKUP(J128,Jueces!$A$1:$B$11,2,FALSE),"")</f>
        <v>8</v>
      </c>
      <c r="L128" s="6" t="s">
        <v>380</v>
      </c>
      <c r="M128" s="6" t="s">
        <v>692</v>
      </c>
      <c r="N128" s="6" t="s">
        <v>653</v>
      </c>
      <c r="O128" s="49" t="str">
        <f t="shared" ca="1" si="4"/>
        <v>SI</v>
      </c>
      <c r="P128" s="49" t="str">
        <f t="shared" si="5"/>
        <v>DIANOSOL</v>
      </c>
      <c r="Q128" s="6" t="s">
        <v>905</v>
      </c>
      <c r="R128" s="6" t="str">
        <f>VLOOKUP($Q128,Resultados!$A$1:$B$49,2,FALSE)</f>
        <v>Juicio Abreviado</v>
      </c>
      <c r="S128" s="6"/>
      <c r="T128" s="71" t="str">
        <f t="shared" si="6"/>
        <v>NO</v>
      </c>
      <c r="U128" s="71">
        <f t="shared" si="7"/>
        <v>4</v>
      </c>
      <c r="V128" s="6"/>
      <c r="W128" s="6"/>
      <c r="X128" s="6"/>
      <c r="Y128" s="6"/>
      <c r="Z128" s="71"/>
      <c r="AA128" s="71"/>
      <c r="AB128" s="71"/>
      <c r="AC128" s="361"/>
    </row>
    <row r="129" spans="1:29" ht="38.25" x14ac:dyDescent="0.2">
      <c r="A129" s="6">
        <v>126</v>
      </c>
      <c r="B129" s="18">
        <v>45005</v>
      </c>
      <c r="C129" s="14">
        <v>0.49444444444444446</v>
      </c>
      <c r="D129" s="6" t="s">
        <v>480</v>
      </c>
      <c r="E129" s="40" t="s">
        <v>479</v>
      </c>
      <c r="F129" s="6">
        <v>4</v>
      </c>
      <c r="G129" s="6" t="s">
        <v>32</v>
      </c>
      <c r="H129" s="18">
        <v>45034</v>
      </c>
      <c r="I129" s="6" t="s">
        <v>73</v>
      </c>
      <c r="J129" s="18" t="s">
        <v>31</v>
      </c>
      <c r="K129" s="6">
        <f>IFERROR(VLOOKUP(J129,Jueces!$A$1:$B$11,2,FALSE),"")</f>
        <v>2</v>
      </c>
      <c r="L129" s="6" t="s">
        <v>413</v>
      </c>
      <c r="M129" s="6" t="s">
        <v>694</v>
      </c>
      <c r="N129" s="6" t="s">
        <v>658</v>
      </c>
      <c r="O129" s="49" t="str">
        <f t="shared" ca="1" si="4"/>
        <v>SI</v>
      </c>
      <c r="P129" s="49" t="str">
        <f t="shared" si="5"/>
        <v>DIANOSOL</v>
      </c>
      <c r="Q129" s="6" t="s">
        <v>904</v>
      </c>
      <c r="R129" s="6" t="str">
        <f>VLOOKUP($Q129,Resultados!$A$1:$B$49,2,FALSE)</f>
        <v>Juicio Abreviado</v>
      </c>
      <c r="S129" s="6"/>
      <c r="T129" s="71" t="str">
        <f t="shared" si="6"/>
        <v>NO</v>
      </c>
      <c r="U129" s="71">
        <f t="shared" si="7"/>
        <v>4</v>
      </c>
      <c r="V129" s="6"/>
      <c r="W129" s="6"/>
      <c r="X129" s="6"/>
      <c r="Y129" s="6"/>
      <c r="Z129" s="71"/>
      <c r="AA129" s="71"/>
      <c r="AB129" s="71"/>
      <c r="AC129" s="361"/>
    </row>
    <row r="130" spans="1:29" ht="25.5" x14ac:dyDescent="0.2">
      <c r="A130" s="6">
        <v>127</v>
      </c>
      <c r="B130" s="18">
        <v>45008</v>
      </c>
      <c r="C130" s="14">
        <v>0.33333333333333331</v>
      </c>
      <c r="D130" s="6" t="s">
        <v>503</v>
      </c>
      <c r="E130" s="40" t="s">
        <v>504</v>
      </c>
      <c r="F130" s="6">
        <v>4</v>
      </c>
      <c r="G130" s="6" t="s">
        <v>34</v>
      </c>
      <c r="H130" s="18">
        <v>45034</v>
      </c>
      <c r="I130" s="6" t="s">
        <v>76</v>
      </c>
      <c r="J130" s="18" t="s">
        <v>35</v>
      </c>
      <c r="K130" s="6">
        <f>IFERROR(VLOOKUP(J130,Jueces!$A$1:$B$11,2,FALSE),"")</f>
        <v>3</v>
      </c>
      <c r="L130" s="6" t="s">
        <v>411</v>
      </c>
      <c r="M130" s="6" t="s">
        <v>694</v>
      </c>
      <c r="N130" s="6" t="s">
        <v>660</v>
      </c>
      <c r="O130" s="49" t="str">
        <f t="shared" ca="1" si="4"/>
        <v>SI</v>
      </c>
      <c r="P130" s="49" t="str">
        <f t="shared" si="5"/>
        <v>DIANOSOL</v>
      </c>
      <c r="Q130" s="6" t="s">
        <v>904</v>
      </c>
      <c r="R130" s="6" t="str">
        <f>VLOOKUP($Q130,Resultados!$A$1:$B$49,2,FALSE)</f>
        <v>Juicio Abreviado</v>
      </c>
      <c r="S130" s="6"/>
      <c r="T130" s="71" t="str">
        <f t="shared" si="6"/>
        <v>NO</v>
      </c>
      <c r="U130" s="71">
        <f t="shared" si="7"/>
        <v>4</v>
      </c>
      <c r="V130" s="6"/>
      <c r="W130" s="6"/>
      <c r="X130" s="6"/>
      <c r="Y130" s="6"/>
      <c r="Z130" s="71"/>
      <c r="AA130" s="71"/>
      <c r="AB130" s="71"/>
      <c r="AC130" s="361"/>
    </row>
    <row r="131" spans="1:29" ht="63.75" x14ac:dyDescent="0.2">
      <c r="A131" s="6">
        <v>128</v>
      </c>
      <c r="B131" s="18">
        <v>45001</v>
      </c>
      <c r="C131" s="14">
        <v>0.43541666666666662</v>
      </c>
      <c r="D131" s="6" t="s">
        <v>430</v>
      </c>
      <c r="E131" s="40" t="s">
        <v>431</v>
      </c>
      <c r="F131" s="6">
        <v>4</v>
      </c>
      <c r="G131" s="6" t="s">
        <v>1441</v>
      </c>
      <c r="H131" s="18">
        <v>45035</v>
      </c>
      <c r="I131" s="6" t="s">
        <v>73</v>
      </c>
      <c r="J131" s="18" t="s">
        <v>78</v>
      </c>
      <c r="K131" s="6">
        <f>IFERROR(VLOOKUP(J131,Jueces!$A$1:$B$11,2,FALSE),"")</f>
        <v>8</v>
      </c>
      <c r="L131" s="6" t="s">
        <v>313</v>
      </c>
      <c r="M131" s="6" t="s">
        <v>695</v>
      </c>
      <c r="N131" s="6" t="s">
        <v>656</v>
      </c>
      <c r="O131" s="49" t="str">
        <f t="shared" ref="O131:O194" ca="1" si="8">IF(H131&lt;&gt;"",IF(H131&lt;=TODAY(),"SI","NO"),"LIMBO")</f>
        <v>SI</v>
      </c>
      <c r="P131" s="49" t="str">
        <f t="shared" ref="P131:P194" si="9">IF($P$1=H131,"DIASOL", "DIANOSOL")</f>
        <v>DIANOSOL</v>
      </c>
      <c r="Q131" s="6" t="s">
        <v>912</v>
      </c>
      <c r="R131" s="6" t="str">
        <f>VLOOKUP($Q131,Resultados!$A$1:$B$49,2,FALSE)</f>
        <v>Suspendida</v>
      </c>
      <c r="S131" s="6"/>
      <c r="T131" s="71" t="str">
        <f t="shared" ref="T131:T194" si="10">IF(G131=$J$1,"SI","NO")</f>
        <v>NO</v>
      </c>
      <c r="U131" s="71">
        <f t="shared" ref="U131:U194" si="11">IF(H131="",0,MONTH(H131))</f>
        <v>4</v>
      </c>
      <c r="V131" s="6"/>
      <c r="W131" s="6"/>
      <c r="X131" s="6"/>
      <c r="Y131" s="6"/>
      <c r="Z131" s="71"/>
      <c r="AA131" s="71"/>
      <c r="AB131" s="71"/>
      <c r="AC131" s="361"/>
    </row>
    <row r="132" spans="1:29" ht="38.25" x14ac:dyDescent="0.2">
      <c r="A132" s="6">
        <v>129</v>
      </c>
      <c r="B132" s="18">
        <v>45001</v>
      </c>
      <c r="C132" s="14">
        <v>0.52083333333333337</v>
      </c>
      <c r="D132" s="6" t="s">
        <v>432</v>
      </c>
      <c r="E132" s="40" t="s">
        <v>433</v>
      </c>
      <c r="F132" s="6">
        <v>4</v>
      </c>
      <c r="G132" s="6" t="s">
        <v>32</v>
      </c>
      <c r="H132" s="18">
        <v>45035</v>
      </c>
      <c r="I132" s="6" t="s">
        <v>73</v>
      </c>
      <c r="J132" s="18" t="s">
        <v>33</v>
      </c>
      <c r="K132" s="6">
        <f>IFERROR(VLOOKUP(J132,Jueces!$A$1:$B$11,2,FALSE),"")</f>
        <v>4</v>
      </c>
      <c r="L132" s="6" t="s">
        <v>416</v>
      </c>
      <c r="M132" s="6" t="s">
        <v>694</v>
      </c>
      <c r="N132" s="6" t="s">
        <v>657</v>
      </c>
      <c r="O132" s="49" t="str">
        <f t="shared" ca="1" si="8"/>
        <v>SI</v>
      </c>
      <c r="P132" s="49" t="str">
        <f t="shared" si="9"/>
        <v>DIANOSOL</v>
      </c>
      <c r="Q132" s="6" t="s">
        <v>904</v>
      </c>
      <c r="R132" s="6" t="str">
        <f>VLOOKUP($Q132,Resultados!$A$1:$B$49,2,FALSE)</f>
        <v>Juicio Abreviado</v>
      </c>
      <c r="S132" s="6"/>
      <c r="T132" s="71" t="str">
        <f t="shared" si="10"/>
        <v>NO</v>
      </c>
      <c r="U132" s="71">
        <f t="shared" si="11"/>
        <v>4</v>
      </c>
      <c r="V132" s="6"/>
      <c r="W132" s="6"/>
      <c r="X132" s="6"/>
      <c r="Y132" s="6"/>
      <c r="Z132" s="71"/>
      <c r="AA132" s="71"/>
      <c r="AB132" s="71"/>
      <c r="AC132" s="361"/>
    </row>
    <row r="133" spans="1:29" ht="63.75" x14ac:dyDescent="0.2">
      <c r="A133" s="6">
        <v>130</v>
      </c>
      <c r="B133" s="18">
        <v>45014</v>
      </c>
      <c r="C133" s="14">
        <v>0.36041666666666666</v>
      </c>
      <c r="D133" s="6" t="s">
        <v>550</v>
      </c>
      <c r="E133" s="40" t="s">
        <v>551</v>
      </c>
      <c r="F133" s="6">
        <v>4</v>
      </c>
      <c r="G133" s="6" t="s">
        <v>568</v>
      </c>
      <c r="H133" s="18">
        <v>45035</v>
      </c>
      <c r="I133" s="6" t="s">
        <v>73</v>
      </c>
      <c r="J133" s="18" t="s">
        <v>31</v>
      </c>
      <c r="K133" s="6">
        <f>IFERROR(VLOOKUP(J133,Jueces!$A$1:$B$11,2,FALSE),"")</f>
        <v>2</v>
      </c>
      <c r="L133" s="6" t="s">
        <v>569</v>
      </c>
      <c r="M133" s="6" t="s">
        <v>567</v>
      </c>
      <c r="N133" s="6" t="s">
        <v>659</v>
      </c>
      <c r="O133" s="49" t="str">
        <f t="shared" ca="1" si="8"/>
        <v>SI</v>
      </c>
      <c r="P133" s="49" t="str">
        <f t="shared" si="9"/>
        <v>DIANOSOL</v>
      </c>
      <c r="Q133" s="6" t="s">
        <v>904</v>
      </c>
      <c r="R133" s="6" t="str">
        <f>VLOOKUP($Q133,Resultados!$A$1:$B$49,2,FALSE)</f>
        <v>Juicio Abreviado</v>
      </c>
      <c r="S133" s="6"/>
      <c r="T133" s="71" t="str">
        <f t="shared" si="10"/>
        <v>NO</v>
      </c>
      <c r="U133" s="71">
        <f t="shared" si="11"/>
        <v>4</v>
      </c>
      <c r="V133" s="6"/>
      <c r="W133" s="6"/>
      <c r="X133" s="6"/>
      <c r="Y133" s="6"/>
      <c r="Z133" s="71"/>
      <c r="AA133" s="71"/>
      <c r="AB133" s="71"/>
      <c r="AC133" s="361"/>
    </row>
    <row r="134" spans="1:29" ht="38.25" x14ac:dyDescent="0.2">
      <c r="A134" s="6">
        <v>131</v>
      </c>
      <c r="B134" s="18">
        <v>45012</v>
      </c>
      <c r="C134" s="14">
        <v>0.33333333333333331</v>
      </c>
      <c r="D134" s="6" t="s">
        <v>517</v>
      </c>
      <c r="E134" s="40" t="s">
        <v>516</v>
      </c>
      <c r="F134" s="6">
        <v>4</v>
      </c>
      <c r="G134" s="6" t="s">
        <v>43</v>
      </c>
      <c r="H134" s="18">
        <v>45035</v>
      </c>
      <c r="I134" s="6" t="s">
        <v>76</v>
      </c>
      <c r="J134" s="18" t="s">
        <v>78</v>
      </c>
      <c r="K134" s="6">
        <f>IFERROR(VLOOKUP(J134,Jueces!$A$1:$B$11,2,FALSE),"")</f>
        <v>8</v>
      </c>
      <c r="L134" s="6" t="s">
        <v>313</v>
      </c>
      <c r="M134" s="6" t="s">
        <v>545</v>
      </c>
      <c r="N134" s="6" t="s">
        <v>651</v>
      </c>
      <c r="O134" s="49" t="str">
        <f t="shared" ca="1" si="8"/>
        <v>SI</v>
      </c>
      <c r="P134" s="49" t="str">
        <f t="shared" si="9"/>
        <v>DIANOSOL</v>
      </c>
      <c r="Q134" s="6" t="s">
        <v>905</v>
      </c>
      <c r="R134" s="6" t="str">
        <f>VLOOKUP($Q134,Resultados!$A$1:$B$49,2,FALSE)</f>
        <v>Juicio Abreviado</v>
      </c>
      <c r="S134" s="6"/>
      <c r="T134" s="71" t="str">
        <f t="shared" si="10"/>
        <v>NO</v>
      </c>
      <c r="U134" s="71">
        <f t="shared" si="11"/>
        <v>4</v>
      </c>
      <c r="V134" s="6"/>
      <c r="W134" s="6"/>
      <c r="X134" s="6"/>
      <c r="Y134" s="6"/>
      <c r="Z134" s="71"/>
      <c r="AA134" s="71"/>
      <c r="AB134" s="71"/>
      <c r="AC134" s="361"/>
    </row>
    <row r="135" spans="1:29" ht="25.5" x14ac:dyDescent="0.2">
      <c r="A135" s="6">
        <v>132</v>
      </c>
      <c r="B135" s="18">
        <v>45008</v>
      </c>
      <c r="C135" s="14">
        <v>0.33333333333333331</v>
      </c>
      <c r="D135" s="6" t="s">
        <v>500</v>
      </c>
      <c r="E135" s="40" t="s">
        <v>501</v>
      </c>
      <c r="F135" s="6">
        <v>4</v>
      </c>
      <c r="G135" s="6" t="s">
        <v>283</v>
      </c>
      <c r="H135" s="18">
        <v>45035</v>
      </c>
      <c r="I135" s="6" t="s">
        <v>76</v>
      </c>
      <c r="J135" s="18" t="s">
        <v>35</v>
      </c>
      <c r="K135" s="6">
        <f>IFERROR(VLOOKUP(J135,Jueces!$A$1:$B$11,2,FALSE),"")</f>
        <v>3</v>
      </c>
      <c r="L135" s="6" t="s">
        <v>247</v>
      </c>
      <c r="M135" s="6" t="s">
        <v>695</v>
      </c>
      <c r="N135" s="6" t="s">
        <v>655</v>
      </c>
      <c r="O135" s="49" t="str">
        <f t="shared" ca="1" si="8"/>
        <v>SI</v>
      </c>
      <c r="P135" s="49" t="str">
        <f t="shared" si="9"/>
        <v>DIANOSOL</v>
      </c>
      <c r="Q135" s="6" t="s">
        <v>904</v>
      </c>
      <c r="R135" s="6" t="str">
        <f>VLOOKUP($Q135,Resultados!$A$1:$B$49,2,FALSE)</f>
        <v>Juicio Abreviado</v>
      </c>
      <c r="S135" s="6"/>
      <c r="T135" s="71" t="str">
        <f t="shared" si="10"/>
        <v>NO</v>
      </c>
      <c r="U135" s="71">
        <f t="shared" si="11"/>
        <v>4</v>
      </c>
      <c r="V135" s="6"/>
      <c r="W135" s="6"/>
      <c r="X135" s="6"/>
      <c r="Y135" s="6"/>
      <c r="Z135" s="71"/>
      <c r="AA135" s="71"/>
      <c r="AB135" s="71"/>
      <c r="AC135" s="361"/>
    </row>
    <row r="136" spans="1:29" ht="25.5" x14ac:dyDescent="0.2">
      <c r="A136" s="6">
        <v>133</v>
      </c>
      <c r="B136" s="18">
        <v>45002</v>
      </c>
      <c r="C136" s="14">
        <v>0.35694444444444445</v>
      </c>
      <c r="D136" s="6" t="s">
        <v>439</v>
      </c>
      <c r="E136" s="40" t="s">
        <v>440</v>
      </c>
      <c r="F136" s="6">
        <v>4</v>
      </c>
      <c r="G136" s="6" t="s">
        <v>1441</v>
      </c>
      <c r="H136" s="18">
        <v>45035</v>
      </c>
      <c r="I136" s="6" t="s">
        <v>228</v>
      </c>
      <c r="J136" s="18" t="s">
        <v>31</v>
      </c>
      <c r="K136" s="6">
        <f>IFERROR(VLOOKUP(J136,Jueces!$A$1:$B$11,2,FALSE),"")</f>
        <v>2</v>
      </c>
      <c r="L136" s="6" t="s">
        <v>330</v>
      </c>
      <c r="M136" s="6" t="s">
        <v>695</v>
      </c>
      <c r="N136" s="6" t="s">
        <v>661</v>
      </c>
      <c r="O136" s="49" t="str">
        <f t="shared" ca="1" si="8"/>
        <v>SI</v>
      </c>
      <c r="P136" s="49" t="str">
        <f t="shared" si="9"/>
        <v>DIANOSOL</v>
      </c>
      <c r="Q136" s="6" t="s">
        <v>904</v>
      </c>
      <c r="R136" s="6" t="str">
        <f>VLOOKUP($Q136,Resultados!$A$1:$B$49,2,FALSE)</f>
        <v>Juicio Abreviado</v>
      </c>
      <c r="S136" s="6"/>
      <c r="T136" s="71" t="str">
        <f t="shared" si="10"/>
        <v>NO</v>
      </c>
      <c r="U136" s="71">
        <f t="shared" si="11"/>
        <v>4</v>
      </c>
      <c r="V136" s="6"/>
      <c r="W136" s="6"/>
      <c r="X136" s="6"/>
      <c r="Y136" s="6"/>
      <c r="Z136" s="71"/>
      <c r="AA136" s="71"/>
      <c r="AB136" s="71"/>
      <c r="AC136" s="361"/>
    </row>
    <row r="137" spans="1:29" ht="63.75" x14ac:dyDescent="0.2">
      <c r="A137" s="6">
        <v>135</v>
      </c>
      <c r="B137" s="18">
        <v>45012</v>
      </c>
      <c r="C137" s="14">
        <v>0.5</v>
      </c>
      <c r="D137" s="6" t="s">
        <v>522</v>
      </c>
      <c r="E137" s="40" t="s">
        <v>524</v>
      </c>
      <c r="F137" s="6">
        <v>4</v>
      </c>
      <c r="G137" s="6" t="s">
        <v>283</v>
      </c>
      <c r="H137" s="18">
        <v>45036</v>
      </c>
      <c r="I137" s="6" t="s">
        <v>73</v>
      </c>
      <c r="J137" s="18" t="s">
        <v>78</v>
      </c>
      <c r="K137" s="6">
        <f>IFERROR(VLOOKUP(J137,Jueces!$A$1:$B$11,2,FALSE),"")</f>
        <v>8</v>
      </c>
      <c r="L137" s="6" t="s">
        <v>313</v>
      </c>
      <c r="M137" s="6" t="s">
        <v>695</v>
      </c>
      <c r="N137" s="6" t="s">
        <v>664</v>
      </c>
      <c r="O137" s="49" t="str">
        <f t="shared" ca="1" si="8"/>
        <v>SI</v>
      </c>
      <c r="P137" s="49" t="str">
        <f t="shared" si="9"/>
        <v>DIANOSOL</v>
      </c>
      <c r="Q137" s="6" t="s">
        <v>899</v>
      </c>
      <c r="R137" s="6" t="str">
        <f>VLOOKUP($Q137,Resultados!$A$1:$B$49,2,FALSE)</f>
        <v>Libertad</v>
      </c>
      <c r="S137" s="6"/>
      <c r="T137" s="71" t="str">
        <f t="shared" si="10"/>
        <v>NO</v>
      </c>
      <c r="U137" s="71">
        <f t="shared" si="11"/>
        <v>4</v>
      </c>
      <c r="V137" s="6"/>
      <c r="W137" s="6"/>
      <c r="X137" s="6"/>
      <c r="Y137" s="6"/>
      <c r="Z137" s="71"/>
      <c r="AA137" s="71"/>
      <c r="AB137" s="71"/>
      <c r="AC137" s="361"/>
    </row>
    <row r="138" spans="1:29" ht="25.5" x14ac:dyDescent="0.2">
      <c r="A138" s="6">
        <v>136</v>
      </c>
      <c r="B138" s="18">
        <v>45014</v>
      </c>
      <c r="C138" s="14">
        <v>0.33333333333333331</v>
      </c>
      <c r="D138" s="6" t="s">
        <v>555</v>
      </c>
      <c r="E138" s="40" t="s">
        <v>557</v>
      </c>
      <c r="F138" s="6">
        <v>4</v>
      </c>
      <c r="G138" s="6" t="s">
        <v>568</v>
      </c>
      <c r="H138" s="18">
        <v>45036</v>
      </c>
      <c r="I138" s="6" t="s">
        <v>73</v>
      </c>
      <c r="J138" s="18" t="s">
        <v>33</v>
      </c>
      <c r="K138" s="6">
        <f>IFERROR(VLOOKUP(J138,Jueces!$A$1:$B$11,2,FALSE),"")</f>
        <v>4</v>
      </c>
      <c r="L138" s="6" t="s">
        <v>366</v>
      </c>
      <c r="M138" s="6" t="s">
        <v>690</v>
      </c>
      <c r="N138" s="6" t="s">
        <v>663</v>
      </c>
      <c r="O138" s="49" t="str">
        <f t="shared" ca="1" si="8"/>
        <v>SI</v>
      </c>
      <c r="P138" s="49" t="str">
        <f t="shared" si="9"/>
        <v>DIANOSOL</v>
      </c>
      <c r="Q138" s="6" t="s">
        <v>904</v>
      </c>
      <c r="R138" s="6" t="str">
        <f>VLOOKUP($Q138,Resultados!$A$1:$B$49,2,FALSE)</f>
        <v>Juicio Abreviado</v>
      </c>
      <c r="S138" s="6"/>
      <c r="T138" s="71" t="str">
        <f t="shared" si="10"/>
        <v>NO</v>
      </c>
      <c r="U138" s="71">
        <f t="shared" si="11"/>
        <v>4</v>
      </c>
      <c r="V138" s="6"/>
      <c r="W138" s="6"/>
      <c r="X138" s="6"/>
      <c r="Y138" s="6"/>
      <c r="Z138" s="71"/>
      <c r="AA138" s="71"/>
      <c r="AB138" s="71"/>
      <c r="AC138" s="361"/>
    </row>
    <row r="139" spans="1:29" ht="38.25" x14ac:dyDescent="0.2">
      <c r="A139" s="6">
        <v>134</v>
      </c>
      <c r="B139" s="18">
        <v>45030</v>
      </c>
      <c r="C139" s="14">
        <v>0.45833333333333331</v>
      </c>
      <c r="D139" s="6" t="s">
        <v>379</v>
      </c>
      <c r="E139" s="40" t="s">
        <v>381</v>
      </c>
      <c r="F139" s="6">
        <v>4</v>
      </c>
      <c r="G139" s="6" t="s">
        <v>32</v>
      </c>
      <c r="H139" s="18">
        <v>45036</v>
      </c>
      <c r="I139" s="6" t="s">
        <v>989</v>
      </c>
      <c r="J139" s="18" t="s">
        <v>33</v>
      </c>
      <c r="K139" s="6">
        <f>IFERROR(VLOOKUP(J139,Jueces!$A$1:$B$11,2,FALSE),"")</f>
        <v>4</v>
      </c>
      <c r="L139" s="6" t="s">
        <v>380</v>
      </c>
      <c r="M139" s="6" t="s">
        <v>695</v>
      </c>
      <c r="N139" s="6" t="s">
        <v>577</v>
      </c>
      <c r="O139" s="49" t="str">
        <f t="shared" ca="1" si="8"/>
        <v>SI</v>
      </c>
      <c r="P139" s="49" t="str">
        <f t="shared" si="9"/>
        <v>DIANOSOL</v>
      </c>
      <c r="Q139" s="6" t="s">
        <v>151</v>
      </c>
      <c r="R139" s="6" t="str">
        <f>VLOOKUP($Q139,Resultados!$A$1:$B$49,2,FALSE)</f>
        <v>Prisión Preventiva</v>
      </c>
      <c r="S139" s="6"/>
      <c r="T139" s="71" t="str">
        <f t="shared" si="10"/>
        <v>NO</v>
      </c>
      <c r="U139" s="71">
        <f t="shared" si="11"/>
        <v>4</v>
      </c>
      <c r="V139" s="6"/>
      <c r="W139" s="6"/>
      <c r="X139" s="6"/>
      <c r="Y139" s="6"/>
      <c r="Z139" s="71"/>
      <c r="AA139" s="71"/>
      <c r="AB139" s="71"/>
      <c r="AC139" s="361"/>
    </row>
    <row r="140" spans="1:29" ht="38.25" x14ac:dyDescent="0.2">
      <c r="A140" s="6">
        <v>137</v>
      </c>
      <c r="B140" s="18">
        <v>45012</v>
      </c>
      <c r="C140" s="14" t="s">
        <v>73</v>
      </c>
      <c r="D140" s="6" t="s">
        <v>531</v>
      </c>
      <c r="E140" s="40" t="s">
        <v>534</v>
      </c>
      <c r="F140" s="6">
        <v>4</v>
      </c>
      <c r="G140" s="6" t="s">
        <v>1441</v>
      </c>
      <c r="H140" s="18">
        <v>45036</v>
      </c>
      <c r="I140" s="6" t="s">
        <v>228</v>
      </c>
      <c r="J140" s="18" t="s">
        <v>33</v>
      </c>
      <c r="K140" s="6">
        <f>IFERROR(VLOOKUP(J140,Jueces!$A$1:$B$11,2,FALSE),"")</f>
        <v>4</v>
      </c>
      <c r="L140" s="6" t="s">
        <v>365</v>
      </c>
      <c r="M140" s="6" t="s">
        <v>695</v>
      </c>
      <c r="N140" s="6" t="s">
        <v>665</v>
      </c>
      <c r="O140" s="49" t="str">
        <f t="shared" ca="1" si="8"/>
        <v>SI</v>
      </c>
      <c r="P140" s="49" t="str">
        <f t="shared" si="9"/>
        <v>DIANOSOL</v>
      </c>
      <c r="Q140" s="6" t="s">
        <v>904</v>
      </c>
      <c r="R140" s="6" t="str">
        <f>VLOOKUP($Q140,Resultados!$A$1:$B$49,2,FALSE)</f>
        <v>Juicio Abreviado</v>
      </c>
      <c r="S140" s="6"/>
      <c r="T140" s="71" t="str">
        <f t="shared" si="10"/>
        <v>NO</v>
      </c>
      <c r="U140" s="71">
        <f t="shared" si="11"/>
        <v>4</v>
      </c>
      <c r="V140" s="6"/>
      <c r="W140" s="6"/>
      <c r="X140" s="6"/>
      <c r="Y140" s="6"/>
      <c r="Z140" s="71"/>
      <c r="AA140" s="71"/>
      <c r="AB140" s="71"/>
      <c r="AC140" s="361"/>
    </row>
    <row r="141" spans="1:29" ht="51" x14ac:dyDescent="0.2">
      <c r="A141" s="6">
        <v>138</v>
      </c>
      <c r="B141" s="18">
        <v>45034</v>
      </c>
      <c r="C141" s="14">
        <v>0.33333333333333331</v>
      </c>
      <c r="D141" s="6" t="s">
        <v>649</v>
      </c>
      <c r="E141" s="40" t="s">
        <v>650</v>
      </c>
      <c r="F141" s="6">
        <v>4</v>
      </c>
      <c r="G141" s="6" t="s">
        <v>1441</v>
      </c>
      <c r="H141" s="18">
        <v>45037</v>
      </c>
      <c r="I141" s="6" t="s">
        <v>73</v>
      </c>
      <c r="J141" s="18" t="s">
        <v>31</v>
      </c>
      <c r="K141" s="6">
        <f>IFERROR(VLOOKUP(J141,Jueces!$A$1:$B$11,2,FALSE),"")</f>
        <v>2</v>
      </c>
      <c r="L141" s="6" t="s">
        <v>600</v>
      </c>
      <c r="M141" s="6" t="s">
        <v>523</v>
      </c>
      <c r="N141" s="6" t="s">
        <v>667</v>
      </c>
      <c r="O141" s="49" t="str">
        <f t="shared" ca="1" si="8"/>
        <v>SI</v>
      </c>
      <c r="P141" s="49" t="str">
        <f t="shared" si="9"/>
        <v>DIANOSOL</v>
      </c>
      <c r="Q141" s="6" t="s">
        <v>905</v>
      </c>
      <c r="R141" s="6" t="str">
        <f>VLOOKUP($Q141,Resultados!$A$1:$B$49,2,FALSE)</f>
        <v>Juicio Abreviado</v>
      </c>
      <c r="S141" s="6"/>
      <c r="T141" s="71" t="str">
        <f t="shared" si="10"/>
        <v>NO</v>
      </c>
      <c r="U141" s="71">
        <f t="shared" si="11"/>
        <v>4</v>
      </c>
      <c r="V141" s="6"/>
      <c r="W141" s="6"/>
      <c r="X141" s="6"/>
      <c r="Y141" s="6"/>
      <c r="Z141" s="71"/>
      <c r="AA141" s="71"/>
      <c r="AB141" s="71"/>
      <c r="AC141" s="361"/>
    </row>
    <row r="142" spans="1:29" ht="38.25" x14ac:dyDescent="0.2">
      <c r="A142" s="6">
        <v>139</v>
      </c>
      <c r="B142" s="18">
        <v>45012</v>
      </c>
      <c r="C142" s="14">
        <v>0.33333333333333331</v>
      </c>
      <c r="D142" s="6" t="s">
        <v>575</v>
      </c>
      <c r="E142" s="40" t="s">
        <v>574</v>
      </c>
      <c r="F142" s="6">
        <v>4</v>
      </c>
      <c r="G142" s="6" t="s">
        <v>568</v>
      </c>
      <c r="H142" s="18">
        <v>45037</v>
      </c>
      <c r="I142" s="6" t="s">
        <v>73</v>
      </c>
      <c r="J142" s="18" t="s">
        <v>33</v>
      </c>
      <c r="K142" s="6">
        <f>IFERROR(VLOOKUP(J142,Jueces!$A$1:$B$11,2,FALSE),"")</f>
        <v>4</v>
      </c>
      <c r="L142" s="6" t="s">
        <v>262</v>
      </c>
      <c r="M142" s="6" t="s">
        <v>287</v>
      </c>
      <c r="N142" s="6" t="s">
        <v>666</v>
      </c>
      <c r="O142" s="49" t="str">
        <f t="shared" ca="1" si="8"/>
        <v>SI</v>
      </c>
      <c r="P142" s="49" t="str">
        <f t="shared" si="9"/>
        <v>DIANOSOL</v>
      </c>
      <c r="Q142" s="6" t="s">
        <v>904</v>
      </c>
      <c r="R142" s="6" t="str">
        <f>VLOOKUP($Q142,Resultados!$A$1:$B$49,2,FALSE)</f>
        <v>Juicio Abreviado</v>
      </c>
      <c r="S142" s="6"/>
      <c r="T142" s="71" t="str">
        <f t="shared" si="10"/>
        <v>NO</v>
      </c>
      <c r="U142" s="71">
        <f t="shared" si="11"/>
        <v>4</v>
      </c>
      <c r="V142" s="6"/>
      <c r="W142" s="6"/>
      <c r="X142" s="6"/>
      <c r="Y142" s="6"/>
      <c r="Z142" s="71"/>
      <c r="AA142" s="71"/>
      <c r="AB142" s="71"/>
      <c r="AC142" s="361"/>
    </row>
    <row r="143" spans="1:29" ht="51" x14ac:dyDescent="0.2">
      <c r="A143" s="6">
        <v>140</v>
      </c>
      <c r="B143" s="18">
        <v>45005</v>
      </c>
      <c r="C143" s="14">
        <v>0.33333333333333331</v>
      </c>
      <c r="D143" s="6" t="s">
        <v>454</v>
      </c>
      <c r="E143" s="40" t="s">
        <v>455</v>
      </c>
      <c r="F143" s="6">
        <v>4</v>
      </c>
      <c r="G143" s="6" t="s">
        <v>34</v>
      </c>
      <c r="H143" s="18">
        <v>45040</v>
      </c>
      <c r="I143" s="6" t="s">
        <v>73</v>
      </c>
      <c r="J143" s="18" t="s">
        <v>33</v>
      </c>
      <c r="K143" s="6">
        <f>IFERROR(VLOOKUP(J143,Jueces!$A$1:$B$11,2,FALSE),"")</f>
        <v>4</v>
      </c>
      <c r="L143" s="6" t="s">
        <v>247</v>
      </c>
      <c r="M143" s="6" t="s">
        <v>695</v>
      </c>
      <c r="N143" s="6" t="s">
        <v>719</v>
      </c>
      <c r="O143" s="49" t="str">
        <f t="shared" ca="1" si="8"/>
        <v>SI</v>
      </c>
      <c r="P143" s="49" t="str">
        <f t="shared" si="9"/>
        <v>DIANOSOL</v>
      </c>
      <c r="Q143" s="6" t="s">
        <v>904</v>
      </c>
      <c r="R143" s="6" t="str">
        <f>VLOOKUP($Q143,Resultados!$A$1:$B$49,2,FALSE)</f>
        <v>Juicio Abreviado</v>
      </c>
      <c r="S143" s="6"/>
      <c r="T143" s="71" t="str">
        <f t="shared" si="10"/>
        <v>NO</v>
      </c>
      <c r="U143" s="71">
        <f t="shared" si="11"/>
        <v>4</v>
      </c>
      <c r="V143" s="6"/>
      <c r="W143" s="6"/>
      <c r="X143" s="6"/>
      <c r="Y143" s="6"/>
      <c r="Z143" s="71"/>
      <c r="AA143" s="71"/>
      <c r="AB143" s="71"/>
      <c r="AC143" s="361"/>
    </row>
    <row r="144" spans="1:29" ht="63.75" x14ac:dyDescent="0.2">
      <c r="A144" s="6">
        <v>141</v>
      </c>
      <c r="B144" s="18">
        <v>45005</v>
      </c>
      <c r="C144" s="14">
        <v>0.35972222222222222</v>
      </c>
      <c r="D144" s="6" t="s">
        <v>451</v>
      </c>
      <c r="E144" s="40" t="s">
        <v>452</v>
      </c>
      <c r="F144" s="6">
        <v>3</v>
      </c>
      <c r="G144" s="6" t="s">
        <v>32</v>
      </c>
      <c r="H144" s="18">
        <v>45040</v>
      </c>
      <c r="I144" s="6" t="s">
        <v>73</v>
      </c>
      <c r="J144" s="18" t="s">
        <v>35</v>
      </c>
      <c r="K144" s="6">
        <f>IFERROR(VLOOKUP(J144,Jueces!$A$1:$B$11,2,FALSE),"")</f>
        <v>3</v>
      </c>
      <c r="L144" s="6" t="s">
        <v>412</v>
      </c>
      <c r="M144" s="6" t="s">
        <v>453</v>
      </c>
      <c r="N144" s="6" t="s">
        <v>669</v>
      </c>
      <c r="O144" s="49" t="str">
        <f t="shared" ca="1" si="8"/>
        <v>SI</v>
      </c>
      <c r="P144" s="49" t="str">
        <f t="shared" si="9"/>
        <v>DIANOSOL</v>
      </c>
      <c r="Q144" s="6" t="s">
        <v>904</v>
      </c>
      <c r="R144" s="6" t="str">
        <f>VLOOKUP($Q144,Resultados!$A$1:$B$49,2,FALSE)</f>
        <v>Juicio Abreviado</v>
      </c>
      <c r="S144" s="6"/>
      <c r="T144" s="71" t="str">
        <f t="shared" si="10"/>
        <v>NO</v>
      </c>
      <c r="U144" s="71">
        <f t="shared" si="11"/>
        <v>4</v>
      </c>
      <c r="V144" s="6"/>
      <c r="W144" s="6"/>
      <c r="X144" s="6"/>
      <c r="Y144" s="6"/>
      <c r="Z144" s="71"/>
      <c r="AA144" s="71"/>
      <c r="AB144" s="71"/>
      <c r="AC144" s="361"/>
    </row>
    <row r="145" spans="1:29" ht="63.75" x14ac:dyDescent="0.2">
      <c r="A145" s="6">
        <v>142</v>
      </c>
      <c r="B145" s="18">
        <v>45013</v>
      </c>
      <c r="C145" s="14">
        <v>0.45833333333333331</v>
      </c>
      <c r="D145" s="6" t="s">
        <v>592</v>
      </c>
      <c r="E145" s="40" t="s">
        <v>590</v>
      </c>
      <c r="F145" s="6">
        <v>4</v>
      </c>
      <c r="G145" s="6" t="s">
        <v>43</v>
      </c>
      <c r="H145" s="18">
        <v>45040</v>
      </c>
      <c r="I145" s="6" t="s">
        <v>73</v>
      </c>
      <c r="J145" s="18" t="s">
        <v>78</v>
      </c>
      <c r="K145" s="6">
        <f>IFERROR(VLOOKUP(J145,Jueces!$A$1:$B$11,2,FALSE),"")</f>
        <v>8</v>
      </c>
      <c r="L145" s="6" t="s">
        <v>409</v>
      </c>
      <c r="M145" s="6" t="s">
        <v>363</v>
      </c>
      <c r="N145" s="6" t="s">
        <v>670</v>
      </c>
      <c r="O145" s="49" t="str">
        <f t="shared" ca="1" si="8"/>
        <v>SI</v>
      </c>
      <c r="P145" s="49" t="str">
        <f t="shared" si="9"/>
        <v>DIANOSOL</v>
      </c>
      <c r="Q145" s="6" t="s">
        <v>905</v>
      </c>
      <c r="R145" s="6" t="str">
        <f>VLOOKUP($Q145,Resultados!$A$1:$B$49,2,FALSE)</f>
        <v>Juicio Abreviado</v>
      </c>
      <c r="S145" s="6"/>
      <c r="T145" s="71" t="str">
        <f t="shared" si="10"/>
        <v>NO</v>
      </c>
      <c r="U145" s="71">
        <f t="shared" si="11"/>
        <v>4</v>
      </c>
      <c r="V145" s="6"/>
      <c r="W145" s="6"/>
      <c r="X145" s="6"/>
      <c r="Y145" s="6"/>
      <c r="Z145" s="71"/>
      <c r="AA145" s="71"/>
      <c r="AB145" s="71"/>
      <c r="AC145" s="361"/>
    </row>
    <row r="146" spans="1:29" ht="89.25" x14ac:dyDescent="0.2">
      <c r="A146" s="6">
        <v>143</v>
      </c>
      <c r="B146" s="18">
        <v>45006</v>
      </c>
      <c r="C146" s="14">
        <v>0.3923611111111111</v>
      </c>
      <c r="D146" s="6" t="s">
        <v>476</v>
      </c>
      <c r="E146" s="40" t="s">
        <v>478</v>
      </c>
      <c r="F146" s="6">
        <v>4</v>
      </c>
      <c r="G146" s="6" t="s">
        <v>43</v>
      </c>
      <c r="H146" s="18">
        <v>45041</v>
      </c>
      <c r="I146" s="6" t="s">
        <v>73</v>
      </c>
      <c r="J146" s="18" t="s">
        <v>33</v>
      </c>
      <c r="K146" s="6">
        <f>IFERROR(VLOOKUP(J146,Jueces!$A$1:$B$11,2,FALSE),"")</f>
        <v>4</v>
      </c>
      <c r="L146" s="6" t="s">
        <v>366</v>
      </c>
      <c r="M146" s="6" t="s">
        <v>695</v>
      </c>
      <c r="N146" s="6" t="s">
        <v>718</v>
      </c>
      <c r="O146" s="49" t="str">
        <f t="shared" ca="1" si="8"/>
        <v>SI</v>
      </c>
      <c r="P146" s="49" t="str">
        <f t="shared" si="9"/>
        <v>DIANOSOL</v>
      </c>
      <c r="Q146" s="6" t="s">
        <v>151</v>
      </c>
      <c r="R146" s="6" t="str">
        <f>VLOOKUP($Q146,Resultados!$A$1:$B$49,2,FALSE)</f>
        <v>Prisión Preventiva</v>
      </c>
      <c r="S146" s="6"/>
      <c r="T146" s="71" t="str">
        <f t="shared" si="10"/>
        <v>NO</v>
      </c>
      <c r="U146" s="71">
        <f t="shared" si="11"/>
        <v>4</v>
      </c>
      <c r="V146" s="6"/>
      <c r="W146" s="6"/>
      <c r="X146" s="6"/>
      <c r="Y146" s="6"/>
      <c r="Z146" s="71"/>
      <c r="AA146" s="71"/>
      <c r="AB146" s="71"/>
      <c r="AC146" s="361"/>
    </row>
    <row r="147" spans="1:29" ht="63.75" x14ac:dyDescent="0.2">
      <c r="A147" s="6">
        <v>144</v>
      </c>
      <c r="B147" s="18">
        <v>45002</v>
      </c>
      <c r="C147" s="14">
        <v>0.34930555555555554</v>
      </c>
      <c r="D147" s="6" t="s">
        <v>437</v>
      </c>
      <c r="E147" s="40" t="s">
        <v>438</v>
      </c>
      <c r="F147" s="6">
        <v>4</v>
      </c>
      <c r="G147" s="6" t="s">
        <v>283</v>
      </c>
      <c r="H147" s="18">
        <v>45041</v>
      </c>
      <c r="I147" s="6" t="s">
        <v>75</v>
      </c>
      <c r="J147" s="18" t="s">
        <v>78</v>
      </c>
      <c r="K147" s="6">
        <f>IFERROR(VLOOKUP(J147,Jueces!$A$1:$B$11,2,FALSE),"")</f>
        <v>8</v>
      </c>
      <c r="L147" s="6" t="s">
        <v>412</v>
      </c>
      <c r="M147" s="6" t="s">
        <v>141</v>
      </c>
      <c r="N147" s="6" t="s">
        <v>676</v>
      </c>
      <c r="O147" s="49" t="str">
        <f t="shared" ca="1" si="8"/>
        <v>SI</v>
      </c>
      <c r="P147" s="49" t="str">
        <f t="shared" si="9"/>
        <v>DIANOSOL</v>
      </c>
      <c r="Q147" s="6" t="s">
        <v>905</v>
      </c>
      <c r="R147" s="6" t="str">
        <f>VLOOKUP($Q147,Resultados!$A$1:$B$49,2,FALSE)</f>
        <v>Juicio Abreviado</v>
      </c>
      <c r="S147" s="6"/>
      <c r="T147" s="71" t="str">
        <f t="shared" si="10"/>
        <v>NO</v>
      </c>
      <c r="U147" s="71">
        <f t="shared" si="11"/>
        <v>4</v>
      </c>
      <c r="V147" s="6"/>
      <c r="W147" s="6"/>
      <c r="X147" s="6"/>
      <c r="Y147" s="6"/>
      <c r="Z147" s="71"/>
      <c r="AA147" s="71"/>
      <c r="AB147" s="71"/>
      <c r="AC147" s="361"/>
    </row>
    <row r="148" spans="1:29" ht="153" x14ac:dyDescent="0.2">
      <c r="A148" s="6">
        <v>145</v>
      </c>
      <c r="B148" s="18">
        <v>45014</v>
      </c>
      <c r="C148" s="14">
        <v>0.34791666666666665</v>
      </c>
      <c r="D148" s="6" t="s">
        <v>492</v>
      </c>
      <c r="E148" s="40" t="s">
        <v>527</v>
      </c>
      <c r="F148" s="6">
        <v>4</v>
      </c>
      <c r="G148" s="6" t="s">
        <v>1441</v>
      </c>
      <c r="H148" s="18">
        <v>45042</v>
      </c>
      <c r="I148" s="6" t="s">
        <v>73</v>
      </c>
      <c r="J148" s="18" t="s">
        <v>78</v>
      </c>
      <c r="K148" s="6">
        <f>IFERROR(VLOOKUP(J148,Jueces!$A$1:$B$11,2,FALSE),"")</f>
        <v>8</v>
      </c>
      <c r="L148" s="6" t="s">
        <v>508</v>
      </c>
      <c r="M148" s="6" t="s">
        <v>693</v>
      </c>
      <c r="N148" s="6" t="s">
        <v>717</v>
      </c>
      <c r="O148" s="49" t="str">
        <f t="shared" ca="1" si="8"/>
        <v>SI</v>
      </c>
      <c r="P148" s="49" t="str">
        <f t="shared" si="9"/>
        <v>DIANOSOL</v>
      </c>
      <c r="Q148" s="6" t="s">
        <v>151</v>
      </c>
      <c r="R148" s="6" t="str">
        <f>VLOOKUP($Q148,Resultados!$A$1:$B$49,2,FALSE)</f>
        <v>Prisión Preventiva</v>
      </c>
      <c r="S148" s="6"/>
      <c r="T148" s="71" t="str">
        <f t="shared" si="10"/>
        <v>NO</v>
      </c>
      <c r="U148" s="71">
        <f t="shared" si="11"/>
        <v>4</v>
      </c>
      <c r="V148" s="6"/>
      <c r="W148" s="6"/>
      <c r="X148" s="6"/>
      <c r="Y148" s="6"/>
      <c r="Z148" s="71"/>
      <c r="AA148" s="71"/>
      <c r="AB148" s="71"/>
      <c r="AC148" s="361"/>
    </row>
    <row r="149" spans="1:29" ht="76.5" x14ac:dyDescent="0.2">
      <c r="A149" s="6">
        <v>146</v>
      </c>
      <c r="B149" s="18">
        <v>45015</v>
      </c>
      <c r="C149" s="14">
        <v>0.45833333333333331</v>
      </c>
      <c r="D149" s="6" t="s">
        <v>542</v>
      </c>
      <c r="E149" s="40" t="s">
        <v>543</v>
      </c>
      <c r="F149" s="6">
        <v>4</v>
      </c>
      <c r="G149" s="6" t="s">
        <v>43</v>
      </c>
      <c r="H149" s="18">
        <v>45042</v>
      </c>
      <c r="I149" s="6" t="s">
        <v>73</v>
      </c>
      <c r="J149" s="18" t="s">
        <v>33</v>
      </c>
      <c r="K149" s="6">
        <f>IFERROR(VLOOKUP(J149,Jueces!$A$1:$B$11,2,FALSE),"")</f>
        <v>4</v>
      </c>
      <c r="L149" s="6" t="s">
        <v>581</v>
      </c>
      <c r="M149" s="6" t="s">
        <v>695</v>
      </c>
      <c r="N149" s="6" t="s">
        <v>678</v>
      </c>
      <c r="O149" s="49" t="str">
        <f t="shared" ca="1" si="8"/>
        <v>SI</v>
      </c>
      <c r="P149" s="49" t="str">
        <f t="shared" si="9"/>
        <v>DIANOSOL</v>
      </c>
      <c r="Q149" s="6" t="s">
        <v>899</v>
      </c>
      <c r="R149" s="6" t="str">
        <f>VLOOKUP($Q149,Resultados!$A$1:$B$49,2,FALSE)</f>
        <v>Libertad</v>
      </c>
      <c r="S149" s="6"/>
      <c r="T149" s="71" t="str">
        <f t="shared" si="10"/>
        <v>NO</v>
      </c>
      <c r="U149" s="71">
        <f t="shared" si="11"/>
        <v>4</v>
      </c>
      <c r="V149" s="6"/>
      <c r="W149" s="6"/>
      <c r="X149" s="6"/>
      <c r="Y149" s="6"/>
      <c r="Z149" s="71"/>
      <c r="AA149" s="71"/>
      <c r="AB149" s="71"/>
      <c r="AC149" s="361"/>
    </row>
    <row r="150" spans="1:29" ht="76.5" x14ac:dyDescent="0.2">
      <c r="A150" s="6">
        <v>147</v>
      </c>
      <c r="B150" s="18">
        <v>45007</v>
      </c>
      <c r="C150" s="14">
        <v>0.34930555555555554</v>
      </c>
      <c r="D150" s="6" t="s">
        <v>495</v>
      </c>
      <c r="E150" s="40" t="s">
        <v>493</v>
      </c>
      <c r="F150" s="6">
        <v>4</v>
      </c>
      <c r="G150" s="6" t="s">
        <v>34</v>
      </c>
      <c r="H150" s="18">
        <v>45042</v>
      </c>
      <c r="I150" s="6" t="s">
        <v>75</v>
      </c>
      <c r="J150" s="18" t="s">
        <v>33</v>
      </c>
      <c r="K150" s="6">
        <f>IFERROR(VLOOKUP(J150,Jueces!$A$1:$B$11,2,FALSE),"")</f>
        <v>4</v>
      </c>
      <c r="L150" s="6" t="s">
        <v>414</v>
      </c>
      <c r="M150" s="6" t="s">
        <v>695</v>
      </c>
      <c r="N150" s="6" t="s">
        <v>716</v>
      </c>
      <c r="O150" s="49" t="str">
        <f t="shared" ca="1" si="8"/>
        <v>SI</v>
      </c>
      <c r="P150" s="49" t="str">
        <f t="shared" si="9"/>
        <v>DIANOSOL</v>
      </c>
      <c r="Q150" s="6" t="s">
        <v>151</v>
      </c>
      <c r="R150" s="6" t="str">
        <f>VLOOKUP($Q150,Resultados!$A$1:$B$49,2,FALSE)</f>
        <v>Prisión Preventiva</v>
      </c>
      <c r="S150" s="6"/>
      <c r="T150" s="71" t="str">
        <f t="shared" si="10"/>
        <v>NO</v>
      </c>
      <c r="U150" s="71">
        <f t="shared" si="11"/>
        <v>4</v>
      </c>
      <c r="V150" s="6"/>
      <c r="W150" s="6"/>
      <c r="X150" s="6"/>
      <c r="Y150" s="6"/>
      <c r="Z150" s="71"/>
      <c r="AA150" s="71"/>
      <c r="AB150" s="71"/>
      <c r="AC150" s="361"/>
    </row>
    <row r="151" spans="1:29" ht="76.5" x14ac:dyDescent="0.2">
      <c r="A151" s="6">
        <v>148</v>
      </c>
      <c r="B151" s="18">
        <v>45016</v>
      </c>
      <c r="C151" s="14">
        <v>0.5</v>
      </c>
      <c r="D151" s="6" t="s">
        <v>591</v>
      </c>
      <c r="E151" s="40" t="s">
        <v>601</v>
      </c>
      <c r="F151" s="6">
        <v>4</v>
      </c>
      <c r="G151" s="6" t="s">
        <v>29</v>
      </c>
      <c r="H151" s="18">
        <v>45043</v>
      </c>
      <c r="I151" s="6" t="s">
        <v>73</v>
      </c>
      <c r="J151" s="18" t="s">
        <v>35</v>
      </c>
      <c r="K151" s="6">
        <f>IFERROR(VLOOKUP(J151,Jueces!$A$1:$B$11,2,FALSE),"")</f>
        <v>3</v>
      </c>
      <c r="L151" s="6" t="s">
        <v>600</v>
      </c>
      <c r="M151" s="6" t="s">
        <v>287</v>
      </c>
      <c r="N151" s="6" t="s">
        <v>862</v>
      </c>
      <c r="O151" s="49" t="str">
        <f t="shared" ca="1" si="8"/>
        <v>SI</v>
      </c>
      <c r="P151" s="49" t="str">
        <f t="shared" si="9"/>
        <v>DIANOSOL</v>
      </c>
      <c r="Q151" s="6" t="s">
        <v>904</v>
      </c>
      <c r="R151" s="6" t="str">
        <f>VLOOKUP($Q151,Resultados!$A$1:$B$49,2,FALSE)</f>
        <v>Juicio Abreviado</v>
      </c>
      <c r="S151" s="6"/>
      <c r="T151" s="71" t="str">
        <f t="shared" si="10"/>
        <v>NO</v>
      </c>
      <c r="U151" s="71">
        <f t="shared" si="11"/>
        <v>4</v>
      </c>
      <c r="V151" s="6"/>
      <c r="W151" s="6"/>
      <c r="X151" s="6"/>
      <c r="Y151" s="6"/>
      <c r="Z151" s="71"/>
      <c r="AA151" s="71"/>
      <c r="AB151" s="71"/>
      <c r="AC151" s="361"/>
    </row>
    <row r="152" spans="1:29" ht="25.5" x14ac:dyDescent="0.2">
      <c r="A152" s="6">
        <v>149</v>
      </c>
      <c r="B152" s="18">
        <v>45014</v>
      </c>
      <c r="C152" s="14">
        <v>0.3611111111111111</v>
      </c>
      <c r="D152" s="6" t="s">
        <v>552</v>
      </c>
      <c r="E152" s="40" t="s">
        <v>553</v>
      </c>
      <c r="F152" s="6">
        <v>4</v>
      </c>
      <c r="G152" s="6" t="s">
        <v>32</v>
      </c>
      <c r="H152" s="18">
        <v>45043</v>
      </c>
      <c r="I152" s="6" t="s">
        <v>76</v>
      </c>
      <c r="J152" s="18" t="s">
        <v>35</v>
      </c>
      <c r="K152" s="6">
        <f>IFERROR(VLOOKUP(J152,Jueces!$A$1:$B$11,2,FALSE),"")</f>
        <v>3</v>
      </c>
      <c r="L152" s="6" t="s">
        <v>582</v>
      </c>
      <c r="M152" s="6" t="s">
        <v>363</v>
      </c>
      <c r="N152" s="6" t="s">
        <v>577</v>
      </c>
      <c r="O152" s="49" t="str">
        <f t="shared" ca="1" si="8"/>
        <v>SI</v>
      </c>
      <c r="P152" s="49" t="str">
        <f t="shared" si="9"/>
        <v>DIANOSOL</v>
      </c>
      <c r="Q152" s="6" t="s">
        <v>151</v>
      </c>
      <c r="R152" s="6" t="str">
        <f>VLOOKUP($Q152,Resultados!$A$1:$B$49,2,FALSE)</f>
        <v>Prisión Preventiva</v>
      </c>
      <c r="S152" s="6"/>
      <c r="T152" s="71" t="str">
        <f t="shared" si="10"/>
        <v>NO</v>
      </c>
      <c r="U152" s="71">
        <f t="shared" si="11"/>
        <v>4</v>
      </c>
      <c r="V152" s="6"/>
      <c r="W152" s="6"/>
      <c r="X152" s="6"/>
      <c r="Y152" s="6"/>
      <c r="Z152" s="71"/>
      <c r="AA152" s="71"/>
      <c r="AB152" s="71"/>
      <c r="AC152" s="361"/>
    </row>
    <row r="153" spans="1:29" ht="51" x14ac:dyDescent="0.2">
      <c r="A153" s="6">
        <v>150</v>
      </c>
      <c r="B153" s="18">
        <v>45016</v>
      </c>
      <c r="C153" s="14">
        <v>0.33333333333333331</v>
      </c>
      <c r="D153" s="6" t="s">
        <v>556</v>
      </c>
      <c r="E153" s="40" t="s">
        <v>558</v>
      </c>
      <c r="F153" s="6">
        <v>4</v>
      </c>
      <c r="G153" s="6" t="s">
        <v>43</v>
      </c>
      <c r="H153" s="18">
        <v>45044</v>
      </c>
      <c r="I153" s="6" t="s">
        <v>73</v>
      </c>
      <c r="J153" s="18" t="s">
        <v>31</v>
      </c>
      <c r="K153" s="6">
        <f>IFERROR(VLOOKUP(J153,Jueces!$A$1:$B$11,2,FALSE),"")</f>
        <v>2</v>
      </c>
      <c r="L153" s="6" t="s">
        <v>380</v>
      </c>
      <c r="M153" s="6" t="s">
        <v>579</v>
      </c>
      <c r="N153" s="6" t="s">
        <v>681</v>
      </c>
      <c r="O153" s="49" t="str">
        <f t="shared" ca="1" si="8"/>
        <v>SI</v>
      </c>
      <c r="P153" s="49" t="str">
        <f t="shared" si="9"/>
        <v>DIANOSOL</v>
      </c>
      <c r="Q153" s="6" t="s">
        <v>899</v>
      </c>
      <c r="R153" s="6" t="str">
        <f>VLOOKUP($Q153,Resultados!$A$1:$B$49,2,FALSE)</f>
        <v>Libertad</v>
      </c>
      <c r="S153" s="6"/>
      <c r="T153" s="71" t="str">
        <f t="shared" si="10"/>
        <v>NO</v>
      </c>
      <c r="U153" s="71">
        <f t="shared" si="11"/>
        <v>4</v>
      </c>
      <c r="V153" s="6"/>
      <c r="W153" s="6"/>
      <c r="X153" s="6"/>
      <c r="Y153" s="6"/>
      <c r="Z153" s="71"/>
      <c r="AA153" s="71"/>
      <c r="AB153" s="71"/>
      <c r="AC153" s="361"/>
    </row>
    <row r="154" spans="1:29" ht="51" x14ac:dyDescent="0.2">
      <c r="A154" s="6">
        <v>151</v>
      </c>
      <c r="B154" s="18">
        <v>45027</v>
      </c>
      <c r="C154" s="14">
        <v>0.33333333333333331</v>
      </c>
      <c r="D154" s="6" t="s">
        <v>623</v>
      </c>
      <c r="E154" s="40" t="s">
        <v>627</v>
      </c>
      <c r="F154" s="6">
        <v>4</v>
      </c>
      <c r="G154" s="6" t="s">
        <v>568</v>
      </c>
      <c r="H154" s="18">
        <v>45044</v>
      </c>
      <c r="I154" s="6" t="s">
        <v>73</v>
      </c>
      <c r="J154" s="18" t="s">
        <v>33</v>
      </c>
      <c r="K154" s="6">
        <f>IFERROR(VLOOKUP(J154,Jueces!$A$1:$B$11,2,FALSE),"")</f>
        <v>4</v>
      </c>
      <c r="L154" s="6" t="s">
        <v>413</v>
      </c>
      <c r="M154" s="6" t="s">
        <v>523</v>
      </c>
      <c r="N154" s="6" t="s">
        <v>861</v>
      </c>
      <c r="O154" s="49" t="str">
        <f t="shared" ca="1" si="8"/>
        <v>SI</v>
      </c>
      <c r="P154" s="49" t="str">
        <f t="shared" si="9"/>
        <v>DIANOSOL</v>
      </c>
      <c r="Q154" s="6" t="s">
        <v>151</v>
      </c>
      <c r="R154" s="6" t="str">
        <f>VLOOKUP($Q154,Resultados!$A$1:$B$49,2,FALSE)</f>
        <v>Prisión Preventiva</v>
      </c>
      <c r="S154" s="6"/>
      <c r="T154" s="71" t="str">
        <f t="shared" si="10"/>
        <v>NO</v>
      </c>
      <c r="U154" s="71">
        <f t="shared" si="11"/>
        <v>4</v>
      </c>
      <c r="V154" s="6"/>
      <c r="W154" s="6"/>
      <c r="X154" s="6"/>
      <c r="Y154" s="6"/>
      <c r="Z154" s="71"/>
      <c r="AA154" s="71"/>
      <c r="AB154" s="71"/>
      <c r="AC154" s="361"/>
    </row>
    <row r="155" spans="1:29" ht="63.75" x14ac:dyDescent="0.2">
      <c r="A155" s="6">
        <v>152</v>
      </c>
      <c r="B155" s="18">
        <v>45033</v>
      </c>
      <c r="C155" s="14">
        <v>0.33819444444444446</v>
      </c>
      <c r="D155" s="6" t="s">
        <v>639</v>
      </c>
      <c r="E155" s="40" t="s">
        <v>672</v>
      </c>
      <c r="F155" s="6">
        <v>3</v>
      </c>
      <c r="G155" s="6" t="s">
        <v>568</v>
      </c>
      <c r="H155" s="18">
        <v>45048</v>
      </c>
      <c r="I155" s="6" t="s">
        <v>73</v>
      </c>
      <c r="J155" s="18" t="s">
        <v>35</v>
      </c>
      <c r="K155" s="6">
        <f>IFERROR(VLOOKUP(J155,Jueces!$A$1:$B$11,2,FALSE),"")</f>
        <v>3</v>
      </c>
      <c r="L155" s="6" t="s">
        <v>512</v>
      </c>
      <c r="M155" s="6" t="s">
        <v>694</v>
      </c>
      <c r="N155" s="6" t="s">
        <v>714</v>
      </c>
      <c r="O155" s="49" t="str">
        <f t="shared" ca="1" si="8"/>
        <v>SI</v>
      </c>
      <c r="P155" s="49" t="str">
        <f t="shared" si="9"/>
        <v>DIANOSOL</v>
      </c>
      <c r="Q155" s="6" t="s">
        <v>151</v>
      </c>
      <c r="R155" s="6" t="str">
        <f>VLOOKUP($Q155,Resultados!$A$1:$B$49,2,FALSE)</f>
        <v>Prisión Preventiva</v>
      </c>
      <c r="S155" s="6"/>
      <c r="T155" s="71" t="str">
        <f t="shared" si="10"/>
        <v>NO</v>
      </c>
      <c r="U155" s="71">
        <f t="shared" si="11"/>
        <v>5</v>
      </c>
      <c r="V155" s="6"/>
      <c r="W155" s="6"/>
      <c r="X155" s="6"/>
      <c r="Y155" s="6"/>
      <c r="Z155" s="71"/>
      <c r="AA155" s="71"/>
      <c r="AB155" s="71"/>
      <c r="AC155" s="361"/>
    </row>
    <row r="156" spans="1:29" ht="63.75" x14ac:dyDescent="0.2">
      <c r="A156" s="6">
        <v>153</v>
      </c>
      <c r="B156" s="18">
        <v>45043</v>
      </c>
      <c r="C156" s="14" t="s">
        <v>679</v>
      </c>
      <c r="D156" s="6" t="s">
        <v>446</v>
      </c>
      <c r="E156" s="40" t="s">
        <v>354</v>
      </c>
      <c r="F156" s="6">
        <v>4</v>
      </c>
      <c r="G156" s="6" t="s">
        <v>34</v>
      </c>
      <c r="H156" s="18">
        <v>45048</v>
      </c>
      <c r="I156" s="6" t="s">
        <v>686</v>
      </c>
      <c r="J156" s="18" t="s">
        <v>35</v>
      </c>
      <c r="K156" s="6">
        <f>IFERROR(VLOOKUP(J156,Jueces!$A$1:$B$11,2,FALSE),"")</f>
        <v>3</v>
      </c>
      <c r="L156" s="6" t="s">
        <v>582</v>
      </c>
      <c r="M156" s="6" t="s">
        <v>680</v>
      </c>
      <c r="N156" s="6" t="s">
        <v>681</v>
      </c>
      <c r="O156" s="49" t="str">
        <f t="shared" ca="1" si="8"/>
        <v>SI</v>
      </c>
      <c r="P156" s="49" t="str">
        <f t="shared" si="9"/>
        <v>DIANOSOL</v>
      </c>
      <c r="Q156" s="6" t="s">
        <v>899</v>
      </c>
      <c r="R156" s="6" t="str">
        <f>VLOOKUP($Q156,Resultados!$A$1:$B$49,2,FALSE)</f>
        <v>Libertad</v>
      </c>
      <c r="S156" s="6"/>
      <c r="T156" s="71" t="str">
        <f t="shared" si="10"/>
        <v>NO</v>
      </c>
      <c r="U156" s="71">
        <f t="shared" si="11"/>
        <v>5</v>
      </c>
      <c r="V156" s="6"/>
      <c r="W156" s="6"/>
      <c r="X156" s="6"/>
      <c r="Y156" s="6"/>
      <c r="Z156" s="71"/>
      <c r="AA156" s="71"/>
      <c r="AB156" s="71"/>
      <c r="AC156" s="361"/>
    </row>
    <row r="157" spans="1:29" ht="102" x14ac:dyDescent="0.2">
      <c r="A157" s="6">
        <v>154</v>
      </c>
      <c r="B157" s="18">
        <v>45044</v>
      </c>
      <c r="C157" s="14">
        <v>0.47916666666666669</v>
      </c>
      <c r="D157" s="6" t="s">
        <v>689</v>
      </c>
      <c r="E157" s="40" t="s">
        <v>685</v>
      </c>
      <c r="F157" s="6">
        <v>4</v>
      </c>
      <c r="G157" s="6" t="s">
        <v>43</v>
      </c>
      <c r="H157" s="18">
        <v>45054</v>
      </c>
      <c r="I157" s="6" t="s">
        <v>73</v>
      </c>
      <c r="J157" s="18" t="s">
        <v>33</v>
      </c>
      <c r="K157" s="6">
        <f>IFERROR(VLOOKUP(J157,Jueces!$A$1:$B$11,2,FALSE),"")</f>
        <v>4</v>
      </c>
      <c r="L157" s="6" t="s">
        <v>366</v>
      </c>
      <c r="M157" s="6" t="s">
        <v>691</v>
      </c>
      <c r="N157" s="6" t="s">
        <v>860</v>
      </c>
      <c r="O157" s="49" t="str">
        <f t="shared" ca="1" si="8"/>
        <v>SI</v>
      </c>
      <c r="P157" s="49" t="str">
        <f t="shared" si="9"/>
        <v>DIANOSOL</v>
      </c>
      <c r="Q157" s="6" t="s">
        <v>904</v>
      </c>
      <c r="R157" s="6" t="str">
        <f>VLOOKUP($Q157,Resultados!$A$1:$B$49,2,FALSE)</f>
        <v>Juicio Abreviado</v>
      </c>
      <c r="S157" s="6"/>
      <c r="T157" s="71" t="str">
        <f t="shared" si="10"/>
        <v>NO</v>
      </c>
      <c r="U157" s="71">
        <f t="shared" si="11"/>
        <v>5</v>
      </c>
      <c r="V157" s="6"/>
      <c r="W157" s="6"/>
      <c r="X157" s="6"/>
      <c r="Y157" s="6"/>
      <c r="Z157" s="71"/>
      <c r="AA157" s="71"/>
      <c r="AB157" s="71"/>
      <c r="AC157" s="361"/>
    </row>
    <row r="158" spans="1:29" ht="63.75" x14ac:dyDescent="0.2">
      <c r="A158" s="6">
        <v>155</v>
      </c>
      <c r="B158" s="18">
        <v>45048</v>
      </c>
      <c r="C158" s="14">
        <v>0.37916666666666665</v>
      </c>
      <c r="D158" s="6" t="s">
        <v>687</v>
      </c>
      <c r="E158" s="40" t="s">
        <v>707</v>
      </c>
      <c r="F158" s="6">
        <v>3</v>
      </c>
      <c r="G158" s="6" t="s">
        <v>1441</v>
      </c>
      <c r="H158" s="18">
        <v>45055</v>
      </c>
      <c r="I158" s="6" t="s">
        <v>73</v>
      </c>
      <c r="J158" s="18" t="s">
        <v>35</v>
      </c>
      <c r="K158" s="6">
        <f>IFERROR(VLOOKUP(J158,Jueces!$A$1:$B$11,2,FALSE),"")</f>
        <v>3</v>
      </c>
      <c r="L158" s="6" t="s">
        <v>688</v>
      </c>
      <c r="M158" s="6" t="s">
        <v>715</v>
      </c>
      <c r="N158" s="6" t="s">
        <v>742</v>
      </c>
      <c r="O158" s="49" t="str">
        <f t="shared" ca="1" si="8"/>
        <v>SI</v>
      </c>
      <c r="P158" s="49" t="str">
        <f t="shared" si="9"/>
        <v>DIANOSOL</v>
      </c>
      <c r="Q158" s="6" t="s">
        <v>905</v>
      </c>
      <c r="R158" s="6" t="str">
        <f>VLOOKUP($Q158,Resultados!$A$1:$B$49,2,FALSE)</f>
        <v>Juicio Abreviado</v>
      </c>
      <c r="S158" s="6"/>
      <c r="T158" s="71" t="str">
        <f t="shared" si="10"/>
        <v>NO</v>
      </c>
      <c r="U158" s="71">
        <f t="shared" si="11"/>
        <v>5</v>
      </c>
      <c r="V158" s="6"/>
      <c r="W158" s="6"/>
      <c r="X158" s="6"/>
      <c r="Y158" s="6"/>
      <c r="Z158" s="71"/>
      <c r="AA158" s="71"/>
      <c r="AB158" s="71"/>
      <c r="AC158" s="361"/>
    </row>
    <row r="159" spans="1:29" ht="38.25" x14ac:dyDescent="0.2">
      <c r="A159" s="6">
        <v>156</v>
      </c>
      <c r="B159" s="18">
        <v>45049</v>
      </c>
      <c r="C159" s="14">
        <v>0.35416666666666669</v>
      </c>
      <c r="D159" s="6" t="s">
        <v>708</v>
      </c>
      <c r="E159" s="40" t="s">
        <v>709</v>
      </c>
      <c r="F159" s="6">
        <v>8</v>
      </c>
      <c r="G159" s="6" t="s">
        <v>29</v>
      </c>
      <c r="H159" s="18">
        <v>45055</v>
      </c>
      <c r="I159" s="6" t="s">
        <v>73</v>
      </c>
      <c r="J159" s="18" t="s">
        <v>33</v>
      </c>
      <c r="K159" s="6">
        <f>IFERROR(VLOOKUP(J159,Jueces!$A$1:$B$11,2,FALSE),"")</f>
        <v>4</v>
      </c>
      <c r="L159" s="6" t="s">
        <v>184</v>
      </c>
      <c r="M159" s="6" t="s">
        <v>710</v>
      </c>
      <c r="N159" s="6" t="s">
        <v>741</v>
      </c>
      <c r="O159" s="49" t="str">
        <f t="shared" ca="1" si="8"/>
        <v>SI</v>
      </c>
      <c r="P159" s="49" t="str">
        <f t="shared" si="9"/>
        <v>DIANOSOL</v>
      </c>
      <c r="Q159" s="6" t="s">
        <v>904</v>
      </c>
      <c r="R159" s="6" t="str">
        <f>VLOOKUP($Q159,Resultados!$A$1:$B$49,2,FALSE)</f>
        <v>Juicio Abreviado</v>
      </c>
      <c r="S159" s="6"/>
      <c r="T159" s="71" t="str">
        <f t="shared" si="10"/>
        <v>NO</v>
      </c>
      <c r="U159" s="71">
        <f t="shared" si="11"/>
        <v>5</v>
      </c>
      <c r="V159" s="6"/>
      <c r="W159" s="6"/>
      <c r="X159" s="6"/>
      <c r="Y159" s="6"/>
      <c r="Z159" s="71"/>
      <c r="AA159" s="71"/>
      <c r="AB159" s="71"/>
      <c r="AC159" s="361"/>
    </row>
    <row r="160" spans="1:29" ht="51" x14ac:dyDescent="0.2">
      <c r="A160" s="6">
        <v>157</v>
      </c>
      <c r="B160" s="18">
        <v>45051</v>
      </c>
      <c r="C160" s="14">
        <v>0.43402777777777773</v>
      </c>
      <c r="D160" s="6" t="s">
        <v>722</v>
      </c>
      <c r="E160" s="40" t="s">
        <v>721</v>
      </c>
      <c r="F160" s="6">
        <v>8</v>
      </c>
      <c r="G160" s="6" t="s">
        <v>34</v>
      </c>
      <c r="H160" s="18">
        <v>45056</v>
      </c>
      <c r="I160" s="6" t="s">
        <v>73</v>
      </c>
      <c r="J160" s="18" t="s">
        <v>35</v>
      </c>
      <c r="K160" s="6">
        <f>IFERROR(VLOOKUP(J160,Jueces!$A$1:$B$11,2,FALSE),"")</f>
        <v>3</v>
      </c>
      <c r="L160" s="6" t="s">
        <v>142</v>
      </c>
      <c r="M160" s="6" t="s">
        <v>710</v>
      </c>
      <c r="N160" s="6" t="s">
        <v>779</v>
      </c>
      <c r="O160" s="49" t="str">
        <f t="shared" ca="1" si="8"/>
        <v>SI</v>
      </c>
      <c r="P160" s="49" t="str">
        <f t="shared" si="9"/>
        <v>DIANOSOL</v>
      </c>
      <c r="Q160" s="6" t="s">
        <v>904</v>
      </c>
      <c r="R160" s="6" t="str">
        <f>VLOOKUP($Q160,Resultados!$A$1:$B$49,2,FALSE)</f>
        <v>Juicio Abreviado</v>
      </c>
      <c r="S160" s="6"/>
      <c r="T160" s="71" t="str">
        <f t="shared" si="10"/>
        <v>NO</v>
      </c>
      <c r="U160" s="71">
        <f t="shared" si="11"/>
        <v>5</v>
      </c>
      <c r="V160" s="6"/>
      <c r="W160" s="6"/>
      <c r="X160" s="6"/>
      <c r="Y160" s="6"/>
      <c r="Z160" s="71"/>
      <c r="AA160" s="71"/>
      <c r="AB160" s="71"/>
      <c r="AC160" s="361"/>
    </row>
    <row r="161" spans="1:29" ht="51" x14ac:dyDescent="0.2">
      <c r="A161" s="6">
        <v>158</v>
      </c>
      <c r="B161" s="18">
        <v>45050</v>
      </c>
      <c r="C161" s="14">
        <v>0.5</v>
      </c>
      <c r="D161" s="6" t="s">
        <v>720</v>
      </c>
      <c r="E161" s="40" t="s">
        <v>724</v>
      </c>
      <c r="F161" s="6">
        <v>8</v>
      </c>
      <c r="G161" s="6" t="s">
        <v>283</v>
      </c>
      <c r="H161" s="18">
        <v>45057</v>
      </c>
      <c r="I161" s="6" t="s">
        <v>73</v>
      </c>
      <c r="J161" s="18" t="s">
        <v>31</v>
      </c>
      <c r="K161" s="6">
        <f>IFERROR(VLOOKUP(J161,Jueces!$A$1:$B$11,2,FALSE),"")</f>
        <v>2</v>
      </c>
      <c r="L161" s="6" t="s">
        <v>248</v>
      </c>
      <c r="M161" s="6" t="s">
        <v>710</v>
      </c>
      <c r="N161" s="6" t="s">
        <v>825</v>
      </c>
      <c r="O161" s="49" t="str">
        <f t="shared" ca="1" si="8"/>
        <v>SI</v>
      </c>
      <c r="P161" s="49" t="str">
        <f t="shared" si="9"/>
        <v>DIANOSOL</v>
      </c>
      <c r="Q161" s="6" t="s">
        <v>904</v>
      </c>
      <c r="R161" s="6" t="str">
        <f>VLOOKUP($Q161,Resultados!$A$1:$B$49,2,FALSE)</f>
        <v>Juicio Abreviado</v>
      </c>
      <c r="S161" s="6"/>
      <c r="T161" s="71" t="str">
        <f t="shared" si="10"/>
        <v>NO</v>
      </c>
      <c r="U161" s="71">
        <f t="shared" si="11"/>
        <v>5</v>
      </c>
      <c r="V161" s="6"/>
      <c r="W161" s="6"/>
      <c r="X161" s="6"/>
      <c r="Y161" s="6"/>
      <c r="Z161" s="71"/>
      <c r="AA161" s="71"/>
      <c r="AB161" s="71"/>
      <c r="AC161" s="361"/>
    </row>
    <row r="162" spans="1:29" ht="63.75" x14ac:dyDescent="0.2">
      <c r="A162" s="6">
        <v>159</v>
      </c>
      <c r="B162" s="18">
        <v>45055</v>
      </c>
      <c r="C162" s="14">
        <v>0.33333333333333331</v>
      </c>
      <c r="D162" s="6" t="s">
        <v>764</v>
      </c>
      <c r="E162" s="40" t="s">
        <v>739</v>
      </c>
      <c r="F162" s="6">
        <v>8</v>
      </c>
      <c r="G162" s="6" t="s">
        <v>1441</v>
      </c>
      <c r="H162" s="18">
        <v>45058</v>
      </c>
      <c r="I162" s="6" t="s">
        <v>73</v>
      </c>
      <c r="J162" s="18" t="s">
        <v>31</v>
      </c>
      <c r="K162" s="6">
        <f>IFERROR(VLOOKUP(J162,Jueces!$A$1:$B$11,2,FALSE),"")</f>
        <v>2</v>
      </c>
      <c r="L162" s="6" t="s">
        <v>413</v>
      </c>
      <c r="M162" s="6" t="s">
        <v>710</v>
      </c>
      <c r="N162" s="6" t="s">
        <v>835</v>
      </c>
      <c r="O162" s="49" t="str">
        <f t="shared" ca="1" si="8"/>
        <v>SI</v>
      </c>
      <c r="P162" s="49" t="str">
        <f t="shared" si="9"/>
        <v>DIANOSOL</v>
      </c>
      <c r="Q162" s="6" t="s">
        <v>904</v>
      </c>
      <c r="R162" s="6" t="str">
        <f>VLOOKUP($Q162,Resultados!$A$1:$B$49,2,FALSE)</f>
        <v>Juicio Abreviado</v>
      </c>
      <c r="S162" s="6"/>
      <c r="T162" s="71" t="str">
        <f t="shared" si="10"/>
        <v>NO</v>
      </c>
      <c r="U162" s="71">
        <f t="shared" si="11"/>
        <v>5</v>
      </c>
      <c r="V162" s="6"/>
      <c r="W162" s="6"/>
      <c r="X162" s="6"/>
      <c r="Y162" s="6"/>
      <c r="Z162" s="71"/>
      <c r="AA162" s="71"/>
      <c r="AB162" s="71"/>
      <c r="AC162" s="361"/>
    </row>
    <row r="163" spans="1:29" ht="51" x14ac:dyDescent="0.2">
      <c r="A163" s="6">
        <v>160</v>
      </c>
      <c r="B163" s="18">
        <v>45054</v>
      </c>
      <c r="C163" s="14">
        <v>0.5</v>
      </c>
      <c r="D163" s="6" t="s">
        <v>736</v>
      </c>
      <c r="E163" s="40" t="s">
        <v>738</v>
      </c>
      <c r="F163" s="6">
        <v>8</v>
      </c>
      <c r="G163" s="6" t="s">
        <v>32</v>
      </c>
      <c r="H163" s="18">
        <v>45058</v>
      </c>
      <c r="I163" s="6" t="s">
        <v>76</v>
      </c>
      <c r="J163" s="18" t="s">
        <v>33</v>
      </c>
      <c r="K163" s="6">
        <f>IFERROR(VLOOKUP(J163,Jueces!$A$1:$B$11,2,FALSE),"")</f>
        <v>4</v>
      </c>
      <c r="L163" s="6" t="s">
        <v>184</v>
      </c>
      <c r="M163" s="6" t="s">
        <v>710</v>
      </c>
      <c r="N163" s="6" t="s">
        <v>839</v>
      </c>
      <c r="O163" s="49" t="str">
        <f t="shared" ca="1" si="8"/>
        <v>SI</v>
      </c>
      <c r="P163" s="49" t="str">
        <f t="shared" si="9"/>
        <v>DIANOSOL</v>
      </c>
      <c r="Q163" s="6" t="s">
        <v>151</v>
      </c>
      <c r="R163" s="6" t="str">
        <f>VLOOKUP($Q163,Resultados!$A$1:$B$49,2,FALSE)</f>
        <v>Prisión Preventiva</v>
      </c>
      <c r="S163" s="6"/>
      <c r="T163" s="71" t="str">
        <f t="shared" si="10"/>
        <v>NO</v>
      </c>
      <c r="U163" s="71">
        <f t="shared" si="11"/>
        <v>5</v>
      </c>
      <c r="V163" s="6"/>
      <c r="W163" s="6"/>
      <c r="X163" s="6"/>
      <c r="Y163" s="6"/>
      <c r="Z163" s="71"/>
      <c r="AA163" s="71"/>
      <c r="AB163" s="71"/>
      <c r="AC163" s="361"/>
    </row>
    <row r="164" spans="1:29" ht="51" x14ac:dyDescent="0.2">
      <c r="A164" s="6">
        <v>161</v>
      </c>
      <c r="B164" s="18">
        <v>45054</v>
      </c>
      <c r="C164" s="14">
        <v>0.5</v>
      </c>
      <c r="D164" s="6" t="s">
        <v>761</v>
      </c>
      <c r="E164" s="40" t="s">
        <v>737</v>
      </c>
      <c r="F164" s="6">
        <v>8</v>
      </c>
      <c r="G164" s="6" t="s">
        <v>568</v>
      </c>
      <c r="H164" s="18">
        <v>45061</v>
      </c>
      <c r="I164" s="6" t="s">
        <v>73</v>
      </c>
      <c r="J164" s="18" t="s">
        <v>35</v>
      </c>
      <c r="K164" s="6">
        <f>IFERROR(VLOOKUP(J164,Jueces!$A$1:$B$11,2,FALSE),"")</f>
        <v>3</v>
      </c>
      <c r="L164" s="6" t="s">
        <v>210</v>
      </c>
      <c r="M164" s="6" t="s">
        <v>710</v>
      </c>
      <c r="N164" s="6" t="s">
        <v>864</v>
      </c>
      <c r="O164" s="49" t="str">
        <f t="shared" ca="1" si="8"/>
        <v>SI</v>
      </c>
      <c r="P164" s="49" t="str">
        <f t="shared" si="9"/>
        <v>DIANOSOL</v>
      </c>
      <c r="Q164" s="6" t="s">
        <v>904</v>
      </c>
      <c r="R164" s="6" t="str">
        <f>VLOOKUP($Q164,Resultados!$A$1:$B$49,2,FALSE)</f>
        <v>Juicio Abreviado</v>
      </c>
      <c r="S164" s="6"/>
      <c r="T164" s="71" t="str">
        <f t="shared" si="10"/>
        <v>NO</v>
      </c>
      <c r="U164" s="71">
        <f t="shared" si="11"/>
        <v>5</v>
      </c>
      <c r="V164" s="6"/>
      <c r="W164" s="6"/>
      <c r="X164" s="6"/>
      <c r="Y164" s="6"/>
      <c r="Z164" s="71"/>
      <c r="AA164" s="71"/>
      <c r="AB164" s="71"/>
      <c r="AC164" s="361"/>
    </row>
    <row r="165" spans="1:29" ht="38.25" x14ac:dyDescent="0.2">
      <c r="A165" s="6">
        <v>162</v>
      </c>
      <c r="B165" s="18">
        <v>45055</v>
      </c>
      <c r="C165" s="14">
        <v>0.33333333333333331</v>
      </c>
      <c r="D165" s="6" t="s">
        <v>766</v>
      </c>
      <c r="E165" s="40" t="s">
        <v>762</v>
      </c>
      <c r="F165" s="6">
        <v>8</v>
      </c>
      <c r="G165" s="6" t="s">
        <v>283</v>
      </c>
      <c r="H165" s="18">
        <v>45061</v>
      </c>
      <c r="I165" s="6" t="s">
        <v>73</v>
      </c>
      <c r="J165" s="18" t="s">
        <v>33</v>
      </c>
      <c r="K165" s="6">
        <f>IFERROR(VLOOKUP(J165,Jueces!$A$1:$B$11,2,FALSE),"")</f>
        <v>4</v>
      </c>
      <c r="L165" s="6" t="s">
        <v>248</v>
      </c>
      <c r="M165" s="6" t="s">
        <v>767</v>
      </c>
      <c r="N165" s="6" t="s">
        <v>863</v>
      </c>
      <c r="O165" s="49" t="str">
        <f t="shared" ca="1" si="8"/>
        <v>SI</v>
      </c>
      <c r="P165" s="49" t="str">
        <f t="shared" si="9"/>
        <v>DIANOSOL</v>
      </c>
      <c r="Q165" s="6" t="s">
        <v>904</v>
      </c>
      <c r="R165" s="6" t="str">
        <f>VLOOKUP($Q165,Resultados!$A$1:$B$49,2,FALSE)</f>
        <v>Juicio Abreviado</v>
      </c>
      <c r="S165" s="6"/>
      <c r="T165" s="71" t="str">
        <f t="shared" si="10"/>
        <v>NO</v>
      </c>
      <c r="U165" s="71">
        <f t="shared" si="11"/>
        <v>5</v>
      </c>
      <c r="V165" s="6"/>
      <c r="W165" s="6"/>
      <c r="X165" s="6"/>
      <c r="Y165" s="6"/>
      <c r="Z165" s="71"/>
      <c r="AA165" s="71"/>
      <c r="AB165" s="71"/>
      <c r="AC165" s="361"/>
    </row>
    <row r="166" spans="1:29" ht="89.25" x14ac:dyDescent="0.2">
      <c r="A166" s="6">
        <v>163</v>
      </c>
      <c r="B166" s="18">
        <v>45055</v>
      </c>
      <c r="C166" s="14">
        <v>0.33333333333333331</v>
      </c>
      <c r="D166" s="6" t="s">
        <v>765</v>
      </c>
      <c r="E166" s="40" t="s">
        <v>740</v>
      </c>
      <c r="F166" s="6">
        <v>8</v>
      </c>
      <c r="G166" s="6" t="s">
        <v>43</v>
      </c>
      <c r="H166" s="18">
        <v>45062</v>
      </c>
      <c r="I166" s="6" t="s">
        <v>73</v>
      </c>
      <c r="J166" s="18" t="s">
        <v>35</v>
      </c>
      <c r="K166" s="6">
        <f>IFERROR(VLOOKUP(J166,Jueces!$A$1:$B$11,2,FALSE),"")</f>
        <v>3</v>
      </c>
      <c r="L166" s="6" t="s">
        <v>248</v>
      </c>
      <c r="M166" s="6" t="s">
        <v>710</v>
      </c>
      <c r="N166" s="6" t="s">
        <v>848</v>
      </c>
      <c r="O166" s="49" t="str">
        <f t="shared" ca="1" si="8"/>
        <v>SI</v>
      </c>
      <c r="P166" s="49" t="str">
        <f t="shared" si="9"/>
        <v>DIANOSOL</v>
      </c>
      <c r="Q166" s="6" t="s">
        <v>904</v>
      </c>
      <c r="R166" s="6" t="str">
        <f>VLOOKUP($Q166,Resultados!$A$1:$B$49,2,FALSE)</f>
        <v>Juicio Abreviado</v>
      </c>
      <c r="S166" s="6"/>
      <c r="T166" s="71" t="str">
        <f t="shared" si="10"/>
        <v>NO</v>
      </c>
      <c r="U166" s="71">
        <f t="shared" si="11"/>
        <v>5</v>
      </c>
      <c r="V166" s="6"/>
      <c r="W166" s="6"/>
      <c r="X166" s="6"/>
      <c r="Y166" s="6"/>
      <c r="Z166" s="71"/>
      <c r="AA166" s="71"/>
      <c r="AB166" s="71"/>
      <c r="AC166" s="361"/>
    </row>
    <row r="167" spans="1:29" ht="25.5" x14ac:dyDescent="0.2">
      <c r="A167" s="6">
        <v>164</v>
      </c>
      <c r="B167" s="18">
        <v>45055</v>
      </c>
      <c r="C167" s="14">
        <v>0.5</v>
      </c>
      <c r="D167" s="6" t="s">
        <v>821</v>
      </c>
      <c r="E167" s="40" t="s">
        <v>780</v>
      </c>
      <c r="F167" s="6">
        <v>8</v>
      </c>
      <c r="G167" s="6" t="s">
        <v>1441</v>
      </c>
      <c r="H167" s="18">
        <v>45062</v>
      </c>
      <c r="I167" s="6" t="s">
        <v>1086</v>
      </c>
      <c r="J167" s="18" t="s">
        <v>31</v>
      </c>
      <c r="K167" s="6">
        <f>IFERROR(VLOOKUP(J167,Jueces!$A$1:$B$11,2,FALSE),"")</f>
        <v>2</v>
      </c>
      <c r="L167" s="6" t="s">
        <v>184</v>
      </c>
      <c r="M167" s="6" t="s">
        <v>723</v>
      </c>
      <c r="N167" s="6" t="s">
        <v>859</v>
      </c>
      <c r="O167" s="49" t="str">
        <f t="shared" ca="1" si="8"/>
        <v>SI</v>
      </c>
      <c r="P167" s="49" t="str">
        <f t="shared" si="9"/>
        <v>DIANOSOL</v>
      </c>
      <c r="Q167" s="6" t="s">
        <v>904</v>
      </c>
      <c r="R167" s="6" t="str">
        <f>VLOOKUP($Q167,Resultados!$A$1:$B$49,2,FALSE)</f>
        <v>Juicio Abreviado</v>
      </c>
      <c r="S167" s="6"/>
      <c r="T167" s="71" t="str">
        <f t="shared" si="10"/>
        <v>NO</v>
      </c>
      <c r="U167" s="71">
        <f t="shared" si="11"/>
        <v>5</v>
      </c>
      <c r="V167" s="6"/>
      <c r="W167" s="6"/>
      <c r="X167" s="6"/>
      <c r="Y167" s="6"/>
      <c r="Z167" s="71"/>
      <c r="AA167" s="71"/>
      <c r="AB167" s="71"/>
      <c r="AC167" s="361"/>
    </row>
    <row r="168" spans="1:29" ht="25.5" x14ac:dyDescent="0.2">
      <c r="A168" s="6">
        <v>165</v>
      </c>
      <c r="B168" s="18">
        <v>45055</v>
      </c>
      <c r="C168" s="14">
        <v>0.45833333333333331</v>
      </c>
      <c r="D168" s="6" t="s">
        <v>768</v>
      </c>
      <c r="E168" s="40" t="s">
        <v>763</v>
      </c>
      <c r="F168" s="6">
        <v>8</v>
      </c>
      <c r="G168" s="6" t="s">
        <v>29</v>
      </c>
      <c r="H168" s="18">
        <v>45063</v>
      </c>
      <c r="I168" s="6" t="s">
        <v>73</v>
      </c>
      <c r="J168" s="18" t="s">
        <v>33</v>
      </c>
      <c r="K168" s="6">
        <f>IFERROR(VLOOKUP(J168,Jueces!$A$1:$B$11,2,FALSE),"")</f>
        <v>4</v>
      </c>
      <c r="L168" s="6" t="s">
        <v>804</v>
      </c>
      <c r="M168" s="6" t="s">
        <v>710</v>
      </c>
      <c r="N168" s="6" t="s">
        <v>874</v>
      </c>
      <c r="O168" s="49" t="str">
        <f t="shared" ca="1" si="8"/>
        <v>SI</v>
      </c>
      <c r="P168" s="49" t="str">
        <f t="shared" si="9"/>
        <v>DIANOSOL</v>
      </c>
      <c r="Q168" s="6" t="s">
        <v>913</v>
      </c>
      <c r="R168" s="6" t="str">
        <f>VLOOKUP($Q168,Resultados!$A$1:$B$49,2,FALSE)</f>
        <v>Prision domiciliaria</v>
      </c>
      <c r="S168" s="6"/>
      <c r="T168" s="71" t="str">
        <f t="shared" si="10"/>
        <v>NO</v>
      </c>
      <c r="U168" s="71">
        <f t="shared" si="11"/>
        <v>5</v>
      </c>
      <c r="V168" s="6"/>
      <c r="W168" s="6"/>
      <c r="X168" s="6"/>
      <c r="Y168" s="6"/>
      <c r="Z168" s="71"/>
      <c r="AA168" s="71"/>
      <c r="AB168" s="71"/>
      <c r="AC168" s="361"/>
    </row>
    <row r="169" spans="1:29" ht="25.5" x14ac:dyDescent="0.2">
      <c r="A169" s="6">
        <v>166</v>
      </c>
      <c r="B169" s="18">
        <v>45056</v>
      </c>
      <c r="C169" s="14">
        <v>0.54166666666666663</v>
      </c>
      <c r="D169" s="6" t="s">
        <v>822</v>
      </c>
      <c r="E169" s="40" t="s">
        <v>784</v>
      </c>
      <c r="F169" s="6">
        <v>8</v>
      </c>
      <c r="G169" s="6" t="s">
        <v>43</v>
      </c>
      <c r="H169" s="18">
        <v>45063</v>
      </c>
      <c r="I169" s="6" t="s">
        <v>73</v>
      </c>
      <c r="J169" s="18" t="s">
        <v>35</v>
      </c>
      <c r="K169" s="6">
        <f>IFERROR(VLOOKUP(J169,Jueces!$A$1:$B$11,2,FALSE),"")</f>
        <v>3</v>
      </c>
      <c r="L169" s="6" t="s">
        <v>412</v>
      </c>
      <c r="M169" s="6" t="s">
        <v>767</v>
      </c>
      <c r="N169" s="6" t="s">
        <v>875</v>
      </c>
      <c r="O169" s="49" t="str">
        <f t="shared" ca="1" si="8"/>
        <v>SI</v>
      </c>
      <c r="P169" s="49" t="str">
        <f t="shared" si="9"/>
        <v>DIANOSOL</v>
      </c>
      <c r="Q169" s="6" t="s">
        <v>904</v>
      </c>
      <c r="R169" s="6" t="str">
        <f>VLOOKUP($Q169,Resultados!$A$1:$B$49,2,FALSE)</f>
        <v>Juicio Abreviado</v>
      </c>
      <c r="S169" s="6"/>
      <c r="T169" s="71" t="str">
        <f t="shared" si="10"/>
        <v>NO</v>
      </c>
      <c r="U169" s="71">
        <f t="shared" si="11"/>
        <v>5</v>
      </c>
      <c r="V169" s="6"/>
      <c r="W169" s="6"/>
      <c r="X169" s="6"/>
      <c r="Y169" s="6"/>
      <c r="Z169" s="71"/>
      <c r="AA169" s="71"/>
      <c r="AB169" s="71"/>
      <c r="AC169" s="361"/>
    </row>
    <row r="170" spans="1:29" ht="25.5" x14ac:dyDescent="0.2">
      <c r="A170" s="6">
        <v>167</v>
      </c>
      <c r="B170" s="18">
        <v>45056</v>
      </c>
      <c r="C170" s="14">
        <v>0.33333333333333331</v>
      </c>
      <c r="D170" s="6" t="s">
        <v>781</v>
      </c>
      <c r="E170" s="40" t="s">
        <v>769</v>
      </c>
      <c r="F170" s="6">
        <v>8</v>
      </c>
      <c r="G170" s="6" t="s">
        <v>32</v>
      </c>
      <c r="H170" s="18">
        <v>45064</v>
      </c>
      <c r="I170" s="6" t="s">
        <v>73</v>
      </c>
      <c r="J170" s="18" t="s">
        <v>78</v>
      </c>
      <c r="K170" s="6">
        <f>IFERROR(VLOOKUP(J170,Jueces!$A$1:$B$11,2,FALSE),"")</f>
        <v>8</v>
      </c>
      <c r="L170" s="6" t="s">
        <v>642</v>
      </c>
      <c r="M170" s="6" t="s">
        <v>710</v>
      </c>
      <c r="N170" s="6" t="s">
        <v>898</v>
      </c>
      <c r="O170" s="49" t="str">
        <f t="shared" ca="1" si="8"/>
        <v>SI</v>
      </c>
      <c r="P170" s="49" t="str">
        <f t="shared" si="9"/>
        <v>DIANOSOL</v>
      </c>
      <c r="Q170" s="6" t="s">
        <v>905</v>
      </c>
      <c r="R170" s="6" t="str">
        <f>VLOOKUP($Q170,Resultados!$A$1:$B$49,2,FALSE)</f>
        <v>Juicio Abreviado</v>
      </c>
      <c r="S170" s="6"/>
      <c r="T170" s="71" t="str">
        <f t="shared" si="10"/>
        <v>NO</v>
      </c>
      <c r="U170" s="71">
        <f t="shared" si="11"/>
        <v>5</v>
      </c>
      <c r="V170" s="6"/>
      <c r="W170" s="6"/>
      <c r="X170" s="6"/>
      <c r="Y170" s="6"/>
      <c r="Z170" s="71"/>
      <c r="AA170" s="71"/>
      <c r="AB170" s="71"/>
      <c r="AC170" s="361"/>
    </row>
    <row r="171" spans="1:29" ht="25.5" x14ac:dyDescent="0.2">
      <c r="A171" s="6">
        <v>168</v>
      </c>
      <c r="B171" s="18">
        <v>45056</v>
      </c>
      <c r="C171" s="14">
        <v>0.41666666666666669</v>
      </c>
      <c r="D171" s="6" t="s">
        <v>823</v>
      </c>
      <c r="E171" s="40" t="s">
        <v>832</v>
      </c>
      <c r="F171" s="6">
        <v>8</v>
      </c>
      <c r="G171" s="6" t="s">
        <v>34</v>
      </c>
      <c r="H171" s="18">
        <v>45064</v>
      </c>
      <c r="I171" s="6" t="s">
        <v>73</v>
      </c>
      <c r="J171" s="18" t="s">
        <v>33</v>
      </c>
      <c r="K171" s="6">
        <f>IFERROR(VLOOKUP(J171,Jueces!$A$1:$B$11,2,FALSE),"")</f>
        <v>4</v>
      </c>
      <c r="L171" s="6" t="s">
        <v>105</v>
      </c>
      <c r="M171" s="6" t="s">
        <v>711</v>
      </c>
      <c r="N171" s="6" t="s">
        <v>899</v>
      </c>
      <c r="O171" s="49" t="str">
        <f t="shared" ca="1" si="8"/>
        <v>SI</v>
      </c>
      <c r="P171" s="49" t="str">
        <f t="shared" si="9"/>
        <v>DIANOSOL</v>
      </c>
      <c r="Q171" s="6" t="s">
        <v>899</v>
      </c>
      <c r="R171" s="6" t="str">
        <f>VLOOKUP($Q171,Resultados!$A$1:$B$49,2,FALSE)</f>
        <v>Libertad</v>
      </c>
      <c r="S171" s="6"/>
      <c r="T171" s="71" t="str">
        <f t="shared" si="10"/>
        <v>NO</v>
      </c>
      <c r="U171" s="71">
        <f t="shared" si="11"/>
        <v>5</v>
      </c>
      <c r="V171" s="6"/>
      <c r="W171" s="6"/>
      <c r="X171" s="6"/>
      <c r="Y171" s="6"/>
      <c r="Z171" s="71"/>
      <c r="AA171" s="71"/>
      <c r="AB171" s="71"/>
      <c r="AC171" s="361"/>
    </row>
    <row r="172" spans="1:29" ht="25.5" x14ac:dyDescent="0.2">
      <c r="A172" s="6">
        <v>169</v>
      </c>
      <c r="B172" s="18">
        <v>45063</v>
      </c>
      <c r="C172" s="14">
        <v>0.33333333333333331</v>
      </c>
      <c r="D172" s="6" t="s">
        <v>865</v>
      </c>
      <c r="E172" s="40" t="s">
        <v>869</v>
      </c>
      <c r="F172" s="6">
        <v>8</v>
      </c>
      <c r="G172" s="6" t="s">
        <v>43</v>
      </c>
      <c r="H172" s="18">
        <v>45064</v>
      </c>
      <c r="I172" s="6" t="s">
        <v>686</v>
      </c>
      <c r="J172" s="18" t="s">
        <v>31</v>
      </c>
      <c r="K172" s="6">
        <f>IFERROR(VLOOKUP(J172,Jueces!$A$1:$B$11,2,FALSE),"")</f>
        <v>2</v>
      </c>
      <c r="L172" s="6" t="s">
        <v>799</v>
      </c>
      <c r="M172" s="6" t="s">
        <v>767</v>
      </c>
      <c r="N172" s="6" t="s">
        <v>902</v>
      </c>
      <c r="O172" s="49" t="str">
        <f t="shared" ca="1" si="8"/>
        <v>SI</v>
      </c>
      <c r="P172" s="49" t="str">
        <f t="shared" si="9"/>
        <v>DIANOSOL</v>
      </c>
      <c r="Q172" s="6" t="s">
        <v>902</v>
      </c>
      <c r="R172" s="6" t="str">
        <f>VLOOKUP($Q172,Resultados!$A$1:$B$49,2,FALSE)</f>
        <v>Libertad</v>
      </c>
      <c r="S172" s="6"/>
      <c r="T172" s="71" t="str">
        <f t="shared" si="10"/>
        <v>NO</v>
      </c>
      <c r="U172" s="71">
        <f t="shared" si="11"/>
        <v>5</v>
      </c>
      <c r="V172" s="6"/>
      <c r="W172" s="6"/>
      <c r="X172" s="6"/>
      <c r="Y172" s="6"/>
      <c r="Z172" s="71"/>
      <c r="AA172" s="71"/>
      <c r="AB172" s="71"/>
      <c r="AC172" s="361"/>
    </row>
    <row r="173" spans="1:29" ht="25.5" x14ac:dyDescent="0.2">
      <c r="A173" s="6">
        <v>170</v>
      </c>
      <c r="B173" s="18">
        <v>45058</v>
      </c>
      <c r="C173" s="14">
        <v>0.55347222222222225</v>
      </c>
      <c r="D173" s="6" t="s">
        <v>843</v>
      </c>
      <c r="E173" s="40" t="s">
        <v>842</v>
      </c>
      <c r="F173" s="6">
        <v>8</v>
      </c>
      <c r="G173" s="6" t="s">
        <v>34</v>
      </c>
      <c r="H173" s="18">
        <v>45065</v>
      </c>
      <c r="I173" s="6" t="s">
        <v>73</v>
      </c>
      <c r="J173" s="18" t="s">
        <v>35</v>
      </c>
      <c r="K173" s="6">
        <f>IFERROR(VLOOKUP(J173,Jueces!$A$1:$B$11,2,FALSE),"")</f>
        <v>3</v>
      </c>
      <c r="L173" s="6" t="s">
        <v>811</v>
      </c>
      <c r="M173" s="6" t="s">
        <v>767</v>
      </c>
      <c r="N173" s="6" t="s">
        <v>466</v>
      </c>
      <c r="O173" s="6" t="str">
        <f t="shared" ca="1" si="8"/>
        <v>SI</v>
      </c>
      <c r="P173" s="6" t="str">
        <f t="shared" si="9"/>
        <v>DIANOSOL</v>
      </c>
      <c r="Q173" s="6" t="s">
        <v>902</v>
      </c>
      <c r="R173" s="6" t="str">
        <f>VLOOKUP($Q173,Resultados!$A$1:$B$49,2,FALSE)</f>
        <v>Libertad</v>
      </c>
      <c r="S173" s="6"/>
      <c r="T173" s="71" t="str">
        <f t="shared" si="10"/>
        <v>NO</v>
      </c>
      <c r="U173" s="71">
        <f t="shared" si="11"/>
        <v>5</v>
      </c>
      <c r="V173" s="6"/>
      <c r="W173" s="6"/>
      <c r="X173" s="6"/>
      <c r="Y173" s="6"/>
      <c r="Z173" s="71"/>
      <c r="AA173" s="71"/>
      <c r="AB173" s="71"/>
      <c r="AC173" s="361"/>
    </row>
    <row r="174" spans="1:29" ht="63.75" x14ac:dyDescent="0.2">
      <c r="A174" s="6">
        <v>171</v>
      </c>
      <c r="B174" s="18">
        <v>45056</v>
      </c>
      <c r="C174" s="14">
        <v>0.54166666666666663</v>
      </c>
      <c r="D174" s="6" t="s">
        <v>824</v>
      </c>
      <c r="E174" s="40" t="s">
        <v>787</v>
      </c>
      <c r="F174" s="6">
        <v>8</v>
      </c>
      <c r="G174" s="6" t="s">
        <v>568</v>
      </c>
      <c r="H174" s="18">
        <v>45065</v>
      </c>
      <c r="I174" s="6" t="s">
        <v>73</v>
      </c>
      <c r="J174" s="18" t="s">
        <v>78</v>
      </c>
      <c r="K174" s="6">
        <f>IFERROR(VLOOKUP(J174,Jueces!$A$1:$B$11,2,FALSE),"")</f>
        <v>8</v>
      </c>
      <c r="L174" s="6" t="s">
        <v>262</v>
      </c>
      <c r="M174" s="6" t="s">
        <v>710</v>
      </c>
      <c r="N174" s="6" t="s">
        <v>577</v>
      </c>
      <c r="O174" s="6" t="str">
        <f t="shared" ca="1" si="8"/>
        <v>SI</v>
      </c>
      <c r="P174" s="6" t="str">
        <f t="shared" si="9"/>
        <v>DIANOSOL</v>
      </c>
      <c r="Q174" s="6" t="s">
        <v>151</v>
      </c>
      <c r="R174" s="6" t="str">
        <f>VLOOKUP($Q174,Resultados!$A$1:$B$49,2,FALSE)</f>
        <v>Prisión Preventiva</v>
      </c>
      <c r="S174" s="6"/>
      <c r="T174" s="71" t="str">
        <f t="shared" si="10"/>
        <v>NO</v>
      </c>
      <c r="U174" s="71">
        <f t="shared" si="11"/>
        <v>5</v>
      </c>
      <c r="V174" s="6"/>
      <c r="W174" s="6"/>
      <c r="X174" s="6"/>
      <c r="Y174" s="6"/>
      <c r="Z174" s="71"/>
      <c r="AA174" s="71"/>
      <c r="AB174" s="71"/>
      <c r="AC174" s="361"/>
    </row>
    <row r="175" spans="1:29" ht="25.5" x14ac:dyDescent="0.2">
      <c r="A175" s="6">
        <v>172</v>
      </c>
      <c r="B175" s="18">
        <v>45062</v>
      </c>
      <c r="C175" s="14">
        <v>0.33333333333333331</v>
      </c>
      <c r="D175" s="6" t="s">
        <v>856</v>
      </c>
      <c r="E175" s="40" t="s">
        <v>851</v>
      </c>
      <c r="F175" s="6">
        <v>8</v>
      </c>
      <c r="G175" s="6" t="s">
        <v>1441</v>
      </c>
      <c r="H175" s="18">
        <v>45065</v>
      </c>
      <c r="I175" s="6" t="s">
        <v>686</v>
      </c>
      <c r="J175" s="18" t="s">
        <v>78</v>
      </c>
      <c r="K175" s="6">
        <f>IFERROR(VLOOKUP(J175,Jueces!$A$1:$B$11,2,FALSE),"")</f>
        <v>8</v>
      </c>
      <c r="L175" s="6" t="s">
        <v>809</v>
      </c>
      <c r="M175" s="6" t="s">
        <v>767</v>
      </c>
      <c r="N175" s="6" t="s">
        <v>924</v>
      </c>
      <c r="O175" s="49" t="str">
        <f t="shared" ca="1" si="8"/>
        <v>SI</v>
      </c>
      <c r="P175" s="49" t="str">
        <f t="shared" si="9"/>
        <v>DIANOSOL</v>
      </c>
      <c r="Q175" s="6" t="s">
        <v>904</v>
      </c>
      <c r="R175" s="6" t="str">
        <f>VLOOKUP($Q175,Resultados!$A$1:$B$49,2,FALSE)</f>
        <v>Juicio Abreviado</v>
      </c>
      <c r="S175" s="6"/>
      <c r="T175" s="71" t="str">
        <f t="shared" si="10"/>
        <v>NO</v>
      </c>
      <c r="U175" s="71">
        <f t="shared" si="11"/>
        <v>5</v>
      </c>
      <c r="V175" s="6"/>
      <c r="W175" s="6"/>
      <c r="X175" s="6"/>
      <c r="Y175" s="6"/>
      <c r="Z175" s="71"/>
      <c r="AA175" s="71"/>
      <c r="AB175" s="71"/>
      <c r="AC175" s="361"/>
    </row>
    <row r="176" spans="1:29" ht="76.5" x14ac:dyDescent="0.2">
      <c r="A176" s="6">
        <v>173</v>
      </c>
      <c r="B176" s="18">
        <v>45058</v>
      </c>
      <c r="C176" s="14">
        <v>0.35416666666666669</v>
      </c>
      <c r="D176" s="6" t="s">
        <v>840</v>
      </c>
      <c r="E176" s="40" t="s">
        <v>834</v>
      </c>
      <c r="F176" s="6">
        <v>8</v>
      </c>
      <c r="G176" s="322" t="s">
        <v>568</v>
      </c>
      <c r="H176" s="18">
        <v>45068</v>
      </c>
      <c r="I176" s="6" t="s">
        <v>73</v>
      </c>
      <c r="J176" s="18" t="s">
        <v>33</v>
      </c>
      <c r="K176" s="6">
        <f>IFERROR(VLOOKUP(J176,Jueces!$A$1:$B$11,2,FALSE),"")</f>
        <v>4</v>
      </c>
      <c r="L176" s="6" t="s">
        <v>793</v>
      </c>
      <c r="M176" s="6" t="s">
        <v>723</v>
      </c>
      <c r="N176" s="6" t="s">
        <v>932</v>
      </c>
      <c r="O176" s="6" t="str">
        <f t="shared" ca="1" si="8"/>
        <v>SI</v>
      </c>
      <c r="P176" s="6" t="str">
        <f t="shared" si="9"/>
        <v>DIANOSOL</v>
      </c>
      <c r="Q176" s="6" t="s">
        <v>950</v>
      </c>
      <c r="R176" s="6" t="str">
        <f>VLOOKUP($Q176,Resultados!$A$1:$B$49,2,FALSE)</f>
        <v>Prision domiciliaria</v>
      </c>
      <c r="S176" s="6"/>
      <c r="T176" s="71" t="str">
        <f t="shared" si="10"/>
        <v>NO</v>
      </c>
      <c r="U176" s="71">
        <f t="shared" si="11"/>
        <v>5</v>
      </c>
      <c r="V176" s="6"/>
      <c r="W176" s="6"/>
      <c r="X176" s="6"/>
      <c r="Y176" s="6"/>
      <c r="Z176" s="71"/>
      <c r="AA176" s="71"/>
      <c r="AB176" s="71"/>
      <c r="AC176" s="361"/>
    </row>
    <row r="177" spans="1:29" ht="38.25" x14ac:dyDescent="0.2">
      <c r="A177" s="6">
        <v>174</v>
      </c>
      <c r="B177" s="18">
        <v>45057</v>
      </c>
      <c r="C177" s="6" t="s">
        <v>73</v>
      </c>
      <c r="D177" s="6" t="s">
        <v>826</v>
      </c>
      <c r="E177" s="40" t="s">
        <v>815</v>
      </c>
      <c r="F177" s="6">
        <v>8</v>
      </c>
      <c r="G177" s="6" t="s">
        <v>29</v>
      </c>
      <c r="H177" s="18">
        <v>45068</v>
      </c>
      <c r="I177" s="6" t="s">
        <v>73</v>
      </c>
      <c r="J177" s="18" t="s">
        <v>78</v>
      </c>
      <c r="K177" s="6">
        <f>IFERROR(VLOOKUP(J177,Jueces!$A$1:$B$11,2,FALSE),"")</f>
        <v>8</v>
      </c>
      <c r="L177" s="6" t="s">
        <v>809</v>
      </c>
      <c r="M177" s="6" t="s">
        <v>767</v>
      </c>
      <c r="N177" s="6" t="s">
        <v>925</v>
      </c>
      <c r="O177" s="49" t="str">
        <f t="shared" ca="1" si="8"/>
        <v>SI</v>
      </c>
      <c r="P177" s="49" t="str">
        <f t="shared" si="9"/>
        <v>DIANOSOL</v>
      </c>
      <c r="Q177" s="6" t="s">
        <v>904</v>
      </c>
      <c r="R177" s="6" t="str">
        <f>VLOOKUP($Q177,Resultados!$A$1:$B$49,2,FALSE)</f>
        <v>Juicio Abreviado</v>
      </c>
      <c r="S177" s="6"/>
      <c r="T177" s="71" t="str">
        <f t="shared" si="10"/>
        <v>NO</v>
      </c>
      <c r="U177" s="71">
        <f t="shared" si="11"/>
        <v>5</v>
      </c>
      <c r="V177" s="6"/>
      <c r="W177" s="6"/>
      <c r="X177" s="6"/>
      <c r="Y177" s="6"/>
      <c r="Z177" s="71"/>
      <c r="AA177" s="71"/>
      <c r="AB177" s="71"/>
      <c r="AC177" s="361"/>
    </row>
    <row r="178" spans="1:29" ht="89.25" x14ac:dyDescent="0.2">
      <c r="A178" s="6">
        <v>175</v>
      </c>
      <c r="B178" s="18">
        <v>45057</v>
      </c>
      <c r="C178" s="14">
        <v>0.41666666666666669</v>
      </c>
      <c r="D178" s="6" t="s">
        <v>828</v>
      </c>
      <c r="E178" s="40" t="s">
        <v>894</v>
      </c>
      <c r="F178" s="6">
        <v>8</v>
      </c>
      <c r="G178" s="6" t="s">
        <v>1441</v>
      </c>
      <c r="H178" s="18">
        <v>45068</v>
      </c>
      <c r="I178" s="6" t="s">
        <v>686</v>
      </c>
      <c r="J178" s="18" t="s">
        <v>78</v>
      </c>
      <c r="K178" s="6">
        <f>IFERROR(VLOOKUP(J178,Jueces!$A$1:$B$11,2,FALSE),"")</f>
        <v>8</v>
      </c>
      <c r="L178" s="6" t="s">
        <v>804</v>
      </c>
      <c r="M178" s="6" t="s">
        <v>767</v>
      </c>
      <c r="N178" s="6" t="s">
        <v>926</v>
      </c>
      <c r="O178" s="49" t="str">
        <f t="shared" ca="1" si="8"/>
        <v>SI</v>
      </c>
      <c r="P178" s="49" t="str">
        <f t="shared" si="9"/>
        <v>DIANOSOL</v>
      </c>
      <c r="Q178" s="6" t="s">
        <v>151</v>
      </c>
      <c r="R178" s="6" t="str">
        <f>VLOOKUP($Q178,Resultados!$A$1:$B$49,2,FALSE)</f>
        <v>Prisión Preventiva</v>
      </c>
      <c r="S178" s="6"/>
      <c r="T178" s="71" t="str">
        <f t="shared" si="10"/>
        <v>NO</v>
      </c>
      <c r="U178" s="71">
        <f t="shared" si="11"/>
        <v>5</v>
      </c>
      <c r="V178" s="6"/>
      <c r="W178" s="6"/>
      <c r="X178" s="6"/>
      <c r="Y178" s="6"/>
      <c r="Z178" s="71"/>
      <c r="AA178" s="71"/>
      <c r="AB178" s="71"/>
      <c r="AC178" s="361"/>
    </row>
    <row r="179" spans="1:29" ht="25.5" x14ac:dyDescent="0.2">
      <c r="A179" s="6">
        <v>176</v>
      </c>
      <c r="B179" s="18">
        <v>45063</v>
      </c>
      <c r="C179" s="14">
        <v>0.33333333333333331</v>
      </c>
      <c r="D179" s="6" t="s">
        <v>878</v>
      </c>
      <c r="E179" s="40" t="s">
        <v>867</v>
      </c>
      <c r="F179" s="6">
        <v>8</v>
      </c>
      <c r="G179" s="6" t="s">
        <v>32</v>
      </c>
      <c r="H179" s="18">
        <v>45068</v>
      </c>
      <c r="I179" s="6" t="s">
        <v>686</v>
      </c>
      <c r="J179" s="18" t="s">
        <v>33</v>
      </c>
      <c r="K179" s="6">
        <f>IFERROR(VLOOKUP(J179,Jueces!$A$1:$B$11,2,FALSE),"")</f>
        <v>4</v>
      </c>
      <c r="L179" s="6" t="s">
        <v>809</v>
      </c>
      <c r="M179" s="6" t="s">
        <v>723</v>
      </c>
      <c r="N179" s="6" t="s">
        <v>899</v>
      </c>
      <c r="O179" s="49" t="str">
        <f t="shared" ca="1" si="8"/>
        <v>SI</v>
      </c>
      <c r="P179" s="49" t="str">
        <f t="shared" si="9"/>
        <v>DIANOSOL</v>
      </c>
      <c r="Q179" s="6" t="s">
        <v>899</v>
      </c>
      <c r="R179" s="6" t="str">
        <f>VLOOKUP($Q179,Resultados!$A$1:$B$49,2,FALSE)</f>
        <v>Libertad</v>
      </c>
      <c r="S179" s="6"/>
      <c r="T179" s="71" t="str">
        <f t="shared" si="10"/>
        <v>NO</v>
      </c>
      <c r="U179" s="71">
        <f t="shared" si="11"/>
        <v>5</v>
      </c>
      <c r="V179" s="6"/>
      <c r="W179" s="6"/>
      <c r="X179" s="6"/>
      <c r="Y179" s="6"/>
      <c r="Z179" s="71"/>
      <c r="AA179" s="71"/>
      <c r="AB179" s="71"/>
      <c r="AC179" s="361"/>
    </row>
    <row r="180" spans="1:29" ht="25.5" x14ac:dyDescent="0.2">
      <c r="A180" s="6">
        <v>177</v>
      </c>
      <c r="B180" s="18">
        <v>45057</v>
      </c>
      <c r="C180" s="14">
        <v>0.41666666666666669</v>
      </c>
      <c r="D180" s="6" t="s">
        <v>827</v>
      </c>
      <c r="E180" s="40" t="s">
        <v>820</v>
      </c>
      <c r="F180" s="6">
        <v>8</v>
      </c>
      <c r="G180" s="6" t="s">
        <v>283</v>
      </c>
      <c r="H180" s="18">
        <v>45069</v>
      </c>
      <c r="I180" s="6" t="s">
        <v>73</v>
      </c>
      <c r="J180" s="18" t="s">
        <v>31</v>
      </c>
      <c r="K180" s="6">
        <f>IFERROR(VLOOKUP(J180,Jueces!$A$1:$B$11,2,FALSE),"")</f>
        <v>2</v>
      </c>
      <c r="L180" s="74" t="s">
        <v>830</v>
      </c>
      <c r="M180" s="6" t="s">
        <v>767</v>
      </c>
      <c r="N180" s="6" t="s">
        <v>943</v>
      </c>
      <c r="O180" s="49" t="str">
        <f t="shared" ca="1" si="8"/>
        <v>SI</v>
      </c>
      <c r="P180" s="49" t="str">
        <f t="shared" si="9"/>
        <v>DIANOSOL</v>
      </c>
      <c r="Q180" s="6" t="s">
        <v>151</v>
      </c>
      <c r="R180" s="6" t="str">
        <f>VLOOKUP($Q180,Resultados!$A$1:$B$49,2,FALSE)</f>
        <v>Prisión Preventiva</v>
      </c>
      <c r="S180" s="6"/>
      <c r="T180" s="71" t="str">
        <f t="shared" si="10"/>
        <v>NO</v>
      </c>
      <c r="U180" s="71">
        <f t="shared" si="11"/>
        <v>5</v>
      </c>
      <c r="V180" s="6"/>
      <c r="W180" s="6"/>
      <c r="X180" s="6"/>
      <c r="Y180" s="6"/>
      <c r="Z180" s="71"/>
      <c r="AA180" s="71"/>
      <c r="AB180" s="71"/>
      <c r="AC180" s="361"/>
    </row>
    <row r="181" spans="1:29" ht="38.25" x14ac:dyDescent="0.2">
      <c r="A181" s="6">
        <v>178</v>
      </c>
      <c r="B181" s="18">
        <v>45062</v>
      </c>
      <c r="C181" s="14">
        <v>0.33333333333333331</v>
      </c>
      <c r="D181" s="6" t="s">
        <v>849</v>
      </c>
      <c r="E181" s="40" t="s">
        <v>850</v>
      </c>
      <c r="F181" s="6">
        <v>8</v>
      </c>
      <c r="G181" s="6" t="s">
        <v>43</v>
      </c>
      <c r="H181" s="18">
        <v>45069</v>
      </c>
      <c r="I181" s="6" t="s">
        <v>73</v>
      </c>
      <c r="J181" s="18" t="s">
        <v>35</v>
      </c>
      <c r="K181" s="6">
        <f>IFERROR(VLOOKUP(J181,Jueces!$A$1:$B$11,2,FALSE),"")</f>
        <v>3</v>
      </c>
      <c r="L181" s="6" t="s">
        <v>569</v>
      </c>
      <c r="M181" s="6" t="s">
        <v>783</v>
      </c>
      <c r="N181" s="6" t="s">
        <v>941</v>
      </c>
      <c r="O181" s="49" t="str">
        <f t="shared" ca="1" si="8"/>
        <v>SI</v>
      </c>
      <c r="P181" s="49" t="str">
        <f t="shared" si="9"/>
        <v>DIANOSOL</v>
      </c>
      <c r="Q181" s="6" t="s">
        <v>151</v>
      </c>
      <c r="R181" s="6" t="str">
        <f>VLOOKUP($Q181,Resultados!$A$1:$B$49,2,FALSE)</f>
        <v>Prisión Preventiva</v>
      </c>
      <c r="S181" s="6"/>
      <c r="T181" s="71" t="str">
        <f t="shared" si="10"/>
        <v>NO</v>
      </c>
      <c r="U181" s="71">
        <f t="shared" si="11"/>
        <v>5</v>
      </c>
      <c r="V181" s="6"/>
      <c r="W181" s="6"/>
      <c r="X181" s="6"/>
      <c r="Y181" s="6"/>
      <c r="Z181" s="71"/>
      <c r="AA181" s="71"/>
      <c r="AB181" s="71"/>
      <c r="AC181" s="361"/>
    </row>
    <row r="182" spans="1:29" ht="25.5" x14ac:dyDescent="0.2">
      <c r="A182" s="6">
        <v>179</v>
      </c>
      <c r="B182" s="18">
        <v>45063</v>
      </c>
      <c r="C182" s="14">
        <v>0.33333333333333331</v>
      </c>
      <c r="D182" s="6" t="s">
        <v>879</v>
      </c>
      <c r="E182" s="40" t="s">
        <v>868</v>
      </c>
      <c r="F182" s="6">
        <v>8</v>
      </c>
      <c r="G182" s="6" t="s">
        <v>29</v>
      </c>
      <c r="H182" s="18">
        <v>45069</v>
      </c>
      <c r="I182" s="6" t="s">
        <v>73</v>
      </c>
      <c r="J182" s="18" t="s">
        <v>33</v>
      </c>
      <c r="K182" s="6">
        <f>IFERROR(VLOOKUP(J182,Jueces!$A$1:$B$11,2,FALSE),"")</f>
        <v>4</v>
      </c>
      <c r="L182" s="6" t="s">
        <v>813</v>
      </c>
      <c r="M182" s="6" t="s">
        <v>723</v>
      </c>
      <c r="N182" s="6" t="s">
        <v>940</v>
      </c>
      <c r="O182" s="49" t="str">
        <f t="shared" ca="1" si="8"/>
        <v>SI</v>
      </c>
      <c r="P182" s="49" t="str">
        <f t="shared" si="9"/>
        <v>DIANOSOL</v>
      </c>
      <c r="Q182" s="6" t="s">
        <v>151</v>
      </c>
      <c r="R182" s="6" t="str">
        <f>VLOOKUP($Q182,Resultados!$A$1:$B$49,2,FALSE)</f>
        <v>Prisión Preventiva</v>
      </c>
      <c r="S182" s="6"/>
      <c r="T182" s="71" t="str">
        <f t="shared" si="10"/>
        <v>NO</v>
      </c>
      <c r="U182" s="71">
        <f t="shared" si="11"/>
        <v>5</v>
      </c>
      <c r="V182" s="6"/>
      <c r="W182" s="6"/>
      <c r="X182" s="6"/>
      <c r="Y182" s="6"/>
      <c r="Z182" s="71"/>
      <c r="AA182" s="71"/>
      <c r="AB182" s="71"/>
      <c r="AC182" s="361"/>
    </row>
    <row r="183" spans="1:29" ht="25.5" x14ac:dyDescent="0.2">
      <c r="A183" s="6">
        <v>180</v>
      </c>
      <c r="B183" s="18">
        <v>45061</v>
      </c>
      <c r="C183" s="14">
        <v>0.5625</v>
      </c>
      <c r="D183" s="6" t="s">
        <v>855</v>
      </c>
      <c r="E183" s="40" t="s">
        <v>846</v>
      </c>
      <c r="F183" s="6">
        <v>8</v>
      </c>
      <c r="G183" s="6" t="s">
        <v>32</v>
      </c>
      <c r="H183" s="18">
        <v>45069</v>
      </c>
      <c r="I183" s="6" t="s">
        <v>686</v>
      </c>
      <c r="J183" s="18" t="s">
        <v>31</v>
      </c>
      <c r="K183" s="6">
        <f>IFERROR(VLOOKUP(J183,Jueces!$A$1:$B$11,2,FALSE),"")</f>
        <v>2</v>
      </c>
      <c r="L183" s="6" t="s">
        <v>812</v>
      </c>
      <c r="M183" s="6" t="s">
        <v>767</v>
      </c>
      <c r="N183" s="6" t="s">
        <v>942</v>
      </c>
      <c r="O183" s="49" t="str">
        <f t="shared" ca="1" si="8"/>
        <v>SI</v>
      </c>
      <c r="P183" s="49" t="str">
        <f t="shared" si="9"/>
        <v>DIANOSOL</v>
      </c>
      <c r="Q183" s="6" t="s">
        <v>905</v>
      </c>
      <c r="R183" s="6" t="str">
        <f>VLOOKUP($Q183,Resultados!$A$1:$B$49,2,FALSE)</f>
        <v>Juicio Abreviado</v>
      </c>
      <c r="S183" s="6"/>
      <c r="T183" s="71" t="str">
        <f t="shared" si="10"/>
        <v>NO</v>
      </c>
      <c r="U183" s="71">
        <f t="shared" si="11"/>
        <v>5</v>
      </c>
      <c r="V183" s="6"/>
      <c r="W183" s="6"/>
      <c r="X183" s="6"/>
      <c r="Y183" s="6"/>
      <c r="Z183" s="71"/>
      <c r="AA183" s="71"/>
      <c r="AB183" s="71"/>
      <c r="AC183" s="361"/>
    </row>
    <row r="184" spans="1:29" ht="51" x14ac:dyDescent="0.2">
      <c r="A184" s="6">
        <v>181</v>
      </c>
      <c r="B184" s="18">
        <v>45061</v>
      </c>
      <c r="C184" s="14">
        <v>0.45763888888888887</v>
      </c>
      <c r="D184" s="6" t="s">
        <v>896</v>
      </c>
      <c r="E184" s="40" t="s">
        <v>844</v>
      </c>
      <c r="F184" s="6">
        <v>8</v>
      </c>
      <c r="G184" s="6" t="s">
        <v>568</v>
      </c>
      <c r="H184" s="18">
        <v>45070</v>
      </c>
      <c r="I184" s="6" t="s">
        <v>73</v>
      </c>
      <c r="J184" s="18" t="s">
        <v>31</v>
      </c>
      <c r="K184" s="6">
        <f>IFERROR(VLOOKUP(J184,Jueces!$A$1:$B$11,2,FALSE),"")</f>
        <v>2</v>
      </c>
      <c r="L184" s="6" t="s">
        <v>830</v>
      </c>
      <c r="M184" s="6" t="s">
        <v>723</v>
      </c>
      <c r="N184" s="6" t="s">
        <v>954</v>
      </c>
      <c r="O184" s="49" t="str">
        <f t="shared" ca="1" si="8"/>
        <v>SI</v>
      </c>
      <c r="P184" s="49" t="str">
        <f t="shared" si="9"/>
        <v>DIANOSOL</v>
      </c>
      <c r="Q184" s="6" t="s">
        <v>905</v>
      </c>
      <c r="R184" s="6" t="str">
        <f>VLOOKUP($Q184,Resultados!$A$1:$B$49,2,FALSE)</f>
        <v>Juicio Abreviado</v>
      </c>
      <c r="S184" s="6"/>
      <c r="T184" s="71" t="str">
        <f t="shared" si="10"/>
        <v>NO</v>
      </c>
      <c r="U184" s="71">
        <f t="shared" si="11"/>
        <v>5</v>
      </c>
      <c r="V184" s="6"/>
      <c r="W184" s="6"/>
      <c r="X184" s="6"/>
      <c r="Y184" s="6"/>
      <c r="Z184" s="71"/>
      <c r="AA184" s="71"/>
      <c r="AB184" s="71"/>
      <c r="AC184" s="361"/>
    </row>
    <row r="185" spans="1:29" ht="25.5" x14ac:dyDescent="0.2">
      <c r="A185" s="6">
        <v>182</v>
      </c>
      <c r="B185" s="18">
        <v>45057</v>
      </c>
      <c r="C185" s="6" t="s">
        <v>73</v>
      </c>
      <c r="D185" s="6" t="s">
        <v>831</v>
      </c>
      <c r="E185" s="40" t="s">
        <v>816</v>
      </c>
      <c r="F185" s="6">
        <v>8</v>
      </c>
      <c r="G185" s="6" t="s">
        <v>34</v>
      </c>
      <c r="H185" s="18">
        <v>45070</v>
      </c>
      <c r="I185" s="6" t="s">
        <v>73</v>
      </c>
      <c r="J185" s="18" t="s">
        <v>78</v>
      </c>
      <c r="K185" s="6">
        <f>IFERROR(VLOOKUP(J185,Jueces!$A$1:$B$11,2,FALSE),"")</f>
        <v>8</v>
      </c>
      <c r="L185" s="6" t="s">
        <v>809</v>
      </c>
      <c r="M185" s="6" t="s">
        <v>767</v>
      </c>
      <c r="N185" s="6" t="s">
        <v>899</v>
      </c>
      <c r="O185" s="49" t="str">
        <f t="shared" ca="1" si="8"/>
        <v>SI</v>
      </c>
      <c r="P185" s="49" t="str">
        <f t="shared" si="9"/>
        <v>DIANOSOL</v>
      </c>
      <c r="Q185" s="6" t="s">
        <v>899</v>
      </c>
      <c r="R185" s="6" t="str">
        <f>VLOOKUP($Q185,Resultados!$A$1:$B$49,2,FALSE)</f>
        <v>Libertad</v>
      </c>
      <c r="S185" s="6"/>
      <c r="T185" s="71" t="str">
        <f t="shared" si="10"/>
        <v>NO</v>
      </c>
      <c r="U185" s="71">
        <f t="shared" si="11"/>
        <v>5</v>
      </c>
      <c r="V185" s="6"/>
      <c r="W185" s="6"/>
      <c r="X185" s="6"/>
      <c r="Y185" s="6"/>
      <c r="Z185" s="71"/>
      <c r="AA185" s="71"/>
      <c r="AB185" s="71"/>
      <c r="AC185" s="361"/>
    </row>
    <row r="186" spans="1:29" ht="51" x14ac:dyDescent="0.2">
      <c r="A186" s="6">
        <v>183</v>
      </c>
      <c r="B186" s="18">
        <v>45061</v>
      </c>
      <c r="C186" s="14">
        <v>0.5625</v>
      </c>
      <c r="D186" s="6" t="s">
        <v>854</v>
      </c>
      <c r="E186" s="40" t="s">
        <v>847</v>
      </c>
      <c r="F186" s="6">
        <v>8</v>
      </c>
      <c r="G186" s="6" t="s">
        <v>29</v>
      </c>
      <c r="H186" s="18">
        <v>45070</v>
      </c>
      <c r="I186" s="6" t="s">
        <v>686</v>
      </c>
      <c r="J186" s="18" t="s">
        <v>31</v>
      </c>
      <c r="K186" s="6">
        <f>IFERROR(VLOOKUP(J186,Jueces!$A$1:$B$11,2,FALSE),"")</f>
        <v>2</v>
      </c>
      <c r="L186" s="6" t="s">
        <v>789</v>
      </c>
      <c r="M186" s="6" t="s">
        <v>767</v>
      </c>
      <c r="N186" s="6" t="s">
        <v>953</v>
      </c>
      <c r="O186" s="49" t="str">
        <f t="shared" ca="1" si="8"/>
        <v>SI</v>
      </c>
      <c r="P186" s="49" t="str">
        <f t="shared" si="9"/>
        <v>DIANOSOL</v>
      </c>
      <c r="Q186" s="6" t="s">
        <v>909</v>
      </c>
      <c r="R186" s="6" t="str">
        <f>VLOOKUP($Q186,Resultados!$A$1:$B$49,2,FALSE)</f>
        <v>Suspensión de juicio a prueba</v>
      </c>
      <c r="S186" s="6"/>
      <c r="T186" s="71" t="str">
        <f t="shared" si="10"/>
        <v>NO</v>
      </c>
      <c r="U186" s="71">
        <f t="shared" si="11"/>
        <v>5</v>
      </c>
      <c r="V186" s="6"/>
      <c r="W186" s="6"/>
      <c r="X186" s="6"/>
      <c r="Y186" s="6"/>
      <c r="Z186" s="71"/>
      <c r="AA186" s="71"/>
      <c r="AB186" s="71"/>
      <c r="AC186" s="361"/>
    </row>
    <row r="187" spans="1:29" ht="38.25" x14ac:dyDescent="0.2">
      <c r="A187" s="6">
        <v>184</v>
      </c>
      <c r="B187" s="18">
        <v>45062</v>
      </c>
      <c r="C187" s="14">
        <v>0.54166666666666663</v>
      </c>
      <c r="D187" s="6" t="s">
        <v>876</v>
      </c>
      <c r="E187" s="40" t="s">
        <v>877</v>
      </c>
      <c r="F187" s="6">
        <v>8</v>
      </c>
      <c r="G187" s="6" t="s">
        <v>1441</v>
      </c>
      <c r="H187" s="18">
        <v>45070</v>
      </c>
      <c r="I187" s="6" t="s">
        <v>686</v>
      </c>
      <c r="J187" s="18" t="s">
        <v>78</v>
      </c>
      <c r="K187" s="6">
        <f>IFERROR(VLOOKUP(J187,Jueces!$A$1:$B$11,2,FALSE),"")</f>
        <v>8</v>
      </c>
      <c r="L187" s="6" t="s">
        <v>829</v>
      </c>
      <c r="M187" s="6" t="s">
        <v>887</v>
      </c>
      <c r="N187" s="6" t="s">
        <v>952</v>
      </c>
      <c r="O187" s="49" t="str">
        <f t="shared" ca="1" si="8"/>
        <v>SI</v>
      </c>
      <c r="P187" s="49" t="str">
        <f t="shared" si="9"/>
        <v>DIANOSOL</v>
      </c>
      <c r="Q187" s="6" t="s">
        <v>151</v>
      </c>
      <c r="R187" s="6" t="str">
        <f>VLOOKUP($Q187,Resultados!$A$1:$B$49,2,FALSE)</f>
        <v>Prisión Preventiva</v>
      </c>
      <c r="S187" s="6"/>
      <c r="T187" s="71" t="str">
        <f t="shared" si="10"/>
        <v>NO</v>
      </c>
      <c r="U187" s="71">
        <f t="shared" si="11"/>
        <v>5</v>
      </c>
      <c r="V187" s="6"/>
      <c r="W187" s="6"/>
      <c r="X187" s="6"/>
      <c r="Y187" s="6"/>
      <c r="Z187" s="71"/>
      <c r="AA187" s="71"/>
      <c r="AB187" s="71"/>
      <c r="AC187" s="361"/>
    </row>
    <row r="188" spans="1:29" ht="51" outlineLevel="1" x14ac:dyDescent="0.2">
      <c r="A188" s="6">
        <v>185</v>
      </c>
      <c r="B188" s="18">
        <v>45065</v>
      </c>
      <c r="C188" s="14">
        <v>0.54166666666666663</v>
      </c>
      <c r="D188" s="6" t="s">
        <v>933</v>
      </c>
      <c r="E188" s="40" t="s">
        <v>923</v>
      </c>
      <c r="F188" s="6">
        <v>8</v>
      </c>
      <c r="G188" s="6" t="s">
        <v>1441</v>
      </c>
      <c r="H188" s="18">
        <v>45070</v>
      </c>
      <c r="I188" s="6" t="s">
        <v>76</v>
      </c>
      <c r="J188" s="18" t="s">
        <v>78</v>
      </c>
      <c r="K188" s="6">
        <f>IFERROR(VLOOKUP(J188,Jueces!$A$1:$B$11,2,FALSE),"")</f>
        <v>8</v>
      </c>
      <c r="L188" s="6" t="s">
        <v>401</v>
      </c>
      <c r="M188" s="6" t="s">
        <v>887</v>
      </c>
      <c r="N188" s="6"/>
      <c r="O188" s="6" t="str">
        <f t="shared" ca="1" si="8"/>
        <v>SI</v>
      </c>
      <c r="P188" s="6" t="str">
        <f t="shared" si="9"/>
        <v>DIANOSOL</v>
      </c>
      <c r="Q188" s="6" t="s">
        <v>905</v>
      </c>
      <c r="R188" s="6" t="str">
        <f>VLOOKUP($Q188,Resultados!$A$1:$B$49,2,FALSE)</f>
        <v>Juicio Abreviado</v>
      </c>
      <c r="S188" s="6"/>
      <c r="T188" s="71" t="str">
        <f t="shared" si="10"/>
        <v>NO</v>
      </c>
      <c r="U188" s="71">
        <f t="shared" si="11"/>
        <v>5</v>
      </c>
      <c r="V188" s="6"/>
      <c r="W188" s="6"/>
      <c r="X188" s="6"/>
      <c r="Y188" s="6"/>
      <c r="Z188" s="71"/>
      <c r="AA188" s="71"/>
      <c r="AB188" s="71"/>
      <c r="AC188" s="361"/>
    </row>
    <row r="189" spans="1:29" ht="51" outlineLevel="1" x14ac:dyDescent="0.2">
      <c r="A189" s="6">
        <v>186</v>
      </c>
      <c r="B189" s="18">
        <v>45063</v>
      </c>
      <c r="C189" s="14">
        <v>0.54166666666666663</v>
      </c>
      <c r="D189" s="6" t="s">
        <v>901</v>
      </c>
      <c r="E189" s="40" t="s">
        <v>895</v>
      </c>
      <c r="F189" s="6">
        <v>8</v>
      </c>
      <c r="G189" s="6" t="s">
        <v>32</v>
      </c>
      <c r="H189" s="18">
        <v>45075</v>
      </c>
      <c r="I189" s="14" t="s">
        <v>73</v>
      </c>
      <c r="J189" s="18" t="s">
        <v>35</v>
      </c>
      <c r="K189" s="6">
        <f>IFERROR(VLOOKUP(J189,Jueces!$A$1:$B$11,2,FALSE),"")</f>
        <v>3</v>
      </c>
      <c r="L189" s="6" t="s">
        <v>797</v>
      </c>
      <c r="M189" s="6" t="s">
        <v>897</v>
      </c>
      <c r="N189" s="6" t="s">
        <v>955</v>
      </c>
      <c r="O189" s="6" t="str">
        <f t="shared" ca="1" si="8"/>
        <v>SI</v>
      </c>
      <c r="P189" s="6" t="str">
        <f t="shared" si="9"/>
        <v>DIANOSOL</v>
      </c>
      <c r="Q189" s="6" t="s">
        <v>905</v>
      </c>
      <c r="R189" s="6" t="str">
        <f>VLOOKUP($Q189,Resultados!$A$1:$B$49,2,FALSE)</f>
        <v>Juicio Abreviado</v>
      </c>
      <c r="S189" s="6"/>
      <c r="T189" s="71" t="str">
        <f t="shared" si="10"/>
        <v>NO</v>
      </c>
      <c r="U189" s="71">
        <f t="shared" si="11"/>
        <v>5</v>
      </c>
      <c r="V189" s="6"/>
      <c r="W189" s="6"/>
      <c r="X189" s="6"/>
      <c r="Y189" s="6"/>
      <c r="Z189" s="71"/>
      <c r="AA189" s="71"/>
      <c r="AB189" s="71"/>
      <c r="AC189" s="361"/>
    </row>
    <row r="190" spans="1:29" ht="38.25" outlineLevel="1" x14ac:dyDescent="0.2">
      <c r="A190" s="6">
        <v>187</v>
      </c>
      <c r="B190" s="18">
        <v>45062</v>
      </c>
      <c r="C190" s="6" t="s">
        <v>77</v>
      </c>
      <c r="D190" s="6" t="s">
        <v>884</v>
      </c>
      <c r="E190" s="40" t="s">
        <v>885</v>
      </c>
      <c r="F190" s="6">
        <v>8</v>
      </c>
      <c r="G190" s="6" t="s">
        <v>568</v>
      </c>
      <c r="H190" s="18">
        <v>45075</v>
      </c>
      <c r="I190" s="6" t="s">
        <v>73</v>
      </c>
      <c r="J190" s="18" t="s">
        <v>33</v>
      </c>
      <c r="K190" s="6">
        <f>IFERROR(VLOOKUP(J190,Jueces!$A$1:$B$11,2,FALSE),"")</f>
        <v>4</v>
      </c>
      <c r="L190" s="6" t="s">
        <v>806</v>
      </c>
      <c r="M190" s="6" t="s">
        <v>886</v>
      </c>
      <c r="N190" s="6" t="s">
        <v>962</v>
      </c>
      <c r="O190" s="6" t="str">
        <f t="shared" ca="1" si="8"/>
        <v>SI</v>
      </c>
      <c r="P190" s="6" t="str">
        <f t="shared" si="9"/>
        <v>DIANOSOL</v>
      </c>
      <c r="Q190" s="6" t="s">
        <v>905</v>
      </c>
      <c r="R190" s="6" t="str">
        <f>VLOOKUP($Q190,Resultados!$A$1:$B$49,2,FALSE)</f>
        <v>Juicio Abreviado</v>
      </c>
      <c r="S190" s="6"/>
      <c r="T190" s="71" t="str">
        <f t="shared" si="10"/>
        <v>NO</v>
      </c>
      <c r="U190" s="71">
        <f t="shared" si="11"/>
        <v>5</v>
      </c>
      <c r="V190" s="6"/>
      <c r="W190" s="6"/>
      <c r="X190" s="6"/>
      <c r="Y190" s="6"/>
      <c r="Z190" s="71"/>
      <c r="AA190" s="71"/>
      <c r="AB190" s="71"/>
      <c r="AC190" s="361"/>
    </row>
    <row r="191" spans="1:29" ht="127.5" outlineLevel="1" x14ac:dyDescent="0.2">
      <c r="A191" s="6">
        <v>188</v>
      </c>
      <c r="B191" s="18">
        <v>45058</v>
      </c>
      <c r="C191" s="14">
        <v>0.51736111111111105</v>
      </c>
      <c r="D191" s="6" t="s">
        <v>873</v>
      </c>
      <c r="E191" s="40" t="s">
        <v>853</v>
      </c>
      <c r="F191" s="6">
        <v>8</v>
      </c>
      <c r="G191" s="6" t="s">
        <v>1441</v>
      </c>
      <c r="H191" s="18">
        <v>45075</v>
      </c>
      <c r="I191" s="6" t="s">
        <v>73</v>
      </c>
      <c r="J191" s="18" t="s">
        <v>31</v>
      </c>
      <c r="K191" s="6">
        <f>IFERROR(VLOOKUP(J191,Jueces!$A$1:$B$11,2,FALSE),"")</f>
        <v>2</v>
      </c>
      <c r="L191" s="6" t="s">
        <v>1033</v>
      </c>
      <c r="M191" s="6" t="s">
        <v>1032</v>
      </c>
      <c r="N191" s="6" t="s">
        <v>957</v>
      </c>
      <c r="O191" s="6" t="str">
        <f t="shared" ca="1" si="8"/>
        <v>SI</v>
      </c>
      <c r="P191" s="6" t="str">
        <f t="shared" si="9"/>
        <v>DIANOSOL</v>
      </c>
      <c r="Q191" s="6" t="s">
        <v>151</v>
      </c>
      <c r="R191" s="6" t="str">
        <f>VLOOKUP($Q191,Resultados!$A$1:$B$49,2,FALSE)</f>
        <v>Prisión Preventiva</v>
      </c>
      <c r="S191" s="6"/>
      <c r="T191" s="71" t="str">
        <f t="shared" si="10"/>
        <v>NO</v>
      </c>
      <c r="U191" s="71">
        <f t="shared" si="11"/>
        <v>5</v>
      </c>
      <c r="V191" s="6"/>
      <c r="W191" s="6"/>
      <c r="X191" s="6"/>
      <c r="Y191" s="6"/>
      <c r="Z191" s="71"/>
      <c r="AA191" s="71"/>
      <c r="AB191" s="71"/>
      <c r="AC191" s="361"/>
    </row>
    <row r="192" spans="1:29" ht="63.75" outlineLevel="1" x14ac:dyDescent="0.2">
      <c r="A192" s="6">
        <v>189</v>
      </c>
      <c r="B192" s="18">
        <v>45063</v>
      </c>
      <c r="C192" s="14">
        <v>0.5</v>
      </c>
      <c r="D192" s="6" t="s">
        <v>889</v>
      </c>
      <c r="E192" s="40" t="s">
        <v>890</v>
      </c>
      <c r="F192" s="6">
        <v>8</v>
      </c>
      <c r="G192" s="6" t="s">
        <v>1441</v>
      </c>
      <c r="H192" s="18">
        <v>45075</v>
      </c>
      <c r="I192" s="6" t="s">
        <v>686</v>
      </c>
      <c r="J192" s="18" t="s">
        <v>78</v>
      </c>
      <c r="K192" s="6">
        <f>IFERROR(VLOOKUP(J192,Jueces!$A$1:$B$11,2,FALSE),"")</f>
        <v>8</v>
      </c>
      <c r="L192" s="6" t="s">
        <v>805</v>
      </c>
      <c r="M192" s="6" t="s">
        <v>893</v>
      </c>
      <c r="N192" s="6" t="s">
        <v>956</v>
      </c>
      <c r="O192" s="6" t="str">
        <f t="shared" ca="1" si="8"/>
        <v>SI</v>
      </c>
      <c r="P192" s="6" t="str">
        <f t="shared" si="9"/>
        <v>DIANOSOL</v>
      </c>
      <c r="Q192" s="6" t="s">
        <v>905</v>
      </c>
      <c r="R192" s="6" t="str">
        <f>VLOOKUP($Q192,Resultados!$A$1:$B$49,2,FALSE)</f>
        <v>Juicio Abreviado</v>
      </c>
      <c r="S192" s="6"/>
      <c r="T192" s="71" t="str">
        <f t="shared" si="10"/>
        <v>NO</v>
      </c>
      <c r="U192" s="71">
        <f t="shared" si="11"/>
        <v>5</v>
      </c>
      <c r="V192" s="6"/>
      <c r="W192" s="6"/>
      <c r="X192" s="6"/>
      <c r="Y192" s="6"/>
      <c r="Z192" s="71"/>
      <c r="AA192" s="71"/>
      <c r="AB192" s="71"/>
      <c r="AC192" s="361"/>
    </row>
    <row r="193" spans="1:29" ht="25.5" outlineLevel="1" x14ac:dyDescent="0.2">
      <c r="A193" s="6">
        <v>190</v>
      </c>
      <c r="B193" s="18">
        <v>45063</v>
      </c>
      <c r="C193" s="14">
        <v>0.33333333333333331</v>
      </c>
      <c r="D193" s="6" t="s">
        <v>882</v>
      </c>
      <c r="E193" s="40" t="s">
        <v>871</v>
      </c>
      <c r="F193" s="6">
        <v>8</v>
      </c>
      <c r="G193" s="6" t="s">
        <v>283</v>
      </c>
      <c r="H193" s="18">
        <v>45075</v>
      </c>
      <c r="I193" s="6" t="s">
        <v>686</v>
      </c>
      <c r="J193" s="18" t="s">
        <v>35</v>
      </c>
      <c r="K193" s="6">
        <f>IFERROR(VLOOKUP(J193,Jueces!$A$1:$B$11,2,FALSE),"")</f>
        <v>3</v>
      </c>
      <c r="L193" s="6" t="s">
        <v>789</v>
      </c>
      <c r="M193" s="6" t="s">
        <v>712</v>
      </c>
      <c r="N193" s="6" t="s">
        <v>577</v>
      </c>
      <c r="O193" s="6" t="str">
        <f t="shared" ca="1" si="8"/>
        <v>SI</v>
      </c>
      <c r="P193" s="6" t="str">
        <f t="shared" si="9"/>
        <v>DIANOSOL</v>
      </c>
      <c r="Q193" s="6" t="s">
        <v>902</v>
      </c>
      <c r="R193" s="6" t="str">
        <f>VLOOKUP($Q193,Resultados!$A$1:$B$49,2,FALSE)</f>
        <v>Libertad</v>
      </c>
      <c r="S193" s="6"/>
      <c r="T193" s="71" t="str">
        <f t="shared" si="10"/>
        <v>NO</v>
      </c>
      <c r="U193" s="71">
        <f t="shared" si="11"/>
        <v>5</v>
      </c>
      <c r="V193" s="6"/>
      <c r="W193" s="6"/>
      <c r="X193" s="6"/>
      <c r="Y193" s="6"/>
      <c r="Z193" s="71"/>
      <c r="AA193" s="71"/>
      <c r="AB193" s="71"/>
      <c r="AC193" s="361"/>
    </row>
    <row r="194" spans="1:29" ht="165.75" outlineLevel="1" x14ac:dyDescent="0.2">
      <c r="A194" s="6">
        <v>191</v>
      </c>
      <c r="B194" s="18">
        <v>45069</v>
      </c>
      <c r="C194" s="14">
        <v>0.45833333333333331</v>
      </c>
      <c r="D194" s="6" t="s">
        <v>944</v>
      </c>
      <c r="E194" s="40" t="s">
        <v>946</v>
      </c>
      <c r="F194" s="6">
        <v>2</v>
      </c>
      <c r="G194" s="6" t="s">
        <v>43</v>
      </c>
      <c r="H194" s="18">
        <v>45076</v>
      </c>
      <c r="I194" s="6" t="s">
        <v>73</v>
      </c>
      <c r="J194" s="18" t="s">
        <v>35</v>
      </c>
      <c r="K194" s="6">
        <f>IFERROR(VLOOKUP(J194,Jueces!$A$1:$B$11,2,FALSE),"")</f>
        <v>3</v>
      </c>
      <c r="L194" s="6" t="s">
        <v>191</v>
      </c>
      <c r="M194" s="6" t="s">
        <v>977</v>
      </c>
      <c r="N194" s="6" t="s">
        <v>973</v>
      </c>
      <c r="O194" s="6" t="str">
        <f t="shared" ca="1" si="8"/>
        <v>SI</v>
      </c>
      <c r="P194" s="6" t="str">
        <f t="shared" si="9"/>
        <v>DIANOSOL</v>
      </c>
      <c r="Q194" s="6" t="s">
        <v>913</v>
      </c>
      <c r="R194" s="6" t="str">
        <f>VLOOKUP($Q194,Resultados!$A$1:$B$49,2,FALSE)</f>
        <v>Prision domiciliaria</v>
      </c>
      <c r="S194" s="6"/>
      <c r="T194" s="71" t="str">
        <f t="shared" si="10"/>
        <v>NO</v>
      </c>
      <c r="U194" s="71">
        <f t="shared" si="11"/>
        <v>5</v>
      </c>
      <c r="V194" s="6"/>
      <c r="W194" s="6"/>
      <c r="X194" s="6"/>
      <c r="Y194" s="6"/>
      <c r="Z194" s="71"/>
      <c r="AA194" s="71"/>
      <c r="AB194" s="71"/>
      <c r="AC194" s="361"/>
    </row>
    <row r="195" spans="1:29" ht="25.5" outlineLevel="1" x14ac:dyDescent="0.2">
      <c r="A195" s="6">
        <v>192</v>
      </c>
      <c r="B195" s="18">
        <v>45062</v>
      </c>
      <c r="C195" s="14">
        <v>0.54166666666666663</v>
      </c>
      <c r="D195" s="6" t="s">
        <v>914</v>
      </c>
      <c r="E195" s="40" t="s">
        <v>858</v>
      </c>
      <c r="F195" s="6">
        <v>8</v>
      </c>
      <c r="G195" s="6" t="s">
        <v>34</v>
      </c>
      <c r="H195" s="18">
        <v>45077</v>
      </c>
      <c r="I195" s="6" t="s">
        <v>73</v>
      </c>
      <c r="J195" s="18" t="s">
        <v>33</v>
      </c>
      <c r="K195" s="6">
        <f>IFERROR(VLOOKUP(J195,Jueces!$A$1:$B$11,2,FALSE),"")</f>
        <v>4</v>
      </c>
      <c r="L195" s="6" t="s">
        <v>812</v>
      </c>
      <c r="M195" s="6" t="s">
        <v>887</v>
      </c>
      <c r="N195" s="6" t="s">
        <v>151</v>
      </c>
      <c r="O195" s="6" t="str">
        <f t="shared" ref="O195:O258" ca="1" si="12">IF(H195&lt;&gt;"",IF(H195&lt;=TODAY(),"SI","NO"),"LIMBO")</f>
        <v>SI</v>
      </c>
      <c r="P195" s="6" t="str">
        <f t="shared" ref="P195:P258" si="13">IF($P$1=H195,"DIASOL", "DIANOSOL")</f>
        <v>DIANOSOL</v>
      </c>
      <c r="Q195" s="6" t="s">
        <v>151</v>
      </c>
      <c r="R195" s="6" t="str">
        <f>VLOOKUP($Q195,Resultados!$A$1:$B$49,2,FALSE)</f>
        <v>Prisión Preventiva</v>
      </c>
      <c r="S195" s="6"/>
      <c r="T195" s="71" t="str">
        <f t="shared" ref="T195:T226" si="14">IF(G195=$J$1,"SI","NO")</f>
        <v>NO</v>
      </c>
      <c r="U195" s="71">
        <f t="shared" ref="U195:U204" si="15">IF(H195="",0,MONTH(H195))</f>
        <v>5</v>
      </c>
      <c r="V195" s="6"/>
      <c r="W195" s="6"/>
      <c r="X195" s="6"/>
      <c r="Y195" s="6"/>
      <c r="Z195" s="71"/>
      <c r="AA195" s="71"/>
      <c r="AB195" s="71"/>
      <c r="AC195" s="361"/>
    </row>
    <row r="196" spans="1:29" ht="63.75" outlineLevel="1" x14ac:dyDescent="0.2">
      <c r="A196" s="6">
        <v>193</v>
      </c>
      <c r="B196" s="18">
        <v>45064</v>
      </c>
      <c r="C196" s="6"/>
      <c r="D196" s="6" t="s">
        <v>906</v>
      </c>
      <c r="E196" s="40" t="s">
        <v>917</v>
      </c>
      <c r="F196" s="6">
        <v>8</v>
      </c>
      <c r="G196" s="6" t="s">
        <v>43</v>
      </c>
      <c r="H196" s="18">
        <v>45077</v>
      </c>
      <c r="I196" s="6" t="s">
        <v>73</v>
      </c>
      <c r="J196" s="18" t="s">
        <v>31</v>
      </c>
      <c r="K196" s="6">
        <f>IFERROR(VLOOKUP(J196,Jueces!$A$1:$B$11,2,FALSE),"")</f>
        <v>2</v>
      </c>
      <c r="L196" s="6" t="s">
        <v>262</v>
      </c>
      <c r="M196" s="6" t="s">
        <v>723</v>
      </c>
      <c r="N196" s="6" t="s">
        <v>980</v>
      </c>
      <c r="O196" s="6" t="str">
        <f t="shared" ca="1" si="12"/>
        <v>SI</v>
      </c>
      <c r="P196" s="6" t="str">
        <f t="shared" si="13"/>
        <v>DIANOSOL</v>
      </c>
      <c r="Q196" s="6" t="s">
        <v>905</v>
      </c>
      <c r="R196" s="6" t="str">
        <f>VLOOKUP($Q196,Resultados!$A$1:$B$49,2,FALSE)</f>
        <v>Juicio Abreviado</v>
      </c>
      <c r="S196" s="6"/>
      <c r="T196" s="71" t="str">
        <f t="shared" si="14"/>
        <v>NO</v>
      </c>
      <c r="U196" s="71">
        <f t="shared" si="15"/>
        <v>5</v>
      </c>
      <c r="V196" s="6"/>
      <c r="W196" s="6"/>
      <c r="X196" s="6"/>
      <c r="Y196" s="6"/>
      <c r="Z196" s="71"/>
      <c r="AA196" s="71"/>
      <c r="AB196" s="71"/>
      <c r="AC196" s="361"/>
    </row>
    <row r="197" spans="1:29" ht="25.5" outlineLevel="1" x14ac:dyDescent="0.2">
      <c r="A197" s="6">
        <v>194</v>
      </c>
      <c r="B197" s="18">
        <v>45064</v>
      </c>
      <c r="C197" s="14">
        <v>0.34375</v>
      </c>
      <c r="D197" s="6" t="s">
        <v>915</v>
      </c>
      <c r="E197" s="40" t="s">
        <v>892</v>
      </c>
      <c r="F197" s="6">
        <v>8</v>
      </c>
      <c r="G197" s="6" t="s">
        <v>32</v>
      </c>
      <c r="H197" s="18">
        <v>45077</v>
      </c>
      <c r="I197" s="6" t="s">
        <v>686</v>
      </c>
      <c r="J197" s="18" t="s">
        <v>78</v>
      </c>
      <c r="K197" s="6">
        <f>IFERROR(VLOOKUP(J197,Jueces!$A$1:$B$11,2,FALSE),"")</f>
        <v>8</v>
      </c>
      <c r="L197" s="6" t="s">
        <v>806</v>
      </c>
      <c r="M197" s="6" t="s">
        <v>723</v>
      </c>
      <c r="N197" s="6" t="s">
        <v>984</v>
      </c>
      <c r="O197" s="6" t="str">
        <f t="shared" ca="1" si="12"/>
        <v>SI</v>
      </c>
      <c r="P197" s="6" t="str">
        <f t="shared" si="13"/>
        <v>DIANOSOL</v>
      </c>
      <c r="Q197" s="6" t="s">
        <v>905</v>
      </c>
      <c r="R197" s="6" t="str">
        <f>VLOOKUP($Q197,Resultados!$A$1:$B$49,2,FALSE)</f>
        <v>Juicio Abreviado</v>
      </c>
      <c r="S197" s="6"/>
      <c r="T197" s="71" t="str">
        <f t="shared" si="14"/>
        <v>NO</v>
      </c>
      <c r="U197" s="71">
        <f t="shared" si="15"/>
        <v>5</v>
      </c>
      <c r="V197" s="6"/>
      <c r="W197" s="6"/>
      <c r="X197" s="6"/>
      <c r="Y197" s="6"/>
      <c r="Z197" s="71"/>
      <c r="AA197" s="71"/>
      <c r="AB197" s="71"/>
      <c r="AC197" s="361"/>
    </row>
    <row r="198" spans="1:29" ht="38.25" outlineLevel="1" x14ac:dyDescent="0.2">
      <c r="A198" s="6">
        <v>195</v>
      </c>
      <c r="B198" s="18">
        <v>45064</v>
      </c>
      <c r="C198" s="14">
        <v>0.5</v>
      </c>
      <c r="D198" s="6" t="s">
        <v>945</v>
      </c>
      <c r="E198" s="40" t="s">
        <v>978</v>
      </c>
      <c r="F198" s="6">
        <v>8</v>
      </c>
      <c r="G198" s="6" t="s">
        <v>29</v>
      </c>
      <c r="H198" s="18">
        <v>45077</v>
      </c>
      <c r="I198" s="6" t="s">
        <v>228</v>
      </c>
      <c r="J198" s="18" t="s">
        <v>31</v>
      </c>
      <c r="K198" s="6">
        <f>IFERROR(VLOOKUP(J198,Jueces!$A$1:$B$11,2,FALSE),"")</f>
        <v>2</v>
      </c>
      <c r="L198" s="6" t="s">
        <v>326</v>
      </c>
      <c r="M198" s="6" t="s">
        <v>887</v>
      </c>
      <c r="N198" s="6" t="s">
        <v>988</v>
      </c>
      <c r="O198" s="6" t="str">
        <f t="shared" ca="1" si="12"/>
        <v>SI</v>
      </c>
      <c r="P198" s="6" t="str">
        <f t="shared" si="13"/>
        <v>DIANOSOL</v>
      </c>
      <c r="Q198" s="6" t="s">
        <v>904</v>
      </c>
      <c r="R198" s="6" t="str">
        <f>VLOOKUP($Q198,Resultados!$A$1:$B$49,2,FALSE)</f>
        <v>Juicio Abreviado</v>
      </c>
      <c r="S198" s="6"/>
      <c r="T198" s="71" t="str">
        <f t="shared" si="14"/>
        <v>NO</v>
      </c>
      <c r="U198" s="71">
        <f t="shared" si="15"/>
        <v>5</v>
      </c>
      <c r="V198" s="6"/>
      <c r="W198" s="6"/>
      <c r="X198" s="6"/>
      <c r="Y198" s="6"/>
      <c r="Z198" s="71"/>
      <c r="AA198" s="71"/>
      <c r="AB198" s="71"/>
      <c r="AC198" s="361"/>
    </row>
    <row r="199" spans="1:29" ht="38.25" outlineLevel="1" x14ac:dyDescent="0.2">
      <c r="A199" s="6">
        <v>196</v>
      </c>
      <c r="B199" s="18">
        <v>45057</v>
      </c>
      <c r="C199" s="14">
        <v>0.33333333333333331</v>
      </c>
      <c r="D199" s="6" t="s">
        <v>786</v>
      </c>
      <c r="E199" s="40" t="s">
        <v>994</v>
      </c>
      <c r="F199" s="6">
        <v>8</v>
      </c>
      <c r="G199" s="6" t="s">
        <v>32</v>
      </c>
      <c r="H199" s="18">
        <v>45078</v>
      </c>
      <c r="I199" s="6" t="s">
        <v>73</v>
      </c>
      <c r="J199" s="18" t="s">
        <v>33</v>
      </c>
      <c r="K199" s="6">
        <f>IFERROR(VLOOKUP(J199,Jueces!$A$1:$B$11,2,FALSE),"")</f>
        <v>4</v>
      </c>
      <c r="L199" s="6" t="s">
        <v>805</v>
      </c>
      <c r="M199" s="6" t="s">
        <v>837</v>
      </c>
      <c r="N199" s="6" t="s">
        <v>993</v>
      </c>
      <c r="O199" s="6" t="str">
        <f t="shared" ca="1" si="12"/>
        <v>SI</v>
      </c>
      <c r="P199" s="6" t="str">
        <f t="shared" si="13"/>
        <v>DIANOSOL</v>
      </c>
      <c r="Q199" s="6" t="s">
        <v>905</v>
      </c>
      <c r="R199" s="6" t="str">
        <f>VLOOKUP($Q199,Resultados!$A$1:$B$49,2,FALSE)</f>
        <v>Juicio Abreviado</v>
      </c>
      <c r="S199" s="6"/>
      <c r="T199" s="71" t="str">
        <f t="shared" si="14"/>
        <v>NO</v>
      </c>
      <c r="U199" s="71">
        <f t="shared" si="15"/>
        <v>6</v>
      </c>
      <c r="V199" s="6"/>
      <c r="W199" s="6"/>
      <c r="X199" s="6"/>
      <c r="Y199" s="6"/>
      <c r="Z199" s="71"/>
      <c r="AA199" s="71"/>
      <c r="AB199" s="71"/>
      <c r="AC199" s="361"/>
    </row>
    <row r="200" spans="1:29" ht="51" outlineLevel="1" x14ac:dyDescent="0.2">
      <c r="A200" s="6">
        <v>197</v>
      </c>
      <c r="B200" s="18">
        <v>45063</v>
      </c>
      <c r="C200" s="14">
        <v>0.33333333333333331</v>
      </c>
      <c r="D200" s="6" t="s">
        <v>866</v>
      </c>
      <c r="E200" s="40" t="s">
        <v>870</v>
      </c>
      <c r="F200" s="6">
        <v>8</v>
      </c>
      <c r="G200" s="6" t="s">
        <v>43</v>
      </c>
      <c r="H200" s="18">
        <v>45078</v>
      </c>
      <c r="I200" s="6" t="s">
        <v>73</v>
      </c>
      <c r="J200" s="18" t="s">
        <v>35</v>
      </c>
      <c r="K200" s="6">
        <f>IFERROR(VLOOKUP(J200,Jueces!$A$1:$B$11,2,FALSE),"")</f>
        <v>3</v>
      </c>
      <c r="L200" s="6" t="s">
        <v>802</v>
      </c>
      <c r="M200" s="6" t="s">
        <v>883</v>
      </c>
      <c r="N200" s="6" t="s">
        <v>151</v>
      </c>
      <c r="O200" s="6" t="str">
        <f t="shared" ca="1" si="12"/>
        <v>SI</v>
      </c>
      <c r="P200" s="6" t="str">
        <f t="shared" si="13"/>
        <v>DIANOSOL</v>
      </c>
      <c r="Q200" s="6" t="s">
        <v>151</v>
      </c>
      <c r="R200" s="6" t="str">
        <f>VLOOKUP($Q200,Resultados!$A$1:$B$49,2,FALSE)</f>
        <v>Prisión Preventiva</v>
      </c>
      <c r="S200" s="14" t="s">
        <v>1246</v>
      </c>
      <c r="T200" s="71" t="str">
        <f t="shared" si="14"/>
        <v>NO</v>
      </c>
      <c r="U200" s="71">
        <f t="shared" si="15"/>
        <v>6</v>
      </c>
      <c r="V200" s="6"/>
      <c r="W200" s="6"/>
      <c r="X200" s="6" t="s">
        <v>995</v>
      </c>
      <c r="Y200" s="6"/>
      <c r="Z200" s="71"/>
      <c r="AA200" s="71"/>
      <c r="AB200" s="71"/>
      <c r="AC200" s="361"/>
    </row>
    <row r="201" spans="1:29" ht="25.5" outlineLevel="1" x14ac:dyDescent="0.2">
      <c r="A201" s="6">
        <v>198</v>
      </c>
      <c r="B201" s="18">
        <v>45075</v>
      </c>
      <c r="C201" s="14">
        <v>0.39583333333333331</v>
      </c>
      <c r="D201" s="6" t="s">
        <v>958</v>
      </c>
      <c r="E201" s="40" t="s">
        <v>959</v>
      </c>
      <c r="F201" s="6">
        <v>8</v>
      </c>
      <c r="G201" s="6" t="s">
        <v>1441</v>
      </c>
      <c r="H201" s="18">
        <v>45078</v>
      </c>
      <c r="I201" s="6" t="s">
        <v>73</v>
      </c>
      <c r="J201" s="18" t="s">
        <v>78</v>
      </c>
      <c r="K201" s="6">
        <f>IFERROR(VLOOKUP(J201,Jueces!$A$1:$B$11,2,FALSE),"")</f>
        <v>8</v>
      </c>
      <c r="L201" s="6" t="s">
        <v>806</v>
      </c>
      <c r="M201" s="6" t="s">
        <v>1031</v>
      </c>
      <c r="N201" s="6" t="s">
        <v>991</v>
      </c>
      <c r="O201" s="6" t="str">
        <f t="shared" ca="1" si="12"/>
        <v>SI</v>
      </c>
      <c r="P201" s="6" t="str">
        <f t="shared" si="13"/>
        <v>DIANOSOL</v>
      </c>
      <c r="Q201" s="6" t="s">
        <v>909</v>
      </c>
      <c r="R201" s="6" t="str">
        <f>VLOOKUP($Q201,Resultados!$A$1:$B$49,2,FALSE)</f>
        <v>Suspensión de juicio a prueba</v>
      </c>
      <c r="S201" s="6"/>
      <c r="T201" s="71" t="str">
        <f t="shared" si="14"/>
        <v>NO</v>
      </c>
      <c r="U201" s="71">
        <f t="shared" si="15"/>
        <v>6</v>
      </c>
      <c r="V201" s="6"/>
      <c r="W201" s="6"/>
      <c r="X201" s="6"/>
      <c r="Y201" s="6"/>
      <c r="Z201" s="71"/>
      <c r="AA201" s="71"/>
      <c r="AB201" s="71"/>
      <c r="AC201" s="361"/>
    </row>
    <row r="202" spans="1:29" ht="89.25" outlineLevel="1" x14ac:dyDescent="0.2">
      <c r="A202" s="6">
        <v>199</v>
      </c>
      <c r="B202" s="68">
        <v>45061</v>
      </c>
      <c r="C202" s="73">
        <v>0.41666666666666669</v>
      </c>
      <c r="D202" s="66" t="s">
        <v>845</v>
      </c>
      <c r="E202" s="67" t="s">
        <v>852</v>
      </c>
      <c r="F202" s="66">
        <v>8</v>
      </c>
      <c r="G202" s="66" t="s">
        <v>283</v>
      </c>
      <c r="H202" s="68">
        <v>45078</v>
      </c>
      <c r="I202" s="66" t="s">
        <v>686</v>
      </c>
      <c r="J202" s="68" t="s">
        <v>78</v>
      </c>
      <c r="K202" s="6">
        <f>IFERROR(VLOOKUP(J202,Jueces!$A$1:$B$11,2,FALSE),"")</f>
        <v>8</v>
      </c>
      <c r="L202" s="66" t="s">
        <v>811</v>
      </c>
      <c r="M202" s="66" t="s">
        <v>767</v>
      </c>
      <c r="N202" s="66" t="s">
        <v>949</v>
      </c>
      <c r="O202" s="6" t="str">
        <f t="shared" ca="1" si="12"/>
        <v>SI</v>
      </c>
      <c r="P202" s="6" t="str">
        <f t="shared" si="13"/>
        <v>DIANOSOL</v>
      </c>
      <c r="Q202" s="6" t="s">
        <v>912</v>
      </c>
      <c r="R202" s="6" t="str">
        <f>VLOOKUP($Q202,Resultados!$A$1:$B$49,2,FALSE)</f>
        <v>Suspendida</v>
      </c>
      <c r="S202" s="6"/>
      <c r="T202" s="71" t="str">
        <f t="shared" si="14"/>
        <v>NO</v>
      </c>
      <c r="U202" s="71">
        <f t="shared" si="15"/>
        <v>6</v>
      </c>
      <c r="V202" s="6"/>
      <c r="W202" s="6"/>
      <c r="X202" s="6"/>
      <c r="Y202" s="6"/>
      <c r="Z202" s="71"/>
      <c r="AA202" s="71"/>
      <c r="AB202" s="71"/>
      <c r="AC202" s="361"/>
    </row>
    <row r="203" spans="1:29" ht="51" outlineLevel="1" x14ac:dyDescent="0.2">
      <c r="A203" s="6">
        <v>200</v>
      </c>
      <c r="B203" s="68">
        <v>45062</v>
      </c>
      <c r="C203" s="73">
        <v>0.51041666666666663</v>
      </c>
      <c r="D203" s="66" t="s">
        <v>881</v>
      </c>
      <c r="E203" s="67" t="s">
        <v>880</v>
      </c>
      <c r="F203" s="66">
        <v>8</v>
      </c>
      <c r="G203" s="66" t="s">
        <v>29</v>
      </c>
      <c r="H203" s="68">
        <v>45078</v>
      </c>
      <c r="I203" s="66" t="s">
        <v>686</v>
      </c>
      <c r="J203" s="68" t="s">
        <v>33</v>
      </c>
      <c r="K203" s="6">
        <f>IFERROR(VLOOKUP(J203,Jueces!$A$1:$B$11,2,FALSE),"")</f>
        <v>4</v>
      </c>
      <c r="L203" s="66" t="s">
        <v>810</v>
      </c>
      <c r="M203" s="66" t="s">
        <v>887</v>
      </c>
      <c r="N203" s="66" t="s">
        <v>992</v>
      </c>
      <c r="O203" s="69" t="str">
        <f t="shared" ca="1" si="12"/>
        <v>SI</v>
      </c>
      <c r="P203" s="6" t="str">
        <f t="shared" si="13"/>
        <v>DIANOSOL</v>
      </c>
      <c r="Q203" s="6" t="s">
        <v>905</v>
      </c>
      <c r="R203" s="6" t="str">
        <f>VLOOKUP($Q203,Resultados!$A$1:$B$49,2,FALSE)</f>
        <v>Juicio Abreviado</v>
      </c>
      <c r="S203" s="6"/>
      <c r="T203" s="71" t="str">
        <f t="shared" si="14"/>
        <v>NO</v>
      </c>
      <c r="U203" s="71">
        <f t="shared" si="15"/>
        <v>6</v>
      </c>
      <c r="V203" s="6"/>
      <c r="W203" s="6"/>
      <c r="X203" s="6"/>
      <c r="Y203" s="6"/>
      <c r="Z203" s="71"/>
      <c r="AA203" s="71"/>
      <c r="AB203" s="71"/>
      <c r="AC203" s="361"/>
    </row>
    <row r="204" spans="1:29" ht="140.25" outlineLevel="1" x14ac:dyDescent="0.2">
      <c r="A204" s="6">
        <v>201</v>
      </c>
      <c r="B204" s="68">
        <v>45075</v>
      </c>
      <c r="C204" s="73">
        <v>0.39583333333333331</v>
      </c>
      <c r="D204" s="66" t="s">
        <v>960</v>
      </c>
      <c r="E204" s="67" t="s">
        <v>961</v>
      </c>
      <c r="F204" s="66">
        <v>8</v>
      </c>
      <c r="G204" s="66" t="s">
        <v>568</v>
      </c>
      <c r="H204" s="68">
        <v>45078</v>
      </c>
      <c r="I204" s="66" t="s">
        <v>77</v>
      </c>
      <c r="J204" s="68" t="s">
        <v>78</v>
      </c>
      <c r="K204" s="6">
        <f>IFERROR(VLOOKUP(J204,Jueces!$A$1:$B$11,2,FALSE),"")</f>
        <v>8</v>
      </c>
      <c r="L204" s="66" t="s">
        <v>799</v>
      </c>
      <c r="M204" s="66" t="s">
        <v>86</v>
      </c>
      <c r="N204" s="66" t="s">
        <v>621</v>
      </c>
      <c r="O204" s="72" t="str">
        <f t="shared" ca="1" si="12"/>
        <v>SI</v>
      </c>
      <c r="P204" s="66" t="str">
        <f t="shared" si="13"/>
        <v>DIANOSOL</v>
      </c>
      <c r="Q204" s="6" t="s">
        <v>151</v>
      </c>
      <c r="R204" s="6" t="str">
        <f>VLOOKUP($Q204,Resultados!$A$1:$B$49,2,FALSE)</f>
        <v>Prisión Preventiva</v>
      </c>
      <c r="S204" s="14" t="s">
        <v>989</v>
      </c>
      <c r="T204" s="71" t="str">
        <f t="shared" si="14"/>
        <v>NO</v>
      </c>
      <c r="U204" s="71">
        <f t="shared" si="15"/>
        <v>6</v>
      </c>
      <c r="V204" s="6"/>
      <c r="W204" s="14" t="s">
        <v>1207</v>
      </c>
      <c r="X204" s="6" t="s">
        <v>998</v>
      </c>
      <c r="Y204" s="6"/>
      <c r="Z204" s="71"/>
      <c r="AA204" s="71"/>
      <c r="AB204" s="71"/>
      <c r="AC204" s="361"/>
    </row>
    <row r="205" spans="1:29" ht="38.25" outlineLevel="1" x14ac:dyDescent="0.2">
      <c r="A205" s="6">
        <v>202</v>
      </c>
      <c r="B205" s="68">
        <v>45077</v>
      </c>
      <c r="C205" s="73">
        <v>0.54166666666666663</v>
      </c>
      <c r="D205" s="66" t="s">
        <v>986</v>
      </c>
      <c r="E205" s="67" t="s">
        <v>987</v>
      </c>
      <c r="F205" s="66">
        <v>3</v>
      </c>
      <c r="G205" s="66" t="s">
        <v>43</v>
      </c>
      <c r="H205" s="68">
        <v>45078</v>
      </c>
      <c r="I205" s="66" t="s">
        <v>989</v>
      </c>
      <c r="J205" s="68" t="s">
        <v>35</v>
      </c>
      <c r="K205" s="6">
        <f>IFERROR(VLOOKUP(J205,Jueces!$A$1:$B$11,2,FALSE),"")</f>
        <v>3</v>
      </c>
      <c r="L205" s="66" t="s">
        <v>181</v>
      </c>
      <c r="M205" s="66" t="s">
        <v>1031</v>
      </c>
      <c r="N205" s="66" t="s">
        <v>902</v>
      </c>
      <c r="O205" s="66" t="str">
        <f t="shared" ca="1" si="12"/>
        <v>SI</v>
      </c>
      <c r="P205" s="66" t="str">
        <f t="shared" si="13"/>
        <v>DIANOSOL</v>
      </c>
      <c r="Q205" s="6" t="s">
        <v>902</v>
      </c>
      <c r="R205" s="6" t="str">
        <f>VLOOKUP($Q205,Resultados!$A$1:$B$49,2,FALSE)</f>
        <v>Libertad</v>
      </c>
      <c r="S205" s="14" t="s">
        <v>1244</v>
      </c>
      <c r="T205" s="71" t="str">
        <f t="shared" si="14"/>
        <v>NO</v>
      </c>
      <c r="U205" s="71"/>
      <c r="V205" s="6"/>
      <c r="W205" s="14" t="s">
        <v>1245</v>
      </c>
      <c r="X205" s="6"/>
      <c r="Y205" s="6"/>
      <c r="Z205" s="71"/>
      <c r="AA205" s="71"/>
      <c r="AB205" s="71"/>
      <c r="AC205" s="361"/>
    </row>
    <row r="206" spans="1:29" ht="25.5" outlineLevel="1" x14ac:dyDescent="0.2">
      <c r="A206" s="6">
        <v>203</v>
      </c>
      <c r="B206" s="18">
        <v>45064</v>
      </c>
      <c r="C206" s="14">
        <v>0.33333333333333331</v>
      </c>
      <c r="D206" s="6" t="s">
        <v>891</v>
      </c>
      <c r="E206" s="40" t="s">
        <v>979</v>
      </c>
      <c r="F206" s="6">
        <v>8</v>
      </c>
      <c r="G206" s="6" t="s">
        <v>29</v>
      </c>
      <c r="H206" s="18">
        <v>45079</v>
      </c>
      <c r="I206" s="6" t="s">
        <v>999</v>
      </c>
      <c r="J206" s="18" t="s">
        <v>78</v>
      </c>
      <c r="K206" s="6">
        <f>IFERROR(VLOOKUP(J206,Jueces!$A$1:$B$11,2,FALSE),"")</f>
        <v>8</v>
      </c>
      <c r="L206" s="6" t="s">
        <v>802</v>
      </c>
      <c r="M206" s="6" t="s">
        <v>916</v>
      </c>
      <c r="N206" s="6" t="s">
        <v>1011</v>
      </c>
      <c r="O206" s="6" t="str">
        <f t="shared" ca="1" si="12"/>
        <v>SI</v>
      </c>
      <c r="P206" s="6" t="str">
        <f t="shared" si="13"/>
        <v>DIANOSOL</v>
      </c>
      <c r="Q206" s="6" t="s">
        <v>1012</v>
      </c>
      <c r="R206" s="6" t="str">
        <f>VLOOKUP($Q206,Resultados!$A$1:$B$49,2,FALSE)</f>
        <v>Suspendida</v>
      </c>
      <c r="S206" s="6"/>
      <c r="T206" s="71" t="str">
        <f t="shared" si="14"/>
        <v>NO</v>
      </c>
      <c r="U206" s="71">
        <f t="shared" ref="U206:U220" si="16">IF(H206="",0,MONTH(H206))</f>
        <v>6</v>
      </c>
      <c r="V206" s="6"/>
      <c r="W206" s="6"/>
      <c r="X206" s="6" t="s">
        <v>1013</v>
      </c>
      <c r="Y206" s="6"/>
      <c r="Z206" s="71"/>
      <c r="AA206" s="329"/>
      <c r="AB206" s="71"/>
      <c r="AC206" s="361"/>
    </row>
    <row r="207" spans="1:29" ht="51" outlineLevel="1" x14ac:dyDescent="0.2">
      <c r="A207" s="6">
        <v>204</v>
      </c>
      <c r="B207" s="68">
        <v>45058</v>
      </c>
      <c r="C207" s="73">
        <v>0.40972222222222227</v>
      </c>
      <c r="D207" s="66" t="s">
        <v>836</v>
      </c>
      <c r="E207" s="67" t="s">
        <v>838</v>
      </c>
      <c r="F207" s="66">
        <v>8</v>
      </c>
      <c r="G207" s="66" t="s">
        <v>1441</v>
      </c>
      <c r="H207" s="68">
        <v>45079</v>
      </c>
      <c r="I207" s="66" t="s">
        <v>73</v>
      </c>
      <c r="J207" s="68" t="s">
        <v>35</v>
      </c>
      <c r="K207" s="6">
        <f>IFERROR(VLOOKUP(J207,Jueces!$A$1:$B$11,2,FALSE),"")</f>
        <v>3</v>
      </c>
      <c r="L207" s="66" t="s">
        <v>799</v>
      </c>
      <c r="M207" s="66" t="s">
        <v>711</v>
      </c>
      <c r="N207" s="66" t="s">
        <v>621</v>
      </c>
      <c r="O207" s="66" t="str">
        <f t="shared" ca="1" si="12"/>
        <v>SI</v>
      </c>
      <c r="P207" s="66" t="str">
        <f t="shared" si="13"/>
        <v>DIANOSOL</v>
      </c>
      <c r="Q207" s="6" t="s">
        <v>151</v>
      </c>
      <c r="R207" s="6" t="str">
        <f>VLOOKUP($Q207,Resultados!$A$1:$B$49,2,FALSE)</f>
        <v>Prisión Preventiva</v>
      </c>
      <c r="S207" s="6" t="s">
        <v>1014</v>
      </c>
      <c r="T207" s="71" t="str">
        <f t="shared" si="14"/>
        <v>NO</v>
      </c>
      <c r="U207" s="71">
        <f t="shared" si="16"/>
        <v>6</v>
      </c>
      <c r="V207" s="6"/>
      <c r="W207" s="6" t="s">
        <v>1015</v>
      </c>
      <c r="X207" s="6"/>
      <c r="Y207" s="6"/>
      <c r="Z207" s="71"/>
      <c r="AA207" s="329"/>
      <c r="AB207" s="71"/>
      <c r="AC207" s="361"/>
    </row>
    <row r="208" spans="1:29" ht="38.25" outlineLevel="1" x14ac:dyDescent="0.2">
      <c r="A208" s="6">
        <v>205</v>
      </c>
      <c r="B208" s="68">
        <v>45063</v>
      </c>
      <c r="C208" s="73">
        <v>0.36874999999999997</v>
      </c>
      <c r="D208" s="66" t="s">
        <v>900</v>
      </c>
      <c r="E208" s="67" t="s">
        <v>872</v>
      </c>
      <c r="F208" s="66">
        <v>8</v>
      </c>
      <c r="G208" s="66" t="s">
        <v>283</v>
      </c>
      <c r="H208" s="68">
        <v>45079</v>
      </c>
      <c r="I208" s="66" t="s">
        <v>686</v>
      </c>
      <c r="J208" s="68" t="s">
        <v>78</v>
      </c>
      <c r="K208" s="6">
        <f>IFERROR(VLOOKUP(J208,Jueces!$A$1:$B$11,2,FALSE),"")</f>
        <v>8</v>
      </c>
      <c r="L208" s="66" t="s">
        <v>326</v>
      </c>
      <c r="M208" s="66" t="s">
        <v>767</v>
      </c>
      <c r="N208" s="66" t="s">
        <v>577</v>
      </c>
      <c r="O208" s="66" t="str">
        <f t="shared" ca="1" si="12"/>
        <v>SI</v>
      </c>
      <c r="P208" s="66" t="str">
        <f t="shared" si="13"/>
        <v>DIANOSOL</v>
      </c>
      <c r="Q208" s="6" t="s">
        <v>151</v>
      </c>
      <c r="R208" s="6" t="str">
        <f>VLOOKUP($Q208,Resultados!$A$1:$B$49,2,FALSE)</f>
        <v>Prisión Preventiva</v>
      </c>
      <c r="S208" s="14" t="s">
        <v>1004</v>
      </c>
      <c r="T208" s="71" t="str">
        <f t="shared" si="14"/>
        <v>NO</v>
      </c>
      <c r="U208" s="71">
        <f t="shared" si="16"/>
        <v>6</v>
      </c>
      <c r="V208" s="6"/>
      <c r="W208" s="14" t="s">
        <v>1005</v>
      </c>
      <c r="X208" s="6" t="s">
        <v>1001</v>
      </c>
      <c r="Y208" s="6"/>
      <c r="Z208" s="71"/>
      <c r="AA208" s="329"/>
      <c r="AB208" s="71"/>
      <c r="AC208" s="361"/>
    </row>
    <row r="209" spans="1:29" ht="38.25" outlineLevel="1" x14ac:dyDescent="0.2">
      <c r="A209" s="6">
        <v>206</v>
      </c>
      <c r="B209" s="68">
        <v>45065</v>
      </c>
      <c r="C209" s="73">
        <v>0.34791666666666665</v>
      </c>
      <c r="D209" s="66" t="s">
        <v>938</v>
      </c>
      <c r="E209" s="67" t="s">
        <v>939</v>
      </c>
      <c r="F209" s="66">
        <v>8</v>
      </c>
      <c r="G209" s="66" t="s">
        <v>568</v>
      </c>
      <c r="H209" s="68">
        <v>45079</v>
      </c>
      <c r="I209" s="66" t="s">
        <v>686</v>
      </c>
      <c r="J209" s="68" t="s">
        <v>33</v>
      </c>
      <c r="K209" s="6">
        <f>IFERROR(VLOOKUP(J209,Jueces!$A$1:$B$11,2,FALSE),"")</f>
        <v>4</v>
      </c>
      <c r="L209" s="66" t="s">
        <v>802</v>
      </c>
      <c r="M209" s="66" t="s">
        <v>1007</v>
      </c>
      <c r="N209" s="66" t="s">
        <v>902</v>
      </c>
      <c r="O209" s="66" t="str">
        <f t="shared" ca="1" si="12"/>
        <v>SI</v>
      </c>
      <c r="P209" s="66" t="str">
        <f t="shared" si="13"/>
        <v>DIANOSOL</v>
      </c>
      <c r="Q209" s="66" t="s">
        <v>899</v>
      </c>
      <c r="R209" s="6" t="str">
        <f>VLOOKUP($Q209,Resultados!$A$1:$B$49,2,FALSE)</f>
        <v>Libertad</v>
      </c>
      <c r="S209" s="14" t="s">
        <v>1008</v>
      </c>
      <c r="T209" s="71" t="str">
        <f t="shared" si="14"/>
        <v>NO</v>
      </c>
      <c r="U209" s="71">
        <f t="shared" si="16"/>
        <v>6</v>
      </c>
      <c r="V209" s="6"/>
      <c r="W209" s="6" t="s">
        <v>1009</v>
      </c>
      <c r="X209" s="6" t="s">
        <v>1010</v>
      </c>
      <c r="Y209" s="6"/>
      <c r="Z209" s="71"/>
      <c r="AA209" s="329"/>
      <c r="AB209" s="71"/>
      <c r="AC209" s="361"/>
    </row>
    <row r="210" spans="1:29" ht="25.5" outlineLevel="1" x14ac:dyDescent="0.2">
      <c r="A210" s="6">
        <v>207</v>
      </c>
      <c r="B210" s="18">
        <v>45065</v>
      </c>
      <c r="C210" s="14">
        <v>0.54166666666666663</v>
      </c>
      <c r="D210" s="6" t="s">
        <v>935</v>
      </c>
      <c r="E210" s="40" t="s">
        <v>922</v>
      </c>
      <c r="F210" s="6">
        <v>8</v>
      </c>
      <c r="G210" s="6" t="s">
        <v>34</v>
      </c>
      <c r="H210" s="18">
        <v>45079</v>
      </c>
      <c r="I210" s="6" t="s">
        <v>686</v>
      </c>
      <c r="J210" s="18" t="s">
        <v>35</v>
      </c>
      <c r="K210" s="6">
        <f>IFERROR(VLOOKUP(J210,Jueces!$A$1:$B$11,2,FALSE),"")</f>
        <v>3</v>
      </c>
      <c r="L210" s="6" t="s">
        <v>277</v>
      </c>
      <c r="M210" s="6" t="s">
        <v>710</v>
      </c>
      <c r="N210" s="6" t="s">
        <v>1002</v>
      </c>
      <c r="O210" s="6" t="str">
        <f t="shared" ca="1" si="12"/>
        <v>SI</v>
      </c>
      <c r="P210" s="6" t="str">
        <f t="shared" si="13"/>
        <v>DIANOSOL</v>
      </c>
      <c r="Q210" s="6" t="s">
        <v>904</v>
      </c>
      <c r="R210" s="6" t="str">
        <f>VLOOKUP($Q210,Resultados!$A$1:$B$49,2,FALSE)</f>
        <v>Juicio Abreviado</v>
      </c>
      <c r="S210" s="14" t="s">
        <v>1006</v>
      </c>
      <c r="T210" s="71" t="str">
        <f t="shared" si="14"/>
        <v>NO</v>
      </c>
      <c r="U210" s="71">
        <f t="shared" si="16"/>
        <v>6</v>
      </c>
      <c r="V210" s="6"/>
      <c r="W210" s="6" t="s">
        <v>1003</v>
      </c>
      <c r="X210" s="6"/>
      <c r="Y210" s="6"/>
      <c r="Z210" s="71"/>
      <c r="AA210" s="329"/>
      <c r="AB210" s="71"/>
      <c r="AC210" s="361"/>
    </row>
    <row r="211" spans="1:29" ht="51" outlineLevel="1" x14ac:dyDescent="0.2">
      <c r="A211" s="6">
        <v>208</v>
      </c>
      <c r="B211" s="18">
        <v>45065</v>
      </c>
      <c r="C211" s="14">
        <v>0.54166666666666663</v>
      </c>
      <c r="D211" s="6" t="s">
        <v>921</v>
      </c>
      <c r="E211" s="40" t="s">
        <v>1037</v>
      </c>
      <c r="F211" s="6">
        <v>8</v>
      </c>
      <c r="G211" s="6" t="s">
        <v>568</v>
      </c>
      <c r="H211" s="18">
        <v>45082</v>
      </c>
      <c r="I211" s="6" t="s">
        <v>73</v>
      </c>
      <c r="J211" s="18" t="s">
        <v>33</v>
      </c>
      <c r="K211" s="6">
        <f>IFERROR(VLOOKUP(J211,Jueces!$A$1:$B$11,2,FALSE),"")</f>
        <v>4</v>
      </c>
      <c r="L211" s="6" t="s">
        <v>406</v>
      </c>
      <c r="M211" s="6" t="s">
        <v>767</v>
      </c>
      <c r="N211" s="6" t="s">
        <v>1020</v>
      </c>
      <c r="O211" s="6" t="str">
        <f t="shared" ca="1" si="12"/>
        <v>SI</v>
      </c>
      <c r="P211" s="6" t="str">
        <f t="shared" si="13"/>
        <v>DIANOSOL</v>
      </c>
      <c r="Q211" s="6" t="s">
        <v>905</v>
      </c>
      <c r="R211" s="6" t="str">
        <f>VLOOKUP($Q211,Resultados!$A$1:$B$49,2,FALSE)</f>
        <v>Juicio Abreviado</v>
      </c>
      <c r="S211" s="14" t="s">
        <v>1034</v>
      </c>
      <c r="T211" s="71" t="str">
        <f t="shared" si="14"/>
        <v>NO</v>
      </c>
      <c r="U211" s="71">
        <f t="shared" si="16"/>
        <v>6</v>
      </c>
      <c r="V211" s="6"/>
      <c r="W211" s="14" t="s">
        <v>1008</v>
      </c>
      <c r="X211" s="6"/>
      <c r="Y211" s="6"/>
      <c r="Z211" s="71"/>
      <c r="AA211" s="71"/>
      <c r="AB211" s="71"/>
      <c r="AC211" s="361"/>
    </row>
    <row r="212" spans="1:29" ht="63.75" outlineLevel="1" x14ac:dyDescent="0.2">
      <c r="A212" s="6">
        <v>209</v>
      </c>
      <c r="B212" s="68">
        <v>45076</v>
      </c>
      <c r="C212" s="73">
        <v>0.40972222222222227</v>
      </c>
      <c r="D212" s="66" t="s">
        <v>970</v>
      </c>
      <c r="E212" s="67" t="s">
        <v>971</v>
      </c>
      <c r="F212" s="66">
        <v>8</v>
      </c>
      <c r="G212" s="66" t="s">
        <v>1441</v>
      </c>
      <c r="H212" s="68">
        <v>45082</v>
      </c>
      <c r="I212" s="66" t="s">
        <v>73</v>
      </c>
      <c r="J212" s="68" t="s">
        <v>78</v>
      </c>
      <c r="K212" s="6">
        <f>IFERROR(VLOOKUP(J212,Jueces!$A$1:$B$11,2,FALSE),"")</f>
        <v>8</v>
      </c>
      <c r="L212" s="66" t="s">
        <v>569</v>
      </c>
      <c r="M212" s="66" t="s">
        <v>972</v>
      </c>
      <c r="N212" s="66" t="s">
        <v>1016</v>
      </c>
      <c r="O212" s="66" t="str">
        <f t="shared" ca="1" si="12"/>
        <v>SI</v>
      </c>
      <c r="P212" s="66" t="str">
        <f t="shared" si="13"/>
        <v>DIANOSOL</v>
      </c>
      <c r="Q212" s="66" t="s">
        <v>905</v>
      </c>
      <c r="R212" s="6" t="str">
        <f>VLOOKUP($Q212,Resultados!$A$1:$B$49,2,FALSE)</f>
        <v>Juicio Abreviado</v>
      </c>
      <c r="S212" s="14" t="s">
        <v>1017</v>
      </c>
      <c r="T212" s="71" t="str">
        <f t="shared" si="14"/>
        <v>NO</v>
      </c>
      <c r="U212" s="71">
        <f t="shared" si="16"/>
        <v>6</v>
      </c>
      <c r="V212" s="6"/>
      <c r="W212" s="14" t="s">
        <v>1018</v>
      </c>
      <c r="X212" s="6" t="s">
        <v>1019</v>
      </c>
      <c r="Y212" s="6"/>
      <c r="Z212" s="71"/>
      <c r="AA212" s="71"/>
      <c r="AB212" s="71"/>
      <c r="AC212" s="361"/>
    </row>
    <row r="213" spans="1:29" ht="51" outlineLevel="1" x14ac:dyDescent="0.2">
      <c r="A213" s="6">
        <v>210</v>
      </c>
      <c r="B213" s="68">
        <v>45068</v>
      </c>
      <c r="C213" s="73">
        <v>0.40277777777777773</v>
      </c>
      <c r="D213" s="66" t="s">
        <v>927</v>
      </c>
      <c r="E213" s="67" t="s">
        <v>928</v>
      </c>
      <c r="F213" s="66">
        <v>8</v>
      </c>
      <c r="G213" s="66" t="s">
        <v>32</v>
      </c>
      <c r="H213" s="68">
        <v>45082</v>
      </c>
      <c r="I213" s="66" t="s">
        <v>686</v>
      </c>
      <c r="J213" s="68" t="s">
        <v>33</v>
      </c>
      <c r="K213" s="6">
        <f>IFERROR(VLOOKUP(J213,Jueces!$A$1:$B$11,2,FALSE),"")</f>
        <v>4</v>
      </c>
      <c r="L213" s="66" t="s">
        <v>793</v>
      </c>
      <c r="M213" s="66" t="s">
        <v>767</v>
      </c>
      <c r="N213" s="66" t="s">
        <v>1035</v>
      </c>
      <c r="O213" s="66" t="str">
        <f t="shared" ca="1" si="12"/>
        <v>SI</v>
      </c>
      <c r="P213" s="66" t="str">
        <f t="shared" si="13"/>
        <v>DIANOSOL</v>
      </c>
      <c r="Q213" s="6" t="s">
        <v>904</v>
      </c>
      <c r="R213" s="6" t="str">
        <f>VLOOKUP($Q213,Resultados!$A$1:$B$49,2,FALSE)</f>
        <v>Juicio Abreviado</v>
      </c>
      <c r="S213" s="14" t="s">
        <v>1036</v>
      </c>
      <c r="T213" s="71" t="str">
        <f t="shared" si="14"/>
        <v>NO</v>
      </c>
      <c r="U213" s="71">
        <f t="shared" si="16"/>
        <v>6</v>
      </c>
      <c r="V213" s="6"/>
      <c r="W213" s="14">
        <v>0.4145833333333333</v>
      </c>
      <c r="X213" s="6"/>
      <c r="Y213" s="6"/>
      <c r="Z213" s="71"/>
      <c r="AA213" s="71"/>
      <c r="AB213" s="71"/>
      <c r="AC213" s="361"/>
    </row>
    <row r="214" spans="1:29" ht="38.25" outlineLevel="1" x14ac:dyDescent="0.2">
      <c r="A214" s="6">
        <v>211</v>
      </c>
      <c r="B214" s="68">
        <v>45075</v>
      </c>
      <c r="C214" s="73">
        <v>0.53125</v>
      </c>
      <c r="D214" s="66" t="s">
        <v>975</v>
      </c>
      <c r="E214" s="67" t="s">
        <v>967</v>
      </c>
      <c r="F214" s="66">
        <v>8</v>
      </c>
      <c r="G214" s="66" t="s">
        <v>283</v>
      </c>
      <c r="H214" s="68">
        <v>45082</v>
      </c>
      <c r="I214" s="66" t="s">
        <v>228</v>
      </c>
      <c r="J214" s="68" t="s">
        <v>78</v>
      </c>
      <c r="K214" s="6">
        <f>IFERROR(VLOOKUP(J214,Jueces!$A$1:$B$11,2,FALSE),"")</f>
        <v>8</v>
      </c>
      <c r="L214" s="66" t="s">
        <v>794</v>
      </c>
      <c r="M214" s="66" t="s">
        <v>1304</v>
      </c>
      <c r="N214" s="66" t="s">
        <v>1038</v>
      </c>
      <c r="O214" s="66" t="str">
        <f t="shared" ca="1" si="12"/>
        <v>SI</v>
      </c>
      <c r="P214" s="66" t="str">
        <f t="shared" si="13"/>
        <v>DIANOSOL</v>
      </c>
      <c r="Q214" s="6" t="s">
        <v>904</v>
      </c>
      <c r="R214" s="6" t="str">
        <f>VLOOKUP($Q214,Resultados!$A$1:$B$49,2,FALSE)</f>
        <v>Juicio Abreviado</v>
      </c>
      <c r="S214" s="6" t="s">
        <v>1039</v>
      </c>
      <c r="T214" s="71" t="str">
        <f t="shared" si="14"/>
        <v>NO</v>
      </c>
      <c r="U214" s="71">
        <f t="shared" si="16"/>
        <v>6</v>
      </c>
      <c r="V214" s="6"/>
      <c r="W214" s="6" t="s">
        <v>1040</v>
      </c>
      <c r="X214" s="6"/>
      <c r="Y214" s="6"/>
      <c r="Z214" s="71"/>
      <c r="AA214" s="71"/>
      <c r="AB214" s="71"/>
      <c r="AC214" s="361"/>
    </row>
    <row r="215" spans="1:29" ht="51" outlineLevel="1" x14ac:dyDescent="0.2">
      <c r="A215" s="6">
        <v>212</v>
      </c>
      <c r="B215" s="68">
        <v>45058</v>
      </c>
      <c r="C215" s="73">
        <v>0.3125</v>
      </c>
      <c r="D215" s="66" t="s">
        <v>841</v>
      </c>
      <c r="E215" s="67" t="s">
        <v>833</v>
      </c>
      <c r="F215" s="66">
        <v>8</v>
      </c>
      <c r="G215" s="66" t="s">
        <v>43</v>
      </c>
      <c r="H215" s="68">
        <v>45083</v>
      </c>
      <c r="I215" s="66" t="s">
        <v>73</v>
      </c>
      <c r="J215" s="68" t="s">
        <v>35</v>
      </c>
      <c r="K215" s="6">
        <f>IFERROR(VLOOKUP(J215,Jueces!$A$1:$B$11,2,FALSE),"")</f>
        <v>3</v>
      </c>
      <c r="L215" s="66" t="s">
        <v>1070</v>
      </c>
      <c r="M215" s="66" t="s">
        <v>767</v>
      </c>
      <c r="N215" s="66" t="s">
        <v>1046</v>
      </c>
      <c r="O215" s="66" t="str">
        <f t="shared" ca="1" si="12"/>
        <v>SI</v>
      </c>
      <c r="P215" s="66" t="str">
        <f t="shared" si="13"/>
        <v>DIANOSOL</v>
      </c>
      <c r="Q215" s="66" t="s">
        <v>151</v>
      </c>
      <c r="R215" s="6" t="str">
        <f>VLOOKUP($Q215,Resultados!$A$1:$B$49,2,FALSE)</f>
        <v>Prisión Preventiva</v>
      </c>
      <c r="S215" s="14" t="s">
        <v>1134</v>
      </c>
      <c r="T215" s="71" t="str">
        <f t="shared" si="14"/>
        <v>NO</v>
      </c>
      <c r="U215" s="71">
        <f t="shared" si="16"/>
        <v>6</v>
      </c>
      <c r="V215" s="6"/>
      <c r="W215" s="14" t="s">
        <v>1135</v>
      </c>
      <c r="X215" s="6"/>
      <c r="Y215" s="6"/>
      <c r="Z215" s="71"/>
      <c r="AA215" s="71"/>
      <c r="AB215" s="71"/>
      <c r="AC215" s="361"/>
    </row>
    <row r="216" spans="1:29" ht="25.5" outlineLevel="1" x14ac:dyDescent="0.2">
      <c r="A216" s="6">
        <v>213</v>
      </c>
      <c r="B216" s="68">
        <v>45075</v>
      </c>
      <c r="C216" s="73">
        <v>0.5</v>
      </c>
      <c r="D216" s="66" t="s">
        <v>976</v>
      </c>
      <c r="E216" s="67" t="s">
        <v>964</v>
      </c>
      <c r="F216" s="66">
        <v>8</v>
      </c>
      <c r="G216" s="66" t="s">
        <v>29</v>
      </c>
      <c r="H216" s="68">
        <v>45083</v>
      </c>
      <c r="I216" s="66" t="s">
        <v>73</v>
      </c>
      <c r="J216" s="68" t="s">
        <v>33</v>
      </c>
      <c r="K216" s="6">
        <f>IFERROR(VLOOKUP(J216,Jueces!$A$1:$B$11,2,FALSE),"")</f>
        <v>4</v>
      </c>
      <c r="L216" s="66" t="s">
        <v>812</v>
      </c>
      <c r="M216" s="66" t="s">
        <v>887</v>
      </c>
      <c r="N216" s="66" t="s">
        <v>1045</v>
      </c>
      <c r="O216" s="66" t="str">
        <f t="shared" ca="1" si="12"/>
        <v>SI</v>
      </c>
      <c r="P216" s="66" t="str">
        <f t="shared" si="13"/>
        <v>DIANOSOL</v>
      </c>
      <c r="Q216" s="66" t="s">
        <v>904</v>
      </c>
      <c r="R216" s="6" t="str">
        <f>VLOOKUP($Q216,Resultados!$A$1:$B$49,2,FALSE)</f>
        <v>Juicio Abreviado</v>
      </c>
      <c r="S216" s="6"/>
      <c r="T216" s="71" t="str">
        <f t="shared" si="14"/>
        <v>NO</v>
      </c>
      <c r="U216" s="71">
        <f t="shared" si="16"/>
        <v>6</v>
      </c>
      <c r="V216" s="6"/>
      <c r="W216" s="6"/>
      <c r="X216" s="6"/>
      <c r="Y216" s="6"/>
      <c r="Z216" s="71"/>
      <c r="AA216" s="71"/>
      <c r="AB216" s="71"/>
      <c r="AC216" s="361"/>
    </row>
    <row r="217" spans="1:29" ht="51" outlineLevel="1" x14ac:dyDescent="0.2">
      <c r="A217" s="6">
        <v>214</v>
      </c>
      <c r="B217" s="68">
        <v>45075</v>
      </c>
      <c r="C217" s="73">
        <v>0.5</v>
      </c>
      <c r="D217" s="66" t="s">
        <v>965</v>
      </c>
      <c r="E217" s="67" t="s">
        <v>966</v>
      </c>
      <c r="F217" s="66">
        <v>8</v>
      </c>
      <c r="G217" s="66" t="s">
        <v>34</v>
      </c>
      <c r="H217" s="68">
        <v>45083</v>
      </c>
      <c r="I217" s="66" t="s">
        <v>686</v>
      </c>
      <c r="J217" s="68" t="s">
        <v>35</v>
      </c>
      <c r="K217" s="6">
        <f>IFERROR(VLOOKUP(J217,Jueces!$A$1:$B$11,2,FALSE),"")</f>
        <v>3</v>
      </c>
      <c r="L217" s="66" t="s">
        <v>416</v>
      </c>
      <c r="M217" s="66" t="s">
        <v>887</v>
      </c>
      <c r="N217" s="66" t="s">
        <v>1049</v>
      </c>
      <c r="O217" s="66" t="str">
        <f t="shared" ca="1" si="12"/>
        <v>SI</v>
      </c>
      <c r="P217" s="66" t="str">
        <f t="shared" si="13"/>
        <v>DIANOSOL</v>
      </c>
      <c r="Q217" s="66" t="s">
        <v>905</v>
      </c>
      <c r="R217" s="6" t="str">
        <f>VLOOKUP($Q217,Resultados!$A$1:$B$49,2,FALSE)</f>
        <v>Juicio Abreviado</v>
      </c>
      <c r="S217" s="6" t="s">
        <v>1243</v>
      </c>
      <c r="T217" s="71" t="str">
        <f t="shared" si="14"/>
        <v>NO</v>
      </c>
      <c r="U217" s="71">
        <f t="shared" si="16"/>
        <v>6</v>
      </c>
      <c r="V217" s="6"/>
      <c r="W217" s="14" t="s">
        <v>1242</v>
      </c>
      <c r="X217" s="6" t="s">
        <v>1051</v>
      </c>
      <c r="Y217" s="6"/>
      <c r="Z217" s="71"/>
      <c r="AA217" s="71"/>
      <c r="AB217" s="71"/>
      <c r="AC217" s="361"/>
    </row>
    <row r="218" spans="1:29" ht="38.25" outlineLevel="1" x14ac:dyDescent="0.2">
      <c r="A218" s="6">
        <v>215</v>
      </c>
      <c r="B218" s="68">
        <v>45076</v>
      </c>
      <c r="C218" s="73">
        <v>0.3125</v>
      </c>
      <c r="D218" s="66" t="s">
        <v>968</v>
      </c>
      <c r="E218" s="67" t="s">
        <v>969</v>
      </c>
      <c r="F218" s="66">
        <v>8</v>
      </c>
      <c r="G218" s="66" t="s">
        <v>32</v>
      </c>
      <c r="H218" s="68">
        <v>45083</v>
      </c>
      <c r="I218" s="66" t="s">
        <v>686</v>
      </c>
      <c r="J218" s="68" t="s">
        <v>33</v>
      </c>
      <c r="K218" s="6">
        <f>IFERROR(VLOOKUP(J218,Jueces!$A$1:$B$11,2,FALSE),"")</f>
        <v>4</v>
      </c>
      <c r="L218" s="67" t="s">
        <v>800</v>
      </c>
      <c r="M218" s="66" t="s">
        <v>983</v>
      </c>
      <c r="N218" s="66" t="s">
        <v>1048</v>
      </c>
      <c r="O218" s="66" t="str">
        <f t="shared" ca="1" si="12"/>
        <v>SI</v>
      </c>
      <c r="P218" s="66" t="str">
        <f t="shared" si="13"/>
        <v>DIANOSOL</v>
      </c>
      <c r="Q218" s="66" t="s">
        <v>905</v>
      </c>
      <c r="R218" s="6" t="str">
        <f>VLOOKUP($Q218,Resultados!$A$1:$B$49,2,FALSE)</f>
        <v>Juicio Abreviado</v>
      </c>
      <c r="S218" s="14" t="s">
        <v>1123</v>
      </c>
      <c r="T218" s="71" t="str">
        <f t="shared" si="14"/>
        <v>NO</v>
      </c>
      <c r="U218" s="71">
        <f t="shared" si="16"/>
        <v>6</v>
      </c>
      <c r="V218" s="6"/>
      <c r="W218" s="14" t="s">
        <v>1168</v>
      </c>
      <c r="X218" s="6"/>
      <c r="Y218" s="6"/>
      <c r="Z218" s="71"/>
      <c r="AA218" s="71"/>
      <c r="AB218" s="71"/>
      <c r="AC218" s="361"/>
    </row>
    <row r="219" spans="1:29" ht="51" outlineLevel="1" x14ac:dyDescent="0.2">
      <c r="A219" s="6">
        <v>216</v>
      </c>
      <c r="B219" s="68">
        <v>45061</v>
      </c>
      <c r="C219" s="73">
        <v>0.50694444444444442</v>
      </c>
      <c r="D219" s="66" t="s">
        <v>857</v>
      </c>
      <c r="E219" s="67" t="s">
        <v>888</v>
      </c>
      <c r="F219" s="66">
        <v>2</v>
      </c>
      <c r="G219" s="66" t="s">
        <v>34</v>
      </c>
      <c r="H219" s="68">
        <v>45084</v>
      </c>
      <c r="I219" s="66" t="s">
        <v>73</v>
      </c>
      <c r="J219" s="68" t="s">
        <v>33</v>
      </c>
      <c r="K219" s="6">
        <f>IFERROR(VLOOKUP(J219,Jueces!$A$1:$B$11,2,FALSE),"")</f>
        <v>4</v>
      </c>
      <c r="L219" s="66" t="s">
        <v>415</v>
      </c>
      <c r="M219" s="66" t="s">
        <v>767</v>
      </c>
      <c r="N219" s="66" t="s">
        <v>1063</v>
      </c>
      <c r="O219" s="66" t="str">
        <f t="shared" ca="1" si="12"/>
        <v>SI</v>
      </c>
      <c r="P219" s="66" t="str">
        <f t="shared" si="13"/>
        <v>DIANOSOL</v>
      </c>
      <c r="Q219" s="66" t="s">
        <v>151</v>
      </c>
      <c r="R219" s="6" t="str">
        <f>VLOOKUP($Q219,Resultados!$A$1:$B$49,2,FALSE)</f>
        <v>Prisión Preventiva</v>
      </c>
      <c r="S219" s="66" t="s">
        <v>1064</v>
      </c>
      <c r="T219" s="75" t="str">
        <f t="shared" si="14"/>
        <v>NO</v>
      </c>
      <c r="U219" s="75">
        <f t="shared" si="16"/>
        <v>6</v>
      </c>
      <c r="V219" s="66"/>
      <c r="W219" s="66" t="s">
        <v>1065</v>
      </c>
      <c r="X219" s="66"/>
      <c r="Y219" s="66"/>
      <c r="Z219" s="279"/>
      <c r="AA219" s="71"/>
      <c r="AB219" s="71"/>
      <c r="AC219" s="361"/>
    </row>
    <row r="220" spans="1:29" ht="76.5" outlineLevel="1" x14ac:dyDescent="0.2">
      <c r="A220" s="6">
        <v>217</v>
      </c>
      <c r="B220" s="68">
        <v>45077</v>
      </c>
      <c r="C220" s="73">
        <v>0.42708333333333331</v>
      </c>
      <c r="D220" s="66" t="s">
        <v>981</v>
      </c>
      <c r="E220" s="67" t="s">
        <v>982</v>
      </c>
      <c r="F220" s="66">
        <v>8</v>
      </c>
      <c r="G220" s="66" t="s">
        <v>1441</v>
      </c>
      <c r="H220" s="68">
        <v>45084</v>
      </c>
      <c r="I220" s="66" t="s">
        <v>73</v>
      </c>
      <c r="J220" s="68" t="s">
        <v>35</v>
      </c>
      <c r="K220" s="6">
        <f>IFERROR(VLOOKUP(J220,Jueces!$A$1:$B$11,2,FALSE),"")</f>
        <v>3</v>
      </c>
      <c r="L220" s="66" t="s">
        <v>813</v>
      </c>
      <c r="M220" s="66" t="s">
        <v>723</v>
      </c>
      <c r="N220" s="66" t="s">
        <v>1067</v>
      </c>
      <c r="O220" s="66" t="str">
        <f t="shared" ca="1" si="12"/>
        <v>SI</v>
      </c>
      <c r="P220" s="66" t="str">
        <f t="shared" si="13"/>
        <v>DIANOSOL</v>
      </c>
      <c r="Q220" s="66" t="s">
        <v>904</v>
      </c>
      <c r="R220" s="6" t="str">
        <f>VLOOKUP($Q220,Resultados!$A$1:$B$49,2,FALSE)</f>
        <v>Juicio Abreviado</v>
      </c>
      <c r="S220" s="73" t="s">
        <v>1125</v>
      </c>
      <c r="T220" s="75" t="str">
        <f t="shared" si="14"/>
        <v>NO</v>
      </c>
      <c r="U220" s="75">
        <f t="shared" si="16"/>
        <v>6</v>
      </c>
      <c r="V220" s="66"/>
      <c r="W220" s="73" t="s">
        <v>1126</v>
      </c>
      <c r="X220" s="66" t="s">
        <v>1069</v>
      </c>
      <c r="Y220" s="66"/>
      <c r="Z220" s="279"/>
      <c r="AA220" s="71"/>
      <c r="AB220" s="71"/>
      <c r="AC220" s="361"/>
    </row>
    <row r="221" spans="1:29" ht="25.5" outlineLevel="1" x14ac:dyDescent="0.2">
      <c r="A221" s="6">
        <v>219</v>
      </c>
      <c r="B221" s="68">
        <v>45083</v>
      </c>
      <c r="C221" s="73">
        <v>0.50694444444444442</v>
      </c>
      <c r="D221" s="66" t="s">
        <v>1054</v>
      </c>
      <c r="E221" s="67" t="s">
        <v>1055</v>
      </c>
      <c r="F221" s="66">
        <v>2</v>
      </c>
      <c r="G221" s="66" t="s">
        <v>1441</v>
      </c>
      <c r="H221" s="68">
        <v>45085</v>
      </c>
      <c r="I221" s="66" t="s">
        <v>73</v>
      </c>
      <c r="J221" s="68" t="s">
        <v>78</v>
      </c>
      <c r="K221" s="6">
        <f>IFERROR(VLOOKUP(J221,Jueces!$A$1:$B$11,2,FALSE),"")</f>
        <v>8</v>
      </c>
      <c r="L221" s="66" t="s">
        <v>812</v>
      </c>
      <c r="M221" s="66" t="s">
        <v>711</v>
      </c>
      <c r="N221" s="66" t="s">
        <v>1096</v>
      </c>
      <c r="O221" s="66" t="str">
        <f t="shared" ca="1" si="12"/>
        <v>SI</v>
      </c>
      <c r="P221" s="66" t="str">
        <f t="shared" si="13"/>
        <v>DIANOSOL</v>
      </c>
      <c r="Q221" s="66" t="s">
        <v>904</v>
      </c>
      <c r="R221" s="6" t="str">
        <f>VLOOKUP($Q221,Resultados!$A$1:$B$49,2,FALSE)</f>
        <v>Juicio Abreviado</v>
      </c>
      <c r="S221" s="73" t="s">
        <v>1127</v>
      </c>
      <c r="T221" s="75" t="str">
        <f t="shared" si="14"/>
        <v>NO</v>
      </c>
      <c r="U221" s="75"/>
      <c r="V221" s="66"/>
      <c r="W221" s="73" t="s">
        <v>1128</v>
      </c>
      <c r="X221" s="6"/>
      <c r="Y221" s="66"/>
      <c r="Z221" s="121"/>
      <c r="AA221" s="71"/>
      <c r="AB221" s="71"/>
      <c r="AC221" s="361"/>
    </row>
    <row r="222" spans="1:29" ht="89.25" outlineLevel="1" x14ac:dyDescent="0.2">
      <c r="A222" s="6">
        <v>220</v>
      </c>
      <c r="B222" s="68">
        <v>45082</v>
      </c>
      <c r="C222" s="73">
        <v>0.43402777777777773</v>
      </c>
      <c r="D222" s="66" t="s">
        <v>1030</v>
      </c>
      <c r="E222" s="67" t="s">
        <v>1052</v>
      </c>
      <c r="F222" s="66">
        <v>8</v>
      </c>
      <c r="G222" s="66" t="s">
        <v>283</v>
      </c>
      <c r="H222" s="68">
        <v>45085</v>
      </c>
      <c r="I222" s="66" t="s">
        <v>686</v>
      </c>
      <c r="J222" s="68" t="s">
        <v>33</v>
      </c>
      <c r="K222" s="6">
        <f>IFERROR(VLOOKUP(J222,Jueces!$A$1:$B$11,2,FALSE),"")</f>
        <v>4</v>
      </c>
      <c r="L222" s="66" t="s">
        <v>801</v>
      </c>
      <c r="M222" s="66" t="s">
        <v>1047</v>
      </c>
      <c r="N222" s="66" t="s">
        <v>1082</v>
      </c>
      <c r="O222" s="66" t="str">
        <f t="shared" ca="1" si="12"/>
        <v>SI</v>
      </c>
      <c r="P222" s="66" t="str">
        <f t="shared" si="13"/>
        <v>DIANOSOL</v>
      </c>
      <c r="Q222" s="66" t="s">
        <v>905</v>
      </c>
      <c r="R222" s="6" t="str">
        <f>VLOOKUP($Q222,Resultados!$A$1:$B$49,2,FALSE)</f>
        <v>Juicio Abreviado</v>
      </c>
      <c r="S222" s="73" t="s">
        <v>1034</v>
      </c>
      <c r="T222" s="75" t="str">
        <f t="shared" si="14"/>
        <v>NO</v>
      </c>
      <c r="U222" s="75"/>
      <c r="V222" s="66"/>
      <c r="W222" s="73" t="s">
        <v>76</v>
      </c>
      <c r="X222" s="66" t="s">
        <v>1083</v>
      </c>
      <c r="Y222" s="66"/>
      <c r="Z222" s="121"/>
      <c r="AA222" s="71"/>
      <c r="AB222" s="71"/>
      <c r="AC222" s="361"/>
    </row>
    <row r="223" spans="1:29" ht="38.25" outlineLevel="1" x14ac:dyDescent="0.2">
      <c r="A223" s="6">
        <v>221</v>
      </c>
      <c r="B223" s="68">
        <v>45082</v>
      </c>
      <c r="C223" s="73">
        <v>0.49861111111111112</v>
      </c>
      <c r="D223" s="66" t="s">
        <v>1043</v>
      </c>
      <c r="E223" s="67" t="s">
        <v>1044</v>
      </c>
      <c r="F223" s="66">
        <v>2</v>
      </c>
      <c r="G223" s="66" t="s">
        <v>43</v>
      </c>
      <c r="H223" s="68">
        <v>45085</v>
      </c>
      <c r="I223" s="66" t="s">
        <v>686</v>
      </c>
      <c r="J223" s="68" t="s">
        <v>35</v>
      </c>
      <c r="K223" s="6">
        <f>IFERROR(VLOOKUP(J223,Jueces!$A$1:$B$11,2,FALSE),"")</f>
        <v>3</v>
      </c>
      <c r="L223" s="66" t="s">
        <v>809</v>
      </c>
      <c r="M223" s="66" t="s">
        <v>711</v>
      </c>
      <c r="N223" s="66" t="s">
        <v>1081</v>
      </c>
      <c r="O223" s="66" t="str">
        <f t="shared" ca="1" si="12"/>
        <v>SI</v>
      </c>
      <c r="P223" s="66" t="str">
        <f t="shared" si="13"/>
        <v>DIANOSOL</v>
      </c>
      <c r="Q223" s="66" t="s">
        <v>899</v>
      </c>
      <c r="R223" s="6" t="str">
        <f>VLOOKUP($Q223,Resultados!$A$1:$B$49,2,FALSE)</f>
        <v>Libertad</v>
      </c>
      <c r="S223" s="66" t="s">
        <v>1084</v>
      </c>
      <c r="T223" s="75" t="str">
        <f t="shared" si="14"/>
        <v>NO</v>
      </c>
      <c r="U223" s="75"/>
      <c r="V223" s="66"/>
      <c r="W223" s="73" t="s">
        <v>1003</v>
      </c>
      <c r="X223" s="66"/>
      <c r="Y223" s="66"/>
      <c r="Z223" s="121"/>
      <c r="AA223" s="71"/>
      <c r="AB223" s="71"/>
      <c r="AC223" s="361"/>
    </row>
    <row r="224" spans="1:29" ht="51" outlineLevel="1" x14ac:dyDescent="0.2">
      <c r="A224" s="6">
        <v>222</v>
      </c>
      <c r="B224" s="68">
        <v>45083</v>
      </c>
      <c r="C224" s="73">
        <v>0.48819444444444443</v>
      </c>
      <c r="D224" s="66" t="s">
        <v>1058</v>
      </c>
      <c r="E224" s="67" t="s">
        <v>1059</v>
      </c>
      <c r="F224" s="66">
        <v>2</v>
      </c>
      <c r="G224" s="66" t="s">
        <v>1441</v>
      </c>
      <c r="H224" s="68">
        <v>45086</v>
      </c>
      <c r="I224" s="66" t="s">
        <v>73</v>
      </c>
      <c r="J224" s="68" t="s">
        <v>78</v>
      </c>
      <c r="K224" s="6">
        <f>IFERROR(VLOOKUP(J224,Jueces!$A$1:$B$11,2,FALSE),"")</f>
        <v>8</v>
      </c>
      <c r="L224" s="66" t="s">
        <v>812</v>
      </c>
      <c r="M224" s="66" t="s">
        <v>314</v>
      </c>
      <c r="N224" s="66" t="s">
        <v>235</v>
      </c>
      <c r="O224" s="66" t="str">
        <f t="shared" ca="1" si="12"/>
        <v>SI</v>
      </c>
      <c r="P224" s="66" t="str">
        <f t="shared" si="13"/>
        <v>DIANOSOL</v>
      </c>
      <c r="Q224" s="66" t="s">
        <v>151</v>
      </c>
      <c r="R224" s="6" t="str">
        <f>VLOOKUP($Q224,Resultados!$A$1:$B$49,2,FALSE)</f>
        <v>Prisión Preventiva</v>
      </c>
      <c r="S224" s="73" t="s">
        <v>1129</v>
      </c>
      <c r="T224" s="75" t="str">
        <f t="shared" si="14"/>
        <v>NO</v>
      </c>
      <c r="U224" s="75"/>
      <c r="V224" s="66"/>
      <c r="W224" s="73" t="s">
        <v>1130</v>
      </c>
      <c r="X224" s="66"/>
      <c r="Y224" s="66"/>
      <c r="Z224" s="121"/>
      <c r="AA224" s="71"/>
      <c r="AB224" s="71"/>
      <c r="AC224" s="361"/>
    </row>
    <row r="225" spans="1:29" ht="51" outlineLevel="1" x14ac:dyDescent="0.2">
      <c r="A225" s="6">
        <v>223</v>
      </c>
      <c r="B225" s="68">
        <v>45083</v>
      </c>
      <c r="C225" s="73">
        <v>0.49027777777777781</v>
      </c>
      <c r="D225" s="66" t="s">
        <v>1060</v>
      </c>
      <c r="E225" s="67" t="s">
        <v>1061</v>
      </c>
      <c r="F225" s="66">
        <v>2</v>
      </c>
      <c r="G225" s="66" t="s">
        <v>29</v>
      </c>
      <c r="H225" s="68">
        <v>45086</v>
      </c>
      <c r="I225" s="66" t="s">
        <v>73</v>
      </c>
      <c r="J225" s="68" t="s">
        <v>33</v>
      </c>
      <c r="K225" s="6">
        <f>IFERROR(VLOOKUP(J225,Jueces!$A$1:$B$11,2,FALSE),"")</f>
        <v>4</v>
      </c>
      <c r="L225" s="66" t="s">
        <v>811</v>
      </c>
      <c r="M225" s="66" t="s">
        <v>711</v>
      </c>
      <c r="N225" s="66" t="s">
        <v>1097</v>
      </c>
      <c r="O225" s="66" t="str">
        <f t="shared" ca="1" si="12"/>
        <v>SI</v>
      </c>
      <c r="P225" s="66" t="str">
        <f t="shared" si="13"/>
        <v>DIANOSOL</v>
      </c>
      <c r="Q225" s="66" t="s">
        <v>904</v>
      </c>
      <c r="R225" s="6" t="str">
        <f>VLOOKUP($Q225,Resultados!$A$1:$B$49,2,FALSE)</f>
        <v>Juicio Abreviado</v>
      </c>
      <c r="S225" s="73" t="s">
        <v>73</v>
      </c>
      <c r="T225" s="75" t="str">
        <f t="shared" si="14"/>
        <v>NO</v>
      </c>
      <c r="U225" s="75"/>
      <c r="V225" s="66"/>
      <c r="W225" s="73" t="s">
        <v>1131</v>
      </c>
      <c r="X225" s="66"/>
      <c r="Y225" s="66"/>
      <c r="Z225" s="121"/>
      <c r="AA225" s="71"/>
      <c r="AB225" s="71"/>
      <c r="AC225" s="361"/>
    </row>
    <row r="226" spans="1:29" ht="51" outlineLevel="1" x14ac:dyDescent="0.2">
      <c r="A226" s="6">
        <v>224</v>
      </c>
      <c r="B226" s="68">
        <v>45083</v>
      </c>
      <c r="C226" s="73">
        <v>0.50416666666666665</v>
      </c>
      <c r="D226" s="66" t="s">
        <v>1056</v>
      </c>
      <c r="E226" s="67" t="s">
        <v>1057</v>
      </c>
      <c r="F226" s="66">
        <v>2</v>
      </c>
      <c r="G226" s="66" t="s">
        <v>32</v>
      </c>
      <c r="H226" s="68">
        <v>45086</v>
      </c>
      <c r="I226" s="66" t="s">
        <v>686</v>
      </c>
      <c r="J226" s="68" t="s">
        <v>78</v>
      </c>
      <c r="K226" s="6">
        <f>IFERROR(VLOOKUP(J226,Jueces!$A$1:$B$11,2,FALSE),"")</f>
        <v>8</v>
      </c>
      <c r="L226" s="66" t="s">
        <v>811</v>
      </c>
      <c r="M226" s="66" t="s">
        <v>712</v>
      </c>
      <c r="N226" s="66" t="s">
        <v>1095</v>
      </c>
      <c r="O226" s="66" t="str">
        <f t="shared" ca="1" si="12"/>
        <v>SI</v>
      </c>
      <c r="P226" s="66" t="str">
        <f t="shared" si="13"/>
        <v>DIANOSOL</v>
      </c>
      <c r="Q226" s="66" t="s">
        <v>904</v>
      </c>
      <c r="R226" s="6" t="str">
        <f>VLOOKUP($Q226,Resultados!$A$1:$B$49,2,FALSE)</f>
        <v>Juicio Abreviado</v>
      </c>
      <c r="S226" s="73" t="s">
        <v>1132</v>
      </c>
      <c r="T226" s="75" t="str">
        <f t="shared" si="14"/>
        <v>NO</v>
      </c>
      <c r="U226" s="75"/>
      <c r="V226" s="66"/>
      <c r="W226" s="73" t="s">
        <v>1133</v>
      </c>
      <c r="X226" s="66"/>
      <c r="Y226" s="66"/>
      <c r="Z226" s="121"/>
      <c r="AA226" s="71"/>
      <c r="AB226" s="71"/>
      <c r="AC226" s="361"/>
    </row>
    <row r="227" spans="1:29" ht="63.75" outlineLevel="1" x14ac:dyDescent="0.2">
      <c r="A227" s="6">
        <v>225</v>
      </c>
      <c r="B227" s="68">
        <v>45084</v>
      </c>
      <c r="C227" s="73">
        <v>0.45833333333333331</v>
      </c>
      <c r="D227" s="6" t="s">
        <v>1072</v>
      </c>
      <c r="E227" s="67" t="s">
        <v>1080</v>
      </c>
      <c r="F227" s="66">
        <v>2</v>
      </c>
      <c r="G227" s="66" t="s">
        <v>283</v>
      </c>
      <c r="H227" s="68">
        <v>45089</v>
      </c>
      <c r="I227" s="66" t="s">
        <v>73</v>
      </c>
      <c r="J227" s="68" t="s">
        <v>35</v>
      </c>
      <c r="K227" s="6">
        <f>IFERROR(VLOOKUP(J227,Jueces!$A$1:$B$11,2,FALSE),"")</f>
        <v>3</v>
      </c>
      <c r="L227" s="66" t="s">
        <v>1070</v>
      </c>
      <c r="M227" s="66" t="s">
        <v>711</v>
      </c>
      <c r="N227" s="66" t="s">
        <v>235</v>
      </c>
      <c r="O227" s="66" t="str">
        <f t="shared" ca="1" si="12"/>
        <v>SI</v>
      </c>
      <c r="P227" s="66" t="str">
        <f t="shared" si="13"/>
        <v>DIANOSOL</v>
      </c>
      <c r="Q227" s="66" t="s">
        <v>151</v>
      </c>
      <c r="R227" s="6" t="str">
        <f>VLOOKUP($Q227,Resultados!$A$1:$B$49,2,FALSE)</f>
        <v>Prisión Preventiva</v>
      </c>
      <c r="S227" s="73" t="s">
        <v>749</v>
      </c>
      <c r="T227" s="75"/>
      <c r="U227" s="75"/>
      <c r="V227" s="66"/>
      <c r="W227" s="73" t="s">
        <v>76</v>
      </c>
      <c r="X227" s="66" t="s">
        <v>1099</v>
      </c>
      <c r="Y227" s="66"/>
      <c r="Z227" s="121"/>
      <c r="AA227" s="71"/>
      <c r="AB227" s="71"/>
      <c r="AC227" s="361"/>
    </row>
    <row r="228" spans="1:29" ht="51" outlineLevel="1" x14ac:dyDescent="0.2">
      <c r="A228" s="6">
        <v>226</v>
      </c>
      <c r="B228" s="68">
        <v>45084</v>
      </c>
      <c r="C228" s="73">
        <v>0.51874999999999993</v>
      </c>
      <c r="D228" s="66" t="s">
        <v>1073</v>
      </c>
      <c r="E228" s="67" t="s">
        <v>1071</v>
      </c>
      <c r="F228" s="66">
        <v>2</v>
      </c>
      <c r="G228" s="66" t="s">
        <v>43</v>
      </c>
      <c r="H228" s="68">
        <v>45090</v>
      </c>
      <c r="I228" s="66" t="s">
        <v>73</v>
      </c>
      <c r="J228" s="68" t="s">
        <v>78</v>
      </c>
      <c r="K228" s="6">
        <f>IFERROR(VLOOKUP(J228,Jueces!$A$1:$B$11,2,FALSE),"")</f>
        <v>8</v>
      </c>
      <c r="L228" s="66" t="s">
        <v>582</v>
      </c>
      <c r="M228" s="66" t="s">
        <v>711</v>
      </c>
      <c r="N228" s="66" t="s">
        <v>1118</v>
      </c>
      <c r="O228" s="66" t="str">
        <f t="shared" ca="1" si="12"/>
        <v>SI</v>
      </c>
      <c r="P228" s="66" t="str">
        <f t="shared" si="13"/>
        <v>DIANOSOL</v>
      </c>
      <c r="Q228" s="66" t="s">
        <v>904</v>
      </c>
      <c r="R228" s="6" t="str">
        <f>VLOOKUP($Q228,Resultados!$A$1:$B$49,2,FALSE)</f>
        <v>Juicio Abreviado</v>
      </c>
      <c r="S228" s="66" t="s">
        <v>1123</v>
      </c>
      <c r="T228" s="75"/>
      <c r="U228" s="75"/>
      <c r="V228" s="66"/>
      <c r="W228" s="66" t="s">
        <v>1124</v>
      </c>
      <c r="X228" s="66" t="s">
        <v>1136</v>
      </c>
      <c r="Y228" s="66"/>
      <c r="Z228" s="121"/>
      <c r="AA228" s="71"/>
      <c r="AB228" s="71"/>
      <c r="AC228" s="361"/>
    </row>
    <row r="229" spans="1:29" ht="51" outlineLevel="1" x14ac:dyDescent="0.2">
      <c r="A229" s="6">
        <v>227</v>
      </c>
      <c r="B229" s="68">
        <v>45086</v>
      </c>
      <c r="C229" s="73">
        <v>0.38194444444444442</v>
      </c>
      <c r="D229" s="66" t="s">
        <v>1094</v>
      </c>
      <c r="E229" s="67" t="s">
        <v>1093</v>
      </c>
      <c r="F229" s="66">
        <v>2</v>
      </c>
      <c r="G229" s="66" t="s">
        <v>32</v>
      </c>
      <c r="H229" s="68">
        <v>45090</v>
      </c>
      <c r="I229" s="66" t="s">
        <v>73</v>
      </c>
      <c r="J229" s="68" t="s">
        <v>35</v>
      </c>
      <c r="K229" s="6">
        <f>IFERROR(VLOOKUP(J229,Jueces!$A$1:$B$11,2,FALSE),"")</f>
        <v>3</v>
      </c>
      <c r="L229" s="66" t="s">
        <v>1305</v>
      </c>
      <c r="M229" s="66" t="s">
        <v>1179</v>
      </c>
      <c r="N229" s="66" t="s">
        <v>1137</v>
      </c>
      <c r="O229" s="66" t="str">
        <f t="shared" ca="1" si="12"/>
        <v>SI</v>
      </c>
      <c r="P229" s="66" t="str">
        <f t="shared" si="13"/>
        <v>DIANOSOL</v>
      </c>
      <c r="Q229" s="66" t="s">
        <v>905</v>
      </c>
      <c r="R229" s="6" t="str">
        <f>VLOOKUP($Q229,Resultados!$A$1:$B$49,2,FALSE)</f>
        <v>Juicio Abreviado</v>
      </c>
      <c r="S229" s="73" t="s">
        <v>1017</v>
      </c>
      <c r="T229" s="75" t="str">
        <f>IF(G229=$J$1,"SI","NO")</f>
        <v>NO</v>
      </c>
      <c r="U229" s="75"/>
      <c r="V229" s="66"/>
      <c r="W229" s="66" t="s">
        <v>1138</v>
      </c>
      <c r="X229" s="66" t="s">
        <v>1139</v>
      </c>
      <c r="Y229" s="66"/>
      <c r="Z229" s="121"/>
      <c r="AA229" s="71"/>
      <c r="AB229" s="71"/>
      <c r="AC229" s="361"/>
    </row>
    <row r="230" spans="1:29" ht="51" outlineLevel="1" x14ac:dyDescent="0.2">
      <c r="A230" s="6">
        <v>228</v>
      </c>
      <c r="B230" s="68">
        <v>45084</v>
      </c>
      <c r="C230" s="73">
        <v>0.53263888888888888</v>
      </c>
      <c r="D230" s="66" t="s">
        <v>1077</v>
      </c>
      <c r="E230" s="67" t="s">
        <v>1075</v>
      </c>
      <c r="F230" s="66">
        <v>2</v>
      </c>
      <c r="G230" s="66" t="s">
        <v>29</v>
      </c>
      <c r="H230" s="68">
        <v>45091</v>
      </c>
      <c r="I230" s="66" t="s">
        <v>73</v>
      </c>
      <c r="J230" s="68" t="s">
        <v>35</v>
      </c>
      <c r="K230" s="6">
        <f>IFERROR(VLOOKUP(J230,Jueces!$A$1:$B$11,2,FALSE),"")</f>
        <v>3</v>
      </c>
      <c r="L230" s="66" t="s">
        <v>813</v>
      </c>
      <c r="M230" s="66" t="s">
        <v>711</v>
      </c>
      <c r="N230" s="66" t="s">
        <v>1156</v>
      </c>
      <c r="O230" s="66" t="str">
        <f t="shared" ca="1" si="12"/>
        <v>SI</v>
      </c>
      <c r="P230" s="66" t="str">
        <f t="shared" si="13"/>
        <v>DIANOSOL</v>
      </c>
      <c r="Q230" s="66" t="s">
        <v>899</v>
      </c>
      <c r="R230" s="6" t="str">
        <f>VLOOKUP($Q230,Resultados!$A$1:$B$49,2,FALSE)</f>
        <v>Libertad</v>
      </c>
      <c r="S230" s="73" t="s">
        <v>1235</v>
      </c>
      <c r="T230" s="75"/>
      <c r="U230" s="75"/>
      <c r="V230" s="66"/>
      <c r="W230" s="73" t="s">
        <v>1236</v>
      </c>
      <c r="X230" s="66" t="s">
        <v>1159</v>
      </c>
      <c r="Y230" s="66"/>
      <c r="Z230" s="121"/>
      <c r="AA230" s="71"/>
      <c r="AB230" s="71"/>
      <c r="AC230" s="361"/>
    </row>
    <row r="231" spans="1:29" ht="25.5" outlineLevel="1" x14ac:dyDescent="0.2">
      <c r="A231" s="6">
        <v>229</v>
      </c>
      <c r="B231" s="18">
        <v>45089</v>
      </c>
      <c r="C231" s="14">
        <v>0.47291666666666665</v>
      </c>
      <c r="D231" s="6" t="s">
        <v>1111</v>
      </c>
      <c r="E231" s="40" t="s">
        <v>1112</v>
      </c>
      <c r="F231" s="6">
        <v>2</v>
      </c>
      <c r="G231" s="6" t="s">
        <v>1441</v>
      </c>
      <c r="H231" s="18">
        <v>45091</v>
      </c>
      <c r="I231" s="6" t="s">
        <v>73</v>
      </c>
      <c r="J231" s="18" t="s">
        <v>78</v>
      </c>
      <c r="K231" s="6">
        <f>IFERROR(VLOOKUP(J231,Jueces!$A$1:$B$11,2,FALSE),"")</f>
        <v>8</v>
      </c>
      <c r="L231" s="6" t="s">
        <v>812</v>
      </c>
      <c r="M231" s="6" t="s">
        <v>712</v>
      </c>
      <c r="N231" s="6" t="s">
        <v>1155</v>
      </c>
      <c r="O231" s="66" t="str">
        <f t="shared" ca="1" si="12"/>
        <v>SI</v>
      </c>
      <c r="P231" s="66" t="str">
        <f t="shared" si="13"/>
        <v>DIANOSOL</v>
      </c>
      <c r="Q231" s="6" t="s">
        <v>904</v>
      </c>
      <c r="R231" s="6" t="str">
        <f>VLOOKUP($Q231,Resultados!$A$1:$B$49,2,FALSE)</f>
        <v>Juicio Abreviado</v>
      </c>
      <c r="S231" s="14" t="s">
        <v>1237</v>
      </c>
      <c r="T231" s="71" t="str">
        <f>IF(G231=$J$1,"SI","NO")</f>
        <v>NO</v>
      </c>
      <c r="U231" s="71"/>
      <c r="V231" s="6"/>
      <c r="W231" s="14" t="s">
        <v>1018</v>
      </c>
      <c r="X231" s="6"/>
      <c r="Y231" s="6"/>
      <c r="Z231" s="121"/>
      <c r="AA231" s="71"/>
      <c r="AB231" s="71"/>
      <c r="AC231" s="361"/>
    </row>
    <row r="232" spans="1:29" ht="51" outlineLevel="1" x14ac:dyDescent="0.2">
      <c r="A232" s="6">
        <v>230</v>
      </c>
      <c r="B232" s="18">
        <v>45085</v>
      </c>
      <c r="C232" s="14" t="s">
        <v>73</v>
      </c>
      <c r="D232" s="6" t="s">
        <v>1079</v>
      </c>
      <c r="E232" s="40" t="s">
        <v>1090</v>
      </c>
      <c r="F232" s="6">
        <v>2</v>
      </c>
      <c r="G232" s="6" t="s">
        <v>43</v>
      </c>
      <c r="H232" s="18">
        <v>45091</v>
      </c>
      <c r="I232" s="6" t="s">
        <v>1086</v>
      </c>
      <c r="J232" s="18" t="s">
        <v>35</v>
      </c>
      <c r="K232" s="6">
        <f>IFERROR(VLOOKUP(J232,Jueces!$A$1:$B$11,2,FALSE),"")</f>
        <v>3</v>
      </c>
      <c r="L232" s="6" t="s">
        <v>807</v>
      </c>
      <c r="M232" s="6" t="s">
        <v>712</v>
      </c>
      <c r="N232" s="6" t="s">
        <v>1157</v>
      </c>
      <c r="O232" s="6" t="str">
        <f t="shared" ca="1" si="12"/>
        <v>SI</v>
      </c>
      <c r="P232" s="6" t="str">
        <f t="shared" si="13"/>
        <v>DIANOSOL</v>
      </c>
      <c r="Q232" s="6" t="s">
        <v>913</v>
      </c>
      <c r="R232" s="6" t="str">
        <f>VLOOKUP($Q232,Resultados!$A$1:$B$49,2,FALSE)</f>
        <v>Prision domiciliaria</v>
      </c>
      <c r="S232" s="14" t="s">
        <v>1210</v>
      </c>
      <c r="T232" s="71"/>
      <c r="U232" s="71"/>
      <c r="V232" s="6"/>
      <c r="W232" s="14" t="s">
        <v>75</v>
      </c>
      <c r="X232" s="6" t="s">
        <v>1158</v>
      </c>
      <c r="Y232" s="6"/>
      <c r="Z232" s="121"/>
      <c r="AA232" s="71"/>
      <c r="AB232" s="71"/>
      <c r="AC232" s="361"/>
    </row>
    <row r="233" spans="1:29" ht="63.75" outlineLevel="1" x14ac:dyDescent="0.2">
      <c r="A233" s="6">
        <v>231</v>
      </c>
      <c r="B233" s="68">
        <v>45084</v>
      </c>
      <c r="C233" s="73">
        <v>0.53125</v>
      </c>
      <c r="D233" s="66" t="s">
        <v>1078</v>
      </c>
      <c r="E233" s="67" t="s">
        <v>1076</v>
      </c>
      <c r="F233" s="66">
        <v>2</v>
      </c>
      <c r="G233" s="66" t="s">
        <v>32</v>
      </c>
      <c r="H233" s="68">
        <v>45092</v>
      </c>
      <c r="I233" s="66" t="s">
        <v>73</v>
      </c>
      <c r="J233" s="68" t="s">
        <v>35</v>
      </c>
      <c r="K233" s="6">
        <f>IFERROR(VLOOKUP(J233,Jueces!$A$1:$B$11,2,FALSE),"")</f>
        <v>3</v>
      </c>
      <c r="L233" s="66" t="s">
        <v>1070</v>
      </c>
      <c r="M233" s="66" t="s">
        <v>711</v>
      </c>
      <c r="N233" s="66" t="s">
        <v>1186</v>
      </c>
      <c r="O233" s="66" t="str">
        <f t="shared" ca="1" si="12"/>
        <v>SI</v>
      </c>
      <c r="P233" s="66" t="str">
        <f t="shared" si="13"/>
        <v>DIANOSOL</v>
      </c>
      <c r="Q233" s="66" t="s">
        <v>151</v>
      </c>
      <c r="R233" s="6" t="str">
        <f>VLOOKUP($Q233,Resultados!$A$1:$B$49,2,FALSE)</f>
        <v>Prisión Preventiva</v>
      </c>
      <c r="S233" s="66" t="s">
        <v>1187</v>
      </c>
      <c r="T233" s="75"/>
      <c r="U233" s="75"/>
      <c r="V233" s="66"/>
      <c r="W233" s="66" t="s">
        <v>1123</v>
      </c>
      <c r="X233" s="66" t="s">
        <v>1188</v>
      </c>
      <c r="Y233" s="66"/>
      <c r="Z233" s="121"/>
      <c r="AA233" s="71"/>
      <c r="AB233" s="71"/>
      <c r="AC233" s="361"/>
    </row>
    <row r="234" spans="1:29" ht="51" outlineLevel="1" x14ac:dyDescent="0.2">
      <c r="A234" s="6">
        <v>232</v>
      </c>
      <c r="B234" s="68">
        <v>45085</v>
      </c>
      <c r="C234" s="73">
        <v>0.49722222222222223</v>
      </c>
      <c r="D234" s="66" t="s">
        <v>1088</v>
      </c>
      <c r="E234" s="67" t="s">
        <v>1089</v>
      </c>
      <c r="F234" s="66">
        <v>2</v>
      </c>
      <c r="G234" s="66" t="s">
        <v>1441</v>
      </c>
      <c r="H234" s="68">
        <v>45092</v>
      </c>
      <c r="I234" s="66" t="s">
        <v>73</v>
      </c>
      <c r="J234" s="68" t="s">
        <v>78</v>
      </c>
      <c r="K234" s="6">
        <f>IFERROR(VLOOKUP(J234,Jueces!$A$1:$B$11,2,FALSE),"")</f>
        <v>8</v>
      </c>
      <c r="L234" s="66" t="s">
        <v>1180</v>
      </c>
      <c r="M234" s="66" t="s">
        <v>1179</v>
      </c>
      <c r="N234" s="66" t="s">
        <v>1184</v>
      </c>
      <c r="O234" s="66" t="str">
        <f t="shared" ca="1" si="12"/>
        <v>SI</v>
      </c>
      <c r="P234" s="66" t="str">
        <f t="shared" si="13"/>
        <v>DIANOSOL</v>
      </c>
      <c r="Q234" s="66" t="s">
        <v>905</v>
      </c>
      <c r="R234" s="6" t="str">
        <f>VLOOKUP($Q234,Resultados!$A$1:$B$49,2,FALSE)</f>
        <v>Juicio Abreviado</v>
      </c>
      <c r="S234" s="73" t="s">
        <v>1017</v>
      </c>
      <c r="T234" s="75" t="str">
        <f t="shared" ref="T234:T297" si="17">IF(G234=$J$1,"SI","NO")</f>
        <v>NO</v>
      </c>
      <c r="U234" s="75"/>
      <c r="V234" s="66"/>
      <c r="W234" s="66" t="s">
        <v>1168</v>
      </c>
      <c r="X234" s="66" t="s">
        <v>1178</v>
      </c>
      <c r="Y234" s="66"/>
      <c r="Z234" s="121"/>
      <c r="AA234" s="71"/>
      <c r="AB234" s="71"/>
      <c r="AC234" s="361"/>
    </row>
    <row r="235" spans="1:29" ht="38.25" outlineLevel="1" x14ac:dyDescent="0.2">
      <c r="A235" s="6">
        <v>233</v>
      </c>
      <c r="B235" s="68">
        <v>45086</v>
      </c>
      <c r="C235" s="73">
        <v>0.35972222222222222</v>
      </c>
      <c r="D235" s="66" t="s">
        <v>1092</v>
      </c>
      <c r="E235" s="67" t="s">
        <v>1091</v>
      </c>
      <c r="F235" s="66">
        <v>2</v>
      </c>
      <c r="G235" s="66" t="s">
        <v>29</v>
      </c>
      <c r="H235" s="68">
        <v>45092</v>
      </c>
      <c r="I235" s="66" t="s">
        <v>1086</v>
      </c>
      <c r="J235" s="68" t="s">
        <v>78</v>
      </c>
      <c r="K235" s="6">
        <f>IFERROR(VLOOKUP(J235,Jueces!$A$1:$B$11,2,FALSE),"")</f>
        <v>8</v>
      </c>
      <c r="L235" s="66" t="s">
        <v>809</v>
      </c>
      <c r="M235" s="66" t="s">
        <v>712</v>
      </c>
      <c r="N235" s="66" t="s">
        <v>1185</v>
      </c>
      <c r="O235" s="66" t="str">
        <f t="shared" ca="1" si="12"/>
        <v>SI</v>
      </c>
      <c r="P235" s="66" t="str">
        <f t="shared" si="13"/>
        <v>DIANOSOL</v>
      </c>
      <c r="Q235" s="66" t="s">
        <v>904</v>
      </c>
      <c r="R235" s="6" t="str">
        <f>VLOOKUP($Q235,Resultados!$A$1:$B$49,2,FALSE)</f>
        <v>Juicio Abreviado</v>
      </c>
      <c r="S235" s="66" t="s">
        <v>1050</v>
      </c>
      <c r="T235" s="75" t="str">
        <f t="shared" si="17"/>
        <v>NO</v>
      </c>
      <c r="U235" s="75"/>
      <c r="V235" s="66"/>
      <c r="W235" s="66" t="s">
        <v>1189</v>
      </c>
      <c r="X235" s="66" t="s">
        <v>1190</v>
      </c>
      <c r="Y235" s="66"/>
      <c r="Z235" s="121"/>
      <c r="AA235" s="71"/>
      <c r="AB235" s="71"/>
      <c r="AC235" s="361"/>
    </row>
    <row r="236" spans="1:29" ht="38.25" outlineLevel="1" x14ac:dyDescent="0.2">
      <c r="A236" s="6">
        <v>234</v>
      </c>
      <c r="B236" s="68">
        <v>45089</v>
      </c>
      <c r="C236" s="73">
        <v>0.41944444444444445</v>
      </c>
      <c r="D236" s="66" t="s">
        <v>1107</v>
      </c>
      <c r="E236" s="67" t="s">
        <v>1192</v>
      </c>
      <c r="F236" s="66">
        <v>2</v>
      </c>
      <c r="G236" s="66" t="s">
        <v>1442</v>
      </c>
      <c r="H236" s="68">
        <v>45092</v>
      </c>
      <c r="I236" s="66" t="s">
        <v>1086</v>
      </c>
      <c r="J236" s="68" t="s">
        <v>35</v>
      </c>
      <c r="K236" s="6">
        <f>IFERROR(VLOOKUP(J236,Jueces!$A$1:$B$11,2,FALSE),"")</f>
        <v>3</v>
      </c>
      <c r="L236" s="66" t="s">
        <v>806</v>
      </c>
      <c r="M236" s="66" t="s">
        <v>1108</v>
      </c>
      <c r="N236" s="66" t="s">
        <v>1166</v>
      </c>
      <c r="O236" s="66" t="str">
        <f t="shared" ca="1" si="12"/>
        <v>SI</v>
      </c>
      <c r="P236" s="66" t="str">
        <f t="shared" si="13"/>
        <v>DIANOSOL</v>
      </c>
      <c r="Q236" s="66" t="s">
        <v>904</v>
      </c>
      <c r="R236" s="6" t="str">
        <f>VLOOKUP($Q236,Resultados!$A$1:$B$49,2,FALSE)</f>
        <v>Juicio Abreviado</v>
      </c>
      <c r="S236" s="73" t="s">
        <v>1238</v>
      </c>
      <c r="T236" s="75" t="str">
        <f t="shared" si="17"/>
        <v>SI</v>
      </c>
      <c r="U236" s="75"/>
      <c r="V236" s="66"/>
      <c r="W236" s="66" t="s">
        <v>1009</v>
      </c>
      <c r="X236" s="66" t="s">
        <v>1167</v>
      </c>
      <c r="Y236" s="66"/>
      <c r="Z236" s="121"/>
      <c r="AA236" s="71"/>
      <c r="AB236" s="71"/>
      <c r="AC236" s="361"/>
    </row>
    <row r="237" spans="1:29" ht="38.25" outlineLevel="1" x14ac:dyDescent="0.2">
      <c r="A237" s="6">
        <v>235</v>
      </c>
      <c r="B237" s="68">
        <v>45089</v>
      </c>
      <c r="C237" s="73">
        <v>0.34861111111111115</v>
      </c>
      <c r="D237" s="66" t="s">
        <v>1101</v>
      </c>
      <c r="E237" s="67" t="s">
        <v>1102</v>
      </c>
      <c r="F237" s="66">
        <v>2</v>
      </c>
      <c r="G237" s="66" t="s">
        <v>43</v>
      </c>
      <c r="H237" s="68">
        <v>45093</v>
      </c>
      <c r="I237" s="66" t="s">
        <v>73</v>
      </c>
      <c r="J237" s="68" t="s">
        <v>78</v>
      </c>
      <c r="K237" s="6">
        <f>IFERROR(VLOOKUP(J237,Jueces!$A$1:$B$11,2,FALSE),"")</f>
        <v>8</v>
      </c>
      <c r="L237" s="66" t="s">
        <v>1070</v>
      </c>
      <c r="M237" s="66" t="s">
        <v>712</v>
      </c>
      <c r="N237" s="66" t="s">
        <v>1200</v>
      </c>
      <c r="O237" s="66" t="str">
        <f t="shared" ca="1" si="12"/>
        <v>SI</v>
      </c>
      <c r="P237" s="66" t="str">
        <f t="shared" si="13"/>
        <v>DIANOSOL</v>
      </c>
      <c r="Q237" s="66" t="s">
        <v>904</v>
      </c>
      <c r="R237" s="6" t="str">
        <f>VLOOKUP($Q237,Resultados!$A$1:$B$49,2,FALSE)</f>
        <v>Juicio Abreviado</v>
      </c>
      <c r="S237" s="66" t="s">
        <v>686</v>
      </c>
      <c r="T237" s="75" t="str">
        <f t="shared" si="17"/>
        <v>NO</v>
      </c>
      <c r="U237" s="75"/>
      <c r="V237" s="66"/>
      <c r="W237" s="73">
        <v>0.375</v>
      </c>
      <c r="X237" s="66" t="s">
        <v>1103</v>
      </c>
      <c r="Y237" s="66"/>
      <c r="Z237" s="121"/>
      <c r="AA237" s="279"/>
      <c r="AB237" s="330"/>
      <c r="AC237" s="361"/>
    </row>
    <row r="238" spans="1:29" ht="38.25" outlineLevel="1" x14ac:dyDescent="0.2">
      <c r="A238" s="6">
        <v>236</v>
      </c>
      <c r="B238" s="68">
        <v>45085</v>
      </c>
      <c r="C238" s="73">
        <v>0.35416666666666669</v>
      </c>
      <c r="D238" s="66" t="s">
        <v>1100</v>
      </c>
      <c r="E238" s="67" t="s">
        <v>1085</v>
      </c>
      <c r="F238" s="66">
        <v>3</v>
      </c>
      <c r="G238" s="66" t="s">
        <v>283</v>
      </c>
      <c r="H238" s="68">
        <v>45093</v>
      </c>
      <c r="I238" s="66" t="s">
        <v>1086</v>
      </c>
      <c r="J238" s="68" t="s">
        <v>31</v>
      </c>
      <c r="K238" s="6">
        <f>IFERROR(VLOOKUP(J238,Jueces!$A$1:$B$11,2,FALSE),"")</f>
        <v>2</v>
      </c>
      <c r="L238" s="66" t="s">
        <v>181</v>
      </c>
      <c r="M238" s="66" t="s">
        <v>712</v>
      </c>
      <c r="N238" s="66" t="s">
        <v>1198</v>
      </c>
      <c r="O238" s="386" t="str">
        <f t="shared" ca="1" si="12"/>
        <v>SI</v>
      </c>
      <c r="P238" s="66" t="str">
        <f t="shared" si="13"/>
        <v>DIANOSOL</v>
      </c>
      <c r="Q238" s="66" t="s">
        <v>905</v>
      </c>
      <c r="R238" s="6" t="str">
        <f>VLOOKUP($Q238,Resultados!$A$1:$B$49,2,FALSE)</f>
        <v>Juicio Abreviado</v>
      </c>
      <c r="S238" s="73" t="s">
        <v>1018</v>
      </c>
      <c r="T238" s="75" t="str">
        <f t="shared" si="17"/>
        <v>NO</v>
      </c>
      <c r="U238" s="75"/>
      <c r="V238" s="66"/>
      <c r="W238" s="73" t="s">
        <v>1234</v>
      </c>
      <c r="X238" s="66" t="s">
        <v>1199</v>
      </c>
      <c r="Y238" s="66"/>
      <c r="Z238" s="121"/>
      <c r="AA238" s="279"/>
      <c r="AB238" s="330"/>
      <c r="AC238" s="361"/>
    </row>
    <row r="239" spans="1:29" ht="76.5" outlineLevel="1" x14ac:dyDescent="0.2">
      <c r="A239" s="6">
        <v>237</v>
      </c>
      <c r="B239" s="68">
        <v>45089</v>
      </c>
      <c r="C239" s="73">
        <v>0.39305555555555555</v>
      </c>
      <c r="D239" s="66" t="s">
        <v>1104</v>
      </c>
      <c r="E239" s="67" t="s">
        <v>1105</v>
      </c>
      <c r="F239" s="66">
        <v>2</v>
      </c>
      <c r="G239" s="66" t="s">
        <v>32</v>
      </c>
      <c r="H239" s="68">
        <v>45093</v>
      </c>
      <c r="I239" s="66" t="s">
        <v>1086</v>
      </c>
      <c r="J239" s="68" t="s">
        <v>78</v>
      </c>
      <c r="K239" s="6">
        <f>IFERROR(VLOOKUP(J239,Jueces!$A$1:$B$11,2,FALSE),"")</f>
        <v>8</v>
      </c>
      <c r="L239" s="66" t="s">
        <v>326</v>
      </c>
      <c r="M239" s="66" t="s">
        <v>1106</v>
      </c>
      <c r="N239" s="66" t="s">
        <v>1203</v>
      </c>
      <c r="O239" s="66" t="str">
        <f t="shared" ca="1" si="12"/>
        <v>SI</v>
      </c>
      <c r="P239" s="66" t="str">
        <f t="shared" si="13"/>
        <v>DIANOSOL</v>
      </c>
      <c r="Q239" s="66" t="s">
        <v>151</v>
      </c>
      <c r="R239" s="6" t="str">
        <f>VLOOKUP($Q239,Resultados!$A$1:$B$49,2,FALSE)</f>
        <v>Prisión Preventiva</v>
      </c>
      <c r="S239" s="73" t="s">
        <v>1240</v>
      </c>
      <c r="T239" s="75" t="str">
        <f t="shared" si="17"/>
        <v>NO</v>
      </c>
      <c r="U239" s="75"/>
      <c r="V239" s="66"/>
      <c r="W239" s="73" t="s">
        <v>1241</v>
      </c>
      <c r="X239" s="66" t="s">
        <v>1204</v>
      </c>
      <c r="Y239" s="66"/>
      <c r="Z239" s="121"/>
      <c r="AA239" s="279"/>
      <c r="AB239" s="330"/>
      <c r="AC239" s="361"/>
    </row>
    <row r="240" spans="1:29" ht="51" outlineLevel="1" x14ac:dyDescent="0.2">
      <c r="A240" s="6">
        <v>238</v>
      </c>
      <c r="B240" s="68">
        <v>45084</v>
      </c>
      <c r="C240" s="73" t="s">
        <v>73</v>
      </c>
      <c r="D240" s="66" t="s">
        <v>1074</v>
      </c>
      <c r="E240" s="67" t="s">
        <v>1062</v>
      </c>
      <c r="F240" s="66">
        <v>4</v>
      </c>
      <c r="G240" s="66" t="s">
        <v>1441</v>
      </c>
      <c r="H240" s="68">
        <v>45093</v>
      </c>
      <c r="I240" s="66" t="s">
        <v>77</v>
      </c>
      <c r="J240" s="68" t="s">
        <v>31</v>
      </c>
      <c r="K240" s="6">
        <f>IFERROR(VLOOKUP(J240,Jueces!$A$1:$B$11,2,FALSE),"")</f>
        <v>2</v>
      </c>
      <c r="L240" s="66" t="s">
        <v>814</v>
      </c>
      <c r="M240" s="66" t="s">
        <v>1066</v>
      </c>
      <c r="N240" s="66" t="s">
        <v>1205</v>
      </c>
      <c r="O240" s="56" t="str">
        <f t="shared" ca="1" si="12"/>
        <v>SI</v>
      </c>
      <c r="P240" s="56" t="str">
        <f t="shared" si="13"/>
        <v>DIANOSOL</v>
      </c>
      <c r="Q240" s="66" t="s">
        <v>912</v>
      </c>
      <c r="R240" s="6" t="str">
        <f>VLOOKUP($Q240,Resultados!$A$1:$B$49,2,FALSE)</f>
        <v>Suspendida</v>
      </c>
      <c r="S240" s="66"/>
      <c r="T240" s="387" t="str">
        <f t="shared" si="17"/>
        <v>NO</v>
      </c>
      <c r="U240" s="387"/>
      <c r="V240" s="56"/>
      <c r="W240" s="66"/>
      <c r="X240" s="66" t="s">
        <v>1208</v>
      </c>
      <c r="Y240" s="66"/>
      <c r="Z240" s="121"/>
      <c r="AA240" s="279"/>
      <c r="AB240" s="330"/>
      <c r="AC240" s="361"/>
    </row>
    <row r="241" spans="1:29" ht="38.25" outlineLevel="1" x14ac:dyDescent="0.2">
      <c r="A241" s="6">
        <v>239</v>
      </c>
      <c r="B241" s="68">
        <v>45090</v>
      </c>
      <c r="C241" s="73">
        <v>0.42708333333333331</v>
      </c>
      <c r="D241" s="66" t="s">
        <v>1145</v>
      </c>
      <c r="E241" s="67" t="s">
        <v>1142</v>
      </c>
      <c r="F241" s="66">
        <v>2</v>
      </c>
      <c r="G241" s="66" t="s">
        <v>1441</v>
      </c>
      <c r="H241" s="68">
        <v>45093</v>
      </c>
      <c r="I241" s="66" t="s">
        <v>1150</v>
      </c>
      <c r="J241" s="68" t="s">
        <v>31</v>
      </c>
      <c r="K241" s="6">
        <f>IFERROR(VLOOKUP(J241,Jueces!$A$1:$B$11,2,FALSE),"")</f>
        <v>2</v>
      </c>
      <c r="L241" s="66" t="s">
        <v>812</v>
      </c>
      <c r="M241" s="66" t="s">
        <v>712</v>
      </c>
      <c r="N241" s="66" t="s">
        <v>1206</v>
      </c>
      <c r="O241" s="81" t="str">
        <f t="shared" ca="1" si="12"/>
        <v>SI</v>
      </c>
      <c r="P241" s="81" t="str">
        <f t="shared" si="13"/>
        <v>DIANOSOL</v>
      </c>
      <c r="Q241" s="66" t="s">
        <v>904</v>
      </c>
      <c r="R241" s="6" t="str">
        <f>VLOOKUP($Q241,Resultados!$A$1:$B$49,2,FALSE)</f>
        <v>Juicio Abreviado</v>
      </c>
      <c r="S241" s="73" t="s">
        <v>1239</v>
      </c>
      <c r="T241" s="84" t="str">
        <f t="shared" si="17"/>
        <v>NO</v>
      </c>
      <c r="U241" s="84"/>
      <c r="V241" s="56"/>
      <c r="W241" s="66" t="s">
        <v>1207</v>
      </c>
      <c r="X241" s="66"/>
      <c r="Y241" s="66"/>
      <c r="Z241" s="121"/>
      <c r="AA241" s="279"/>
      <c r="AB241" s="330"/>
      <c r="AC241" s="361"/>
    </row>
    <row r="242" spans="1:29" ht="51" outlineLevel="1" x14ac:dyDescent="0.2">
      <c r="A242" s="6">
        <v>240</v>
      </c>
      <c r="B242" s="68">
        <v>45089</v>
      </c>
      <c r="C242" s="73">
        <v>0.45833333333333331</v>
      </c>
      <c r="D242" s="66" t="s">
        <v>1109</v>
      </c>
      <c r="E242" s="67" t="s">
        <v>1353</v>
      </c>
      <c r="F242" s="66">
        <v>2</v>
      </c>
      <c r="G242" s="66" t="s">
        <v>283</v>
      </c>
      <c r="H242" s="68">
        <v>45103</v>
      </c>
      <c r="I242" s="73" t="s">
        <v>73</v>
      </c>
      <c r="J242" s="68" t="s">
        <v>33</v>
      </c>
      <c r="K242" s="6">
        <f>IFERROR(VLOOKUP(J242,Jueces!$A$1:$B$11,2,FALSE),"")</f>
        <v>4</v>
      </c>
      <c r="L242" s="66" t="s">
        <v>811</v>
      </c>
      <c r="M242" s="66" t="s">
        <v>711</v>
      </c>
      <c r="N242" s="66" t="s">
        <v>1361</v>
      </c>
      <c r="O242" s="66" t="str">
        <f t="shared" ca="1" si="12"/>
        <v>SI</v>
      </c>
      <c r="P242" s="66" t="str">
        <f t="shared" si="13"/>
        <v>DIANOSOL</v>
      </c>
      <c r="Q242" s="66" t="s">
        <v>151</v>
      </c>
      <c r="R242" s="6" t="str">
        <f>VLOOKUP($Q242,Resultados!$A$1:$B$49,2,FALSE)</f>
        <v>Prisión Preventiva</v>
      </c>
      <c r="S242" s="73">
        <v>0.35416666666666669</v>
      </c>
      <c r="T242" s="75" t="str">
        <f t="shared" si="17"/>
        <v>NO</v>
      </c>
      <c r="U242" s="75"/>
      <c r="V242" s="66"/>
      <c r="W242" s="73">
        <v>0.375</v>
      </c>
      <c r="X242" s="66" t="s">
        <v>1338</v>
      </c>
      <c r="Y242" s="66"/>
      <c r="Z242" s="121" t="s">
        <v>770</v>
      </c>
      <c r="AA242" s="279" t="s">
        <v>743</v>
      </c>
      <c r="AB242" s="279" t="s">
        <v>1176</v>
      </c>
      <c r="AC242" s="361"/>
    </row>
    <row r="243" spans="1:29" ht="63.75" outlineLevel="1" x14ac:dyDescent="0.2">
      <c r="A243" s="6">
        <v>241</v>
      </c>
      <c r="B243" s="68">
        <v>45090</v>
      </c>
      <c r="C243" s="73" t="s">
        <v>73</v>
      </c>
      <c r="D243" s="66" t="s">
        <v>1113</v>
      </c>
      <c r="E243" s="67" t="s">
        <v>1217</v>
      </c>
      <c r="F243" s="66">
        <v>2</v>
      </c>
      <c r="G243" s="66" t="s">
        <v>32</v>
      </c>
      <c r="H243" s="68">
        <v>45098</v>
      </c>
      <c r="I243" s="73" t="s">
        <v>1086</v>
      </c>
      <c r="J243" s="68" t="s">
        <v>78</v>
      </c>
      <c r="K243" s="6">
        <f>IFERROR(VLOOKUP(J243,Jueces!$A$1:$B$11,2,FALSE),"")</f>
        <v>8</v>
      </c>
      <c r="L243" s="66" t="s">
        <v>809</v>
      </c>
      <c r="M243" s="66" t="s">
        <v>171</v>
      </c>
      <c r="N243" s="66" t="s">
        <v>1247</v>
      </c>
      <c r="O243" s="81" t="str">
        <f t="shared" ca="1" si="12"/>
        <v>SI</v>
      </c>
      <c r="P243" s="81" t="str">
        <f t="shared" si="13"/>
        <v>DIANOSOL</v>
      </c>
      <c r="Q243" s="66" t="s">
        <v>912</v>
      </c>
      <c r="R243" s="6" t="str">
        <f>VLOOKUP($Q243,Resultados!$A$1:$B$49,2,FALSE)</f>
        <v>Suspendida</v>
      </c>
      <c r="S243" s="66"/>
      <c r="T243" s="84" t="str">
        <f t="shared" si="17"/>
        <v>NO</v>
      </c>
      <c r="U243" s="84"/>
      <c r="V243" s="81"/>
      <c r="W243" s="66"/>
      <c r="X243" s="66"/>
      <c r="Y243" s="66"/>
      <c r="Z243" s="121" t="s">
        <v>748</v>
      </c>
      <c r="AA243" s="279"/>
      <c r="AB243" s="330"/>
      <c r="AC243" s="361"/>
    </row>
    <row r="244" spans="1:29" ht="76.5" outlineLevel="1" x14ac:dyDescent="0.2">
      <c r="A244" s="6">
        <v>242</v>
      </c>
      <c r="B244" s="68">
        <v>45090</v>
      </c>
      <c r="C244" s="73" t="s">
        <v>73</v>
      </c>
      <c r="D244" s="66" t="s">
        <v>1114</v>
      </c>
      <c r="E244" s="67" t="s">
        <v>1202</v>
      </c>
      <c r="F244" s="66">
        <v>2</v>
      </c>
      <c r="G244" s="66" t="s">
        <v>283</v>
      </c>
      <c r="H244" s="68">
        <v>45099</v>
      </c>
      <c r="I244" s="66" t="s">
        <v>73</v>
      </c>
      <c r="J244" s="68" t="s">
        <v>31</v>
      </c>
      <c r="K244" s="6">
        <f>IFERROR(VLOOKUP(J244,Jueces!$A$1:$B$11,2,FALSE),"")</f>
        <v>2</v>
      </c>
      <c r="L244" s="66" t="s">
        <v>406</v>
      </c>
      <c r="M244" s="66" t="s">
        <v>171</v>
      </c>
      <c r="N244" s="66" t="s">
        <v>577</v>
      </c>
      <c r="O244" s="81" t="str">
        <f t="shared" ca="1" si="12"/>
        <v>SI</v>
      </c>
      <c r="P244" s="81" t="str">
        <f t="shared" si="13"/>
        <v>DIANOSOL</v>
      </c>
      <c r="Q244" s="66" t="s">
        <v>151</v>
      </c>
      <c r="R244" s="6" t="str">
        <f>VLOOKUP($Q244,Resultados!$A$1:$B$49,2,FALSE)</f>
        <v>Prisión Preventiva</v>
      </c>
      <c r="S244" s="66" t="s">
        <v>1009</v>
      </c>
      <c r="T244" s="84" t="str">
        <f t="shared" si="17"/>
        <v>NO</v>
      </c>
      <c r="U244" s="84"/>
      <c r="V244" s="81"/>
      <c r="W244" s="66" t="s">
        <v>1252</v>
      </c>
      <c r="X244" s="66" t="s">
        <v>1253</v>
      </c>
      <c r="Y244" s="66"/>
      <c r="Z244" s="121" t="s">
        <v>1041</v>
      </c>
      <c r="AA244" s="279" t="s">
        <v>1191</v>
      </c>
      <c r="AB244" s="330" t="s">
        <v>1173</v>
      </c>
      <c r="AC244" s="361"/>
    </row>
    <row r="245" spans="1:29" ht="38.25" outlineLevel="1" x14ac:dyDescent="0.2">
      <c r="A245" s="6">
        <v>243</v>
      </c>
      <c r="B245" s="68">
        <v>45090</v>
      </c>
      <c r="C245" s="66" t="s">
        <v>73</v>
      </c>
      <c r="D245" s="66" t="s">
        <v>1120</v>
      </c>
      <c r="E245" s="67" t="s">
        <v>1115</v>
      </c>
      <c r="F245" s="66">
        <v>2</v>
      </c>
      <c r="G245" s="66" t="s">
        <v>1441</v>
      </c>
      <c r="H245" s="68">
        <v>45099</v>
      </c>
      <c r="I245" s="73" t="s">
        <v>1086</v>
      </c>
      <c r="J245" s="68" t="s">
        <v>31</v>
      </c>
      <c r="K245" s="6">
        <f>IFERROR(VLOOKUP(J245,Jueces!$A$1:$B$11,2,FALSE),"")</f>
        <v>2</v>
      </c>
      <c r="L245" s="66" t="s">
        <v>807</v>
      </c>
      <c r="M245" s="66" t="s">
        <v>712</v>
      </c>
      <c r="N245" s="66" t="s">
        <v>1275</v>
      </c>
      <c r="O245" s="66" t="str">
        <f t="shared" ca="1" si="12"/>
        <v>SI</v>
      </c>
      <c r="P245" s="66" t="str">
        <f t="shared" si="13"/>
        <v>DIANOSOL</v>
      </c>
      <c r="Q245" s="66" t="s">
        <v>151</v>
      </c>
      <c r="R245" s="6" t="str">
        <f>VLOOKUP($Q245,Resultados!$A$1:$B$49,2,FALSE)</f>
        <v>Prisión Preventiva</v>
      </c>
      <c r="S245" s="66" t="s">
        <v>1133</v>
      </c>
      <c r="T245" s="75" t="str">
        <f t="shared" si="17"/>
        <v>NO</v>
      </c>
      <c r="U245" s="75"/>
      <c r="V245" s="66"/>
      <c r="W245" s="66" t="s">
        <v>1276</v>
      </c>
      <c r="X245" s="66" t="s">
        <v>1277</v>
      </c>
      <c r="Y245" s="66"/>
      <c r="Z245" s="121" t="s">
        <v>748</v>
      </c>
      <c r="AA245" s="279" t="s">
        <v>1170</v>
      </c>
      <c r="AB245" s="330" t="s">
        <v>1173</v>
      </c>
      <c r="AC245" s="361"/>
    </row>
    <row r="246" spans="1:29" ht="51" outlineLevel="1" x14ac:dyDescent="0.2">
      <c r="A246" s="6">
        <v>244</v>
      </c>
      <c r="B246" s="68">
        <v>45090</v>
      </c>
      <c r="C246" s="66" t="s">
        <v>73</v>
      </c>
      <c r="D246" s="66" t="s">
        <v>1121</v>
      </c>
      <c r="E246" s="67" t="s">
        <v>1141</v>
      </c>
      <c r="F246" s="66">
        <v>2</v>
      </c>
      <c r="G246" s="66" t="s">
        <v>43</v>
      </c>
      <c r="H246" s="68">
        <v>45100</v>
      </c>
      <c r="I246" s="66" t="s">
        <v>73</v>
      </c>
      <c r="J246" s="68" t="s">
        <v>31</v>
      </c>
      <c r="K246" s="6">
        <f>IFERROR(VLOOKUP(J246,Jueces!$A$1:$B$11,2,FALSE),"")</f>
        <v>2</v>
      </c>
      <c r="L246" s="66" t="s">
        <v>569</v>
      </c>
      <c r="M246" s="66" t="s">
        <v>1294</v>
      </c>
      <c r="N246" s="66" t="s">
        <v>1295</v>
      </c>
      <c r="O246" s="66" t="str">
        <f t="shared" ca="1" si="12"/>
        <v>SI</v>
      </c>
      <c r="P246" s="66" t="str">
        <f t="shared" si="13"/>
        <v>DIANOSOL</v>
      </c>
      <c r="Q246" s="66" t="s">
        <v>905</v>
      </c>
      <c r="R246" s="6" t="str">
        <f>VLOOKUP($Q246,Resultados!$A$1:$B$49,2,FALSE)</f>
        <v>Juicio Abreviado</v>
      </c>
      <c r="S246" s="73" t="s">
        <v>1296</v>
      </c>
      <c r="T246" s="75" t="str">
        <f t="shared" si="17"/>
        <v>NO</v>
      </c>
      <c r="U246" s="75"/>
      <c r="V246" s="66"/>
      <c r="W246" s="66" t="s">
        <v>1297</v>
      </c>
      <c r="X246" s="66"/>
      <c r="Y246" s="66"/>
      <c r="Z246" s="121" t="s">
        <v>743</v>
      </c>
      <c r="AA246" s="71"/>
      <c r="AB246" s="279" t="s">
        <v>1176</v>
      </c>
      <c r="AC246" s="361"/>
    </row>
    <row r="247" spans="1:29" ht="25.5" outlineLevel="1" x14ac:dyDescent="0.2">
      <c r="A247" s="6">
        <v>245</v>
      </c>
      <c r="B247" s="68">
        <v>45090</v>
      </c>
      <c r="C247" s="66" t="s">
        <v>73</v>
      </c>
      <c r="D247" s="66" t="s">
        <v>1119</v>
      </c>
      <c r="E247" s="67" t="s">
        <v>1116</v>
      </c>
      <c r="F247" s="66">
        <v>2</v>
      </c>
      <c r="G247" s="66" t="s">
        <v>283</v>
      </c>
      <c r="H247" s="68">
        <v>45100</v>
      </c>
      <c r="I247" s="66" t="s">
        <v>73</v>
      </c>
      <c r="J247" s="68" t="s">
        <v>78</v>
      </c>
      <c r="K247" s="6">
        <f>IFERROR(VLOOKUP(J247,Jueces!$A$1:$B$11,2,FALSE),"")</f>
        <v>8</v>
      </c>
      <c r="L247" s="66" t="s">
        <v>812</v>
      </c>
      <c r="M247" s="66" t="s">
        <v>712</v>
      </c>
      <c r="N247" s="66" t="s">
        <v>1291</v>
      </c>
      <c r="O247" s="66" t="str">
        <f t="shared" ca="1" si="12"/>
        <v>SI</v>
      </c>
      <c r="P247" s="66" t="str">
        <f t="shared" si="13"/>
        <v>DIANOSOL</v>
      </c>
      <c r="Q247" s="66" t="s">
        <v>904</v>
      </c>
      <c r="R247" s="6" t="str">
        <f>VLOOKUP($Q247,Resultados!$A$1:$B$49,2,FALSE)</f>
        <v>Juicio Abreviado</v>
      </c>
      <c r="S247" s="66" t="s">
        <v>1292</v>
      </c>
      <c r="T247" s="75" t="str">
        <f t="shared" si="17"/>
        <v>NO</v>
      </c>
      <c r="U247" s="75"/>
      <c r="V247" s="66"/>
      <c r="W247" s="66" t="s">
        <v>1008</v>
      </c>
      <c r="X247" s="66" t="s">
        <v>1293</v>
      </c>
      <c r="Y247" s="66"/>
      <c r="Z247" s="279" t="s">
        <v>1041</v>
      </c>
      <c r="AA247" s="279" t="s">
        <v>1171</v>
      </c>
      <c r="AB247" s="279" t="s">
        <v>1174</v>
      </c>
      <c r="AC247" s="361"/>
    </row>
    <row r="248" spans="1:29" ht="63.75" outlineLevel="1" x14ac:dyDescent="0.2">
      <c r="A248" s="6">
        <v>246</v>
      </c>
      <c r="B248" s="68">
        <v>45090</v>
      </c>
      <c r="C248" s="66" t="s">
        <v>73</v>
      </c>
      <c r="D248" s="66" t="s">
        <v>1147</v>
      </c>
      <c r="E248" s="67" t="s">
        <v>1216</v>
      </c>
      <c r="F248" s="66">
        <v>8</v>
      </c>
      <c r="G248" s="66" t="s">
        <v>283</v>
      </c>
      <c r="H248" s="68">
        <v>45098</v>
      </c>
      <c r="I248" s="66" t="s">
        <v>73</v>
      </c>
      <c r="J248" s="68" t="s">
        <v>31</v>
      </c>
      <c r="K248" s="6">
        <f>IFERROR(VLOOKUP(J248,Jueces!$A$1:$B$11,2,FALSE),"")</f>
        <v>2</v>
      </c>
      <c r="L248" s="66" t="s">
        <v>1306</v>
      </c>
      <c r="M248" s="66" t="s">
        <v>767</v>
      </c>
      <c r="N248" s="66" t="s">
        <v>1232</v>
      </c>
      <c r="O248" s="81" t="str">
        <f t="shared" ca="1" si="12"/>
        <v>SI</v>
      </c>
      <c r="P248" s="81" t="str">
        <f t="shared" si="13"/>
        <v>DIANOSOL</v>
      </c>
      <c r="Q248" s="66" t="s">
        <v>905</v>
      </c>
      <c r="R248" s="6" t="str">
        <f>VLOOKUP($Q248,Resultados!$A$1:$B$49,2,FALSE)</f>
        <v>Juicio Abreviado</v>
      </c>
      <c r="S248" s="66" t="s">
        <v>1086</v>
      </c>
      <c r="T248" s="84" t="str">
        <f t="shared" si="17"/>
        <v>NO</v>
      </c>
      <c r="U248" s="84"/>
      <c r="V248" s="81"/>
      <c r="W248" s="66" t="s">
        <v>1018</v>
      </c>
      <c r="X248" s="66"/>
      <c r="Y248" s="66"/>
      <c r="Z248" s="279" t="s">
        <v>1041</v>
      </c>
      <c r="AA248" s="279"/>
      <c r="AB248" s="330"/>
      <c r="AC248" s="361"/>
    </row>
    <row r="249" spans="1:29" ht="51" outlineLevel="1" x14ac:dyDescent="0.2">
      <c r="A249" s="66">
        <v>247</v>
      </c>
      <c r="B249" s="68">
        <v>45090</v>
      </c>
      <c r="C249" s="66" t="s">
        <v>73</v>
      </c>
      <c r="D249" s="66" t="s">
        <v>1201</v>
      </c>
      <c r="E249" s="67" t="s">
        <v>1219</v>
      </c>
      <c r="F249" s="66">
        <v>2</v>
      </c>
      <c r="G249" s="66" t="s">
        <v>1441</v>
      </c>
      <c r="H249" s="68">
        <v>45098</v>
      </c>
      <c r="I249" s="73" t="s">
        <v>1210</v>
      </c>
      <c r="J249" s="68" t="s">
        <v>31</v>
      </c>
      <c r="K249" s="6">
        <f>IFERROR(VLOOKUP(J249,Jueces!$A$1:$B$11,2,FALSE),"")</f>
        <v>2</v>
      </c>
      <c r="L249" s="66" t="s">
        <v>811</v>
      </c>
      <c r="M249" s="66" t="s">
        <v>712</v>
      </c>
      <c r="N249" s="66" t="s">
        <v>1160</v>
      </c>
      <c r="O249" s="81" t="str">
        <f t="shared" ca="1" si="12"/>
        <v>SI</v>
      </c>
      <c r="P249" s="81" t="str">
        <f t="shared" si="13"/>
        <v>DIANOSOL</v>
      </c>
      <c r="Q249" s="66" t="s">
        <v>904</v>
      </c>
      <c r="R249" s="6" t="str">
        <f>VLOOKUP($Q249,Resultados!$A$1:$B$49,2,FALSE)</f>
        <v>Juicio Abreviado</v>
      </c>
      <c r="S249" s="66" t="s">
        <v>1229</v>
      </c>
      <c r="T249" s="84" t="str">
        <f t="shared" si="17"/>
        <v>NO</v>
      </c>
      <c r="U249" s="84"/>
      <c r="V249" s="81"/>
      <c r="W249" s="66" t="s">
        <v>1230</v>
      </c>
      <c r="X249" s="66" t="s">
        <v>1233</v>
      </c>
      <c r="Y249" s="66"/>
      <c r="Z249" s="279" t="s">
        <v>743</v>
      </c>
      <c r="AA249" s="279"/>
      <c r="AB249" s="330"/>
      <c r="AC249" s="361"/>
    </row>
    <row r="250" spans="1:29" ht="38.25" outlineLevel="1" x14ac:dyDescent="0.2">
      <c r="A250" s="66">
        <v>248</v>
      </c>
      <c r="B250" s="68">
        <v>45090</v>
      </c>
      <c r="C250" s="66" t="s">
        <v>73</v>
      </c>
      <c r="D250" s="66" t="s">
        <v>1122</v>
      </c>
      <c r="E250" s="67" t="s">
        <v>1117</v>
      </c>
      <c r="F250" s="66">
        <v>2</v>
      </c>
      <c r="G250" s="66" t="s">
        <v>43</v>
      </c>
      <c r="H250" s="68">
        <v>45099</v>
      </c>
      <c r="I250" s="66" t="s">
        <v>73</v>
      </c>
      <c r="J250" s="68" t="s">
        <v>78</v>
      </c>
      <c r="K250" s="6">
        <f>IFERROR(VLOOKUP(J250,Jueces!$A$1:$B$11,2,FALSE),"")</f>
        <v>8</v>
      </c>
      <c r="L250" s="66" t="s">
        <v>789</v>
      </c>
      <c r="M250" s="66" t="s">
        <v>1290</v>
      </c>
      <c r="N250" s="66" t="s">
        <v>1278</v>
      </c>
      <c r="O250" s="66" t="str">
        <f t="shared" ca="1" si="12"/>
        <v>SI</v>
      </c>
      <c r="P250" s="66" t="str">
        <f t="shared" si="13"/>
        <v>DIANOSOL</v>
      </c>
      <c r="Q250" s="66" t="s">
        <v>904</v>
      </c>
      <c r="R250" s="6" t="str">
        <f>VLOOKUP($Q250,Resultados!$A$1:$B$49,2,FALSE)</f>
        <v>Juicio Abreviado</v>
      </c>
      <c r="S250" s="66" t="s">
        <v>1238</v>
      </c>
      <c r="T250" s="75" t="str">
        <f t="shared" si="17"/>
        <v>NO</v>
      </c>
      <c r="U250" s="75"/>
      <c r="V250" s="66"/>
      <c r="W250" s="66" t="s">
        <v>1279</v>
      </c>
      <c r="X250" s="66" t="s">
        <v>1280</v>
      </c>
      <c r="Y250" s="66"/>
      <c r="Z250" s="279" t="s">
        <v>1042</v>
      </c>
      <c r="AA250" s="279" t="s">
        <v>1172</v>
      </c>
      <c r="AB250" s="330" t="s">
        <v>1175</v>
      </c>
      <c r="AC250" s="361"/>
    </row>
    <row r="251" spans="1:29" ht="38.25" outlineLevel="1" x14ac:dyDescent="0.2">
      <c r="A251" s="66">
        <v>249</v>
      </c>
      <c r="B251" s="68">
        <v>45090</v>
      </c>
      <c r="C251" s="73">
        <v>0.42708333333333331</v>
      </c>
      <c r="D251" s="66" t="s">
        <v>1146</v>
      </c>
      <c r="E251" s="67" t="s">
        <v>1352</v>
      </c>
      <c r="F251" s="66">
        <v>2</v>
      </c>
      <c r="G251" s="66" t="s">
        <v>1442</v>
      </c>
      <c r="H251" s="68">
        <v>45103</v>
      </c>
      <c r="I251" s="66" t="s">
        <v>1086</v>
      </c>
      <c r="J251" s="68" t="s">
        <v>31</v>
      </c>
      <c r="K251" s="6">
        <f>IFERROR(VLOOKUP(J251,Jueces!$A$1:$B$11,2,FALSE),"")</f>
        <v>2</v>
      </c>
      <c r="L251" s="66" t="s">
        <v>811</v>
      </c>
      <c r="M251" s="66" t="s">
        <v>713</v>
      </c>
      <c r="N251" s="66" t="s">
        <v>1335</v>
      </c>
      <c r="O251" s="66" t="str">
        <f t="shared" ca="1" si="12"/>
        <v>SI</v>
      </c>
      <c r="P251" s="66" t="str">
        <f t="shared" si="13"/>
        <v>DIANOSOL</v>
      </c>
      <c r="Q251" s="66" t="s">
        <v>904</v>
      </c>
      <c r="R251" s="6" t="str">
        <f>VLOOKUP($Q251,Resultados!$A$1:$B$49,2,FALSE)</f>
        <v>Juicio Abreviado</v>
      </c>
      <c r="S251" s="73" t="s">
        <v>1006</v>
      </c>
      <c r="T251" s="75" t="str">
        <f t="shared" si="17"/>
        <v>SI</v>
      </c>
      <c r="U251" s="75"/>
      <c r="V251" s="66"/>
      <c r="W251" s="66" t="s">
        <v>1050</v>
      </c>
      <c r="X251" s="66" t="s">
        <v>1311</v>
      </c>
      <c r="Y251" s="66"/>
      <c r="Z251" s="279" t="s">
        <v>743</v>
      </c>
      <c r="AA251" s="279" t="s">
        <v>1169</v>
      </c>
      <c r="AB251" s="279" t="s">
        <v>1177</v>
      </c>
      <c r="AC251" s="361"/>
    </row>
    <row r="252" spans="1:29" ht="38.25" outlineLevel="1" x14ac:dyDescent="0.2">
      <c r="A252" s="66">
        <v>250</v>
      </c>
      <c r="B252" s="68">
        <v>45089</v>
      </c>
      <c r="C252" s="73">
        <v>0.4777777777777778</v>
      </c>
      <c r="D252" s="66" t="s">
        <v>1110</v>
      </c>
      <c r="E252" s="67" t="s">
        <v>1218</v>
      </c>
      <c r="F252" s="66">
        <v>2</v>
      </c>
      <c r="G252" s="66" t="s">
        <v>1442</v>
      </c>
      <c r="H252" s="68">
        <v>45098</v>
      </c>
      <c r="I252" s="66" t="s">
        <v>73</v>
      </c>
      <c r="J252" s="68" t="s">
        <v>78</v>
      </c>
      <c r="K252" s="6">
        <f>IFERROR(VLOOKUP(J252,Jueces!$A$1:$B$11,2,FALSE),"")</f>
        <v>8</v>
      </c>
      <c r="L252" s="66" t="s">
        <v>1180</v>
      </c>
      <c r="M252" s="66" t="s">
        <v>1179</v>
      </c>
      <c r="N252" s="66" t="s">
        <v>1214</v>
      </c>
      <c r="O252" s="66" t="str">
        <f t="shared" ca="1" si="12"/>
        <v>SI</v>
      </c>
      <c r="P252" s="66" t="str">
        <f t="shared" si="13"/>
        <v>DIANOSOL</v>
      </c>
      <c r="Q252" s="66" t="s">
        <v>904</v>
      </c>
      <c r="R252" s="6" t="str">
        <f>VLOOKUP($Q252,Resultados!$A$1:$B$49,2,FALSE)</f>
        <v>Juicio Abreviado</v>
      </c>
      <c r="S252" s="73" t="s">
        <v>1231</v>
      </c>
      <c r="T252" s="75" t="str">
        <f t="shared" si="17"/>
        <v>SI</v>
      </c>
      <c r="U252" s="75"/>
      <c r="V252" s="66"/>
      <c r="W252" s="73" t="s">
        <v>1168</v>
      </c>
      <c r="X252" s="66" t="s">
        <v>1215</v>
      </c>
      <c r="Y252" s="66"/>
      <c r="Z252" s="279" t="s">
        <v>1042</v>
      </c>
      <c r="AA252" s="279"/>
      <c r="AB252" s="330"/>
      <c r="AC252" s="361"/>
    </row>
    <row r="253" spans="1:29" ht="51" outlineLevel="1" x14ac:dyDescent="0.2">
      <c r="A253" s="66">
        <v>251</v>
      </c>
      <c r="B253" s="68">
        <v>45090</v>
      </c>
      <c r="C253" s="73">
        <v>0.42708333333333331</v>
      </c>
      <c r="D253" s="66" t="s">
        <v>1144</v>
      </c>
      <c r="E253" s="67" t="s">
        <v>1143</v>
      </c>
      <c r="F253" s="66">
        <v>2</v>
      </c>
      <c r="G253" s="66" t="s">
        <v>32</v>
      </c>
      <c r="H253" s="68">
        <v>45100</v>
      </c>
      <c r="I253" s="66" t="s">
        <v>1086</v>
      </c>
      <c r="J253" s="68" t="s">
        <v>78</v>
      </c>
      <c r="K253" s="6">
        <f>IFERROR(VLOOKUP(J253,Jueces!$A$1:$B$11,2,FALSE),"")</f>
        <v>8</v>
      </c>
      <c r="L253" s="66" t="s">
        <v>807</v>
      </c>
      <c r="M253" s="66" t="s">
        <v>712</v>
      </c>
      <c r="N253" s="66" t="s">
        <v>1300</v>
      </c>
      <c r="O253" s="66" t="str">
        <f t="shared" ca="1" si="12"/>
        <v>SI</v>
      </c>
      <c r="P253" s="66" t="str">
        <f t="shared" si="13"/>
        <v>DIANOSOL</v>
      </c>
      <c r="Q253" s="66" t="s">
        <v>904</v>
      </c>
      <c r="R253" s="6" t="str">
        <f>VLOOKUP($Q253,Resultados!$A$1:$B$49,2,FALSE)</f>
        <v>Juicio Abreviado</v>
      </c>
      <c r="S253" s="66" t="s">
        <v>1299</v>
      </c>
      <c r="T253" s="75" t="str">
        <f t="shared" si="17"/>
        <v>NO</v>
      </c>
      <c r="U253" s="75"/>
      <c r="V253" s="66"/>
      <c r="W253" s="66" t="s">
        <v>1252</v>
      </c>
      <c r="X253" s="66" t="s">
        <v>1301</v>
      </c>
      <c r="Y253" s="66"/>
      <c r="Z253" s="279" t="s">
        <v>1042</v>
      </c>
      <c r="AA253" s="279" t="s">
        <v>1171</v>
      </c>
      <c r="AB253" s="279" t="s">
        <v>1173</v>
      </c>
      <c r="AC253" s="361"/>
    </row>
    <row r="254" spans="1:29" ht="76.5" outlineLevel="1" x14ac:dyDescent="0.2">
      <c r="A254" s="66">
        <v>252</v>
      </c>
      <c r="B254" s="68">
        <v>45090</v>
      </c>
      <c r="C254" s="73">
        <v>0.47916666666666669</v>
      </c>
      <c r="D254" s="66" t="s">
        <v>1151</v>
      </c>
      <c r="E254" s="67" t="s">
        <v>1152</v>
      </c>
      <c r="F254" s="66">
        <v>2</v>
      </c>
      <c r="G254" s="66" t="s">
        <v>29</v>
      </c>
      <c r="H254" s="68">
        <v>45103</v>
      </c>
      <c r="I254" s="66" t="s">
        <v>73</v>
      </c>
      <c r="J254" s="68" t="s">
        <v>31</v>
      </c>
      <c r="K254" s="6">
        <f>IFERROR(VLOOKUP(J254,Jueces!$A$1:$B$11,2,FALSE),"")</f>
        <v>2</v>
      </c>
      <c r="L254" s="66" t="s">
        <v>806</v>
      </c>
      <c r="M254" s="66" t="s">
        <v>1179</v>
      </c>
      <c r="N254" s="66" t="s">
        <v>1363</v>
      </c>
      <c r="O254" s="66" t="str">
        <f t="shared" ca="1" si="12"/>
        <v>SI</v>
      </c>
      <c r="P254" s="66" t="str">
        <f t="shared" si="13"/>
        <v>DIANOSOL</v>
      </c>
      <c r="Q254" s="66" t="s">
        <v>904</v>
      </c>
      <c r="R254" s="6" t="str">
        <f>VLOOKUP($Q254,Resultados!$A$1:$B$49,2,FALSE)</f>
        <v>Juicio Abreviado</v>
      </c>
      <c r="S254" s="73">
        <v>0.36319444444444443</v>
      </c>
      <c r="T254" s="75" t="str">
        <f t="shared" si="17"/>
        <v>NO</v>
      </c>
      <c r="U254" s="75"/>
      <c r="V254" s="66"/>
      <c r="W254" s="73" t="s">
        <v>76</v>
      </c>
      <c r="X254" s="66" t="s">
        <v>1362</v>
      </c>
      <c r="Y254" s="66"/>
      <c r="Z254" s="279" t="s">
        <v>1041</v>
      </c>
      <c r="AA254" s="279" t="s">
        <v>1171</v>
      </c>
      <c r="AB254" s="279" t="s">
        <v>1174</v>
      </c>
      <c r="AC254" s="361"/>
    </row>
    <row r="255" spans="1:29" ht="25.5" outlineLevel="1" x14ac:dyDescent="0.2">
      <c r="A255" s="66">
        <v>253</v>
      </c>
      <c r="B255" s="68">
        <v>45091</v>
      </c>
      <c r="C255" s="73">
        <v>0.35972222222222222</v>
      </c>
      <c r="D255" s="66" t="s">
        <v>1154</v>
      </c>
      <c r="E255" s="67" t="s">
        <v>1153</v>
      </c>
      <c r="F255" s="66">
        <v>2</v>
      </c>
      <c r="G255" s="66" t="s">
        <v>1442</v>
      </c>
      <c r="H255" s="68">
        <v>45100</v>
      </c>
      <c r="I255" s="66" t="s">
        <v>1086</v>
      </c>
      <c r="J255" s="68" t="s">
        <v>31</v>
      </c>
      <c r="K255" s="6">
        <f>IFERROR(VLOOKUP(J255,Jueces!$A$1:$B$11,2,FALSE),"")</f>
        <v>2</v>
      </c>
      <c r="L255" s="66" t="s">
        <v>809</v>
      </c>
      <c r="M255" s="66" t="s">
        <v>692</v>
      </c>
      <c r="N255" s="66" t="s">
        <v>1302</v>
      </c>
      <c r="O255" s="66" t="str">
        <f t="shared" ca="1" si="12"/>
        <v>SI</v>
      </c>
      <c r="P255" s="66" t="str">
        <f t="shared" si="13"/>
        <v>DIANOSOL</v>
      </c>
      <c r="Q255" s="66" t="s">
        <v>904</v>
      </c>
      <c r="R255" s="6" t="str">
        <f>VLOOKUP($Q255,Resultados!$A$1:$B$49,2,FALSE)</f>
        <v>Juicio Abreviado</v>
      </c>
      <c r="S255" s="66" t="s">
        <v>1303</v>
      </c>
      <c r="T255" s="75" t="str">
        <f t="shared" si="17"/>
        <v>SI</v>
      </c>
      <c r="U255" s="75"/>
      <c r="V255" s="66"/>
      <c r="W255" s="73">
        <v>0.40902777777777777</v>
      </c>
      <c r="X255" s="66"/>
      <c r="Y255" s="66"/>
      <c r="Z255" s="279" t="s">
        <v>748</v>
      </c>
      <c r="AA255" s="279" t="s">
        <v>1169</v>
      </c>
      <c r="AB255" s="279" t="s">
        <v>1175</v>
      </c>
      <c r="AC255" s="361"/>
    </row>
    <row r="256" spans="1:29" ht="51" outlineLevel="1" x14ac:dyDescent="0.2">
      <c r="A256" s="66">
        <v>254</v>
      </c>
      <c r="B256" s="68">
        <v>45091</v>
      </c>
      <c r="C256" s="73">
        <v>0.45</v>
      </c>
      <c r="D256" s="66" t="s">
        <v>1162</v>
      </c>
      <c r="E256" s="67" t="s">
        <v>1355</v>
      </c>
      <c r="F256" s="66">
        <v>2</v>
      </c>
      <c r="G256" s="66" t="s">
        <v>32</v>
      </c>
      <c r="H256" s="68">
        <v>45104</v>
      </c>
      <c r="I256" s="66" t="s">
        <v>73</v>
      </c>
      <c r="J256" s="68" t="s">
        <v>31</v>
      </c>
      <c r="K256" s="6">
        <f>IFERROR(VLOOKUP(J256,Jueces!$A$1:$B$11,2,FALSE),"")</f>
        <v>2</v>
      </c>
      <c r="L256" s="66" t="s">
        <v>569</v>
      </c>
      <c r="M256" s="66" t="s">
        <v>712</v>
      </c>
      <c r="N256" s="66" t="s">
        <v>151</v>
      </c>
      <c r="O256" s="66" t="str">
        <f t="shared" ca="1" si="12"/>
        <v>SI</v>
      </c>
      <c r="P256" s="66" t="str">
        <f t="shared" si="13"/>
        <v>DIANOSOL</v>
      </c>
      <c r="Q256" s="66" t="s">
        <v>151</v>
      </c>
      <c r="R256" s="6" t="str">
        <f>VLOOKUP($Q256,Resultados!$A$1:$B$49,2,FALSE)</f>
        <v>Prisión Preventiva</v>
      </c>
      <c r="S256" s="66" t="s">
        <v>1004</v>
      </c>
      <c r="T256" s="75" t="str">
        <f t="shared" si="17"/>
        <v>NO</v>
      </c>
      <c r="U256" s="75"/>
      <c r="V256" s="66"/>
      <c r="W256" s="66" t="s">
        <v>1193</v>
      </c>
      <c r="X256" s="66" t="s">
        <v>1397</v>
      </c>
      <c r="Y256" s="66"/>
      <c r="Z256" s="279" t="s">
        <v>1041</v>
      </c>
      <c r="AA256" s="383"/>
      <c r="AB256" s="279" t="s">
        <v>1174</v>
      </c>
      <c r="AC256" s="361"/>
    </row>
    <row r="257" spans="1:29" ht="89.25" outlineLevel="1" x14ac:dyDescent="0.2">
      <c r="A257" s="66">
        <v>255</v>
      </c>
      <c r="B257" s="68">
        <v>45091</v>
      </c>
      <c r="C257" s="73">
        <v>0.51874999999999993</v>
      </c>
      <c r="D257" s="66" t="s">
        <v>1163</v>
      </c>
      <c r="E257" s="67" t="s">
        <v>1161</v>
      </c>
      <c r="F257" s="66">
        <v>2</v>
      </c>
      <c r="G257" s="66" t="s">
        <v>29</v>
      </c>
      <c r="H257" s="68">
        <v>45105</v>
      </c>
      <c r="I257" s="66" t="s">
        <v>73</v>
      </c>
      <c r="J257" s="68" t="s">
        <v>33</v>
      </c>
      <c r="K257" s="6">
        <f>IFERROR(VLOOKUP(J257,Jueces!$A$1:$B$11,2,FALSE),"")</f>
        <v>4</v>
      </c>
      <c r="L257" s="66" t="s">
        <v>414</v>
      </c>
      <c r="M257" s="66" t="s">
        <v>1179</v>
      </c>
      <c r="N257" s="66" t="s">
        <v>577</v>
      </c>
      <c r="O257" s="66" t="str">
        <f t="shared" ca="1" si="12"/>
        <v>SI</v>
      </c>
      <c r="P257" s="66" t="str">
        <f t="shared" si="13"/>
        <v>DIANOSOL</v>
      </c>
      <c r="Q257" s="66" t="s">
        <v>151</v>
      </c>
      <c r="R257" s="6" t="str">
        <f>VLOOKUP($Q257,Resultados!$A$1:$B$49,2,FALSE)</f>
        <v>Prisión Preventiva</v>
      </c>
      <c r="S257" s="73">
        <v>0.35486111111111113</v>
      </c>
      <c r="T257" s="75" t="str">
        <f t="shared" si="17"/>
        <v>NO</v>
      </c>
      <c r="U257" s="75"/>
      <c r="V257" s="66"/>
      <c r="W257" s="66" t="s">
        <v>1231</v>
      </c>
      <c r="X257" s="66"/>
      <c r="Y257" s="66"/>
      <c r="Z257" s="279" t="s">
        <v>1042</v>
      </c>
      <c r="AA257" s="279" t="s">
        <v>1169</v>
      </c>
      <c r="AB257" s="279" t="s">
        <v>1173</v>
      </c>
      <c r="AC257" s="361"/>
    </row>
    <row r="258" spans="1:29" ht="38.25" outlineLevel="1" x14ac:dyDescent="0.2">
      <c r="A258" s="66">
        <v>256</v>
      </c>
      <c r="B258" s="68">
        <v>45091</v>
      </c>
      <c r="C258" s="73">
        <v>0.53888888888888886</v>
      </c>
      <c r="D258" s="66" t="s">
        <v>1165</v>
      </c>
      <c r="E258" s="67" t="s">
        <v>1164</v>
      </c>
      <c r="F258" s="66">
        <v>2</v>
      </c>
      <c r="G258" s="66" t="s">
        <v>43</v>
      </c>
      <c r="H258" s="68">
        <v>45105</v>
      </c>
      <c r="I258" s="66" t="s">
        <v>1086</v>
      </c>
      <c r="J258" s="68" t="s">
        <v>33</v>
      </c>
      <c r="K258" s="6">
        <f>IFERROR(VLOOKUP(J258,Jueces!$A$1:$B$11,2,FALSE),"")</f>
        <v>4</v>
      </c>
      <c r="L258" s="66" t="s">
        <v>277</v>
      </c>
      <c r="M258" s="66" t="s">
        <v>1179</v>
      </c>
      <c r="N258" s="66" t="s">
        <v>1400</v>
      </c>
      <c r="O258" s="66" t="str">
        <f t="shared" ca="1" si="12"/>
        <v>SI</v>
      </c>
      <c r="P258" s="66" t="str">
        <f t="shared" si="13"/>
        <v>DIANOSOL</v>
      </c>
      <c r="Q258" s="66" t="s">
        <v>905</v>
      </c>
      <c r="R258" s="6" t="str">
        <f>VLOOKUP($Q258,Resultados!$A$1:$B$49,2,FALSE)</f>
        <v>Juicio Abreviado</v>
      </c>
      <c r="S258" s="66" t="s">
        <v>1396</v>
      </c>
      <c r="T258" s="75" t="str">
        <f t="shared" si="17"/>
        <v>NO</v>
      </c>
      <c r="U258" s="75"/>
      <c r="V258" s="66"/>
      <c r="W258" s="66" t="s">
        <v>1229</v>
      </c>
      <c r="X258" s="66"/>
      <c r="Y258" s="66"/>
      <c r="Z258" s="279" t="s">
        <v>1041</v>
      </c>
      <c r="AA258" s="279" t="s">
        <v>743</v>
      </c>
      <c r="AB258" s="279" t="s">
        <v>1174</v>
      </c>
      <c r="AC258" s="361"/>
    </row>
    <row r="259" spans="1:29" ht="51" outlineLevel="1" x14ac:dyDescent="0.2">
      <c r="A259" s="6">
        <v>257</v>
      </c>
      <c r="B259" s="18">
        <v>45092</v>
      </c>
      <c r="C259" s="14">
        <v>0.32430555555555557</v>
      </c>
      <c r="D259" s="6" t="s">
        <v>1183</v>
      </c>
      <c r="E259" s="40" t="s">
        <v>1356</v>
      </c>
      <c r="F259" s="6">
        <v>2</v>
      </c>
      <c r="G259" s="6" t="s">
        <v>1442</v>
      </c>
      <c r="H259" s="18">
        <v>45104</v>
      </c>
      <c r="I259" s="6" t="s">
        <v>73</v>
      </c>
      <c r="J259" s="18" t="s">
        <v>33</v>
      </c>
      <c r="K259" s="6">
        <f>IFERROR(VLOOKUP(J259,Jueces!$A$1:$B$11,2,FALSE),"")</f>
        <v>4</v>
      </c>
      <c r="L259" s="6" t="s">
        <v>802</v>
      </c>
      <c r="M259" s="6" t="s">
        <v>711</v>
      </c>
      <c r="N259" s="6" t="s">
        <v>1387</v>
      </c>
      <c r="O259" s="6" t="str">
        <f t="shared" ref="O259:O322" ca="1" si="18">IF(H259&lt;&gt;"",IF(H259&lt;=TODAY(),"SI","NO"),"LIMBO")</f>
        <v>SI</v>
      </c>
      <c r="P259" s="6" t="str">
        <f t="shared" ref="P259:P322" si="19">IF($P$1=H259,"DIASOL", "DIANOSOL")</f>
        <v>DIANOSOL</v>
      </c>
      <c r="Q259" s="6" t="s">
        <v>905</v>
      </c>
      <c r="R259" s="6" t="s">
        <v>100</v>
      </c>
      <c r="S259" s="14">
        <v>0.3520833333333333</v>
      </c>
      <c r="T259" s="71" t="str">
        <f t="shared" si="17"/>
        <v>SI</v>
      </c>
      <c r="U259" s="71"/>
      <c r="V259" s="6"/>
      <c r="W259" s="14">
        <v>0.36805555555555558</v>
      </c>
      <c r="X259" s="6"/>
      <c r="Y259" s="6"/>
      <c r="Z259" s="279" t="s">
        <v>1042</v>
      </c>
      <c r="AA259" s="279" t="s">
        <v>1169</v>
      </c>
      <c r="AB259" s="279" t="s">
        <v>1173</v>
      </c>
      <c r="AC259" s="361"/>
    </row>
    <row r="260" spans="1:29" ht="38.25" outlineLevel="1" x14ac:dyDescent="0.2">
      <c r="A260" s="66">
        <v>258</v>
      </c>
      <c r="B260" s="68">
        <v>45092</v>
      </c>
      <c r="C260" s="66" t="s">
        <v>1193</v>
      </c>
      <c r="D260" s="66" t="s">
        <v>1194</v>
      </c>
      <c r="E260" s="67" t="s">
        <v>1351</v>
      </c>
      <c r="F260" s="66">
        <v>2</v>
      </c>
      <c r="G260" s="66" t="s">
        <v>1443</v>
      </c>
      <c r="H260" s="68">
        <v>45103</v>
      </c>
      <c r="I260" s="66" t="s">
        <v>77</v>
      </c>
      <c r="J260" s="68" t="s">
        <v>33</v>
      </c>
      <c r="K260" s="6">
        <f>IFERROR(VLOOKUP(J260,Jueces!$A$1:$B$11,2,FALSE),"")</f>
        <v>4</v>
      </c>
      <c r="L260" s="66" t="s">
        <v>813</v>
      </c>
      <c r="M260" s="66" t="s">
        <v>1334</v>
      </c>
      <c r="N260" s="66" t="s">
        <v>1336</v>
      </c>
      <c r="O260" s="66" t="str">
        <f t="shared" ca="1" si="18"/>
        <v>SI</v>
      </c>
      <c r="P260" s="66" t="str">
        <f t="shared" si="19"/>
        <v>DIANOSOL</v>
      </c>
      <c r="Q260" s="66" t="s">
        <v>904</v>
      </c>
      <c r="R260" s="6" t="str">
        <f>VLOOKUP($Q260,Resultados!$A$1:$B$49,2,FALSE)</f>
        <v>Juicio Abreviado</v>
      </c>
      <c r="S260" s="73">
        <v>0.3923611111111111</v>
      </c>
      <c r="T260" s="75" t="str">
        <f t="shared" si="17"/>
        <v>NO</v>
      </c>
      <c r="U260" s="75"/>
      <c r="V260" s="66"/>
      <c r="W260" s="66" t="s">
        <v>1337</v>
      </c>
      <c r="X260" s="66"/>
      <c r="Y260" s="66"/>
      <c r="Z260" s="279" t="s">
        <v>770</v>
      </c>
      <c r="AA260" s="279" t="s">
        <v>743</v>
      </c>
      <c r="AB260" s="279" t="s">
        <v>1176</v>
      </c>
      <c r="AC260" s="361"/>
    </row>
    <row r="261" spans="1:29" ht="51" outlineLevel="1" x14ac:dyDescent="0.2">
      <c r="A261" s="66">
        <v>259</v>
      </c>
      <c r="B261" s="68">
        <v>45092</v>
      </c>
      <c r="C261" s="73">
        <v>0.52777777777777779</v>
      </c>
      <c r="D261" s="66" t="s">
        <v>1195</v>
      </c>
      <c r="E261" s="67" t="s">
        <v>1196</v>
      </c>
      <c r="F261" s="66">
        <v>8</v>
      </c>
      <c r="G261" s="66" t="s">
        <v>1443</v>
      </c>
      <c r="H261" s="68">
        <v>45105</v>
      </c>
      <c r="I261" s="66" t="s">
        <v>73</v>
      </c>
      <c r="J261" s="68" t="s">
        <v>78</v>
      </c>
      <c r="K261" s="6">
        <f>IFERROR(VLOOKUP(J261,Jueces!$A$1:$B$11,2,FALSE),"")</f>
        <v>8</v>
      </c>
      <c r="L261" s="66" t="s">
        <v>799</v>
      </c>
      <c r="M261" s="66" t="s">
        <v>711</v>
      </c>
      <c r="N261" s="66" t="s">
        <v>1393</v>
      </c>
      <c r="O261" s="66" t="str">
        <f t="shared" ca="1" si="18"/>
        <v>SI</v>
      </c>
      <c r="P261" s="66" t="str">
        <f t="shared" si="19"/>
        <v>DIANOSOL</v>
      </c>
      <c r="Q261" s="66" t="s">
        <v>905</v>
      </c>
      <c r="R261" s="6" t="str">
        <f>VLOOKUP($Q261,Resultados!$A$1:$B$49,2,FALSE)</f>
        <v>Juicio Abreviado</v>
      </c>
      <c r="S261" s="66" t="s">
        <v>1391</v>
      </c>
      <c r="T261" s="75" t="str">
        <f t="shared" si="17"/>
        <v>NO</v>
      </c>
      <c r="U261" s="75"/>
      <c r="V261" s="66"/>
      <c r="W261" s="66" t="s">
        <v>1392</v>
      </c>
      <c r="X261" s="66" t="s">
        <v>1390</v>
      </c>
      <c r="Y261" s="66"/>
      <c r="Z261" s="279" t="s">
        <v>748</v>
      </c>
      <c r="AA261" s="279" t="s">
        <v>1171</v>
      </c>
      <c r="AB261" s="279" t="s">
        <v>1175</v>
      </c>
      <c r="AC261" s="361"/>
    </row>
    <row r="262" spans="1:29" ht="38.25" outlineLevel="1" x14ac:dyDescent="0.2">
      <c r="A262" s="66">
        <v>260</v>
      </c>
      <c r="B262" s="68">
        <v>45093</v>
      </c>
      <c r="C262" s="73">
        <v>0.33333333333333331</v>
      </c>
      <c r="D262" s="66" t="s">
        <v>1197</v>
      </c>
      <c r="E262" s="67" t="s">
        <v>1358</v>
      </c>
      <c r="F262" s="66">
        <v>2</v>
      </c>
      <c r="G262" s="66" t="s">
        <v>1443</v>
      </c>
      <c r="H262" s="68">
        <v>45104</v>
      </c>
      <c r="I262" s="73" t="s">
        <v>1086</v>
      </c>
      <c r="J262" s="68" t="s">
        <v>78</v>
      </c>
      <c r="K262" s="6">
        <f>IFERROR(VLOOKUP(J262,Jueces!$A$1:$B$11,2,FALSE),"")</f>
        <v>8</v>
      </c>
      <c r="L262" s="66" t="s">
        <v>812</v>
      </c>
      <c r="M262" s="66" t="s">
        <v>1179</v>
      </c>
      <c r="N262" s="66" t="s">
        <v>235</v>
      </c>
      <c r="O262" s="66" t="str">
        <f t="shared" ca="1" si="18"/>
        <v>SI</v>
      </c>
      <c r="P262" s="66" t="str">
        <f t="shared" si="19"/>
        <v>DIANOSOL</v>
      </c>
      <c r="Q262" s="66" t="s">
        <v>151</v>
      </c>
      <c r="R262" s="6" t="str">
        <f>VLOOKUP($Q262,Resultados!$A$1:$B$49,2,FALSE)</f>
        <v>Prisión Preventiva</v>
      </c>
      <c r="S262" s="66" t="s">
        <v>1017</v>
      </c>
      <c r="T262" s="75" t="str">
        <f t="shared" si="17"/>
        <v>NO</v>
      </c>
      <c r="U262" s="75"/>
      <c r="V262" s="66"/>
      <c r="W262" s="66" t="s">
        <v>76</v>
      </c>
      <c r="X262" s="66"/>
      <c r="Y262" s="66"/>
      <c r="Z262" s="279" t="s">
        <v>770</v>
      </c>
      <c r="AA262" s="121" t="s">
        <v>1169</v>
      </c>
      <c r="AB262" s="279" t="s">
        <v>1176</v>
      </c>
      <c r="AC262" s="361"/>
    </row>
    <row r="263" spans="1:29" ht="89.25" outlineLevel="1" x14ac:dyDescent="0.2">
      <c r="A263" s="66">
        <v>261</v>
      </c>
      <c r="B263" s="68">
        <v>45098</v>
      </c>
      <c r="C263" s="73">
        <v>0.5</v>
      </c>
      <c r="D263" s="66" t="s">
        <v>1209</v>
      </c>
      <c r="E263" s="67" t="s">
        <v>1473</v>
      </c>
      <c r="F263" s="66">
        <v>4</v>
      </c>
      <c r="G263" s="66" t="s">
        <v>43</v>
      </c>
      <c r="H263" s="68">
        <v>45107</v>
      </c>
      <c r="I263" s="66" t="s">
        <v>73</v>
      </c>
      <c r="J263" s="68" t="s">
        <v>33</v>
      </c>
      <c r="K263" s="6">
        <f>IFERROR(VLOOKUP(J263,Jueces!$A$1:$B$11,2,FALSE),"")</f>
        <v>4</v>
      </c>
      <c r="L263" s="66" t="s">
        <v>1070</v>
      </c>
      <c r="M263" s="66" t="s">
        <v>783</v>
      </c>
      <c r="N263" s="66" t="s">
        <v>1464</v>
      </c>
      <c r="O263" s="66" t="str">
        <f t="shared" ca="1" si="18"/>
        <v>SI</v>
      </c>
      <c r="P263" s="66" t="str">
        <f t="shared" si="19"/>
        <v>DIANOSOL</v>
      </c>
      <c r="Q263" s="66" t="s">
        <v>151</v>
      </c>
      <c r="R263" s="6" t="str">
        <f>VLOOKUP($Q263,Resultados!$A$1:$B$49,2,FALSE)</f>
        <v>Prisión Preventiva</v>
      </c>
      <c r="S263" s="66" t="s">
        <v>1014</v>
      </c>
      <c r="T263" s="75" t="str">
        <f t="shared" si="17"/>
        <v>NO</v>
      </c>
      <c r="U263" s="75"/>
      <c r="V263" s="66"/>
      <c r="W263" s="66" t="s">
        <v>1231</v>
      </c>
      <c r="X263" s="66"/>
      <c r="Y263" s="66"/>
      <c r="Z263" s="279" t="s">
        <v>743</v>
      </c>
      <c r="AA263" s="279" t="s">
        <v>1169</v>
      </c>
      <c r="AB263" s="279" t="s">
        <v>1176</v>
      </c>
      <c r="AC263" s="361"/>
    </row>
    <row r="264" spans="1:29" ht="25.5" outlineLevel="1" x14ac:dyDescent="0.2">
      <c r="A264" s="66">
        <v>262</v>
      </c>
      <c r="B264" s="68">
        <v>45098</v>
      </c>
      <c r="C264" s="73">
        <v>0.33333333333333331</v>
      </c>
      <c r="D264" s="66" t="s">
        <v>1211</v>
      </c>
      <c r="E264" s="67" t="s">
        <v>1422</v>
      </c>
      <c r="F264" s="66">
        <v>2</v>
      </c>
      <c r="G264" s="66" t="s">
        <v>1441</v>
      </c>
      <c r="H264" s="68">
        <v>45106</v>
      </c>
      <c r="I264" s="66" t="s">
        <v>73</v>
      </c>
      <c r="J264" s="68" t="s">
        <v>1220</v>
      </c>
      <c r="K264" s="6">
        <f>IFERROR(VLOOKUP(J264,Jueces!$A$1:$B$11,2,FALSE),"")</f>
        <v>1</v>
      </c>
      <c r="L264" s="66" t="s">
        <v>797</v>
      </c>
      <c r="M264" s="66" t="s">
        <v>782</v>
      </c>
      <c r="N264" s="66" t="s">
        <v>1444</v>
      </c>
      <c r="O264" s="66" t="str">
        <f t="shared" ca="1" si="18"/>
        <v>SI</v>
      </c>
      <c r="P264" s="66" t="str">
        <f t="shared" si="19"/>
        <v>DIANOSOL</v>
      </c>
      <c r="Q264" s="66" t="s">
        <v>905</v>
      </c>
      <c r="R264" s="6" t="str">
        <f>VLOOKUP($Q264,Resultados!$A$1:$B$49,2,FALSE)</f>
        <v>Juicio Abreviado</v>
      </c>
      <c r="S264" s="66" t="s">
        <v>1064</v>
      </c>
      <c r="T264" s="75" t="str">
        <f t="shared" si="17"/>
        <v>NO</v>
      </c>
      <c r="U264" s="75"/>
      <c r="V264" s="66"/>
      <c r="W264" s="66" t="s">
        <v>1123</v>
      </c>
      <c r="X264" s="66" t="s">
        <v>1390</v>
      </c>
      <c r="Y264" s="66"/>
      <c r="Z264" s="390" t="s">
        <v>748</v>
      </c>
      <c r="AA264" s="121" t="s">
        <v>743</v>
      </c>
      <c r="AB264" s="279" t="s">
        <v>1175</v>
      </c>
      <c r="AC264" s="361"/>
    </row>
    <row r="265" spans="1:29" ht="38.25" outlineLevel="1" x14ac:dyDescent="0.2">
      <c r="A265" s="6">
        <v>263</v>
      </c>
      <c r="B265" s="18">
        <v>45098</v>
      </c>
      <c r="C265" s="14">
        <v>0.38263888888888892</v>
      </c>
      <c r="D265" s="6" t="s">
        <v>1213</v>
      </c>
      <c r="E265" s="40" t="s">
        <v>1426</v>
      </c>
      <c r="F265" s="381">
        <v>2</v>
      </c>
      <c r="G265" s="18" t="s">
        <v>43</v>
      </c>
      <c r="H265" s="18">
        <v>45106</v>
      </c>
      <c r="I265" s="18" t="s">
        <v>1086</v>
      </c>
      <c r="J265" s="18" t="s">
        <v>1221</v>
      </c>
      <c r="K265" s="381">
        <f>IFERROR(VLOOKUP(J265,Jueces!$A$1:$B$11,2,FALSE),"")</f>
        <v>7</v>
      </c>
      <c r="L265" s="18" t="s">
        <v>797</v>
      </c>
      <c r="M265" s="18" t="s">
        <v>712</v>
      </c>
      <c r="N265" s="18" t="s">
        <v>1435</v>
      </c>
      <c r="O265" s="68" t="str">
        <f t="shared" ca="1" si="18"/>
        <v>SI</v>
      </c>
      <c r="P265" s="68" t="str">
        <f t="shared" si="19"/>
        <v>DIANOSOL</v>
      </c>
      <c r="Q265" s="18" t="s">
        <v>905</v>
      </c>
      <c r="R265" s="6" t="str">
        <f>VLOOKUP($Q265,Resultados!$A$1:$B$49,2,FALSE)</f>
        <v>Juicio Abreviado</v>
      </c>
      <c r="S265" s="104" t="s">
        <v>1135</v>
      </c>
      <c r="T265" s="68" t="str">
        <f t="shared" si="17"/>
        <v>NO</v>
      </c>
      <c r="U265" s="68"/>
      <c r="V265" s="68"/>
      <c r="W265" s="68" t="s">
        <v>1396</v>
      </c>
      <c r="X265" s="66" t="s">
        <v>1390</v>
      </c>
      <c r="Y265" s="66"/>
      <c r="Z265" s="121" t="s">
        <v>1042</v>
      </c>
      <c r="AA265" s="121" t="s">
        <v>743</v>
      </c>
      <c r="AB265" s="279" t="s">
        <v>1175</v>
      </c>
      <c r="AC265" s="361"/>
    </row>
    <row r="266" spans="1:29" ht="51" outlineLevel="1" x14ac:dyDescent="0.2">
      <c r="A266" s="66">
        <v>264</v>
      </c>
      <c r="B266" s="68">
        <v>45098</v>
      </c>
      <c r="C266" s="73">
        <v>0.38263888888888892</v>
      </c>
      <c r="D266" s="66" t="s">
        <v>1212</v>
      </c>
      <c r="E266" s="67" t="s">
        <v>1354</v>
      </c>
      <c r="F266" s="66">
        <v>2</v>
      </c>
      <c r="G266" s="66" t="s">
        <v>32</v>
      </c>
      <c r="H266" s="68">
        <v>45103</v>
      </c>
      <c r="I266" s="66" t="s">
        <v>73</v>
      </c>
      <c r="J266" s="68" t="s">
        <v>1221</v>
      </c>
      <c r="K266" s="6">
        <f>IFERROR(VLOOKUP(J266,Jueces!$A$1:$B$11,2,FALSE),"")</f>
        <v>7</v>
      </c>
      <c r="L266" s="66" t="s">
        <v>812</v>
      </c>
      <c r="M266" s="66" t="s">
        <v>1334</v>
      </c>
      <c r="N266" s="66" t="s">
        <v>1332</v>
      </c>
      <c r="O266" s="66" t="str">
        <f t="shared" ca="1" si="18"/>
        <v>SI</v>
      </c>
      <c r="P266" s="66" t="str">
        <f t="shared" si="19"/>
        <v>DIANOSOL</v>
      </c>
      <c r="Q266" s="66" t="s">
        <v>904</v>
      </c>
      <c r="R266" s="6" t="str">
        <f>VLOOKUP($Q266,Resultados!$A$1:$B$49,2,FALSE)</f>
        <v>Juicio Abreviado</v>
      </c>
      <c r="S266" s="66" t="s">
        <v>1333</v>
      </c>
      <c r="T266" s="75" t="str">
        <f t="shared" si="17"/>
        <v>NO</v>
      </c>
      <c r="U266" s="75"/>
      <c r="V266" s="66"/>
      <c r="W266" s="73">
        <v>0.36319444444444443</v>
      </c>
      <c r="X266" s="66" t="s">
        <v>1364</v>
      </c>
      <c r="Y266" s="66"/>
      <c r="Z266" s="121" t="s">
        <v>1042</v>
      </c>
      <c r="AA266" s="75"/>
      <c r="AB266" s="279" t="s">
        <v>1173</v>
      </c>
      <c r="AC266" s="361"/>
    </row>
    <row r="267" spans="1:29" ht="38.25" outlineLevel="1" x14ac:dyDescent="0.2">
      <c r="A267" s="66">
        <v>265</v>
      </c>
      <c r="B267" s="68">
        <v>45099</v>
      </c>
      <c r="C267" s="73">
        <v>0.33333333333333331</v>
      </c>
      <c r="D267" s="66" t="s">
        <v>1248</v>
      </c>
      <c r="E267" s="67" t="s">
        <v>1249</v>
      </c>
      <c r="F267" s="66">
        <v>2</v>
      </c>
      <c r="G267" s="66" t="s">
        <v>1441</v>
      </c>
      <c r="H267" s="68">
        <v>45103</v>
      </c>
      <c r="I267" s="66" t="s">
        <v>73</v>
      </c>
      <c r="J267" s="68" t="s">
        <v>1222</v>
      </c>
      <c r="K267" s="6" t="s">
        <v>1346</v>
      </c>
      <c r="L267" s="66" t="s">
        <v>797</v>
      </c>
      <c r="M267" s="66" t="s">
        <v>1288</v>
      </c>
      <c r="N267" s="66" t="s">
        <v>1360</v>
      </c>
      <c r="O267" s="66" t="str">
        <f t="shared" ca="1" si="18"/>
        <v>SI</v>
      </c>
      <c r="P267" s="66" t="str">
        <f t="shared" si="19"/>
        <v>DIANOSOL</v>
      </c>
      <c r="Q267" s="66" t="s">
        <v>899</v>
      </c>
      <c r="R267" s="6" t="str">
        <f>VLOOKUP($Q267,Resultados!$A$1:$B$49,2,FALSE)</f>
        <v>Libertad</v>
      </c>
      <c r="S267" s="66" t="s">
        <v>1341</v>
      </c>
      <c r="T267" s="75" t="str">
        <f t="shared" si="17"/>
        <v>NO</v>
      </c>
      <c r="U267" s="75"/>
      <c r="V267" s="66"/>
      <c r="W267" s="73">
        <v>0.36388888888888887</v>
      </c>
      <c r="X267" s="66"/>
      <c r="Y267" s="66"/>
      <c r="Z267" s="279" t="s">
        <v>748</v>
      </c>
      <c r="AA267" s="121" t="s">
        <v>1169</v>
      </c>
      <c r="AB267" s="279" t="s">
        <v>1175</v>
      </c>
      <c r="AC267" s="361"/>
    </row>
    <row r="268" spans="1:29" ht="63.75" outlineLevel="1" x14ac:dyDescent="0.2">
      <c r="A268" s="66">
        <v>266</v>
      </c>
      <c r="B268" s="68">
        <v>45099</v>
      </c>
      <c r="C268" s="73">
        <v>0.33333333333333331</v>
      </c>
      <c r="D268" s="66" t="s">
        <v>1272</v>
      </c>
      <c r="E268" s="67" t="s">
        <v>1423</v>
      </c>
      <c r="F268" s="66">
        <v>2</v>
      </c>
      <c r="G268" s="66" t="s">
        <v>1442</v>
      </c>
      <c r="H268" s="68">
        <v>45106</v>
      </c>
      <c r="I268" s="66" t="s">
        <v>73</v>
      </c>
      <c r="J268" s="68" t="s">
        <v>31</v>
      </c>
      <c r="K268" s="6">
        <f>IFERROR(VLOOKUP(J268,Jueces!$A$1:$B$11,2,FALSE),"")</f>
        <v>2</v>
      </c>
      <c r="L268" s="66" t="s">
        <v>508</v>
      </c>
      <c r="M268" s="66" t="s">
        <v>1285</v>
      </c>
      <c r="N268" s="66" t="s">
        <v>1431</v>
      </c>
      <c r="O268" s="66" t="str">
        <f t="shared" ca="1" si="18"/>
        <v>SI</v>
      </c>
      <c r="P268" s="66" t="str">
        <f t="shared" si="19"/>
        <v>DIANOSOL</v>
      </c>
      <c r="Q268" s="66" t="s">
        <v>151</v>
      </c>
      <c r="R268" s="6" t="str">
        <f>VLOOKUP($Q268,Resultados!$A$1:$B$49,2,FALSE)</f>
        <v>Prisión Preventiva</v>
      </c>
      <c r="S268" s="73">
        <v>0.37222222222222223</v>
      </c>
      <c r="T268" s="75" t="str">
        <f t="shared" si="17"/>
        <v>SI</v>
      </c>
      <c r="U268" s="75"/>
      <c r="V268" s="66"/>
      <c r="W268" s="73">
        <v>0.38958333333333334</v>
      </c>
      <c r="X268" s="66" t="s">
        <v>1432</v>
      </c>
      <c r="Y268" s="66"/>
      <c r="Z268" s="279" t="s">
        <v>743</v>
      </c>
      <c r="AA268" s="121" t="s">
        <v>1169</v>
      </c>
      <c r="AB268" s="279" t="s">
        <v>1177</v>
      </c>
      <c r="AC268" s="361"/>
    </row>
    <row r="269" spans="1:29" ht="51" outlineLevel="1" x14ac:dyDescent="0.2">
      <c r="A269" s="66">
        <v>267</v>
      </c>
      <c r="B269" s="68">
        <v>45099</v>
      </c>
      <c r="C269" s="73">
        <v>0.33333333333333331</v>
      </c>
      <c r="D269" s="66" t="s">
        <v>1273</v>
      </c>
      <c r="E269" s="67" t="s">
        <v>1373</v>
      </c>
      <c r="F269" s="66">
        <v>3</v>
      </c>
      <c r="G269" s="66" t="s">
        <v>283</v>
      </c>
      <c r="H269" s="68">
        <v>45104</v>
      </c>
      <c r="I269" s="66" t="s">
        <v>73</v>
      </c>
      <c r="J269" s="68" t="s">
        <v>1220</v>
      </c>
      <c r="K269" s="6">
        <f>IFERROR(VLOOKUP(J269,Jueces!$A$1:$B$11,2,FALSE),"")</f>
        <v>1</v>
      </c>
      <c r="L269" s="66" t="s">
        <v>791</v>
      </c>
      <c r="M269" s="66" t="s">
        <v>693</v>
      </c>
      <c r="N269" s="66" t="s">
        <v>1374</v>
      </c>
      <c r="O269" s="66" t="str">
        <f t="shared" ca="1" si="18"/>
        <v>SI</v>
      </c>
      <c r="P269" s="66" t="str">
        <f t="shared" si="19"/>
        <v>DIANOSOL</v>
      </c>
      <c r="Q269" s="66" t="s">
        <v>905</v>
      </c>
      <c r="R269" s="6" t="str">
        <f>VLOOKUP($Q269,Resultados!$A$1:$B$49,2,FALSE)</f>
        <v>Juicio Abreviado</v>
      </c>
      <c r="S269" s="66" t="s">
        <v>1014</v>
      </c>
      <c r="T269" s="75" t="str">
        <f t="shared" si="17"/>
        <v>NO</v>
      </c>
      <c r="U269" s="75"/>
      <c r="V269" s="66"/>
      <c r="W269" s="66" t="s">
        <v>1375</v>
      </c>
      <c r="X269" s="66" t="s">
        <v>1376</v>
      </c>
      <c r="Y269" s="66"/>
      <c r="Z269" s="121" t="s">
        <v>748</v>
      </c>
      <c r="AA269" s="121" t="s">
        <v>1171</v>
      </c>
      <c r="AB269" s="279" t="s">
        <v>1175</v>
      </c>
      <c r="AC269" s="361"/>
    </row>
    <row r="270" spans="1:29" ht="38.25" outlineLevel="1" x14ac:dyDescent="0.2">
      <c r="A270" s="66">
        <v>268</v>
      </c>
      <c r="B270" s="68">
        <v>45099</v>
      </c>
      <c r="C270" s="73" t="s">
        <v>76</v>
      </c>
      <c r="D270" s="66" t="s">
        <v>1262</v>
      </c>
      <c r="E270" s="67" t="s">
        <v>1517</v>
      </c>
      <c r="F270" s="66">
        <v>2</v>
      </c>
      <c r="G270" s="66" t="s">
        <v>1443</v>
      </c>
      <c r="H270" s="68">
        <v>45110</v>
      </c>
      <c r="I270" s="66" t="s">
        <v>1086</v>
      </c>
      <c r="J270" s="68" t="s">
        <v>1221</v>
      </c>
      <c r="K270" s="6">
        <f>IFERROR(VLOOKUP(J270,Jueces!$A$1:$B$11,2,FALSE),"")</f>
        <v>7</v>
      </c>
      <c r="L270" s="66" t="s">
        <v>813</v>
      </c>
      <c r="M270" s="66" t="s">
        <v>1290</v>
      </c>
      <c r="N270" s="66" t="s">
        <v>1503</v>
      </c>
      <c r="O270" s="66" t="str">
        <f t="shared" ca="1" si="18"/>
        <v>SI</v>
      </c>
      <c r="P270" s="66" t="str">
        <f t="shared" si="19"/>
        <v>DIANOSOL</v>
      </c>
      <c r="Q270" s="66" t="s">
        <v>904</v>
      </c>
      <c r="R270" s="6" t="str">
        <f>VLOOKUP($Q270,Resultados!$A$1:$B$49,2,FALSE)</f>
        <v>Juicio Abreviado</v>
      </c>
      <c r="S270" s="73">
        <v>0.40625</v>
      </c>
      <c r="T270" s="75" t="str">
        <f t="shared" si="17"/>
        <v>NO</v>
      </c>
      <c r="U270" s="75"/>
      <c r="V270" s="66"/>
      <c r="W270" s="73">
        <v>0.41388888888888892</v>
      </c>
      <c r="X270" s="66" t="s">
        <v>1504</v>
      </c>
      <c r="Y270" s="66"/>
      <c r="Z270" s="121" t="s">
        <v>743</v>
      </c>
      <c r="AA270" s="121" t="s">
        <v>1169</v>
      </c>
      <c r="AB270" s="121" t="s">
        <v>1176</v>
      </c>
      <c r="AC270" s="361"/>
    </row>
    <row r="271" spans="1:29" ht="51" outlineLevel="1" x14ac:dyDescent="0.2">
      <c r="A271" s="66">
        <v>269</v>
      </c>
      <c r="B271" s="68">
        <v>45099</v>
      </c>
      <c r="C271" s="66" t="s">
        <v>76</v>
      </c>
      <c r="D271" s="66" t="s">
        <v>1250</v>
      </c>
      <c r="E271" s="67" t="s">
        <v>1469</v>
      </c>
      <c r="F271" s="66">
        <v>3</v>
      </c>
      <c r="G271" s="66" t="s">
        <v>32</v>
      </c>
      <c r="H271" s="68">
        <v>45107</v>
      </c>
      <c r="I271" s="66" t="s">
        <v>1086</v>
      </c>
      <c r="J271" s="68" t="s">
        <v>33</v>
      </c>
      <c r="K271" s="6">
        <f>IFERROR(VLOOKUP(J271,Jueces!$A$1:$B$11,2,FALSE),"")</f>
        <v>4</v>
      </c>
      <c r="L271" s="66" t="s">
        <v>1453</v>
      </c>
      <c r="M271" s="6" t="s">
        <v>1467</v>
      </c>
      <c r="N271" s="66" t="s">
        <v>1468</v>
      </c>
      <c r="O271" s="66" t="str">
        <f t="shared" ca="1" si="18"/>
        <v>SI</v>
      </c>
      <c r="P271" s="66" t="str">
        <f t="shared" si="19"/>
        <v>DIANOSOL</v>
      </c>
      <c r="Q271" s="66" t="s">
        <v>151</v>
      </c>
      <c r="R271" s="6" t="str">
        <f>VLOOKUP($Q271,Resultados!$A$1:$B$49,2,FALSE)</f>
        <v>Prisión Preventiva</v>
      </c>
      <c r="S271" s="66" t="s">
        <v>1465</v>
      </c>
      <c r="T271" s="75" t="str">
        <f t="shared" si="17"/>
        <v>NO</v>
      </c>
      <c r="U271" s="75"/>
      <c r="V271" s="66"/>
      <c r="W271" s="66" t="s">
        <v>1466</v>
      </c>
      <c r="X271" s="66"/>
      <c r="Y271" s="66"/>
      <c r="Z271" s="121" t="s">
        <v>743</v>
      </c>
      <c r="AA271" s="121" t="s">
        <v>1169</v>
      </c>
      <c r="AB271" s="279" t="s">
        <v>1177</v>
      </c>
      <c r="AC271" s="361"/>
    </row>
    <row r="272" spans="1:29" ht="25.5" outlineLevel="1" x14ac:dyDescent="0.2">
      <c r="A272" s="66">
        <v>270</v>
      </c>
      <c r="B272" s="68">
        <v>45099</v>
      </c>
      <c r="C272" s="66" t="s">
        <v>76</v>
      </c>
      <c r="D272" s="66" t="s">
        <v>1263</v>
      </c>
      <c r="E272" s="67" t="s">
        <v>1472</v>
      </c>
      <c r="F272" s="66">
        <v>3</v>
      </c>
      <c r="G272" s="66" t="s">
        <v>29</v>
      </c>
      <c r="H272" s="68">
        <v>45107</v>
      </c>
      <c r="I272" s="66" t="s">
        <v>73</v>
      </c>
      <c r="J272" s="68" t="s">
        <v>1220</v>
      </c>
      <c r="K272" s="6">
        <f>IFERROR(VLOOKUP(J272,Jueces!$A$1:$B$11,2,FALSE),"")</f>
        <v>1</v>
      </c>
      <c r="L272" s="66" t="s">
        <v>812</v>
      </c>
      <c r="M272" s="66" t="s">
        <v>692</v>
      </c>
      <c r="N272" s="66" t="s">
        <v>235</v>
      </c>
      <c r="O272" s="66" t="str">
        <f t="shared" ca="1" si="18"/>
        <v>SI</v>
      </c>
      <c r="P272" s="66" t="str">
        <f t="shared" si="19"/>
        <v>DIANOSOL</v>
      </c>
      <c r="Q272" s="66" t="s">
        <v>151</v>
      </c>
      <c r="R272" s="6" t="str">
        <f>VLOOKUP($Q272,Resultados!$A$1:$B$49,2,FALSE)</f>
        <v>Prisión Preventiva</v>
      </c>
      <c r="S272" s="66" t="s">
        <v>1246</v>
      </c>
      <c r="T272" s="75" t="str">
        <f t="shared" si="17"/>
        <v>NO</v>
      </c>
      <c r="U272" s="75"/>
      <c r="V272" s="66"/>
      <c r="W272" s="66" t="s">
        <v>76</v>
      </c>
      <c r="X272" s="66" t="s">
        <v>1460</v>
      </c>
      <c r="Y272" s="66"/>
      <c r="Z272" s="121" t="s">
        <v>770</v>
      </c>
      <c r="AA272" s="121" t="s">
        <v>743</v>
      </c>
      <c r="AB272" s="279" t="s">
        <v>1174</v>
      </c>
      <c r="AC272" s="361"/>
    </row>
    <row r="273" spans="1:29" ht="51" outlineLevel="1" x14ac:dyDescent="0.2">
      <c r="A273" s="66">
        <v>271</v>
      </c>
      <c r="B273" s="68">
        <v>45099</v>
      </c>
      <c r="C273" s="66" t="s">
        <v>76</v>
      </c>
      <c r="D273" s="66" t="s">
        <v>1264</v>
      </c>
      <c r="E273" s="67" t="s">
        <v>1251</v>
      </c>
      <c r="F273" s="66">
        <v>3</v>
      </c>
      <c r="G273" s="66" t="s">
        <v>1441</v>
      </c>
      <c r="H273" s="68">
        <v>45105</v>
      </c>
      <c r="I273" s="66" t="s">
        <v>73</v>
      </c>
      <c r="J273" s="68" t="s">
        <v>1221</v>
      </c>
      <c r="K273" s="6">
        <f>IFERROR(VLOOKUP(J273,Jueces!$A$1:$B$11,2,FALSE),"")</f>
        <v>7</v>
      </c>
      <c r="L273" s="66" t="s">
        <v>811</v>
      </c>
      <c r="M273" s="66" t="s">
        <v>693</v>
      </c>
      <c r="N273" s="66" t="s">
        <v>1394</v>
      </c>
      <c r="O273" s="66" t="str">
        <f t="shared" ca="1" si="18"/>
        <v>SI</v>
      </c>
      <c r="P273" s="66" t="str">
        <f t="shared" si="19"/>
        <v>DIANOSOL</v>
      </c>
      <c r="Q273" s="66" t="s">
        <v>151</v>
      </c>
      <c r="R273" s="6" t="str">
        <f>VLOOKUP($Q273,Resultados!$A$1:$B$49,2,FALSE)</f>
        <v>Prisión Preventiva</v>
      </c>
      <c r="S273" s="66" t="s">
        <v>1395</v>
      </c>
      <c r="T273" s="75" t="str">
        <f t="shared" si="17"/>
        <v>NO</v>
      </c>
      <c r="U273" s="75"/>
      <c r="V273" s="66"/>
      <c r="W273" s="66" t="s">
        <v>1396</v>
      </c>
      <c r="X273" s="66" t="s">
        <v>1402</v>
      </c>
      <c r="Y273" s="66"/>
      <c r="Z273" s="121" t="s">
        <v>743</v>
      </c>
      <c r="AA273" s="121" t="s">
        <v>743</v>
      </c>
      <c r="AB273" s="279" t="s">
        <v>1177</v>
      </c>
      <c r="AC273" s="361"/>
    </row>
    <row r="274" spans="1:29" ht="38.25" outlineLevel="1" x14ac:dyDescent="0.2">
      <c r="A274" s="66">
        <v>272</v>
      </c>
      <c r="B274" s="68">
        <v>45099</v>
      </c>
      <c r="C274" s="73">
        <v>0.42638888888888887</v>
      </c>
      <c r="D274" s="66" t="s">
        <v>1265</v>
      </c>
      <c r="E274" s="67" t="s">
        <v>1425</v>
      </c>
      <c r="F274" s="66">
        <v>2</v>
      </c>
      <c r="G274" s="66" t="s">
        <v>32</v>
      </c>
      <c r="H274" s="68">
        <v>45106</v>
      </c>
      <c r="I274" s="66" t="s">
        <v>73</v>
      </c>
      <c r="J274" s="68" t="s">
        <v>1222</v>
      </c>
      <c r="K274" s="6" t="s">
        <v>1326</v>
      </c>
      <c r="L274" s="66" t="s">
        <v>807</v>
      </c>
      <c r="M274" s="66" t="s">
        <v>1286</v>
      </c>
      <c r="N274" s="66" t="s">
        <v>1428</v>
      </c>
      <c r="O274" s="66" t="str">
        <f t="shared" ca="1" si="18"/>
        <v>SI</v>
      </c>
      <c r="P274" s="66" t="str">
        <f t="shared" si="19"/>
        <v>DIANOSOL</v>
      </c>
      <c r="Q274" s="66" t="s">
        <v>904</v>
      </c>
      <c r="R274" s="6" t="str">
        <f>VLOOKUP($Q274,Resultados!$A$1:$B$49,2,FALSE)</f>
        <v>Juicio Abreviado</v>
      </c>
      <c r="S274" s="66" t="s">
        <v>1427</v>
      </c>
      <c r="T274" s="75" t="str">
        <f t="shared" si="17"/>
        <v>NO</v>
      </c>
      <c r="U274" s="75"/>
      <c r="V274" s="66"/>
      <c r="W274" s="66" t="s">
        <v>1429</v>
      </c>
      <c r="X274" s="66"/>
      <c r="Y274" s="66"/>
      <c r="Z274" s="121" t="s">
        <v>770</v>
      </c>
      <c r="AA274" s="121" t="s">
        <v>1169</v>
      </c>
      <c r="AB274" s="279" t="s">
        <v>1174</v>
      </c>
      <c r="AC274" s="361"/>
    </row>
    <row r="275" spans="1:29" ht="38.25" outlineLevel="1" x14ac:dyDescent="0.2">
      <c r="A275" s="66">
        <v>273</v>
      </c>
      <c r="B275" s="68">
        <v>45099</v>
      </c>
      <c r="C275" s="73">
        <v>0.39861111111111108</v>
      </c>
      <c r="D275" s="66" t="s">
        <v>1266</v>
      </c>
      <c r="E275" s="67" t="s">
        <v>1424</v>
      </c>
      <c r="F275" s="66">
        <v>3</v>
      </c>
      <c r="G275" s="66" t="s">
        <v>29</v>
      </c>
      <c r="H275" s="68">
        <v>45106</v>
      </c>
      <c r="I275" s="66" t="s">
        <v>73</v>
      </c>
      <c r="J275" s="68" t="s">
        <v>33</v>
      </c>
      <c r="K275" s="6">
        <f>IFERROR(VLOOKUP(J275,Jueces!$A$1:$B$11,2,FALSE),"")</f>
        <v>4</v>
      </c>
      <c r="L275" s="66" t="s">
        <v>812</v>
      </c>
      <c r="M275" s="66" t="s">
        <v>1290</v>
      </c>
      <c r="N275" s="66" t="s">
        <v>1332</v>
      </c>
      <c r="O275" s="66" t="str">
        <f t="shared" ca="1" si="18"/>
        <v>SI</v>
      </c>
      <c r="P275" s="66" t="str">
        <f t="shared" si="19"/>
        <v>DIANOSOL</v>
      </c>
      <c r="Q275" s="66" t="s">
        <v>904</v>
      </c>
      <c r="R275" s="6" t="str">
        <f>VLOOKUP($Q275,Resultados!$A$1:$B$49,2,FALSE)</f>
        <v>Juicio Abreviado</v>
      </c>
      <c r="S275" s="66" t="s">
        <v>1427</v>
      </c>
      <c r="T275" s="75" t="str">
        <f t="shared" si="17"/>
        <v>NO</v>
      </c>
      <c r="U275" s="75"/>
      <c r="V275" s="66"/>
      <c r="W275" s="66" t="s">
        <v>1129</v>
      </c>
      <c r="X275" s="66" t="s">
        <v>1390</v>
      </c>
      <c r="Y275" s="66"/>
      <c r="Z275" s="121" t="s">
        <v>1041</v>
      </c>
      <c r="AA275" s="121" t="s">
        <v>1171</v>
      </c>
      <c r="AB275" s="121" t="s">
        <v>1173</v>
      </c>
      <c r="AC275" s="361"/>
    </row>
    <row r="276" spans="1:29" ht="63.75" outlineLevel="1" x14ac:dyDescent="0.2">
      <c r="A276" s="66">
        <v>274</v>
      </c>
      <c r="B276" s="68">
        <v>45099</v>
      </c>
      <c r="C276" s="73">
        <v>0.39513888888888887</v>
      </c>
      <c r="D276" s="66" t="s">
        <v>1267</v>
      </c>
      <c r="E276" s="67" t="s">
        <v>1268</v>
      </c>
      <c r="F276" s="66">
        <v>3</v>
      </c>
      <c r="G276" s="66" t="s">
        <v>283</v>
      </c>
      <c r="H276" s="68">
        <v>45105</v>
      </c>
      <c r="I276" s="66" t="s">
        <v>1086</v>
      </c>
      <c r="J276" s="68" t="s">
        <v>78</v>
      </c>
      <c r="K276" s="66">
        <f>IFERROR(VLOOKUP(J276,Jueces!$A$1:$B$11,2,FALSE),"")</f>
        <v>8</v>
      </c>
      <c r="L276" s="66" t="s">
        <v>1180</v>
      </c>
      <c r="M276" s="368" t="s">
        <v>697</v>
      </c>
      <c r="N276" s="66" t="s">
        <v>1403</v>
      </c>
      <c r="O276" s="66" t="str">
        <f t="shared" ca="1" si="18"/>
        <v>SI</v>
      </c>
      <c r="P276" s="66" t="str">
        <f t="shared" si="19"/>
        <v>DIANOSOL</v>
      </c>
      <c r="Q276" s="66" t="s">
        <v>913</v>
      </c>
      <c r="R276" s="6" t="str">
        <f>VLOOKUP($Q276,Resultados!$A$1:$B$49,2,FALSE)</f>
        <v>Prision domiciliaria</v>
      </c>
      <c r="S276" s="66" t="s">
        <v>1303</v>
      </c>
      <c r="T276" s="75" t="str">
        <f t="shared" si="17"/>
        <v>NO</v>
      </c>
      <c r="U276" s="75"/>
      <c r="V276" s="66"/>
      <c r="W276" s="66" t="s">
        <v>1404</v>
      </c>
      <c r="X276" s="66" t="s">
        <v>1311</v>
      </c>
      <c r="Y276" s="66"/>
      <c r="Z276" s="121" t="s">
        <v>1042</v>
      </c>
      <c r="AA276" s="121" t="s">
        <v>1171</v>
      </c>
      <c r="AB276" s="279" t="s">
        <v>1173</v>
      </c>
      <c r="AC276" s="361"/>
    </row>
    <row r="277" spans="1:29" ht="63.75" outlineLevel="1" x14ac:dyDescent="0.2">
      <c r="A277" s="66">
        <v>275</v>
      </c>
      <c r="B277" s="68">
        <v>45099</v>
      </c>
      <c r="C277" s="66" t="s">
        <v>1274</v>
      </c>
      <c r="D277" s="66" t="s">
        <v>1269</v>
      </c>
      <c r="E277" s="67" t="s">
        <v>1357</v>
      </c>
      <c r="F277" s="66">
        <v>1</v>
      </c>
      <c r="G277" s="66" t="s">
        <v>1441</v>
      </c>
      <c r="H277" s="68">
        <v>45104</v>
      </c>
      <c r="I277" s="66" t="s">
        <v>73</v>
      </c>
      <c r="J277" s="68" t="s">
        <v>1223</v>
      </c>
      <c r="K277" s="6" t="s">
        <v>1326</v>
      </c>
      <c r="L277" s="66" t="s">
        <v>798</v>
      </c>
      <c r="M277" s="66" t="s">
        <v>692</v>
      </c>
      <c r="N277" s="66" t="s">
        <v>1379</v>
      </c>
      <c r="O277" s="66" t="str">
        <f t="shared" ca="1" si="18"/>
        <v>SI</v>
      </c>
      <c r="P277" s="66" t="str">
        <f t="shared" si="19"/>
        <v>DIANOSOL</v>
      </c>
      <c r="Q277" s="66" t="s">
        <v>905</v>
      </c>
      <c r="R277" s="6" t="str">
        <f>VLOOKUP($Q277,Resultados!$A$1:$B$49,2,FALSE)</f>
        <v>Juicio Abreviado</v>
      </c>
      <c r="S277" s="66" t="s">
        <v>1014</v>
      </c>
      <c r="T277" s="75" t="str">
        <f t="shared" si="17"/>
        <v>NO</v>
      </c>
      <c r="U277" s="75"/>
      <c r="V277" s="66"/>
      <c r="W277" s="66" t="s">
        <v>1378</v>
      </c>
      <c r="X277" s="66" t="s">
        <v>1376</v>
      </c>
      <c r="Y277" s="66"/>
      <c r="Z277" s="121" t="s">
        <v>743</v>
      </c>
      <c r="AA277" s="121" t="s">
        <v>743</v>
      </c>
      <c r="AB277" s="279" t="s">
        <v>1177</v>
      </c>
      <c r="AC277" s="361"/>
    </row>
    <row r="278" spans="1:29" ht="38.25" outlineLevel="1" x14ac:dyDescent="0.2">
      <c r="A278" s="66">
        <v>276</v>
      </c>
      <c r="B278" s="68">
        <v>45099</v>
      </c>
      <c r="C278" s="73">
        <v>0.43888888888888888</v>
      </c>
      <c r="D278" s="66" t="s">
        <v>1270</v>
      </c>
      <c r="E278" s="67" t="s">
        <v>1271</v>
      </c>
      <c r="F278" s="66">
        <v>1</v>
      </c>
      <c r="G278" s="66" t="s">
        <v>32</v>
      </c>
      <c r="H278" s="68">
        <v>45105</v>
      </c>
      <c r="I278" s="66" t="s">
        <v>73</v>
      </c>
      <c r="J278" s="68" t="s">
        <v>31</v>
      </c>
      <c r="K278" s="6">
        <f>IFERROR(VLOOKUP(J278,Jueces!$A$1:$B$11,2,FALSE),"")</f>
        <v>2</v>
      </c>
      <c r="L278" s="66" t="s">
        <v>688</v>
      </c>
      <c r="M278" s="66" t="s">
        <v>723</v>
      </c>
      <c r="N278" s="66" t="s">
        <v>1398</v>
      </c>
      <c r="O278" s="66" t="str">
        <f t="shared" ca="1" si="18"/>
        <v>SI</v>
      </c>
      <c r="P278" s="66" t="str">
        <f t="shared" si="19"/>
        <v>DIANOSOL</v>
      </c>
      <c r="Q278" s="66" t="s">
        <v>151</v>
      </c>
      <c r="R278" s="6" t="str">
        <f>VLOOKUP($Q278,Resultados!$A$1:$B$49,2,FALSE)</f>
        <v>Prisión Preventiva</v>
      </c>
      <c r="S278" s="66" t="s">
        <v>686</v>
      </c>
      <c r="T278" s="75" t="str">
        <f t="shared" si="17"/>
        <v>NO</v>
      </c>
      <c r="U278" s="75"/>
      <c r="V278" s="66"/>
      <c r="W278" s="66" t="s">
        <v>76</v>
      </c>
      <c r="X278" s="66" t="s">
        <v>1399</v>
      </c>
      <c r="Y278" s="66"/>
      <c r="Z278" s="121" t="s">
        <v>770</v>
      </c>
      <c r="AA278" s="121" t="s">
        <v>1169</v>
      </c>
      <c r="AB278" s="279" t="s">
        <v>1176</v>
      </c>
      <c r="AC278" s="361"/>
    </row>
    <row r="279" spans="1:29" ht="51" outlineLevel="1" x14ac:dyDescent="0.2">
      <c r="A279" s="66">
        <v>277</v>
      </c>
      <c r="B279" s="68">
        <v>45099</v>
      </c>
      <c r="C279" s="73">
        <v>0.49583333333333335</v>
      </c>
      <c r="D279" s="66" t="s">
        <v>1282</v>
      </c>
      <c r="E279" s="67" t="s">
        <v>3058</v>
      </c>
      <c r="F279" s="66">
        <v>2</v>
      </c>
      <c r="G279" s="66" t="s">
        <v>1441</v>
      </c>
      <c r="H279" s="68">
        <v>45100</v>
      </c>
      <c r="I279" s="66" t="s">
        <v>1210</v>
      </c>
      <c r="J279" s="68" t="s">
        <v>31</v>
      </c>
      <c r="K279" s="6">
        <f>IFERROR(VLOOKUP(J279,Jueces!$A$1:$B$11,2,FALSE),"")</f>
        <v>2</v>
      </c>
      <c r="L279" s="66" t="s">
        <v>806</v>
      </c>
      <c r="M279" s="66" t="s">
        <v>1307</v>
      </c>
      <c r="N279" s="66" t="s">
        <v>1309</v>
      </c>
      <c r="O279" s="66" t="str">
        <f t="shared" ca="1" si="18"/>
        <v>SI</v>
      </c>
      <c r="P279" s="66" t="str">
        <f t="shared" si="19"/>
        <v>DIANOSOL</v>
      </c>
      <c r="Q279" s="66" t="s">
        <v>909</v>
      </c>
      <c r="R279" s="6" t="str">
        <f>VLOOKUP($Q279,Resultados!$A$1:$B$49,2,FALSE)</f>
        <v>Suspensión de juicio a prueba</v>
      </c>
      <c r="S279" s="66" t="s">
        <v>1310</v>
      </c>
      <c r="T279" s="75" t="str">
        <f t="shared" si="17"/>
        <v>NO</v>
      </c>
      <c r="U279" s="75"/>
      <c r="V279" s="66"/>
      <c r="W279" s="66" t="s">
        <v>1240</v>
      </c>
      <c r="X279" s="66" t="s">
        <v>1311</v>
      </c>
      <c r="Y279" s="66"/>
      <c r="Z279" s="121" t="s">
        <v>743</v>
      </c>
      <c r="AA279" s="121" t="s">
        <v>743</v>
      </c>
      <c r="AB279" s="279" t="s">
        <v>1177</v>
      </c>
      <c r="AC279" s="361"/>
    </row>
    <row r="280" spans="1:29" ht="38.25" outlineLevel="1" x14ac:dyDescent="0.2">
      <c r="A280" s="66">
        <v>278</v>
      </c>
      <c r="B280" s="68">
        <v>45099</v>
      </c>
      <c r="C280" s="73">
        <v>0.52430555555555558</v>
      </c>
      <c r="D280" s="66" t="s">
        <v>1283</v>
      </c>
      <c r="E280" s="67" t="s">
        <v>1586</v>
      </c>
      <c r="F280" s="66">
        <v>2</v>
      </c>
      <c r="G280" s="66" t="s">
        <v>568</v>
      </c>
      <c r="H280" s="68">
        <v>45112</v>
      </c>
      <c r="I280" s="66" t="s">
        <v>73</v>
      </c>
      <c r="J280" s="68" t="s">
        <v>35</v>
      </c>
      <c r="K280" s="6">
        <f>IFERROR(VLOOKUP(J280,Jueces!$A$1:$B$11,2,FALSE),"")</f>
        <v>3</v>
      </c>
      <c r="L280" s="66" t="s">
        <v>688</v>
      </c>
      <c r="M280" s="66" t="s">
        <v>1179</v>
      </c>
      <c r="N280" s="66" t="s">
        <v>235</v>
      </c>
      <c r="O280" s="66" t="str">
        <f t="shared" ca="1" si="18"/>
        <v>SI</v>
      </c>
      <c r="P280" s="66" t="str">
        <f t="shared" si="19"/>
        <v>DIANOSOL</v>
      </c>
      <c r="Q280" s="66" t="s">
        <v>151</v>
      </c>
      <c r="R280" s="6" t="str">
        <f>VLOOKUP($Q280,Resultados!$A$1:$B$49,2,FALSE)</f>
        <v>Prisión Preventiva</v>
      </c>
      <c r="S280" s="66" t="s">
        <v>1584</v>
      </c>
      <c r="T280" s="75" t="str">
        <f t="shared" si="17"/>
        <v>NO</v>
      </c>
      <c r="U280" s="75"/>
      <c r="V280" s="66"/>
      <c r="W280" s="66" t="s">
        <v>1497</v>
      </c>
      <c r="X280" s="66" t="s">
        <v>1585</v>
      </c>
      <c r="Y280" s="66"/>
      <c r="Z280" s="121" t="s">
        <v>743</v>
      </c>
      <c r="AA280" s="121" t="s">
        <v>1171</v>
      </c>
      <c r="AB280" s="121" t="s">
        <v>1176</v>
      </c>
      <c r="AC280" s="361"/>
    </row>
    <row r="281" spans="1:29" ht="25.5" outlineLevel="1" x14ac:dyDescent="0.2">
      <c r="A281" s="66">
        <v>279</v>
      </c>
      <c r="B281" s="68">
        <v>45099</v>
      </c>
      <c r="C281" s="73">
        <v>0.52430555555555558</v>
      </c>
      <c r="D281" s="66" t="s">
        <v>1284</v>
      </c>
      <c r="E281" s="67" t="s">
        <v>3059</v>
      </c>
      <c r="F281" s="66">
        <v>2</v>
      </c>
      <c r="G281" s="66" t="s">
        <v>283</v>
      </c>
      <c r="H281" s="68">
        <v>45106</v>
      </c>
      <c r="I281" s="66" t="s">
        <v>1086</v>
      </c>
      <c r="J281" s="68" t="s">
        <v>1223</v>
      </c>
      <c r="K281" s="66" t="s">
        <v>1326</v>
      </c>
      <c r="L281" s="66" t="s">
        <v>791</v>
      </c>
      <c r="M281" s="66" t="s">
        <v>692</v>
      </c>
      <c r="N281" s="66" t="s">
        <v>1446</v>
      </c>
      <c r="O281" s="66" t="str">
        <f t="shared" ca="1" si="18"/>
        <v>SI</v>
      </c>
      <c r="P281" s="66" t="str">
        <f t="shared" si="19"/>
        <v>DIANOSOL</v>
      </c>
      <c r="Q281" s="66" t="s">
        <v>904</v>
      </c>
      <c r="R281" s="6" t="str">
        <f>VLOOKUP($Q281,Resultados!$A$1:$B$49,2,FALSE)</f>
        <v>Juicio Abreviado</v>
      </c>
      <c r="S281" s="66" t="s">
        <v>1086</v>
      </c>
      <c r="T281" s="75" t="str">
        <f t="shared" si="17"/>
        <v>NO</v>
      </c>
      <c r="U281" s="75"/>
      <c r="V281" s="66"/>
      <c r="W281" s="66" t="s">
        <v>1445</v>
      </c>
      <c r="X281" s="66" t="s">
        <v>1311</v>
      </c>
      <c r="Y281" s="66"/>
      <c r="Z281" s="121" t="s">
        <v>748</v>
      </c>
      <c r="AA281" s="121" t="s">
        <v>1171</v>
      </c>
      <c r="AB281" s="279" t="s">
        <v>1177</v>
      </c>
      <c r="AC281" s="361"/>
    </row>
    <row r="282" spans="1:29" ht="51" outlineLevel="1" x14ac:dyDescent="0.2">
      <c r="A282" s="66">
        <v>280</v>
      </c>
      <c r="B282" s="68">
        <v>45100</v>
      </c>
      <c r="C282" s="66" t="s">
        <v>73</v>
      </c>
      <c r="D282" s="66" t="s">
        <v>1289</v>
      </c>
      <c r="E282" s="67" t="s">
        <v>1471</v>
      </c>
      <c r="F282" s="66">
        <v>3</v>
      </c>
      <c r="G282" s="66" t="s">
        <v>1442</v>
      </c>
      <c r="H282" s="68">
        <v>45107</v>
      </c>
      <c r="I282" s="66" t="s">
        <v>73</v>
      </c>
      <c r="J282" s="68" t="s">
        <v>78</v>
      </c>
      <c r="K282" s="66">
        <f>IFERROR(VLOOKUP(J282,Jueces!$A$1:$B$11,2,FALSE),"")</f>
        <v>8</v>
      </c>
      <c r="L282" s="66" t="s">
        <v>807</v>
      </c>
      <c r="M282" s="66" t="s">
        <v>1461</v>
      </c>
      <c r="N282" s="66" t="s">
        <v>1462</v>
      </c>
      <c r="O282" s="66" t="str">
        <f t="shared" ca="1" si="18"/>
        <v>SI</v>
      </c>
      <c r="P282" s="66" t="str">
        <f t="shared" si="19"/>
        <v>DIANOSOL</v>
      </c>
      <c r="Q282" s="66" t="s">
        <v>151</v>
      </c>
      <c r="R282" s="6" t="str">
        <f>VLOOKUP($Q282,Resultados!$A$1:$B$49,2,FALSE)</f>
        <v>Prisión Preventiva</v>
      </c>
      <c r="S282" s="66" t="s">
        <v>1427</v>
      </c>
      <c r="T282" s="75" t="str">
        <f t="shared" si="17"/>
        <v>SI</v>
      </c>
      <c r="U282" s="75"/>
      <c r="V282" s="66"/>
      <c r="W282" s="66" t="s">
        <v>1086</v>
      </c>
      <c r="X282" s="66" t="s">
        <v>1463</v>
      </c>
      <c r="Y282" s="66"/>
      <c r="Z282" s="121" t="s">
        <v>1041</v>
      </c>
      <c r="AA282" s="121" t="s">
        <v>1169</v>
      </c>
      <c r="AB282" s="279" t="s">
        <v>1173</v>
      </c>
      <c r="AC282" s="361"/>
    </row>
    <row r="283" spans="1:29" ht="38.25" outlineLevel="1" x14ac:dyDescent="0.2">
      <c r="A283" s="66">
        <v>281</v>
      </c>
      <c r="B283" s="68">
        <v>45100</v>
      </c>
      <c r="C283" s="73">
        <v>0.35138888888888892</v>
      </c>
      <c r="D283" s="66" t="s">
        <v>1319</v>
      </c>
      <c r="E283" s="67" t="s">
        <v>1574</v>
      </c>
      <c r="F283" s="66">
        <v>3</v>
      </c>
      <c r="G283" s="66" t="s">
        <v>1442</v>
      </c>
      <c r="H283" s="68">
        <v>45112</v>
      </c>
      <c r="I283" s="66" t="s">
        <v>1086</v>
      </c>
      <c r="J283" s="68" t="s">
        <v>1220</v>
      </c>
      <c r="K283" s="66">
        <f>IFERROR(VLOOKUP(J283,Jueces!$A$1:$B$11,2,FALSE),"")</f>
        <v>1</v>
      </c>
      <c r="L283" s="66" t="s">
        <v>797</v>
      </c>
      <c r="M283" s="66" t="s">
        <v>1571</v>
      </c>
      <c r="N283" s="66" t="s">
        <v>1572</v>
      </c>
      <c r="O283" s="66" t="str">
        <f t="shared" ca="1" si="18"/>
        <v>SI</v>
      </c>
      <c r="P283" s="66" t="str">
        <f t="shared" si="19"/>
        <v>DIANOSOL</v>
      </c>
      <c r="Q283" s="66" t="s">
        <v>902</v>
      </c>
      <c r="R283" s="6" t="str">
        <f>VLOOKUP($Q283,Resultados!$A$1:$B$49,2,FALSE)</f>
        <v>Libertad</v>
      </c>
      <c r="S283" s="66" t="s">
        <v>1193</v>
      </c>
      <c r="T283" s="75" t="str">
        <f t="shared" si="17"/>
        <v>SI</v>
      </c>
      <c r="U283" s="75"/>
      <c r="V283" s="66"/>
      <c r="W283" s="66" t="s">
        <v>1570</v>
      </c>
      <c r="X283" s="66" t="s">
        <v>1573</v>
      </c>
      <c r="Y283" s="66"/>
      <c r="Z283" s="121" t="s">
        <v>1042</v>
      </c>
      <c r="AA283" s="121" t="s">
        <v>743</v>
      </c>
      <c r="AB283" s="279" t="s">
        <v>1177</v>
      </c>
      <c r="AC283" s="361"/>
    </row>
    <row r="284" spans="1:29" ht="38.25" outlineLevel="1" x14ac:dyDescent="0.2">
      <c r="A284" s="66">
        <v>282</v>
      </c>
      <c r="B284" s="68">
        <v>45100</v>
      </c>
      <c r="C284" s="73">
        <v>0.35902777777777778</v>
      </c>
      <c r="D284" s="66" t="s">
        <v>1318</v>
      </c>
      <c r="E284" s="67" t="s">
        <v>1513</v>
      </c>
      <c r="F284" s="66">
        <v>3</v>
      </c>
      <c r="G284" s="66" t="s">
        <v>1443</v>
      </c>
      <c r="H284" s="68">
        <v>45110</v>
      </c>
      <c r="I284" s="73" t="s">
        <v>73</v>
      </c>
      <c r="J284" s="68" t="s">
        <v>1221</v>
      </c>
      <c r="K284" s="66">
        <f>IFERROR(VLOOKUP(J284,Jueces!$A$1:$B$11,2,FALSE),"")</f>
        <v>7</v>
      </c>
      <c r="L284" s="66" t="s">
        <v>812</v>
      </c>
      <c r="M284" s="66" t="s">
        <v>693</v>
      </c>
      <c r="N284" s="66" t="s">
        <v>1505</v>
      </c>
      <c r="O284" s="66" t="str">
        <f t="shared" ca="1" si="18"/>
        <v>SI</v>
      </c>
      <c r="P284" s="66" t="str">
        <f t="shared" si="19"/>
        <v>DIANOSOL</v>
      </c>
      <c r="Q284" s="66" t="s">
        <v>904</v>
      </c>
      <c r="R284" s="6" t="str">
        <f>VLOOKUP($Q284,Resultados!$A$1:$B$49,2,FALSE)</f>
        <v>Juicio Abreviado</v>
      </c>
      <c r="S284" s="73">
        <v>0.36458333333333331</v>
      </c>
      <c r="T284" s="75" t="str">
        <f t="shared" si="17"/>
        <v>NO</v>
      </c>
      <c r="U284" s="75"/>
      <c r="V284" s="66"/>
      <c r="W284" s="73">
        <v>0.375</v>
      </c>
      <c r="X284" s="66" t="s">
        <v>1506</v>
      </c>
      <c r="Y284" s="66"/>
      <c r="Z284" s="121" t="s">
        <v>770</v>
      </c>
      <c r="AA284" s="121" t="s">
        <v>1169</v>
      </c>
      <c r="AB284" s="279" t="s">
        <v>1174</v>
      </c>
      <c r="AC284" s="361"/>
    </row>
    <row r="285" spans="1:29" ht="38.25" outlineLevel="1" x14ac:dyDescent="0.2">
      <c r="A285" s="66">
        <v>283</v>
      </c>
      <c r="B285" s="68">
        <v>45100</v>
      </c>
      <c r="C285" s="73">
        <v>0.42638888888888887</v>
      </c>
      <c r="D285" s="66" t="s">
        <v>1312</v>
      </c>
      <c r="E285" s="67" t="s">
        <v>1514</v>
      </c>
      <c r="F285" s="66">
        <v>2</v>
      </c>
      <c r="G285" s="66" t="s">
        <v>568</v>
      </c>
      <c r="H285" s="68">
        <v>45110</v>
      </c>
      <c r="I285" s="66" t="s">
        <v>73</v>
      </c>
      <c r="J285" s="68" t="s">
        <v>78</v>
      </c>
      <c r="K285" s="66">
        <f>IFERROR(VLOOKUP(J285,Jueces!$A$1:$B$11,2,FALSE),"")</f>
        <v>8</v>
      </c>
      <c r="L285" s="66" t="s">
        <v>811</v>
      </c>
      <c r="M285" s="66" t="s">
        <v>1498</v>
      </c>
      <c r="N285" s="66" t="s">
        <v>899</v>
      </c>
      <c r="O285" s="66" t="str">
        <f t="shared" ca="1" si="18"/>
        <v>SI</v>
      </c>
      <c r="P285" s="66" t="str">
        <f t="shared" si="19"/>
        <v>DIANOSOL</v>
      </c>
      <c r="Q285" s="66" t="s">
        <v>899</v>
      </c>
      <c r="R285" s="6" t="str">
        <f>VLOOKUP($Q285,Resultados!$A$1:$B$49,2,FALSE)</f>
        <v>Libertad</v>
      </c>
      <c r="S285" s="66" t="s">
        <v>1297</v>
      </c>
      <c r="T285" s="75" t="str">
        <f t="shared" si="17"/>
        <v>NO</v>
      </c>
      <c r="U285" s="75"/>
      <c r="V285" s="66"/>
      <c r="W285" s="66" t="s">
        <v>1497</v>
      </c>
      <c r="X285" s="66" t="s">
        <v>1507</v>
      </c>
      <c r="Y285" s="66"/>
      <c r="Z285" s="121" t="s">
        <v>1041</v>
      </c>
      <c r="AA285" s="121" t="s">
        <v>1171</v>
      </c>
      <c r="AB285" s="121" t="s">
        <v>1173</v>
      </c>
      <c r="AC285" s="361"/>
    </row>
    <row r="286" spans="1:29" ht="76.5" outlineLevel="1" x14ac:dyDescent="0.2">
      <c r="A286" s="66">
        <v>284</v>
      </c>
      <c r="B286" s="68">
        <v>45100</v>
      </c>
      <c r="C286" s="73">
        <v>0.43958333333333338</v>
      </c>
      <c r="D286" s="66" t="s">
        <v>1314</v>
      </c>
      <c r="E286" s="67" t="s">
        <v>1515</v>
      </c>
      <c r="F286" s="66">
        <v>2</v>
      </c>
      <c r="G286" s="66" t="s">
        <v>29</v>
      </c>
      <c r="H286" s="68">
        <v>45110</v>
      </c>
      <c r="I286" s="66" t="s">
        <v>73</v>
      </c>
      <c r="J286" s="68" t="s">
        <v>35</v>
      </c>
      <c r="K286" s="66">
        <f>IFERROR(VLOOKUP(J286,Jueces!$A$1:$B$11,2,FALSE),"")</f>
        <v>3</v>
      </c>
      <c r="L286" s="66" t="s">
        <v>326</v>
      </c>
      <c r="M286" s="66" t="s">
        <v>1179</v>
      </c>
      <c r="N286" s="66" t="s">
        <v>1495</v>
      </c>
      <c r="O286" s="66" t="str">
        <f t="shared" ca="1" si="18"/>
        <v>SI</v>
      </c>
      <c r="P286" s="66" t="str">
        <f t="shared" si="19"/>
        <v>DIANOSOL</v>
      </c>
      <c r="Q286" s="66" t="s">
        <v>151</v>
      </c>
      <c r="R286" s="6" t="str">
        <f>VLOOKUP($Q286,Resultados!$A$1:$B$49,2,FALSE)</f>
        <v>Prisión Preventiva</v>
      </c>
      <c r="S286" s="73">
        <v>0.36249999999999999</v>
      </c>
      <c r="T286" s="75" t="str">
        <f t="shared" si="17"/>
        <v>NO</v>
      </c>
      <c r="U286" s="75"/>
      <c r="V286" s="66"/>
      <c r="W286" s="73">
        <v>0.37777777777777777</v>
      </c>
      <c r="X286" s="66" t="s">
        <v>1496</v>
      </c>
      <c r="Y286" s="66"/>
      <c r="Z286" s="121" t="s">
        <v>1042</v>
      </c>
      <c r="AA286" s="121" t="s">
        <v>743</v>
      </c>
      <c r="AB286" s="121" t="s">
        <v>1175</v>
      </c>
      <c r="AC286" s="361"/>
    </row>
    <row r="287" spans="1:29" ht="51" outlineLevel="1" x14ac:dyDescent="0.2">
      <c r="A287" s="66">
        <v>285</v>
      </c>
      <c r="B287" s="68">
        <v>45100</v>
      </c>
      <c r="C287" s="73">
        <v>0.42569444444444443</v>
      </c>
      <c r="D287" s="66" t="s">
        <v>1313</v>
      </c>
      <c r="E287" s="67" t="s">
        <v>1664</v>
      </c>
      <c r="F287" s="66">
        <v>2</v>
      </c>
      <c r="G287" s="66" t="s">
        <v>1441</v>
      </c>
      <c r="H287" s="68">
        <v>45114</v>
      </c>
      <c r="I287" s="66" t="s">
        <v>73</v>
      </c>
      <c r="J287" s="68" t="s">
        <v>1220</v>
      </c>
      <c r="K287" s="66">
        <v>2</v>
      </c>
      <c r="L287" s="66" t="s">
        <v>791</v>
      </c>
      <c r="M287" s="66" t="s">
        <v>692</v>
      </c>
      <c r="N287" s="66" t="s">
        <v>1675</v>
      </c>
      <c r="O287" s="66" t="str">
        <f t="shared" ca="1" si="18"/>
        <v>SI</v>
      </c>
      <c r="P287" s="66" t="str">
        <f t="shared" si="19"/>
        <v>DIANOSOL</v>
      </c>
      <c r="Q287" s="66" t="s">
        <v>904</v>
      </c>
      <c r="R287" s="6" t="str">
        <f>VLOOKUP($Q287,Resultados!$A$1:$B$49,2,FALSE)</f>
        <v>Juicio Abreviado</v>
      </c>
      <c r="S287" s="73">
        <v>0.33333333333333331</v>
      </c>
      <c r="T287" s="75" t="str">
        <f t="shared" si="17"/>
        <v>NO</v>
      </c>
      <c r="U287" s="75"/>
      <c r="V287" s="66"/>
      <c r="W287" s="73">
        <v>0.36458333333333331</v>
      </c>
      <c r="X287" s="66" t="s">
        <v>1660</v>
      </c>
      <c r="Y287" s="66"/>
      <c r="Z287" s="121" t="s">
        <v>359</v>
      </c>
      <c r="AA287" s="121" t="s">
        <v>743</v>
      </c>
      <c r="AB287" s="121" t="s">
        <v>1176</v>
      </c>
      <c r="AC287" s="361"/>
    </row>
    <row r="288" spans="1:29" ht="38.25" outlineLevel="1" x14ac:dyDescent="0.2">
      <c r="A288" s="66">
        <v>286</v>
      </c>
      <c r="B288" s="68">
        <v>45100</v>
      </c>
      <c r="C288" s="73">
        <v>0.39583333333333331</v>
      </c>
      <c r="D288" s="66" t="s">
        <v>1315</v>
      </c>
      <c r="E288" s="67" t="s">
        <v>1546</v>
      </c>
      <c r="F288" s="66">
        <v>3</v>
      </c>
      <c r="G288" s="66" t="s">
        <v>32</v>
      </c>
      <c r="H288" s="68">
        <v>45111</v>
      </c>
      <c r="I288" s="66" t="s">
        <v>73</v>
      </c>
      <c r="J288" s="68" t="s">
        <v>1221</v>
      </c>
      <c r="K288" s="66">
        <f>IFERROR(VLOOKUP(J288,Jueces!$A$1:$B$11,2,FALSE),"")</f>
        <v>7</v>
      </c>
      <c r="L288" s="66" t="s">
        <v>807</v>
      </c>
      <c r="M288" s="66" t="s">
        <v>1527</v>
      </c>
      <c r="N288" s="66" t="s">
        <v>1528</v>
      </c>
      <c r="O288" s="66" t="str">
        <f t="shared" ca="1" si="18"/>
        <v>SI</v>
      </c>
      <c r="P288" s="66" t="str">
        <f t="shared" si="19"/>
        <v>DIANOSOL</v>
      </c>
      <c r="Q288" s="66" t="s">
        <v>151</v>
      </c>
      <c r="R288" s="6" t="str">
        <f>VLOOKUP($Q288,Resultados!$A$1:$B$49,2,FALSE)</f>
        <v>Prisión Preventiva</v>
      </c>
      <c r="S288" s="66" t="s">
        <v>1427</v>
      </c>
      <c r="T288" s="75" t="str">
        <f t="shared" si="17"/>
        <v>NO</v>
      </c>
      <c r="U288" s="75"/>
      <c r="V288" s="66"/>
      <c r="W288" s="66" t="s">
        <v>1008</v>
      </c>
      <c r="X288" s="66" t="s">
        <v>1529</v>
      </c>
      <c r="Y288" s="66"/>
      <c r="Z288" s="121" t="s">
        <v>1042</v>
      </c>
      <c r="AA288" s="121" t="s">
        <v>1169</v>
      </c>
      <c r="AB288" s="121" t="s">
        <v>1175</v>
      </c>
      <c r="AC288" s="361"/>
    </row>
    <row r="289" spans="1:29" ht="63.75" outlineLevel="1" x14ac:dyDescent="0.2">
      <c r="A289" s="66">
        <v>287</v>
      </c>
      <c r="B289" s="68">
        <v>45100</v>
      </c>
      <c r="C289" s="73">
        <v>0.39097222222222222</v>
      </c>
      <c r="D289" s="66" t="s">
        <v>1316</v>
      </c>
      <c r="E289" s="67" t="s">
        <v>1359</v>
      </c>
      <c r="F289" s="66">
        <v>3</v>
      </c>
      <c r="G289" s="66" t="s">
        <v>43</v>
      </c>
      <c r="H289" s="68">
        <v>45104</v>
      </c>
      <c r="I289" s="66" t="s">
        <v>1086</v>
      </c>
      <c r="J289" s="68" t="s">
        <v>1220</v>
      </c>
      <c r="K289" s="66">
        <f>IFERROR(VLOOKUP(J289,Jueces!$A$1:$B$11,2,FALSE),"")</f>
        <v>1</v>
      </c>
      <c r="L289" s="66" t="s">
        <v>810</v>
      </c>
      <c r="M289" s="66" t="s">
        <v>693</v>
      </c>
      <c r="N289" s="66" t="s">
        <v>1371</v>
      </c>
      <c r="O289" s="66" t="str">
        <f t="shared" ca="1" si="18"/>
        <v>SI</v>
      </c>
      <c r="P289" s="66" t="str">
        <f t="shared" si="19"/>
        <v>DIANOSOL</v>
      </c>
      <c r="Q289" s="66" t="s">
        <v>151</v>
      </c>
      <c r="R289" s="6" t="str">
        <f>VLOOKUP($Q289,Resultados!$A$1:$B$49,2,FALSE)</f>
        <v>Prisión Preventiva</v>
      </c>
      <c r="S289" s="66" t="s">
        <v>1210</v>
      </c>
      <c r="T289" s="75" t="str">
        <f t="shared" si="17"/>
        <v>NO</v>
      </c>
      <c r="U289" s="75"/>
      <c r="V289" s="66"/>
      <c r="W289" s="66" t="s">
        <v>1372</v>
      </c>
      <c r="X289" s="66" t="s">
        <v>1377</v>
      </c>
      <c r="Y289" s="66"/>
      <c r="Z289" s="121" t="s">
        <v>1041</v>
      </c>
      <c r="AA289" s="121" t="s">
        <v>1171</v>
      </c>
      <c r="AB289" s="121" t="s">
        <v>1174</v>
      </c>
      <c r="AC289" s="361"/>
    </row>
    <row r="290" spans="1:29" ht="89.25" outlineLevel="1" x14ac:dyDescent="0.2">
      <c r="A290" s="6">
        <v>288</v>
      </c>
      <c r="B290" s="18">
        <v>45100</v>
      </c>
      <c r="C290" s="14">
        <v>0.38541666666666669</v>
      </c>
      <c r="D290" s="6" t="s">
        <v>1317</v>
      </c>
      <c r="E290" s="40" t="s">
        <v>1615</v>
      </c>
      <c r="F290" s="6">
        <v>2</v>
      </c>
      <c r="G290" s="6" t="s">
        <v>29</v>
      </c>
      <c r="H290" s="18">
        <v>45113</v>
      </c>
      <c r="I290" s="6" t="s">
        <v>73</v>
      </c>
      <c r="J290" s="68" t="s">
        <v>1222</v>
      </c>
      <c r="K290" s="66" t="s">
        <v>1346</v>
      </c>
      <c r="L290" s="6" t="s">
        <v>688</v>
      </c>
      <c r="M290" s="6" t="s">
        <v>1648</v>
      </c>
      <c r="N290" s="6" t="s">
        <v>1610</v>
      </c>
      <c r="O290" s="6" t="str">
        <f t="shared" ca="1" si="18"/>
        <v>SI</v>
      </c>
      <c r="P290" s="6" t="str">
        <f t="shared" si="19"/>
        <v>DIANOSOL</v>
      </c>
      <c r="Q290" s="6" t="s">
        <v>905</v>
      </c>
      <c r="R290" s="6" t="str">
        <f>VLOOKUP($Q290,Resultados!$A$1:$B$49,2,FALSE)</f>
        <v>Juicio Abreviado</v>
      </c>
      <c r="S290" s="6" t="s">
        <v>1065</v>
      </c>
      <c r="T290" s="71" t="str">
        <f t="shared" si="17"/>
        <v>NO</v>
      </c>
      <c r="U290" s="71"/>
      <c r="V290" s="6"/>
      <c r="W290" s="6" t="s">
        <v>1609</v>
      </c>
      <c r="X290" s="6" t="s">
        <v>1506</v>
      </c>
      <c r="Y290" s="6"/>
      <c r="Z290" s="279" t="s">
        <v>743</v>
      </c>
      <c r="AA290" s="121" t="s">
        <v>1169</v>
      </c>
      <c r="AB290" s="279" t="s">
        <v>1173</v>
      </c>
      <c r="AC290" s="361"/>
    </row>
    <row r="291" spans="1:29" ht="89.25" outlineLevel="1" x14ac:dyDescent="0.2">
      <c r="A291" s="109">
        <v>289</v>
      </c>
      <c r="B291" s="261">
        <v>45100</v>
      </c>
      <c r="C291" s="267">
        <v>0.4770833333333333</v>
      </c>
      <c r="D291" s="109" t="s">
        <v>1320</v>
      </c>
      <c r="E291" s="110" t="s">
        <v>1518</v>
      </c>
      <c r="F291" s="109">
        <v>3</v>
      </c>
      <c r="G291" s="66" t="s">
        <v>43</v>
      </c>
      <c r="H291" s="261">
        <v>45110</v>
      </c>
      <c r="I291" s="109" t="s">
        <v>1086</v>
      </c>
      <c r="J291" s="68" t="s">
        <v>1220</v>
      </c>
      <c r="K291" s="66">
        <f>IFERROR(VLOOKUP(J291,Jueces!$A$1:$B$11,2,FALSE),"")</f>
        <v>1</v>
      </c>
      <c r="L291" s="66" t="s">
        <v>812</v>
      </c>
      <c r="M291" s="66" t="s">
        <v>693</v>
      </c>
      <c r="N291" s="109" t="s">
        <v>1511</v>
      </c>
      <c r="O291" s="66" t="str">
        <f t="shared" ca="1" si="18"/>
        <v>SI</v>
      </c>
      <c r="P291" s="66" t="str">
        <f t="shared" si="19"/>
        <v>DIANOSOL</v>
      </c>
      <c r="Q291" s="109" t="s">
        <v>1512</v>
      </c>
      <c r="R291" s="6" t="str">
        <f>VLOOKUP($Q291,Resultados!$A$1:$B$49,2,FALSE)</f>
        <v>Juicio Abreviado</v>
      </c>
      <c r="S291" s="109" t="s">
        <v>1509</v>
      </c>
      <c r="T291" s="75" t="str">
        <f t="shared" si="17"/>
        <v>NO</v>
      </c>
      <c r="U291" s="111"/>
      <c r="V291" s="109"/>
      <c r="W291" s="109" t="s">
        <v>1510</v>
      </c>
      <c r="X291" s="109"/>
      <c r="Y291" s="109"/>
      <c r="Z291" s="279" t="s">
        <v>770</v>
      </c>
      <c r="AA291" s="121" t="s">
        <v>1171</v>
      </c>
      <c r="AB291" s="121" t="s">
        <v>1174</v>
      </c>
      <c r="AC291" s="361"/>
    </row>
    <row r="292" spans="1:29" ht="63.75" outlineLevel="1" x14ac:dyDescent="0.2">
      <c r="A292" s="66">
        <v>290</v>
      </c>
      <c r="B292" s="68">
        <v>45100</v>
      </c>
      <c r="C292" s="73">
        <v>0.5083333333333333</v>
      </c>
      <c r="D292" s="66" t="s">
        <v>1327</v>
      </c>
      <c r="E292" s="67" t="s">
        <v>1545</v>
      </c>
      <c r="F292" s="66">
        <v>1</v>
      </c>
      <c r="G292" s="66" t="s">
        <v>1441</v>
      </c>
      <c r="H292" s="68">
        <v>45111</v>
      </c>
      <c r="I292" s="66" t="s">
        <v>73</v>
      </c>
      <c r="J292" s="68" t="s">
        <v>35</v>
      </c>
      <c r="K292" s="66">
        <f>IFERROR(VLOOKUP(J292,Jueces!$A$1:$B$11,2,FALSE),"")</f>
        <v>3</v>
      </c>
      <c r="L292" s="66" t="s">
        <v>405</v>
      </c>
      <c r="M292" s="66" t="s">
        <v>1087</v>
      </c>
      <c r="N292" s="66" t="s">
        <v>1530</v>
      </c>
      <c r="O292" s="66" t="str">
        <f t="shared" ca="1" si="18"/>
        <v>SI</v>
      </c>
      <c r="P292" s="66" t="str">
        <f t="shared" si="19"/>
        <v>DIANOSOL</v>
      </c>
      <c r="Q292" s="66" t="s">
        <v>899</v>
      </c>
      <c r="R292" s="6" t="str">
        <f>VLOOKUP($Q292,Resultados!$A$1:$B$49,2,FALSE)</f>
        <v>Libertad</v>
      </c>
      <c r="S292" s="66" t="s">
        <v>73</v>
      </c>
      <c r="T292" s="75" t="str">
        <f t="shared" si="17"/>
        <v>NO</v>
      </c>
      <c r="U292" s="75"/>
      <c r="V292" s="66"/>
      <c r="W292" s="66" t="s">
        <v>1008</v>
      </c>
      <c r="X292" s="66" t="s">
        <v>1531</v>
      </c>
      <c r="Y292" s="66"/>
      <c r="Z292" s="121" t="s">
        <v>748</v>
      </c>
      <c r="AA292" s="121" t="s">
        <v>1171</v>
      </c>
      <c r="AB292" s="121" t="s">
        <v>1173</v>
      </c>
      <c r="AC292" s="361"/>
    </row>
    <row r="293" spans="1:29" ht="63.75" outlineLevel="1" x14ac:dyDescent="0.2">
      <c r="A293" s="66">
        <v>291</v>
      </c>
      <c r="B293" s="68">
        <v>45103</v>
      </c>
      <c r="C293" s="73">
        <v>0.39444444444444443</v>
      </c>
      <c r="D293" s="66" t="s">
        <v>1339</v>
      </c>
      <c r="E293" s="67" t="s">
        <v>1590</v>
      </c>
      <c r="F293" s="66">
        <v>3</v>
      </c>
      <c r="G293" s="66" t="s">
        <v>1443</v>
      </c>
      <c r="H293" s="68">
        <v>45112</v>
      </c>
      <c r="I293" s="66" t="s">
        <v>73</v>
      </c>
      <c r="J293" s="68" t="s">
        <v>1221</v>
      </c>
      <c r="K293" s="66">
        <f>IFERROR(VLOOKUP(J293,Jueces!$A$1:$B$11,2,FALSE),"")</f>
        <v>7</v>
      </c>
      <c r="L293" s="66" t="s">
        <v>812</v>
      </c>
      <c r="M293" s="66" t="s">
        <v>1579</v>
      </c>
      <c r="N293" s="66" t="s">
        <v>1580</v>
      </c>
      <c r="O293" s="66" t="str">
        <f t="shared" ca="1" si="18"/>
        <v>SI</v>
      </c>
      <c r="P293" s="66" t="str">
        <f t="shared" si="19"/>
        <v>DIANOSOL</v>
      </c>
      <c r="Q293" s="66" t="s">
        <v>909</v>
      </c>
      <c r="R293" s="6" t="str">
        <f>VLOOKUP($Q293,Resultados!$A$1:$B$49,2,FALSE)</f>
        <v>Suspensión de juicio a prueba</v>
      </c>
      <c r="S293" s="66" t="s">
        <v>1015</v>
      </c>
      <c r="T293" s="75" t="str">
        <f t="shared" si="17"/>
        <v>NO</v>
      </c>
      <c r="U293" s="75"/>
      <c r="V293" s="66"/>
      <c r="W293" s="66" t="s">
        <v>1578</v>
      </c>
      <c r="X293" s="66" t="s">
        <v>1581</v>
      </c>
      <c r="Y293" s="66"/>
      <c r="Z293" s="121" t="s">
        <v>770</v>
      </c>
      <c r="AA293" s="121" t="s">
        <v>1169</v>
      </c>
      <c r="AB293" s="121" t="s">
        <v>1173</v>
      </c>
      <c r="AC293" s="361"/>
    </row>
    <row r="294" spans="1:29" ht="89.25" outlineLevel="1" x14ac:dyDescent="0.2">
      <c r="A294" s="66">
        <v>292</v>
      </c>
      <c r="B294" s="68">
        <v>45103</v>
      </c>
      <c r="C294" s="73">
        <v>0.39652777777777781</v>
      </c>
      <c r="D294" s="66" t="s">
        <v>1340</v>
      </c>
      <c r="E294" s="67" t="s">
        <v>1617</v>
      </c>
      <c r="F294" s="66">
        <v>3</v>
      </c>
      <c r="G294" s="66" t="s">
        <v>283</v>
      </c>
      <c r="H294" s="68">
        <v>45113</v>
      </c>
      <c r="I294" s="66" t="s">
        <v>73</v>
      </c>
      <c r="J294" s="68" t="s">
        <v>35</v>
      </c>
      <c r="K294" s="66">
        <f>IFERROR(VLOOKUP(J294,Jueces!$A$1:$B$11,2,FALSE),"")</f>
        <v>3</v>
      </c>
      <c r="L294" s="66" t="s">
        <v>813</v>
      </c>
      <c r="M294" s="66" t="s">
        <v>693</v>
      </c>
      <c r="N294" s="66" t="s">
        <v>1614</v>
      </c>
      <c r="O294" s="66" t="str">
        <f t="shared" ca="1" si="18"/>
        <v>SI</v>
      </c>
      <c r="P294" s="66" t="str">
        <f t="shared" si="19"/>
        <v>DIANOSOL</v>
      </c>
      <c r="Q294" s="66" t="s">
        <v>905</v>
      </c>
      <c r="R294" s="6" t="str">
        <f>VLOOKUP($Q294,Resultados!$A$1:$B$49,2,FALSE)</f>
        <v>Juicio Abreviado</v>
      </c>
      <c r="S294" s="66" t="s">
        <v>1612</v>
      </c>
      <c r="T294" s="75" t="str">
        <f t="shared" si="17"/>
        <v>NO</v>
      </c>
      <c r="U294" s="75"/>
      <c r="V294" s="66"/>
      <c r="W294" s="66" t="s">
        <v>1138</v>
      </c>
      <c r="X294" s="66" t="s">
        <v>1613</v>
      </c>
      <c r="Y294" s="66"/>
      <c r="Z294" s="121" t="s">
        <v>770</v>
      </c>
      <c r="AA294" s="121" t="s">
        <v>1171</v>
      </c>
      <c r="AB294" s="121" t="s">
        <v>1175</v>
      </c>
      <c r="AC294" s="361"/>
    </row>
    <row r="295" spans="1:29" ht="38.25" outlineLevel="1" x14ac:dyDescent="0.2">
      <c r="A295" s="66">
        <v>293</v>
      </c>
      <c r="B295" s="68">
        <v>45103</v>
      </c>
      <c r="C295" s="73">
        <v>0.42569444444444443</v>
      </c>
      <c r="D295" s="66" t="s">
        <v>1342</v>
      </c>
      <c r="E295" s="67" t="s">
        <v>1542</v>
      </c>
      <c r="F295" s="66">
        <v>3</v>
      </c>
      <c r="G295" s="66" t="s">
        <v>283</v>
      </c>
      <c r="H295" s="68">
        <v>45111</v>
      </c>
      <c r="I295" s="66" t="s">
        <v>1086</v>
      </c>
      <c r="J295" s="68" t="s">
        <v>35</v>
      </c>
      <c r="K295" s="66">
        <f>IFERROR(VLOOKUP(J295,Jueces!$A$1:$B$11,2,FALSE),"")</f>
        <v>3</v>
      </c>
      <c r="L295" s="66" t="s">
        <v>812</v>
      </c>
      <c r="M295" s="66" t="s">
        <v>693</v>
      </c>
      <c r="N295" s="66" t="s">
        <v>235</v>
      </c>
      <c r="O295" s="66" t="str">
        <f t="shared" ca="1" si="18"/>
        <v>SI</v>
      </c>
      <c r="P295" s="66" t="str">
        <f t="shared" si="19"/>
        <v>DIANOSOL</v>
      </c>
      <c r="Q295" s="66" t="s">
        <v>151</v>
      </c>
      <c r="R295" s="6" t="str">
        <f>VLOOKUP($Q295,Resultados!$A$1:$B$49,2,FALSE)</f>
        <v>Prisión Preventiva</v>
      </c>
      <c r="S295" s="66" t="s">
        <v>1084</v>
      </c>
      <c r="T295" s="75" t="str">
        <f t="shared" si="17"/>
        <v>NO</v>
      </c>
      <c r="U295" s="75"/>
      <c r="V295" s="66"/>
      <c r="W295" s="66" t="s">
        <v>1536</v>
      </c>
      <c r="X295" s="66" t="s">
        <v>1537</v>
      </c>
      <c r="Y295" s="66"/>
      <c r="Z295" s="279" t="s">
        <v>1041</v>
      </c>
      <c r="AA295" s="121" t="s">
        <v>743</v>
      </c>
      <c r="AB295" s="279" t="s">
        <v>1173</v>
      </c>
      <c r="AC295" s="361"/>
    </row>
    <row r="296" spans="1:29" ht="38.25" outlineLevel="1" x14ac:dyDescent="0.2">
      <c r="A296" s="66">
        <v>294</v>
      </c>
      <c r="B296" s="68">
        <v>45103</v>
      </c>
      <c r="C296" s="73">
        <v>0.45416666666666666</v>
      </c>
      <c r="D296" s="66" t="s">
        <v>1343</v>
      </c>
      <c r="E296" s="67" t="s">
        <v>1519</v>
      </c>
      <c r="F296" s="66">
        <v>2</v>
      </c>
      <c r="G296" s="66" t="s">
        <v>1442</v>
      </c>
      <c r="H296" s="68">
        <v>45110</v>
      </c>
      <c r="I296" s="66" t="s">
        <v>1086</v>
      </c>
      <c r="J296" s="68" t="s">
        <v>78</v>
      </c>
      <c r="K296" s="66">
        <f>IFERROR(VLOOKUP(J296,Jueces!$A$1:$B$11,2,FALSE),"")</f>
        <v>8</v>
      </c>
      <c r="L296" s="66" t="s">
        <v>1502</v>
      </c>
      <c r="M296" s="66" t="s">
        <v>1179</v>
      </c>
      <c r="N296" s="66" t="s">
        <v>1500</v>
      </c>
      <c r="O296" s="66" t="str">
        <f t="shared" ca="1" si="18"/>
        <v>SI</v>
      </c>
      <c r="P296" s="66" t="str">
        <f t="shared" si="19"/>
        <v>DIANOSOL</v>
      </c>
      <c r="Q296" s="66" t="s">
        <v>905</v>
      </c>
      <c r="R296" s="6" t="str">
        <f>VLOOKUP($Q296,Resultados!$A$1:$B$49,2,FALSE)</f>
        <v>Juicio Abreviado</v>
      </c>
      <c r="S296" s="73">
        <v>0.3923611111111111</v>
      </c>
      <c r="T296" s="75" t="str">
        <f t="shared" si="17"/>
        <v>SI</v>
      </c>
      <c r="U296" s="75"/>
      <c r="V296" s="66"/>
      <c r="W296" s="73">
        <v>0.40208333333333335</v>
      </c>
      <c r="X296" s="66" t="s">
        <v>1501</v>
      </c>
      <c r="Y296" s="66"/>
      <c r="Z296" s="279" t="s">
        <v>1041</v>
      </c>
      <c r="AA296" s="121" t="s">
        <v>743</v>
      </c>
      <c r="AB296" s="121" t="s">
        <v>1173</v>
      </c>
      <c r="AC296" s="361"/>
    </row>
    <row r="297" spans="1:29" ht="89.25" outlineLevel="1" x14ac:dyDescent="0.2">
      <c r="A297" s="66">
        <v>295</v>
      </c>
      <c r="B297" s="68">
        <v>45103</v>
      </c>
      <c r="C297" s="73">
        <v>0.45416666666666666</v>
      </c>
      <c r="D297" s="66" t="s">
        <v>1344</v>
      </c>
      <c r="E297" s="67" t="s">
        <v>1605</v>
      </c>
      <c r="F297" s="66">
        <v>2</v>
      </c>
      <c r="G297" s="66" t="s">
        <v>568</v>
      </c>
      <c r="H297" s="68">
        <v>45113</v>
      </c>
      <c r="I297" s="66" t="s">
        <v>1086</v>
      </c>
      <c r="J297" s="68" t="s">
        <v>35</v>
      </c>
      <c r="K297" s="66">
        <f>IFERROR(VLOOKUP(J297,Jueces!$A$1:$B$11,2,FALSE),"")</f>
        <v>3</v>
      </c>
      <c r="L297" s="66" t="s">
        <v>313</v>
      </c>
      <c r="M297" s="66" t="s">
        <v>1347</v>
      </c>
      <c r="N297" s="66" t="s">
        <v>1603</v>
      </c>
      <c r="O297" s="66" t="str">
        <f t="shared" ca="1" si="18"/>
        <v>SI</v>
      </c>
      <c r="P297" s="66" t="str">
        <f t="shared" si="19"/>
        <v>DIANOSOL</v>
      </c>
      <c r="Q297" s="66" t="s">
        <v>899</v>
      </c>
      <c r="R297" s="6" t="str">
        <f>VLOOKUP($Q297,Resultados!$A$1:$B$49,2,FALSE)</f>
        <v>Libertad</v>
      </c>
      <c r="S297" s="66" t="s">
        <v>1193</v>
      </c>
      <c r="T297" s="75" t="str">
        <f t="shared" si="17"/>
        <v>NO</v>
      </c>
      <c r="U297" s="75"/>
      <c r="V297" s="66"/>
      <c r="W297" s="66" t="s">
        <v>1276</v>
      </c>
      <c r="X297" s="66" t="s">
        <v>1604</v>
      </c>
      <c r="Y297" s="66"/>
      <c r="Z297" s="121" t="s">
        <v>748</v>
      </c>
      <c r="AA297" s="121" t="s">
        <v>1171</v>
      </c>
      <c r="AB297" s="121" t="s">
        <v>1174</v>
      </c>
      <c r="AC297" s="361"/>
    </row>
    <row r="298" spans="1:29" ht="63.75" outlineLevel="1" x14ac:dyDescent="0.2">
      <c r="A298" s="66">
        <v>296</v>
      </c>
      <c r="B298" s="68">
        <v>45103</v>
      </c>
      <c r="C298" s="73">
        <v>0.47013888888888888</v>
      </c>
      <c r="D298" s="66" t="s">
        <v>1345</v>
      </c>
      <c r="E298" s="67" t="s">
        <v>1541</v>
      </c>
      <c r="F298" s="66">
        <v>2</v>
      </c>
      <c r="G298" s="66" t="s">
        <v>1443</v>
      </c>
      <c r="H298" s="68">
        <v>45111</v>
      </c>
      <c r="I298" s="66" t="s">
        <v>1086</v>
      </c>
      <c r="J298" s="68" t="s">
        <v>1222</v>
      </c>
      <c r="K298" s="66" t="s">
        <v>1520</v>
      </c>
      <c r="L298" s="66" t="s">
        <v>810</v>
      </c>
      <c r="M298" s="66" t="s">
        <v>1007</v>
      </c>
      <c r="N298" s="66" t="s">
        <v>235</v>
      </c>
      <c r="O298" s="66" t="str">
        <f t="shared" ca="1" si="18"/>
        <v>SI</v>
      </c>
      <c r="P298" s="66" t="str">
        <f t="shared" si="19"/>
        <v>DIANOSOL</v>
      </c>
      <c r="Q298" s="66" t="s">
        <v>151</v>
      </c>
      <c r="R298" s="6" t="str">
        <f>VLOOKUP($Q298,Resultados!$A$1:$B$49,2,FALSE)</f>
        <v>Prisión Preventiva</v>
      </c>
      <c r="S298" s="66" t="s">
        <v>1086</v>
      </c>
      <c r="T298" s="75" t="str">
        <f t="shared" ref="T298:T361" si="20">IF(G298=$J$1,"SI","NO")</f>
        <v>NO</v>
      </c>
      <c r="U298" s="75"/>
      <c r="V298" s="66"/>
      <c r="W298" s="66" t="s">
        <v>1396</v>
      </c>
      <c r="X298" s="66"/>
      <c r="Y298" s="66"/>
      <c r="Z298" s="121" t="s">
        <v>1042</v>
      </c>
      <c r="AA298" s="121" t="s">
        <v>743</v>
      </c>
      <c r="AB298" s="121" t="s">
        <v>1175</v>
      </c>
      <c r="AC298" s="361"/>
    </row>
    <row r="299" spans="1:29" ht="51" outlineLevel="1" x14ac:dyDescent="0.2">
      <c r="A299" s="66">
        <v>297</v>
      </c>
      <c r="B299" s="68">
        <v>45103</v>
      </c>
      <c r="C299" s="73">
        <v>0.55277777777777781</v>
      </c>
      <c r="D299" s="66" t="s">
        <v>1348</v>
      </c>
      <c r="E299" s="67" t="s">
        <v>1591</v>
      </c>
      <c r="F299" s="66">
        <v>4</v>
      </c>
      <c r="G299" s="66" t="s">
        <v>29</v>
      </c>
      <c r="H299" s="68">
        <v>45112</v>
      </c>
      <c r="I299" s="66" t="s">
        <v>73</v>
      </c>
      <c r="J299" s="68" t="s">
        <v>1222</v>
      </c>
      <c r="K299" s="66" t="s">
        <v>1436</v>
      </c>
      <c r="L299" s="66" t="s">
        <v>814</v>
      </c>
      <c r="M299" s="66" t="s">
        <v>1350</v>
      </c>
      <c r="N299" s="66" t="s">
        <v>1588</v>
      </c>
      <c r="O299" s="66" t="str">
        <f t="shared" ca="1" si="18"/>
        <v>SI</v>
      </c>
      <c r="P299" s="66" t="str">
        <f t="shared" si="19"/>
        <v>DIANOSOL</v>
      </c>
      <c r="Q299" s="66" t="s">
        <v>151</v>
      </c>
      <c r="R299" s="6" t="str">
        <f>VLOOKUP($Q299,Resultados!$A$1:$B$49,2,FALSE)</f>
        <v>Prisión Preventiva</v>
      </c>
      <c r="S299" s="66" t="s">
        <v>1587</v>
      </c>
      <c r="T299" s="75" t="str">
        <f t="shared" si="20"/>
        <v>NO</v>
      </c>
      <c r="U299" s="75"/>
      <c r="V299" s="66"/>
      <c r="W299" s="66" t="s">
        <v>1497</v>
      </c>
      <c r="X299" s="66" t="s">
        <v>1589</v>
      </c>
      <c r="Y299" s="66"/>
      <c r="Z299" s="121" t="s">
        <v>1041</v>
      </c>
      <c r="AA299" s="121" t="s">
        <v>1171</v>
      </c>
      <c r="AB299" s="121" t="s">
        <v>1175</v>
      </c>
      <c r="AC299" s="361"/>
    </row>
    <row r="300" spans="1:29" ht="38.25" outlineLevel="1" x14ac:dyDescent="0.2">
      <c r="A300" s="66">
        <v>298</v>
      </c>
      <c r="B300" s="68">
        <v>45104</v>
      </c>
      <c r="C300" s="73" t="s">
        <v>76</v>
      </c>
      <c r="D300" s="66" t="s">
        <v>1411</v>
      </c>
      <c r="E300" s="67" t="s">
        <v>1544</v>
      </c>
      <c r="F300" s="66">
        <v>2</v>
      </c>
      <c r="G300" s="66" t="s">
        <v>1442</v>
      </c>
      <c r="H300" s="68">
        <v>45111</v>
      </c>
      <c r="I300" s="66" t="s">
        <v>73</v>
      </c>
      <c r="J300" s="68" t="s">
        <v>1220</v>
      </c>
      <c r="K300" s="66">
        <f>IFERROR(VLOOKUP(J300,Jueces!$A$1:$B$11,2,FALSE),"")</f>
        <v>1</v>
      </c>
      <c r="L300" s="66" t="s">
        <v>185</v>
      </c>
      <c r="M300" s="66" t="s">
        <v>1179</v>
      </c>
      <c r="N300" s="66" t="s">
        <v>1533</v>
      </c>
      <c r="O300" s="66" t="str">
        <f t="shared" ca="1" si="18"/>
        <v>SI</v>
      </c>
      <c r="P300" s="66" t="str">
        <f t="shared" si="19"/>
        <v>DIANOSOL</v>
      </c>
      <c r="Q300" s="66" t="s">
        <v>904</v>
      </c>
      <c r="R300" s="6" t="str">
        <f>VLOOKUP($Q300,Resultados!$A$1:$B$49,2,FALSE)</f>
        <v>Juicio Abreviado</v>
      </c>
      <c r="S300" s="66" t="s">
        <v>1532</v>
      </c>
      <c r="T300" s="75" t="str">
        <f t="shared" si="20"/>
        <v>SI</v>
      </c>
      <c r="U300" s="75"/>
      <c r="V300" s="66"/>
      <c r="W300" s="66" t="s">
        <v>686</v>
      </c>
      <c r="X300" s="66"/>
      <c r="Y300" s="66"/>
      <c r="Z300" s="279" t="s">
        <v>743</v>
      </c>
      <c r="AA300" s="121" t="s">
        <v>1169</v>
      </c>
      <c r="AB300" s="279" t="s">
        <v>1176</v>
      </c>
      <c r="AC300" s="361"/>
    </row>
    <row r="301" spans="1:29" ht="38.25" outlineLevel="1" x14ac:dyDescent="0.2">
      <c r="A301" s="66">
        <v>299</v>
      </c>
      <c r="B301" s="68">
        <v>45104</v>
      </c>
      <c r="C301" s="66" t="s">
        <v>76</v>
      </c>
      <c r="D301" s="66" t="s">
        <v>1365</v>
      </c>
      <c r="E301" s="67" t="s">
        <v>1470</v>
      </c>
      <c r="F301" s="66">
        <v>3</v>
      </c>
      <c r="G301" s="66" t="s">
        <v>283</v>
      </c>
      <c r="H301" s="68">
        <v>45107</v>
      </c>
      <c r="I301" s="66" t="s">
        <v>73</v>
      </c>
      <c r="J301" s="68" t="s">
        <v>1223</v>
      </c>
      <c r="K301" s="66" t="s">
        <v>1326</v>
      </c>
      <c r="L301" s="66" t="s">
        <v>811</v>
      </c>
      <c r="M301" s="66" t="s">
        <v>694</v>
      </c>
      <c r="N301" s="66" t="s">
        <v>1457</v>
      </c>
      <c r="O301" s="66" t="str">
        <f t="shared" ca="1" si="18"/>
        <v>SI</v>
      </c>
      <c r="P301" s="66" t="str">
        <f t="shared" si="19"/>
        <v>DIANOSOL</v>
      </c>
      <c r="Q301" s="66" t="s">
        <v>904</v>
      </c>
      <c r="R301" s="6" t="str">
        <f>VLOOKUP($Q301,Resultados!$A$1:$B$49,2,FALSE)</f>
        <v>Juicio Abreviado</v>
      </c>
      <c r="S301" s="66" t="s">
        <v>1086</v>
      </c>
      <c r="T301" s="75" t="str">
        <f t="shared" si="20"/>
        <v>NO</v>
      </c>
      <c r="U301" s="75"/>
      <c r="V301" s="66"/>
      <c r="W301" s="66" t="s">
        <v>1458</v>
      </c>
      <c r="X301" s="66" t="s">
        <v>1459</v>
      </c>
      <c r="Y301" s="66"/>
      <c r="Z301" s="279" t="s">
        <v>1042</v>
      </c>
      <c r="AA301" s="121" t="s">
        <v>1171</v>
      </c>
      <c r="AB301" s="121" t="s">
        <v>1175</v>
      </c>
      <c r="AC301" s="361"/>
    </row>
    <row r="302" spans="1:29" ht="114.75" outlineLevel="1" x14ac:dyDescent="0.2">
      <c r="A302" s="66">
        <v>300</v>
      </c>
      <c r="B302" s="68">
        <v>45104</v>
      </c>
      <c r="C302" s="66" t="s">
        <v>75</v>
      </c>
      <c r="D302" s="66" t="s">
        <v>1368</v>
      </c>
      <c r="E302" s="67" t="s">
        <v>1369</v>
      </c>
      <c r="F302" s="66">
        <v>3</v>
      </c>
      <c r="G302" s="66" t="s">
        <v>43</v>
      </c>
      <c r="H302" s="68">
        <v>45107</v>
      </c>
      <c r="I302" s="73" t="s">
        <v>75</v>
      </c>
      <c r="J302" s="68" t="s">
        <v>35</v>
      </c>
      <c r="K302" s="66">
        <f>IFERROR(VLOOKUP(J302,Jueces!$A$1:$B$11,2,FALSE),"")</f>
        <v>3</v>
      </c>
      <c r="L302" s="66" t="s">
        <v>812</v>
      </c>
      <c r="M302" s="66" t="s">
        <v>1386</v>
      </c>
      <c r="N302" s="66" t="s">
        <v>1475</v>
      </c>
      <c r="O302" s="66" t="str">
        <f t="shared" ca="1" si="18"/>
        <v>SI</v>
      </c>
      <c r="P302" s="66" t="str">
        <f t="shared" si="19"/>
        <v>DIANOSOL</v>
      </c>
      <c r="Q302" s="66" t="s">
        <v>905</v>
      </c>
      <c r="R302" s="6" t="str">
        <f>VLOOKUP($Q302,Resultados!$A$1:$B$49,2,FALSE)</f>
        <v>Juicio Abreviado</v>
      </c>
      <c r="S302" s="66" t="s">
        <v>75</v>
      </c>
      <c r="T302" s="75" t="str">
        <f t="shared" si="20"/>
        <v>NO</v>
      </c>
      <c r="U302" s="75"/>
      <c r="V302" s="66"/>
      <c r="W302" s="66" t="s">
        <v>1244</v>
      </c>
      <c r="X302" s="66"/>
      <c r="Y302" s="66"/>
      <c r="Z302" s="121" t="s">
        <v>743</v>
      </c>
      <c r="AA302" s="121" t="s">
        <v>1169</v>
      </c>
      <c r="AB302" s="121" t="s">
        <v>1176</v>
      </c>
      <c r="AC302" s="361"/>
    </row>
    <row r="303" spans="1:29" ht="25.5" outlineLevel="1" x14ac:dyDescent="0.2">
      <c r="A303" s="66">
        <v>301</v>
      </c>
      <c r="B303" s="68">
        <v>45104</v>
      </c>
      <c r="C303" s="66" t="s">
        <v>75</v>
      </c>
      <c r="D303" s="66" t="s">
        <v>1366</v>
      </c>
      <c r="E303" s="67" t="s">
        <v>1668</v>
      </c>
      <c r="F303" s="66">
        <v>3</v>
      </c>
      <c r="G303" s="66" t="s">
        <v>32</v>
      </c>
      <c r="H303" s="68">
        <v>45114</v>
      </c>
      <c r="I303" s="66" t="s">
        <v>1086</v>
      </c>
      <c r="J303" s="68" t="s">
        <v>1220</v>
      </c>
      <c r="K303" s="66">
        <f>IFERROR(VLOOKUP(J303,Jueces!$A$1:$B$11,2,FALSE),"")</f>
        <v>1</v>
      </c>
      <c r="L303" s="66" t="s">
        <v>284</v>
      </c>
      <c r="M303" s="66" t="s">
        <v>693</v>
      </c>
      <c r="N303" s="66" t="s">
        <v>1932</v>
      </c>
      <c r="O303" s="66" t="str">
        <f t="shared" ca="1" si="18"/>
        <v>SI</v>
      </c>
      <c r="P303" s="66" t="str">
        <f t="shared" si="19"/>
        <v>DIANOSOL</v>
      </c>
      <c r="Q303" s="66" t="s">
        <v>905</v>
      </c>
      <c r="R303" s="6" t="str">
        <f>VLOOKUP($Q303,Resultados!$A$1:$B$49,2,FALSE)</f>
        <v>Juicio Abreviado</v>
      </c>
      <c r="S303" s="66" t="s">
        <v>1450</v>
      </c>
      <c r="T303" s="75" t="str">
        <f t="shared" si="20"/>
        <v>NO</v>
      </c>
      <c r="U303" s="75"/>
      <c r="V303" s="66"/>
      <c r="W303" s="66" t="s">
        <v>1445</v>
      </c>
      <c r="X303" s="66" t="s">
        <v>1390</v>
      </c>
      <c r="Y303" s="66"/>
      <c r="Z303" s="121" t="s">
        <v>743</v>
      </c>
      <c r="AA303" s="121" t="s">
        <v>1169</v>
      </c>
      <c r="AB303" s="121" t="s">
        <v>1176</v>
      </c>
      <c r="AC303" s="361"/>
    </row>
    <row r="304" spans="1:29" ht="25.5" outlineLevel="1" x14ac:dyDescent="0.2">
      <c r="A304" s="66">
        <v>302</v>
      </c>
      <c r="B304" s="68">
        <v>45104</v>
      </c>
      <c r="C304" s="66" t="s">
        <v>75</v>
      </c>
      <c r="D304" s="66" t="s">
        <v>1370</v>
      </c>
      <c r="E304" s="67" t="s">
        <v>1665</v>
      </c>
      <c r="F304" s="66">
        <v>3</v>
      </c>
      <c r="G304" s="66" t="s">
        <v>43</v>
      </c>
      <c r="H304" s="68">
        <v>45114</v>
      </c>
      <c r="I304" s="66" t="s">
        <v>73</v>
      </c>
      <c r="J304" s="68" t="s">
        <v>1222</v>
      </c>
      <c r="K304" s="66" t="s">
        <v>1346</v>
      </c>
      <c r="L304" s="66" t="s">
        <v>799</v>
      </c>
      <c r="M304" s="66" t="s">
        <v>693</v>
      </c>
      <c r="N304" s="66" t="s">
        <v>1649</v>
      </c>
      <c r="O304" s="66" t="str">
        <f t="shared" ca="1" si="18"/>
        <v>SI</v>
      </c>
      <c r="P304" s="66" t="str">
        <f t="shared" si="19"/>
        <v>DIANOSOL</v>
      </c>
      <c r="Q304" s="66" t="s">
        <v>151</v>
      </c>
      <c r="R304" s="6" t="str">
        <f>VLOOKUP($Q304,Resultados!$A$1:$B$49,2,FALSE)</f>
        <v>Prisión Preventiva</v>
      </c>
      <c r="S304" s="66" t="s">
        <v>1650</v>
      </c>
      <c r="T304" s="75" t="str">
        <f t="shared" si="20"/>
        <v>NO</v>
      </c>
      <c r="U304" s="75"/>
      <c r="V304" s="66"/>
      <c r="W304" s="66" t="s">
        <v>1341</v>
      </c>
      <c r="X304" s="66"/>
      <c r="Y304" s="66"/>
      <c r="Z304" s="121" t="s">
        <v>743</v>
      </c>
      <c r="AA304" s="121" t="s">
        <v>743</v>
      </c>
      <c r="AB304" s="121" t="s">
        <v>1174</v>
      </c>
      <c r="AC304" s="361"/>
    </row>
    <row r="305" spans="1:29" ht="38.25" outlineLevel="1" x14ac:dyDescent="0.2">
      <c r="A305" s="66">
        <v>303</v>
      </c>
      <c r="B305" s="68">
        <v>45104</v>
      </c>
      <c r="C305" s="73">
        <v>0.4375</v>
      </c>
      <c r="D305" s="66" t="s">
        <v>1074</v>
      </c>
      <c r="E305" s="67" t="s">
        <v>1474</v>
      </c>
      <c r="F305" s="66">
        <v>4</v>
      </c>
      <c r="G305" s="66" t="s">
        <v>1443</v>
      </c>
      <c r="H305" s="68">
        <v>45107</v>
      </c>
      <c r="I305" s="73">
        <v>0.33333333333333331</v>
      </c>
      <c r="J305" s="68" t="s">
        <v>31</v>
      </c>
      <c r="K305" s="66">
        <f>IFERROR(VLOOKUP(J305,Jueces!$A$1:$B$11,2,FALSE),"")</f>
        <v>2</v>
      </c>
      <c r="L305" s="66" t="s">
        <v>1453</v>
      </c>
      <c r="M305" s="66" t="s">
        <v>701</v>
      </c>
      <c r="N305" s="66" t="s">
        <v>1454</v>
      </c>
      <c r="O305" s="66" t="str">
        <f t="shared" ca="1" si="18"/>
        <v>SI</v>
      </c>
      <c r="P305" s="66" t="str">
        <f t="shared" si="19"/>
        <v>DIANOSOL</v>
      </c>
      <c r="Q305" s="66" t="s">
        <v>151</v>
      </c>
      <c r="R305" s="6" t="str">
        <f>VLOOKUP($Q305,Resultados!$A$1:$B$49,2,FALSE)</f>
        <v>Prisión Preventiva</v>
      </c>
      <c r="S305" s="66"/>
      <c r="T305" s="75" t="str">
        <f t="shared" si="20"/>
        <v>NO</v>
      </c>
      <c r="U305" s="75"/>
      <c r="V305" s="66"/>
      <c r="W305" s="66"/>
      <c r="X305" s="66"/>
      <c r="Y305" s="66"/>
      <c r="Z305" s="279" t="s">
        <v>748</v>
      </c>
      <c r="AA305" s="121" t="s">
        <v>743</v>
      </c>
      <c r="AB305" s="279" t="s">
        <v>1176</v>
      </c>
      <c r="AC305" s="361"/>
    </row>
    <row r="306" spans="1:29" ht="38.25" outlineLevel="1" x14ac:dyDescent="0.2">
      <c r="A306" s="66">
        <v>304</v>
      </c>
      <c r="B306" s="68">
        <v>45104</v>
      </c>
      <c r="C306" s="66" t="s">
        <v>77</v>
      </c>
      <c r="D306" s="66" t="s">
        <v>1385</v>
      </c>
      <c r="E306" s="67" t="s">
        <v>1543</v>
      </c>
      <c r="F306" s="66">
        <v>2</v>
      </c>
      <c r="G306" s="66" t="s">
        <v>29</v>
      </c>
      <c r="H306" s="68">
        <v>45111</v>
      </c>
      <c r="I306" s="68" t="s">
        <v>73</v>
      </c>
      <c r="J306" s="68" t="s">
        <v>78</v>
      </c>
      <c r="K306" s="66">
        <f>IFERROR(VLOOKUP(J306,Jueces!$A$1:$B$11,2,FALSE),"")</f>
        <v>8</v>
      </c>
      <c r="L306" s="66" t="s">
        <v>812</v>
      </c>
      <c r="M306" s="66" t="s">
        <v>783</v>
      </c>
      <c r="N306" s="66" t="s">
        <v>1534</v>
      </c>
      <c r="O306" s="66" t="str">
        <f t="shared" ca="1" si="18"/>
        <v>SI</v>
      </c>
      <c r="P306" s="66" t="str">
        <f t="shared" si="19"/>
        <v>DIANOSOL</v>
      </c>
      <c r="Q306" s="66" t="s">
        <v>905</v>
      </c>
      <c r="R306" s="6" t="str">
        <f>VLOOKUP($Q306,Resultados!$A$1:$B$49,2,FALSE)</f>
        <v>Juicio Abreviado</v>
      </c>
      <c r="S306" s="66" t="s">
        <v>1237</v>
      </c>
      <c r="T306" s="75" t="str">
        <f t="shared" si="20"/>
        <v>NO</v>
      </c>
      <c r="U306" s="75"/>
      <c r="V306" s="66"/>
      <c r="W306" s="66" t="s">
        <v>1231</v>
      </c>
      <c r="X306" s="66" t="s">
        <v>1535</v>
      </c>
      <c r="Y306" s="66"/>
      <c r="Z306" s="279" t="s">
        <v>770</v>
      </c>
      <c r="AA306" s="121" t="s">
        <v>1171</v>
      </c>
      <c r="AB306" s="121" t="s">
        <v>1174</v>
      </c>
      <c r="AC306" s="361"/>
    </row>
    <row r="307" spans="1:29" ht="102" outlineLevel="1" x14ac:dyDescent="0.2">
      <c r="A307" s="66">
        <v>305</v>
      </c>
      <c r="B307" s="68">
        <v>45104</v>
      </c>
      <c r="C307" s="73">
        <v>0.45833333333333331</v>
      </c>
      <c r="D307" s="66" t="s">
        <v>1383</v>
      </c>
      <c r="E307" s="67" t="s">
        <v>1540</v>
      </c>
      <c r="F307" s="66">
        <v>2</v>
      </c>
      <c r="G307" s="66" t="s">
        <v>43</v>
      </c>
      <c r="H307" s="68">
        <v>45111</v>
      </c>
      <c r="I307" s="66" t="s">
        <v>1086</v>
      </c>
      <c r="J307" s="68" t="s">
        <v>1221</v>
      </c>
      <c r="K307" s="66">
        <f>IFERROR(VLOOKUP(J307,Jueces!$A$1:$B$11,2,FALSE),"")</f>
        <v>7</v>
      </c>
      <c r="L307" s="66" t="s">
        <v>1502</v>
      </c>
      <c r="M307" s="66" t="s">
        <v>1179</v>
      </c>
      <c r="N307" s="66" t="s">
        <v>235</v>
      </c>
      <c r="O307" s="66" t="str">
        <f t="shared" ca="1" si="18"/>
        <v>SI</v>
      </c>
      <c r="P307" s="66" t="str">
        <f t="shared" si="19"/>
        <v>DIANOSOL</v>
      </c>
      <c r="Q307" s="66" t="s">
        <v>151</v>
      </c>
      <c r="R307" s="6" t="str">
        <f>VLOOKUP($Q307,Resultados!$A$1:$B$49,2,FALSE)</f>
        <v>Prisión Preventiva</v>
      </c>
      <c r="S307" s="66" t="s">
        <v>1538</v>
      </c>
      <c r="T307" s="75" t="str">
        <f t="shared" si="20"/>
        <v>NO</v>
      </c>
      <c r="U307" s="75"/>
      <c r="V307" s="66"/>
      <c r="W307" s="66" t="s">
        <v>1465</v>
      </c>
      <c r="X307" s="66" t="s">
        <v>1539</v>
      </c>
      <c r="Y307" s="66"/>
      <c r="Z307" s="121" t="s">
        <v>748</v>
      </c>
      <c r="AA307" s="121" t="s">
        <v>1169</v>
      </c>
      <c r="AB307" s="121" t="s">
        <v>1177</v>
      </c>
      <c r="AC307" s="361"/>
    </row>
    <row r="308" spans="1:29" ht="38.25" outlineLevel="1" x14ac:dyDescent="0.2">
      <c r="A308" s="66">
        <v>306</v>
      </c>
      <c r="B308" s="68">
        <v>45104</v>
      </c>
      <c r="C308" s="66" t="s">
        <v>77</v>
      </c>
      <c r="D308" s="66" t="s">
        <v>1384</v>
      </c>
      <c r="E308" s="67" t="s">
        <v>1606</v>
      </c>
      <c r="F308" s="66">
        <v>2</v>
      </c>
      <c r="G308" s="66" t="s">
        <v>1441</v>
      </c>
      <c r="H308" s="68">
        <v>45113</v>
      </c>
      <c r="I308" s="68" t="s">
        <v>1086</v>
      </c>
      <c r="J308" s="68" t="s">
        <v>78</v>
      </c>
      <c r="K308" s="66">
        <f>IFERROR(VLOOKUP(J308,Jueces!$A$1:$B$11,2,FALSE),"")</f>
        <v>8</v>
      </c>
      <c r="L308" s="66" t="s">
        <v>582</v>
      </c>
      <c r="M308" s="66" t="s">
        <v>693</v>
      </c>
      <c r="N308" s="66" t="s">
        <v>621</v>
      </c>
      <c r="O308" s="66" t="str">
        <f t="shared" ca="1" si="18"/>
        <v>SI</v>
      </c>
      <c r="P308" s="66" t="str">
        <f t="shared" si="19"/>
        <v>DIANOSOL</v>
      </c>
      <c r="Q308" s="66" t="s">
        <v>151</v>
      </c>
      <c r="R308" s="6" t="str">
        <f>VLOOKUP($Q308,Resultados!$A$1:$B$49,2,FALSE)</f>
        <v>Prisión Preventiva</v>
      </c>
      <c r="S308" s="73" t="s">
        <v>1396</v>
      </c>
      <c r="T308" s="75" t="str">
        <f t="shared" si="20"/>
        <v>NO</v>
      </c>
      <c r="U308" s="75"/>
      <c r="V308" s="66"/>
      <c r="W308" s="66" t="s">
        <v>1592</v>
      </c>
      <c r="X308" s="66"/>
      <c r="Y308" s="66"/>
      <c r="Z308" s="121" t="s">
        <v>743</v>
      </c>
      <c r="AA308" s="121" t="s">
        <v>743</v>
      </c>
      <c r="AB308" s="121" t="s">
        <v>1173</v>
      </c>
      <c r="AC308" s="361"/>
    </row>
    <row r="309" spans="1:29" ht="38.25" outlineLevel="1" x14ac:dyDescent="0.2">
      <c r="A309" s="66">
        <v>307</v>
      </c>
      <c r="B309" s="68">
        <v>45104</v>
      </c>
      <c r="C309" s="73">
        <v>0.53125</v>
      </c>
      <c r="D309" s="66" t="s">
        <v>1113</v>
      </c>
      <c r="E309" s="67" t="s">
        <v>1576</v>
      </c>
      <c r="F309" s="66">
        <v>2</v>
      </c>
      <c r="G309" s="66" t="s">
        <v>32</v>
      </c>
      <c r="H309" s="68">
        <v>45112</v>
      </c>
      <c r="I309" s="68" t="s">
        <v>1086</v>
      </c>
      <c r="J309" s="68" t="s">
        <v>78</v>
      </c>
      <c r="K309" s="66">
        <f>IFERROR(VLOOKUP(J309,Jueces!$A$1:$B$11,2,FALSE),"")</f>
        <v>8</v>
      </c>
      <c r="L309" s="66" t="s">
        <v>809</v>
      </c>
      <c r="M309" s="66" t="s">
        <v>713</v>
      </c>
      <c r="N309" s="66" t="s">
        <v>1577</v>
      </c>
      <c r="O309" s="66" t="str">
        <f t="shared" ca="1" si="18"/>
        <v>SI</v>
      </c>
      <c r="P309" s="66" t="str">
        <f t="shared" si="19"/>
        <v>DIANOSOL</v>
      </c>
      <c r="Q309" s="66" t="s">
        <v>151</v>
      </c>
      <c r="R309" s="6" t="str">
        <f>VLOOKUP($Q309,Resultados!$A$1:$B$49,2,FALSE)</f>
        <v>Prisión Preventiva</v>
      </c>
      <c r="S309" s="66" t="s">
        <v>1086</v>
      </c>
      <c r="T309" s="75" t="str">
        <f t="shared" si="20"/>
        <v>NO</v>
      </c>
      <c r="U309" s="75"/>
      <c r="V309" s="66"/>
      <c r="W309" s="66" t="s">
        <v>1132</v>
      </c>
      <c r="X309" s="66" t="s">
        <v>1575</v>
      </c>
      <c r="Y309" s="66"/>
      <c r="Z309" s="121" t="s">
        <v>748</v>
      </c>
      <c r="AA309" s="121" t="s">
        <v>1171</v>
      </c>
      <c r="AB309" s="121" t="s">
        <v>1176</v>
      </c>
      <c r="AC309" s="361"/>
    </row>
    <row r="310" spans="1:29" ht="38.25" outlineLevel="1" x14ac:dyDescent="0.2">
      <c r="A310" s="66">
        <v>308</v>
      </c>
      <c r="B310" s="68">
        <v>45104</v>
      </c>
      <c r="C310" s="73">
        <v>0.54652777777777783</v>
      </c>
      <c r="D310" s="66" t="s">
        <v>1413</v>
      </c>
      <c r="E310" s="67" t="s">
        <v>1666</v>
      </c>
      <c r="F310" s="66">
        <v>2</v>
      </c>
      <c r="G310" s="66" t="s">
        <v>568</v>
      </c>
      <c r="H310" s="68">
        <v>45114</v>
      </c>
      <c r="I310" s="68" t="s">
        <v>73</v>
      </c>
      <c r="J310" s="68" t="s">
        <v>35</v>
      </c>
      <c r="K310" s="66">
        <f>IFERROR(VLOOKUP(J310,Jueces!$A$1:$B$11,2,FALSE),"")</f>
        <v>3</v>
      </c>
      <c r="L310" s="66" t="s">
        <v>797</v>
      </c>
      <c r="M310" s="66" t="s">
        <v>1179</v>
      </c>
      <c r="N310" s="66" t="s">
        <v>1651</v>
      </c>
      <c r="O310" s="66" t="str">
        <f t="shared" ca="1" si="18"/>
        <v>SI</v>
      </c>
      <c r="P310" s="66" t="str">
        <f t="shared" si="19"/>
        <v>DIANOSOL</v>
      </c>
      <c r="Q310" s="66" t="s">
        <v>913</v>
      </c>
      <c r="R310" s="6" t="str">
        <f>VLOOKUP($Q310,Resultados!$A$1:$B$49,2,FALSE)</f>
        <v>Prision domiciliaria</v>
      </c>
      <c r="S310" s="66" t="s">
        <v>1333</v>
      </c>
      <c r="T310" s="75" t="str">
        <f t="shared" si="20"/>
        <v>NO</v>
      </c>
      <c r="U310" s="75"/>
      <c r="V310" s="66"/>
      <c r="W310" s="66" t="s">
        <v>1231</v>
      </c>
      <c r="X310" s="66"/>
      <c r="Y310" s="66"/>
      <c r="Z310" s="279" t="s">
        <v>770</v>
      </c>
      <c r="AA310" s="121" t="s">
        <v>1169</v>
      </c>
      <c r="AB310" s="279" t="s">
        <v>1173</v>
      </c>
      <c r="AC310" s="361"/>
    </row>
    <row r="311" spans="1:29" ht="51" outlineLevel="1" x14ac:dyDescent="0.2">
      <c r="A311" s="66">
        <v>309</v>
      </c>
      <c r="B311" s="68">
        <v>45105</v>
      </c>
      <c r="C311" s="73">
        <v>0.46319444444444446</v>
      </c>
      <c r="D311" s="66" t="s">
        <v>1401</v>
      </c>
      <c r="E311" s="67" t="s">
        <v>1670</v>
      </c>
      <c r="F311" s="66">
        <v>2</v>
      </c>
      <c r="G311" s="66" t="s">
        <v>1441</v>
      </c>
      <c r="H311" s="68">
        <v>45114</v>
      </c>
      <c r="I311" s="68" t="s">
        <v>1086</v>
      </c>
      <c r="J311" s="68" t="s">
        <v>35</v>
      </c>
      <c r="K311" s="66">
        <f>IFERROR(VLOOKUP(J311,Jueces!$A$1:$B$11,2,FALSE),"")</f>
        <v>3</v>
      </c>
      <c r="L311" s="66" t="s">
        <v>813</v>
      </c>
      <c r="M311" s="66" t="s">
        <v>692</v>
      </c>
      <c r="N311" s="66" t="s">
        <v>1655</v>
      </c>
      <c r="O311" s="66" t="str">
        <f t="shared" ca="1" si="18"/>
        <v>SI</v>
      </c>
      <c r="P311" s="66" t="str">
        <f t="shared" si="19"/>
        <v>DIANOSOL</v>
      </c>
      <c r="Q311" s="66" t="s">
        <v>904</v>
      </c>
      <c r="R311" s="6" t="str">
        <f>VLOOKUP($Q311,Resultados!$A$1:$B$49,2,FALSE)</f>
        <v>Juicio Abreviado</v>
      </c>
      <c r="S311" s="66" t="s">
        <v>1006</v>
      </c>
      <c r="T311" s="75" t="str">
        <f t="shared" si="20"/>
        <v>NO</v>
      </c>
      <c r="U311" s="75"/>
      <c r="V311" s="66"/>
      <c r="W311" s="66" t="s">
        <v>1299</v>
      </c>
      <c r="X311" s="66" t="s">
        <v>1653</v>
      </c>
      <c r="Y311" s="66"/>
      <c r="Z311" s="279" t="s">
        <v>1042</v>
      </c>
      <c r="AA311" s="121" t="s">
        <v>1171</v>
      </c>
      <c r="AB311" s="121" t="s">
        <v>1174</v>
      </c>
      <c r="AC311" s="361"/>
    </row>
    <row r="312" spans="1:29" ht="89.25" outlineLevel="1" x14ac:dyDescent="0.2">
      <c r="A312" s="66">
        <v>310</v>
      </c>
      <c r="B312" s="68">
        <v>45105</v>
      </c>
      <c r="C312" s="73">
        <v>0.46597222222222223</v>
      </c>
      <c r="D312" s="66" t="s">
        <v>1430</v>
      </c>
      <c r="E312" s="67" t="s">
        <v>1671</v>
      </c>
      <c r="F312" s="66">
        <v>1</v>
      </c>
      <c r="G312" s="66" t="s">
        <v>1442</v>
      </c>
      <c r="H312" s="68">
        <v>45114</v>
      </c>
      <c r="I312" s="68" t="s">
        <v>1086</v>
      </c>
      <c r="J312" s="68" t="s">
        <v>78</v>
      </c>
      <c r="K312" s="66">
        <f>IFERROR(VLOOKUP(J312,Jueces!$A$1:$B$11,2,FALSE),"")</f>
        <v>8</v>
      </c>
      <c r="L312" s="66" t="s">
        <v>812</v>
      </c>
      <c r="M312" s="66" t="s">
        <v>712</v>
      </c>
      <c r="N312" s="66" t="s">
        <v>1658</v>
      </c>
      <c r="O312" s="66" t="str">
        <f t="shared" ca="1" si="18"/>
        <v>SI</v>
      </c>
      <c r="P312" s="66" t="str">
        <f t="shared" si="19"/>
        <v>DIANOSOL</v>
      </c>
      <c r="Q312" s="66" t="s">
        <v>905</v>
      </c>
      <c r="R312" s="6" t="str">
        <f>VLOOKUP($Q312,Resultados!$A$1:$B$49,2,FALSE)</f>
        <v>Juicio Abreviado</v>
      </c>
      <c r="S312" s="66" t="s">
        <v>1450</v>
      </c>
      <c r="T312" s="75" t="str">
        <f t="shared" si="20"/>
        <v>SI</v>
      </c>
      <c r="U312" s="75"/>
      <c r="V312" s="66"/>
      <c r="W312" s="66" t="s">
        <v>1445</v>
      </c>
      <c r="X312" s="66" t="s">
        <v>1659</v>
      </c>
      <c r="Y312" s="66"/>
      <c r="Z312" s="279" t="s">
        <v>770</v>
      </c>
      <c r="AA312" s="121" t="s">
        <v>743</v>
      </c>
      <c r="AB312" s="121" t="s">
        <v>1173</v>
      </c>
      <c r="AC312" s="361"/>
    </row>
    <row r="313" spans="1:29" ht="38.25" outlineLevel="1" x14ac:dyDescent="0.2">
      <c r="A313" s="66">
        <v>311</v>
      </c>
      <c r="B313" s="68">
        <v>45105</v>
      </c>
      <c r="C313" s="73">
        <v>0.46666666666666662</v>
      </c>
      <c r="D313" s="66" t="s">
        <v>1412</v>
      </c>
      <c r="E313" s="67" t="s">
        <v>1616</v>
      </c>
      <c r="F313" s="66">
        <v>2</v>
      </c>
      <c r="G313" s="66" t="s">
        <v>43</v>
      </c>
      <c r="H313" s="68">
        <v>45113</v>
      </c>
      <c r="I313" s="68" t="s">
        <v>73</v>
      </c>
      <c r="J313" s="68" t="s">
        <v>1221</v>
      </c>
      <c r="K313" s="66">
        <f>IFERROR(VLOOKUP(J313,Jueces!$A$1:$B$11,2,FALSE),"")</f>
        <v>7</v>
      </c>
      <c r="L313" s="66" t="s">
        <v>807</v>
      </c>
      <c r="M313" s="66" t="s">
        <v>782</v>
      </c>
      <c r="N313" s="66" t="s">
        <v>1611</v>
      </c>
      <c r="O313" s="66" t="str">
        <f t="shared" ca="1" si="18"/>
        <v>SI</v>
      </c>
      <c r="P313" s="66" t="str">
        <f t="shared" si="19"/>
        <v>DIANOSOL</v>
      </c>
      <c r="Q313" s="66" t="s">
        <v>909</v>
      </c>
      <c r="R313" s="6" t="str">
        <f>VLOOKUP($Q313,Resultados!$A$1:$B$49,2,FALSE)</f>
        <v>Suspensión de juicio a prueba</v>
      </c>
      <c r="S313" s="66" t="s">
        <v>1129</v>
      </c>
      <c r="T313" s="75" t="str">
        <f t="shared" si="20"/>
        <v>NO</v>
      </c>
      <c r="U313" s="75"/>
      <c r="V313" s="66"/>
      <c r="W313" s="66" t="s">
        <v>1238</v>
      </c>
      <c r="X313" s="66" t="s">
        <v>1506</v>
      </c>
      <c r="Y313" s="66"/>
      <c r="Z313" s="121" t="s">
        <v>1041</v>
      </c>
      <c r="AA313" s="121" t="s">
        <v>743</v>
      </c>
      <c r="AB313" s="121" t="s">
        <v>1177</v>
      </c>
      <c r="AC313" s="361"/>
    </row>
    <row r="314" spans="1:29" ht="191.25" outlineLevel="1" x14ac:dyDescent="0.2">
      <c r="A314" s="66">
        <v>312</v>
      </c>
      <c r="B314" s="68">
        <v>45105</v>
      </c>
      <c r="C314" s="73">
        <v>0.47013888888888888</v>
      </c>
      <c r="D314" s="66" t="s">
        <v>1407</v>
      </c>
      <c r="E314" s="67" t="s">
        <v>1879</v>
      </c>
      <c r="F314" s="66">
        <v>3</v>
      </c>
      <c r="G314" s="66" t="s">
        <v>283</v>
      </c>
      <c r="H314" s="68">
        <v>45118</v>
      </c>
      <c r="I314" s="68" t="s">
        <v>1450</v>
      </c>
      <c r="J314" s="68" t="s">
        <v>35</v>
      </c>
      <c r="K314" s="66">
        <f>IFERROR(VLOOKUP(J314,Jueces!$A$1:$B$11,2,FALSE),"")</f>
        <v>3</v>
      </c>
      <c r="L314" s="66" t="s">
        <v>813</v>
      </c>
      <c r="M314" s="66" t="s">
        <v>693</v>
      </c>
      <c r="N314" s="66" t="s">
        <v>1790</v>
      </c>
      <c r="O314" s="66" t="str">
        <f t="shared" ca="1" si="18"/>
        <v>SI</v>
      </c>
      <c r="P314" s="66" t="str">
        <f t="shared" si="19"/>
        <v>DIANOSOL</v>
      </c>
      <c r="Q314" s="66" t="s">
        <v>1512</v>
      </c>
      <c r="R314" s="6" t="str">
        <f>VLOOKUP($Q314,Resultados!$A$1:$B$49,2,FALSE)</f>
        <v>Juicio Abreviado</v>
      </c>
      <c r="S314" s="66" t="s">
        <v>1788</v>
      </c>
      <c r="T314" s="75" t="str">
        <f t="shared" si="20"/>
        <v>NO</v>
      </c>
      <c r="U314" s="75"/>
      <c r="V314" s="66"/>
      <c r="W314" s="66" t="s">
        <v>1789</v>
      </c>
      <c r="X314" s="173" t="s">
        <v>1791</v>
      </c>
      <c r="Y314" s="66"/>
      <c r="Z314" s="121" t="s">
        <v>743</v>
      </c>
      <c r="AA314" s="75"/>
      <c r="AB314" s="75"/>
      <c r="AC314" s="361"/>
    </row>
    <row r="315" spans="1:29" ht="38.25" outlineLevel="1" x14ac:dyDescent="0.2">
      <c r="A315" s="66">
        <v>313</v>
      </c>
      <c r="B315" s="68">
        <v>45105</v>
      </c>
      <c r="C315" s="73">
        <v>0.47222222222222227</v>
      </c>
      <c r="D315" s="66" t="s">
        <v>1408</v>
      </c>
      <c r="E315" s="67" t="s">
        <v>1709</v>
      </c>
      <c r="F315" s="66">
        <v>3</v>
      </c>
      <c r="G315" s="66" t="s">
        <v>1441</v>
      </c>
      <c r="H315" s="68">
        <v>45117</v>
      </c>
      <c r="I315" s="68" t="s">
        <v>547</v>
      </c>
      <c r="J315" s="68" t="s">
        <v>1492</v>
      </c>
      <c r="K315" s="66" t="s">
        <v>1346</v>
      </c>
      <c r="L315" s="66" t="s">
        <v>813</v>
      </c>
      <c r="M315" s="66" t="s">
        <v>693</v>
      </c>
      <c r="N315" s="66" t="s">
        <v>1719</v>
      </c>
      <c r="O315" s="66" t="str">
        <f t="shared" ca="1" si="18"/>
        <v>SI</v>
      </c>
      <c r="P315" s="66" t="str">
        <f t="shared" si="19"/>
        <v>DIANOSOL</v>
      </c>
      <c r="Q315" s="66" t="s">
        <v>151</v>
      </c>
      <c r="R315" s="6" t="str">
        <f>VLOOKUP($Q315,Resultados!$A$1:$B$49,2,FALSE)</f>
        <v>Prisión Preventiva</v>
      </c>
      <c r="S315" s="66" t="s">
        <v>1717</v>
      </c>
      <c r="T315" s="75" t="str">
        <f t="shared" si="20"/>
        <v>NO</v>
      </c>
      <c r="U315" s="75"/>
      <c r="V315" s="66"/>
      <c r="W315" s="66" t="s">
        <v>1241</v>
      </c>
      <c r="X315" s="6" t="s">
        <v>1720</v>
      </c>
      <c r="Y315" s="66"/>
      <c r="Z315" s="279" t="s">
        <v>743</v>
      </c>
      <c r="AA315" s="75"/>
      <c r="AB315" s="71"/>
      <c r="AC315" s="361"/>
    </row>
    <row r="316" spans="1:29" ht="51" outlineLevel="1" x14ac:dyDescent="0.2">
      <c r="A316" s="66">
        <v>314</v>
      </c>
      <c r="B316" s="68">
        <v>45105</v>
      </c>
      <c r="C316" s="73">
        <v>0.50486111111111109</v>
      </c>
      <c r="D316" s="66" t="s">
        <v>1409</v>
      </c>
      <c r="E316" s="67" t="s">
        <v>1607</v>
      </c>
      <c r="F316" s="66">
        <v>2</v>
      </c>
      <c r="G316" s="66" t="s">
        <v>32</v>
      </c>
      <c r="H316" s="68">
        <v>45113</v>
      </c>
      <c r="I316" s="68" t="s">
        <v>1086</v>
      </c>
      <c r="J316" s="68" t="s">
        <v>1220</v>
      </c>
      <c r="K316" s="66">
        <f>IFERROR(VLOOKUP(J316,Jueces!$A$1:$B$11,2,FALSE),"")</f>
        <v>1</v>
      </c>
      <c r="L316" s="66" t="s">
        <v>793</v>
      </c>
      <c r="M316" s="66" t="s">
        <v>1290</v>
      </c>
      <c r="N316" s="66" t="s">
        <v>1608</v>
      </c>
      <c r="O316" s="66" t="str">
        <f t="shared" ca="1" si="18"/>
        <v>SI</v>
      </c>
      <c r="P316" s="66" t="str">
        <f t="shared" si="19"/>
        <v>DIANOSOL</v>
      </c>
      <c r="Q316" s="66" t="s">
        <v>905</v>
      </c>
      <c r="R316" s="6" t="str">
        <f>VLOOKUP($Q316,Resultados!$A$1:$B$49,2,FALSE)</f>
        <v>Juicio Abreviado</v>
      </c>
      <c r="S316" s="66" t="s">
        <v>1004</v>
      </c>
      <c r="T316" s="75" t="str">
        <f t="shared" si="20"/>
        <v>NO</v>
      </c>
      <c r="U316" s="75"/>
      <c r="V316" s="66"/>
      <c r="W316" s="66" t="s">
        <v>1050</v>
      </c>
      <c r="X316" s="382" t="s">
        <v>1311</v>
      </c>
      <c r="Y316" s="66"/>
      <c r="Z316" s="121" t="s">
        <v>770</v>
      </c>
      <c r="AA316" s="121" t="s">
        <v>1171</v>
      </c>
      <c r="AB316" s="121" t="s">
        <v>1175</v>
      </c>
      <c r="AC316" s="361"/>
    </row>
    <row r="317" spans="1:29" ht="51" outlineLevel="1" x14ac:dyDescent="0.2">
      <c r="A317" s="66">
        <v>315</v>
      </c>
      <c r="B317" s="68">
        <v>45105</v>
      </c>
      <c r="C317" s="73">
        <v>0.5395833333333333</v>
      </c>
      <c r="D317" s="66" t="s">
        <v>1410</v>
      </c>
      <c r="E317" s="67" t="s">
        <v>1516</v>
      </c>
      <c r="F317" s="66">
        <v>2</v>
      </c>
      <c r="G317" s="66" t="s">
        <v>32</v>
      </c>
      <c r="H317" s="68">
        <v>45110</v>
      </c>
      <c r="I317" s="68" t="s">
        <v>73</v>
      </c>
      <c r="J317" s="68" t="s">
        <v>1220</v>
      </c>
      <c r="K317" s="66">
        <f>IFERROR(VLOOKUP(J317,Jueces!$A$1:$B$11,2,FALSE),"")</f>
        <v>1</v>
      </c>
      <c r="L317" s="66" t="s">
        <v>791</v>
      </c>
      <c r="M317" s="66" t="s">
        <v>1434</v>
      </c>
      <c r="N317" s="66" t="s">
        <v>510</v>
      </c>
      <c r="O317" s="66" t="str">
        <f t="shared" ca="1" si="18"/>
        <v>SI</v>
      </c>
      <c r="P317" s="66" t="str">
        <f t="shared" si="19"/>
        <v>DIANOSOL</v>
      </c>
      <c r="Q317" s="66" t="s">
        <v>899</v>
      </c>
      <c r="R317" s="6" t="str">
        <f>VLOOKUP($Q317,Resultados!$A$1:$B$49,2,FALSE)</f>
        <v>Libertad</v>
      </c>
      <c r="S317" s="66" t="s">
        <v>1499</v>
      </c>
      <c r="T317" s="75" t="str">
        <f t="shared" si="20"/>
        <v>NO</v>
      </c>
      <c r="U317" s="75"/>
      <c r="V317" s="66"/>
      <c r="W317" s="66" t="s">
        <v>1130</v>
      </c>
      <c r="X317" s="66" t="s">
        <v>1508</v>
      </c>
      <c r="Y317" s="66"/>
      <c r="Z317" s="121" t="s">
        <v>748</v>
      </c>
      <c r="AA317" s="121" t="s">
        <v>1169</v>
      </c>
      <c r="AB317" s="121" t="s">
        <v>1177</v>
      </c>
      <c r="AC317" s="361"/>
    </row>
    <row r="318" spans="1:29" ht="51" outlineLevel="1" x14ac:dyDescent="0.2">
      <c r="A318" s="66">
        <v>316</v>
      </c>
      <c r="B318" s="68">
        <v>45106</v>
      </c>
      <c r="C318" s="66" t="s">
        <v>73</v>
      </c>
      <c r="D318" s="66" t="s">
        <v>1418</v>
      </c>
      <c r="E318" s="67" t="s">
        <v>1417</v>
      </c>
      <c r="F318" s="66">
        <v>3</v>
      </c>
      <c r="G318" s="66" t="s">
        <v>1442</v>
      </c>
      <c r="H318" s="68">
        <v>45118</v>
      </c>
      <c r="I318" s="68" t="s">
        <v>76</v>
      </c>
      <c r="J318" s="68" t="s">
        <v>35</v>
      </c>
      <c r="K318" s="66">
        <f>IFERROR(VLOOKUP(J318,Jueces!$A$1:$B$11,2,FALSE),"")</f>
        <v>3</v>
      </c>
      <c r="L318" s="66" t="s">
        <v>813</v>
      </c>
      <c r="M318" s="66" t="s">
        <v>697</v>
      </c>
      <c r="N318" s="66" t="s">
        <v>1756</v>
      </c>
      <c r="O318" s="66" t="str">
        <f t="shared" ca="1" si="18"/>
        <v>SI</v>
      </c>
      <c r="P318" s="66" t="str">
        <f t="shared" si="19"/>
        <v>DIANOSOL</v>
      </c>
      <c r="Q318" s="66" t="s">
        <v>151</v>
      </c>
      <c r="R318" s="6" t="str">
        <f>VLOOKUP($Q318,Resultados!$A$1:$B$49,2,FALSE)</f>
        <v>Prisión Preventiva</v>
      </c>
      <c r="S318" s="73">
        <v>0.39166666666666666</v>
      </c>
      <c r="T318" s="75" t="str">
        <f t="shared" si="20"/>
        <v>SI</v>
      </c>
      <c r="U318" s="75"/>
      <c r="V318" s="66"/>
      <c r="W318" s="66" t="s">
        <v>1600</v>
      </c>
      <c r="X318" s="66" t="s">
        <v>1757</v>
      </c>
      <c r="Y318" s="66"/>
      <c r="Z318" s="121" t="s">
        <v>748</v>
      </c>
      <c r="AA318" s="75"/>
      <c r="AB318" s="75"/>
      <c r="AC318" s="361"/>
    </row>
    <row r="319" spans="1:29" ht="76.5" outlineLevel="1" x14ac:dyDescent="0.2">
      <c r="A319" s="66">
        <v>317</v>
      </c>
      <c r="B319" s="68">
        <v>45106</v>
      </c>
      <c r="C319" s="66" t="s">
        <v>73</v>
      </c>
      <c r="D319" s="66" t="s">
        <v>1415</v>
      </c>
      <c r="E319" s="67" t="s">
        <v>1667</v>
      </c>
      <c r="F319" s="66">
        <v>3</v>
      </c>
      <c r="G319" s="66" t="s">
        <v>283</v>
      </c>
      <c r="H319" s="68">
        <v>45114</v>
      </c>
      <c r="I319" s="68" t="s">
        <v>73</v>
      </c>
      <c r="J319" s="68" t="s">
        <v>1221</v>
      </c>
      <c r="K319" s="66">
        <f>IFERROR(VLOOKUP(J319,Jueces!$A$1:$B$11,2,FALSE),"")</f>
        <v>7</v>
      </c>
      <c r="L319" s="66" t="s">
        <v>1306</v>
      </c>
      <c r="M319" s="66" t="s">
        <v>1416</v>
      </c>
      <c r="N319" s="66" t="s">
        <v>1652</v>
      </c>
      <c r="O319" s="66" t="str">
        <f t="shared" ca="1" si="18"/>
        <v>SI</v>
      </c>
      <c r="P319" s="66" t="str">
        <f t="shared" si="19"/>
        <v>DIANOSOL</v>
      </c>
      <c r="Q319" s="66" t="s">
        <v>905</v>
      </c>
      <c r="R319" s="6" t="str">
        <f>VLOOKUP($Q319,Resultados!$A$1:$B$49,2,FALSE)</f>
        <v>Juicio Abreviado</v>
      </c>
      <c r="S319" s="66" t="s">
        <v>1235</v>
      </c>
      <c r="T319" s="75" t="str">
        <f t="shared" si="20"/>
        <v>NO</v>
      </c>
      <c r="U319" s="75"/>
      <c r="V319" s="66"/>
      <c r="W319" s="66" t="s">
        <v>1458</v>
      </c>
      <c r="X319" s="66"/>
      <c r="Y319" s="66"/>
      <c r="Z319" s="121" t="s">
        <v>1041</v>
      </c>
      <c r="AA319" s="121" t="s">
        <v>743</v>
      </c>
      <c r="AB319" s="121" t="s">
        <v>1175</v>
      </c>
      <c r="AC319" s="361"/>
    </row>
    <row r="320" spans="1:29" ht="76.5" outlineLevel="1" x14ac:dyDescent="0.2">
      <c r="A320" s="66">
        <v>318</v>
      </c>
      <c r="B320" s="68">
        <v>45106</v>
      </c>
      <c r="C320" s="73">
        <v>0.34097222222222223</v>
      </c>
      <c r="D320" s="66" t="s">
        <v>1419</v>
      </c>
      <c r="E320" s="67" t="s">
        <v>1618</v>
      </c>
      <c r="F320" s="66">
        <v>3</v>
      </c>
      <c r="G320" s="66" t="s">
        <v>1443</v>
      </c>
      <c r="H320" s="68">
        <v>45113</v>
      </c>
      <c r="I320" s="68" t="s">
        <v>73</v>
      </c>
      <c r="J320" s="68" t="s">
        <v>78</v>
      </c>
      <c r="K320" s="66">
        <f>IFERROR(VLOOKUP(J320,Jueces!$A$1:$B$11,2,FALSE),"")</f>
        <v>8</v>
      </c>
      <c r="L320" s="66" t="s">
        <v>810</v>
      </c>
      <c r="M320" s="66" t="s">
        <v>692</v>
      </c>
      <c r="N320" s="66" t="s">
        <v>1619</v>
      </c>
      <c r="O320" s="66" t="str">
        <f t="shared" ca="1" si="18"/>
        <v>SI</v>
      </c>
      <c r="P320" s="66" t="str">
        <f t="shared" si="19"/>
        <v>DIANOSOL</v>
      </c>
      <c r="Q320" s="66" t="s">
        <v>904</v>
      </c>
      <c r="R320" s="6" t="str">
        <f>VLOOKUP($Q320,Resultados!$A$1:$B$49,2,FALSE)</f>
        <v>Juicio Abreviado</v>
      </c>
      <c r="S320" s="66" t="s">
        <v>73</v>
      </c>
      <c r="T320" s="75" t="str">
        <f t="shared" si="20"/>
        <v>NO</v>
      </c>
      <c r="U320" s="75"/>
      <c r="V320" s="66"/>
      <c r="W320" s="66" t="s">
        <v>1499</v>
      </c>
      <c r="X320" s="66" t="s">
        <v>1620</v>
      </c>
      <c r="Y320" s="66"/>
      <c r="Z320" s="279" t="s">
        <v>1042</v>
      </c>
      <c r="AA320" s="121" t="s">
        <v>1169</v>
      </c>
      <c r="AB320" s="279" t="s">
        <v>1176</v>
      </c>
      <c r="AC320" s="361"/>
    </row>
    <row r="321" spans="1:29" ht="51" outlineLevel="1" x14ac:dyDescent="0.2">
      <c r="A321" s="66">
        <v>319</v>
      </c>
      <c r="B321" s="68">
        <v>45106</v>
      </c>
      <c r="C321" s="73">
        <v>0.33611111111111108</v>
      </c>
      <c r="D321" s="66" t="s">
        <v>1420</v>
      </c>
      <c r="E321" s="67" t="s">
        <v>1421</v>
      </c>
      <c r="F321" s="66">
        <v>3</v>
      </c>
      <c r="G321" s="66" t="s">
        <v>29</v>
      </c>
      <c r="H321" s="68">
        <v>45118</v>
      </c>
      <c r="I321" s="68" t="s">
        <v>76</v>
      </c>
      <c r="J321" s="68" t="s">
        <v>31</v>
      </c>
      <c r="K321" s="66">
        <f>IFERROR(VLOOKUP(J321,Jueces!$A$1:$B$11,2,FALSE),"")</f>
        <v>2</v>
      </c>
      <c r="L321" s="66" t="s">
        <v>807</v>
      </c>
      <c r="M321" s="66" t="s">
        <v>693</v>
      </c>
      <c r="N321" s="66" t="s">
        <v>1758</v>
      </c>
      <c r="O321" s="66" t="str">
        <f t="shared" ca="1" si="18"/>
        <v>SI</v>
      </c>
      <c r="P321" s="66" t="str">
        <f t="shared" si="19"/>
        <v>DIANOSOL</v>
      </c>
      <c r="Q321" s="66" t="s">
        <v>905</v>
      </c>
      <c r="R321" s="6" t="str">
        <f>VLOOKUP($Q321,Resultados!$A$1:$B$49,2,FALSE)</f>
        <v>Juicio Abreviado</v>
      </c>
      <c r="S321" s="66" t="s">
        <v>1003</v>
      </c>
      <c r="T321" s="75" t="str">
        <f t="shared" si="20"/>
        <v>NO</v>
      </c>
      <c r="U321" s="75"/>
      <c r="V321" s="66"/>
      <c r="W321" s="66" t="s">
        <v>1230</v>
      </c>
      <c r="X321" s="66"/>
      <c r="Y321" s="66"/>
      <c r="Z321" s="121" t="s">
        <v>743</v>
      </c>
      <c r="AA321" s="75"/>
      <c r="AB321" s="75"/>
      <c r="AC321" s="361"/>
    </row>
    <row r="322" spans="1:29" ht="51" outlineLevel="1" x14ac:dyDescent="0.2">
      <c r="A322" s="66">
        <v>320</v>
      </c>
      <c r="B322" s="68">
        <v>45106</v>
      </c>
      <c r="C322" s="73">
        <v>0.39374999999999999</v>
      </c>
      <c r="D322" s="66" t="s">
        <v>1476</v>
      </c>
      <c r="E322" s="67" t="s">
        <v>1669</v>
      </c>
      <c r="F322" s="66">
        <v>2</v>
      </c>
      <c r="G322" s="66" t="s">
        <v>1443</v>
      </c>
      <c r="H322" s="68">
        <v>45114</v>
      </c>
      <c r="I322" s="68" t="s">
        <v>73</v>
      </c>
      <c r="J322" s="68" t="s">
        <v>78</v>
      </c>
      <c r="K322" s="66">
        <f>IFERROR(VLOOKUP(J322,Jueces!$A$1:$B$11,2,FALSE),"")</f>
        <v>8</v>
      </c>
      <c r="L322" s="66" t="s">
        <v>1656</v>
      </c>
      <c r="M322" s="66" t="s">
        <v>1438</v>
      </c>
      <c r="N322" s="66" t="s">
        <v>1654</v>
      </c>
      <c r="O322" s="66" t="str">
        <f t="shared" ca="1" si="18"/>
        <v>SI</v>
      </c>
      <c r="P322" s="66" t="str">
        <f t="shared" si="19"/>
        <v>DIANOSOL</v>
      </c>
      <c r="Q322" s="66" t="s">
        <v>151</v>
      </c>
      <c r="R322" s="6" t="str">
        <f>VLOOKUP($Q322,Resultados!$A$1:$B$49,2,FALSE)</f>
        <v>Prisión Preventiva</v>
      </c>
      <c r="S322" s="66" t="s">
        <v>1292</v>
      </c>
      <c r="T322" s="75" t="str">
        <f t="shared" si="20"/>
        <v>NO</v>
      </c>
      <c r="U322" s="75"/>
      <c r="V322" s="66"/>
      <c r="W322" s="66" t="s">
        <v>1009</v>
      </c>
      <c r="X322" s="382" t="s">
        <v>1657</v>
      </c>
      <c r="Y322" s="66"/>
      <c r="Z322" s="121" t="s">
        <v>1042</v>
      </c>
      <c r="AA322" s="121" t="s">
        <v>1171</v>
      </c>
      <c r="AB322" s="121" t="s">
        <v>1177</v>
      </c>
      <c r="AC322" s="361"/>
    </row>
    <row r="323" spans="1:29" ht="51" outlineLevel="1" x14ac:dyDescent="0.2">
      <c r="A323" s="66">
        <v>321</v>
      </c>
      <c r="B323" s="68">
        <v>45106</v>
      </c>
      <c r="C323" s="73">
        <v>0.39513888888888887</v>
      </c>
      <c r="D323" s="66" t="s">
        <v>1433</v>
      </c>
      <c r="E323" s="67" t="s">
        <v>1602</v>
      </c>
      <c r="F323" s="66">
        <v>3</v>
      </c>
      <c r="G323" s="66" t="s">
        <v>1442</v>
      </c>
      <c r="H323" s="68">
        <v>45113</v>
      </c>
      <c r="I323" s="68" t="s">
        <v>1086</v>
      </c>
      <c r="J323" s="68" t="s">
        <v>1221</v>
      </c>
      <c r="K323" s="66">
        <f>IFERROR(VLOOKUP(J323,Jueces!$A$1:$B$11,2,FALSE),"")</f>
        <v>7</v>
      </c>
      <c r="L323" s="66" t="s">
        <v>789</v>
      </c>
      <c r="M323" s="66" t="s">
        <v>694</v>
      </c>
      <c r="N323" s="121" t="s">
        <v>1601</v>
      </c>
      <c r="O323" s="66" t="str">
        <f t="shared" ref="O323:O362" ca="1" si="21">IF(H323&lt;&gt;"",IF(H323&lt;=TODAY(),"SI","NO"),"LIMBO")</f>
        <v>SI</v>
      </c>
      <c r="P323" s="66" t="str">
        <f t="shared" ref="P323:P386" si="22">IF($P$1=H323,"DIASOL", "DIANOSOL")</f>
        <v>DIANOSOL</v>
      </c>
      <c r="Q323" s="66" t="s">
        <v>902</v>
      </c>
      <c r="R323" s="6" t="str">
        <f>VLOOKUP($Q323,Resultados!$A$1:$B$49,2,FALSE)</f>
        <v>Libertad</v>
      </c>
      <c r="S323" s="66" t="s">
        <v>1132</v>
      </c>
      <c r="T323" s="75" t="str">
        <f t="shared" si="20"/>
        <v>SI</v>
      </c>
      <c r="U323" s="75"/>
      <c r="V323" s="66"/>
      <c r="W323" s="66" t="s">
        <v>1600</v>
      </c>
      <c r="X323" s="66" t="s">
        <v>1311</v>
      </c>
      <c r="Y323" s="66"/>
      <c r="Z323" s="121" t="s">
        <v>1041</v>
      </c>
      <c r="AA323" s="121" t="s">
        <v>1169</v>
      </c>
      <c r="AB323" s="121" t="s">
        <v>1177</v>
      </c>
      <c r="AC323" s="361"/>
    </row>
    <row r="324" spans="1:29" ht="51" outlineLevel="1" x14ac:dyDescent="0.2">
      <c r="A324" s="66">
        <v>322</v>
      </c>
      <c r="B324" s="68">
        <v>45106</v>
      </c>
      <c r="C324" s="66" t="s">
        <v>1439</v>
      </c>
      <c r="D324" s="66" t="s">
        <v>1440</v>
      </c>
      <c r="E324" s="67" t="s">
        <v>1707</v>
      </c>
      <c r="F324" s="66">
        <v>2</v>
      </c>
      <c r="G324" s="66" t="s">
        <v>43</v>
      </c>
      <c r="H324" s="68">
        <v>45117</v>
      </c>
      <c r="I324" s="68" t="s">
        <v>1450</v>
      </c>
      <c r="J324" s="68" t="s">
        <v>1625</v>
      </c>
      <c r="K324" s="66" t="s">
        <v>1491</v>
      </c>
      <c r="L324" s="66" t="s">
        <v>793</v>
      </c>
      <c r="M324" s="66" t="s">
        <v>1447</v>
      </c>
      <c r="N324" s="66" t="s">
        <v>510</v>
      </c>
      <c r="O324" s="66" t="str">
        <f t="shared" ca="1" si="21"/>
        <v>SI</v>
      </c>
      <c r="P324" s="66" t="str">
        <f t="shared" si="22"/>
        <v>DIANOSOL</v>
      </c>
      <c r="Q324" s="66" t="s">
        <v>899</v>
      </c>
      <c r="R324" s="6" t="str">
        <f>VLOOKUP($Q324,Resultados!$A$1:$B$49,2,FALSE)</f>
        <v>Libertad</v>
      </c>
      <c r="S324" s="66" t="s">
        <v>1450</v>
      </c>
      <c r="T324" s="75" t="str">
        <f t="shared" si="20"/>
        <v>NO</v>
      </c>
      <c r="U324" s="75"/>
      <c r="V324" s="66"/>
      <c r="W324" s="66" t="s">
        <v>1739</v>
      </c>
      <c r="X324" s="66" t="s">
        <v>1311</v>
      </c>
      <c r="Y324" s="66"/>
      <c r="Z324" s="121" t="s">
        <v>1042</v>
      </c>
      <c r="AA324" s="75"/>
      <c r="AB324" s="75"/>
      <c r="AC324" s="361"/>
    </row>
    <row r="325" spans="1:29" ht="51" outlineLevel="1" x14ac:dyDescent="0.2">
      <c r="A325" s="66">
        <v>323</v>
      </c>
      <c r="B325" s="68">
        <v>45107</v>
      </c>
      <c r="C325" s="73">
        <v>0.33333333333333331</v>
      </c>
      <c r="D325" s="66" t="s">
        <v>1456</v>
      </c>
      <c r="E325" s="67" t="s">
        <v>1455</v>
      </c>
      <c r="F325" s="66">
        <v>3</v>
      </c>
      <c r="G325" s="66" t="s">
        <v>568</v>
      </c>
      <c r="H325" s="68">
        <v>45118</v>
      </c>
      <c r="I325" s="68" t="s">
        <v>1450</v>
      </c>
      <c r="J325" s="68" t="s">
        <v>35</v>
      </c>
      <c r="K325" s="66">
        <f>IFERROR(VLOOKUP(J325,Jueces!$A$1:$B$11,2,FALSE),"")</f>
        <v>3</v>
      </c>
      <c r="L325" s="66" t="s">
        <v>807</v>
      </c>
      <c r="M325" s="66" t="s">
        <v>694</v>
      </c>
      <c r="N325" s="66" t="s">
        <v>1753</v>
      </c>
      <c r="O325" s="66" t="str">
        <f t="shared" ca="1" si="21"/>
        <v>SI</v>
      </c>
      <c r="P325" s="66" t="str">
        <f t="shared" si="22"/>
        <v>DIANOSOL</v>
      </c>
      <c r="Q325" s="66" t="s">
        <v>151</v>
      </c>
      <c r="R325" s="6" t="str">
        <f>VLOOKUP($Q325,Resultados!$A$1:$B$49,2,FALSE)</f>
        <v>Prisión Preventiva</v>
      </c>
      <c r="S325" s="73">
        <v>0.44930555555555557</v>
      </c>
      <c r="T325" s="75" t="str">
        <f t="shared" si="20"/>
        <v>NO</v>
      </c>
      <c r="U325" s="75"/>
      <c r="V325" s="66"/>
      <c r="W325" s="66" t="s">
        <v>1241</v>
      </c>
      <c r="X325" s="66" t="s">
        <v>1755</v>
      </c>
      <c r="Y325" s="66"/>
      <c r="Z325" s="121" t="s">
        <v>748</v>
      </c>
      <c r="AA325" s="75"/>
      <c r="AB325" s="75"/>
      <c r="AC325" s="361"/>
    </row>
    <row r="326" spans="1:29" ht="63.75" outlineLevel="1" x14ac:dyDescent="0.2">
      <c r="A326" s="66">
        <v>324</v>
      </c>
      <c r="B326" s="68">
        <v>45107</v>
      </c>
      <c r="C326" s="73">
        <v>0.33333333333333331</v>
      </c>
      <c r="D326" s="66" t="s">
        <v>1448</v>
      </c>
      <c r="E326" s="67" t="s">
        <v>1710</v>
      </c>
      <c r="F326" s="66">
        <v>1</v>
      </c>
      <c r="G326" s="66" t="s">
        <v>32</v>
      </c>
      <c r="H326" s="68">
        <v>45117</v>
      </c>
      <c r="I326" s="68" t="s">
        <v>547</v>
      </c>
      <c r="J326" s="68" t="s">
        <v>35</v>
      </c>
      <c r="K326" s="66">
        <f>IFERROR(VLOOKUP(J326,Jueces!$A$1:$B$11,2,FALSE),"")</f>
        <v>3</v>
      </c>
      <c r="L326" s="66" t="s">
        <v>811</v>
      </c>
      <c r="M326" s="66" t="s">
        <v>1087</v>
      </c>
      <c r="N326" s="66" t="s">
        <v>1714</v>
      </c>
      <c r="O326" s="66" t="str">
        <f t="shared" ca="1" si="21"/>
        <v>SI</v>
      </c>
      <c r="P326" s="66" t="str">
        <f t="shared" si="22"/>
        <v>DIANOSOL</v>
      </c>
      <c r="Q326" s="66" t="s">
        <v>904</v>
      </c>
      <c r="R326" s="6" t="str">
        <f>VLOOKUP($Q326,Resultados!$A$1:$B$49,2,FALSE)</f>
        <v>Juicio Abreviado</v>
      </c>
      <c r="S326" s="66" t="s">
        <v>1241</v>
      </c>
      <c r="T326" s="75" t="str">
        <f t="shared" si="20"/>
        <v>NO</v>
      </c>
      <c r="U326" s="75"/>
      <c r="V326" s="66"/>
      <c r="W326" s="66" t="s">
        <v>1715</v>
      </c>
      <c r="X326" s="66" t="s">
        <v>1716</v>
      </c>
      <c r="Y326" s="66"/>
      <c r="Z326" s="121" t="s">
        <v>1042</v>
      </c>
      <c r="AA326" s="75"/>
      <c r="AB326" s="75"/>
      <c r="AC326" s="361"/>
    </row>
    <row r="327" spans="1:29" ht="102" outlineLevel="1" x14ac:dyDescent="0.2">
      <c r="A327" s="66">
        <v>325</v>
      </c>
      <c r="B327" s="68">
        <v>45107</v>
      </c>
      <c r="C327" s="73">
        <v>0.33333333333333331</v>
      </c>
      <c r="D327" s="66" t="s">
        <v>1449</v>
      </c>
      <c r="E327" s="67" t="s">
        <v>1452</v>
      </c>
      <c r="F327" s="66">
        <v>2</v>
      </c>
      <c r="G327" s="66" t="s">
        <v>1441</v>
      </c>
      <c r="H327" s="68">
        <v>45118</v>
      </c>
      <c r="I327" s="68" t="s">
        <v>1450</v>
      </c>
      <c r="J327" s="68" t="s">
        <v>31</v>
      </c>
      <c r="K327" s="66">
        <f>IFERROR(VLOOKUP(J327,Jueces!$A$1:$B$11,2,FALSE),"")</f>
        <v>2</v>
      </c>
      <c r="L327" s="66" t="s">
        <v>801</v>
      </c>
      <c r="M327" s="66" t="s">
        <v>692</v>
      </c>
      <c r="N327" s="66" t="s">
        <v>1822</v>
      </c>
      <c r="O327" s="66" t="str">
        <f t="shared" ca="1" si="21"/>
        <v>SI</v>
      </c>
      <c r="P327" s="66" t="str">
        <f t="shared" si="22"/>
        <v>DIANOSOL</v>
      </c>
      <c r="Q327" s="66" t="s">
        <v>151</v>
      </c>
      <c r="R327" s="6" t="str">
        <f>VLOOKUP($Q327,Resultados!$A$1:$B$49,2,FALSE)</f>
        <v>Prisión Preventiva</v>
      </c>
      <c r="S327" s="73">
        <v>0.52916666666666667</v>
      </c>
      <c r="T327" s="75" t="str">
        <f t="shared" si="20"/>
        <v>NO</v>
      </c>
      <c r="U327" s="75"/>
      <c r="V327" s="66"/>
      <c r="W327" s="73">
        <v>0.55277777777777781</v>
      </c>
      <c r="X327" s="66"/>
      <c r="Y327" s="66"/>
      <c r="Z327" s="121" t="s">
        <v>743</v>
      </c>
      <c r="AA327" s="75"/>
      <c r="AB327" s="75"/>
      <c r="AC327" s="361"/>
    </row>
    <row r="328" spans="1:29" ht="38.25" outlineLevel="1" x14ac:dyDescent="0.2">
      <c r="A328" s="66">
        <v>326</v>
      </c>
      <c r="B328" s="68">
        <v>45107</v>
      </c>
      <c r="C328" s="73">
        <v>0.43333333333333335</v>
      </c>
      <c r="D328" s="66" t="s">
        <v>1451</v>
      </c>
      <c r="E328" s="67" t="s">
        <v>1477</v>
      </c>
      <c r="F328" s="66">
        <v>3</v>
      </c>
      <c r="G328" s="66" t="s">
        <v>43</v>
      </c>
      <c r="H328" s="68">
        <v>45118</v>
      </c>
      <c r="I328" s="68" t="s">
        <v>1450</v>
      </c>
      <c r="J328" s="68" t="s">
        <v>1492</v>
      </c>
      <c r="K328" s="66" t="s">
        <v>1346</v>
      </c>
      <c r="L328" s="66" t="s">
        <v>801</v>
      </c>
      <c r="M328" s="66" t="s">
        <v>1386</v>
      </c>
      <c r="N328" s="66" t="s">
        <v>1753</v>
      </c>
      <c r="O328" s="66" t="str">
        <f t="shared" ca="1" si="21"/>
        <v>SI</v>
      </c>
      <c r="P328" s="66" t="str">
        <f t="shared" si="22"/>
        <v>DIANOSOL</v>
      </c>
      <c r="Q328" s="66" t="s">
        <v>151</v>
      </c>
      <c r="R328" s="6" t="str">
        <f>VLOOKUP($Q328,Resultados!$A$1:$B$49,2,FALSE)</f>
        <v>Prisión Preventiva</v>
      </c>
      <c r="S328" s="66" t="s">
        <v>1241</v>
      </c>
      <c r="T328" s="75" t="str">
        <f t="shared" si="20"/>
        <v>NO</v>
      </c>
      <c r="U328" s="75"/>
      <c r="V328" s="66"/>
      <c r="W328" s="66" t="s">
        <v>1754</v>
      </c>
      <c r="X328" s="66"/>
      <c r="Y328" s="66"/>
      <c r="Z328" s="121" t="s">
        <v>1042</v>
      </c>
      <c r="AA328" s="75"/>
      <c r="AB328" s="75"/>
      <c r="AC328" s="361"/>
    </row>
    <row r="329" spans="1:29" ht="89.25" outlineLevel="1" x14ac:dyDescent="0.2">
      <c r="A329" s="66">
        <v>327</v>
      </c>
      <c r="B329" s="68">
        <v>45107</v>
      </c>
      <c r="C329" s="73">
        <v>0.46180555555555558</v>
      </c>
      <c r="D329" s="66" t="s">
        <v>1478</v>
      </c>
      <c r="E329" s="67" t="s">
        <v>1705</v>
      </c>
      <c r="F329" s="66">
        <v>3</v>
      </c>
      <c r="G329" s="66" t="s">
        <v>1442</v>
      </c>
      <c r="H329" s="68">
        <v>45117</v>
      </c>
      <c r="I329" s="68" t="s">
        <v>76</v>
      </c>
      <c r="J329" s="68" t="s">
        <v>1492</v>
      </c>
      <c r="K329" s="66" t="s">
        <v>1346</v>
      </c>
      <c r="L329" s="66" t="s">
        <v>812</v>
      </c>
      <c r="M329" s="66" t="s">
        <v>692</v>
      </c>
      <c r="N329" s="66" t="s">
        <v>1727</v>
      </c>
      <c r="O329" s="81" t="str">
        <f t="shared" ca="1" si="21"/>
        <v>SI</v>
      </c>
      <c r="P329" s="81" t="str">
        <f t="shared" si="22"/>
        <v>DIANOSOL</v>
      </c>
      <c r="Q329" s="66" t="s">
        <v>1512</v>
      </c>
      <c r="R329" s="6" t="str">
        <f>VLOOKUP($Q329,Resultados!$A$1:$B$49,2,FALSE)</f>
        <v>Juicio Abreviado</v>
      </c>
      <c r="S329" s="73">
        <v>0.40277777777777773</v>
      </c>
      <c r="T329" s="84" t="str">
        <f t="shared" si="20"/>
        <v>SI</v>
      </c>
      <c r="U329" s="84"/>
      <c r="V329" s="81"/>
      <c r="W329" s="73">
        <v>0.4201388888888889</v>
      </c>
      <c r="X329" s="66" t="s">
        <v>1728</v>
      </c>
      <c r="Y329" s="66"/>
      <c r="Z329" s="121" t="s">
        <v>1042</v>
      </c>
      <c r="AA329" s="75"/>
      <c r="AB329" s="121"/>
      <c r="AC329" s="361"/>
    </row>
    <row r="330" spans="1:29" ht="51" outlineLevel="1" x14ac:dyDescent="0.2">
      <c r="A330" s="66">
        <v>328</v>
      </c>
      <c r="B330" s="68">
        <v>45107</v>
      </c>
      <c r="C330" s="73">
        <v>0.46875</v>
      </c>
      <c r="D330" s="66" t="s">
        <v>1479</v>
      </c>
      <c r="E330" s="67" t="s">
        <v>1706</v>
      </c>
      <c r="F330" s="66">
        <v>3</v>
      </c>
      <c r="G330" s="66" t="s">
        <v>29</v>
      </c>
      <c r="H330" s="68">
        <v>45117</v>
      </c>
      <c r="I330" s="68" t="s">
        <v>76</v>
      </c>
      <c r="J330" s="68" t="s">
        <v>1625</v>
      </c>
      <c r="K330" s="66" t="s">
        <v>1491</v>
      </c>
      <c r="L330" s="66" t="s">
        <v>806</v>
      </c>
      <c r="M330" s="66" t="s">
        <v>694</v>
      </c>
      <c r="N330" s="66" t="s">
        <v>1740</v>
      </c>
      <c r="O330" s="66" t="str">
        <f t="shared" ca="1" si="21"/>
        <v>SI</v>
      </c>
      <c r="P330" s="66" t="str">
        <f t="shared" si="22"/>
        <v>DIANOSOL</v>
      </c>
      <c r="Q330" s="66" t="s">
        <v>904</v>
      </c>
      <c r="R330" s="6" t="str">
        <f>VLOOKUP($Q330,Resultados!$A$1:$B$49,2,FALSE)</f>
        <v>Juicio Abreviado</v>
      </c>
      <c r="S330" s="66" t="s">
        <v>76</v>
      </c>
      <c r="T330" s="75" t="str">
        <f t="shared" si="20"/>
        <v>NO</v>
      </c>
      <c r="U330" s="75"/>
      <c r="V330" s="66"/>
      <c r="W330" s="66" t="s">
        <v>1133</v>
      </c>
      <c r="X330" s="66" t="s">
        <v>1741</v>
      </c>
      <c r="Y330" s="66"/>
      <c r="Z330" s="121" t="s">
        <v>748</v>
      </c>
      <c r="AA330" s="75"/>
      <c r="AB330" s="121"/>
      <c r="AC330" s="361"/>
    </row>
    <row r="331" spans="1:29" ht="63.75" outlineLevel="1" x14ac:dyDescent="0.2">
      <c r="A331" s="66">
        <v>329</v>
      </c>
      <c r="B331" s="68">
        <v>45110</v>
      </c>
      <c r="C331" s="73">
        <v>0.33333333333333331</v>
      </c>
      <c r="D331" s="66" t="s">
        <v>1481</v>
      </c>
      <c r="E331" s="67" t="s">
        <v>1488</v>
      </c>
      <c r="F331" s="66">
        <v>3</v>
      </c>
      <c r="G331" s="66" t="s">
        <v>283</v>
      </c>
      <c r="H331" s="68">
        <v>45118</v>
      </c>
      <c r="I331" s="68" t="s">
        <v>989</v>
      </c>
      <c r="J331" s="68" t="s">
        <v>1625</v>
      </c>
      <c r="K331" s="66" t="s">
        <v>1491</v>
      </c>
      <c r="L331" s="66" t="s">
        <v>797</v>
      </c>
      <c r="M331" s="66" t="s">
        <v>693</v>
      </c>
      <c r="N331" s="66" t="s">
        <v>1787</v>
      </c>
      <c r="O331" s="66" t="str">
        <f t="shared" ca="1" si="21"/>
        <v>SI</v>
      </c>
      <c r="P331" s="66" t="str">
        <f t="shared" si="22"/>
        <v>DIANOSOL</v>
      </c>
      <c r="Q331" s="66" t="s">
        <v>899</v>
      </c>
      <c r="R331" s="6" t="str">
        <f>VLOOKUP($Q331,Resultados!$A$1:$B$49,2,FALSE)</f>
        <v>Libertad</v>
      </c>
      <c r="S331" s="66" t="s">
        <v>989</v>
      </c>
      <c r="T331" s="75" t="str">
        <f t="shared" si="20"/>
        <v>NO</v>
      </c>
      <c r="U331" s="75"/>
      <c r="V331" s="66"/>
      <c r="W331" s="66" t="s">
        <v>1786</v>
      </c>
      <c r="X331" s="66"/>
      <c r="Y331" s="66"/>
      <c r="Z331" s="121" t="s">
        <v>748</v>
      </c>
      <c r="AA331" s="75"/>
      <c r="AB331" s="75"/>
      <c r="AC331" s="361"/>
    </row>
    <row r="332" spans="1:29" ht="63.75" outlineLevel="1" x14ac:dyDescent="0.2">
      <c r="A332" s="66">
        <v>330</v>
      </c>
      <c r="B332" s="68">
        <v>45110</v>
      </c>
      <c r="C332" s="73">
        <v>0.33333333333333331</v>
      </c>
      <c r="D332" s="66" t="s">
        <v>1482</v>
      </c>
      <c r="E332" s="67" t="s">
        <v>1483</v>
      </c>
      <c r="F332" s="66">
        <v>3</v>
      </c>
      <c r="G332" s="66" t="s">
        <v>32</v>
      </c>
      <c r="H332" s="68">
        <v>45118</v>
      </c>
      <c r="I332" s="68" t="s">
        <v>76</v>
      </c>
      <c r="J332" s="68" t="s">
        <v>1625</v>
      </c>
      <c r="K332" s="66" t="s">
        <v>1491</v>
      </c>
      <c r="L332" s="66" t="s">
        <v>789</v>
      </c>
      <c r="M332" s="66" t="s">
        <v>694</v>
      </c>
      <c r="N332" s="66" t="s">
        <v>1759</v>
      </c>
      <c r="O332" s="66" t="str">
        <f t="shared" ca="1" si="21"/>
        <v>SI</v>
      </c>
      <c r="P332" s="66" t="str">
        <f t="shared" si="22"/>
        <v>DIANOSOL</v>
      </c>
      <c r="Q332" s="66" t="s">
        <v>904</v>
      </c>
      <c r="R332" s="6" t="str">
        <f>VLOOKUP($Q332,Resultados!$A$1:$B$49,2,FALSE)</f>
        <v>Juicio Abreviado</v>
      </c>
      <c r="S332" s="66" t="s">
        <v>1760</v>
      </c>
      <c r="T332" s="75" t="str">
        <f t="shared" si="20"/>
        <v>NO</v>
      </c>
      <c r="U332" s="75"/>
      <c r="V332" s="66"/>
      <c r="W332" s="66" t="s">
        <v>1189</v>
      </c>
      <c r="X332" s="66" t="s">
        <v>1761</v>
      </c>
      <c r="Y332" s="66"/>
      <c r="Z332" s="121" t="s">
        <v>1042</v>
      </c>
      <c r="AA332" s="75"/>
      <c r="AB332" s="75"/>
      <c r="AC332" s="361"/>
    </row>
    <row r="333" spans="1:29" ht="76.5" outlineLevel="1" x14ac:dyDescent="0.2">
      <c r="A333" s="66">
        <v>331</v>
      </c>
      <c r="B333" s="68">
        <v>45110</v>
      </c>
      <c r="C333" s="73">
        <v>0.34097222222222223</v>
      </c>
      <c r="D333" s="66" t="s">
        <v>1480</v>
      </c>
      <c r="E333" s="40" t="s">
        <v>1708</v>
      </c>
      <c r="F333" s="66">
        <v>3</v>
      </c>
      <c r="G333" s="66" t="s">
        <v>568</v>
      </c>
      <c r="H333" s="68">
        <v>45117</v>
      </c>
      <c r="I333" s="68" t="s">
        <v>1450</v>
      </c>
      <c r="J333" s="68" t="s">
        <v>1492</v>
      </c>
      <c r="K333" s="66" t="s">
        <v>1346</v>
      </c>
      <c r="L333" s="66" t="s">
        <v>806</v>
      </c>
      <c r="M333" s="66" t="s">
        <v>694</v>
      </c>
      <c r="N333" s="66" t="s">
        <v>1729</v>
      </c>
      <c r="O333" s="66" t="str">
        <f t="shared" ca="1" si="21"/>
        <v>SI</v>
      </c>
      <c r="P333" s="66" t="str">
        <f t="shared" si="22"/>
        <v>DIANOSOL</v>
      </c>
      <c r="Q333" s="66" t="s">
        <v>904</v>
      </c>
      <c r="R333" s="6" t="str">
        <f>VLOOKUP($Q333,Resultados!$A$1:$B$49,2,FALSE)</f>
        <v>Juicio Abreviado</v>
      </c>
      <c r="S333" s="73" t="s">
        <v>1718</v>
      </c>
      <c r="T333" s="75" t="str">
        <f t="shared" si="20"/>
        <v>NO</v>
      </c>
      <c r="U333" s="75"/>
      <c r="V333" s="66"/>
      <c r="W333" s="73">
        <v>0.5</v>
      </c>
      <c r="X333" s="66"/>
      <c r="Y333" s="66"/>
      <c r="Z333" s="121" t="s">
        <v>748</v>
      </c>
      <c r="AA333" s="75"/>
      <c r="AB333" s="75"/>
      <c r="AC333" s="361"/>
    </row>
    <row r="334" spans="1:29" ht="127.5" outlineLevel="1" x14ac:dyDescent="0.2">
      <c r="A334" s="66">
        <v>332</v>
      </c>
      <c r="B334" s="68">
        <v>45110</v>
      </c>
      <c r="C334" s="73" t="s">
        <v>1189</v>
      </c>
      <c r="D334" s="66" t="s">
        <v>1486</v>
      </c>
      <c r="E334" s="67" t="s">
        <v>1487</v>
      </c>
      <c r="F334" s="66">
        <v>3</v>
      </c>
      <c r="G334" s="66" t="s">
        <v>43</v>
      </c>
      <c r="H334" s="68">
        <v>45121</v>
      </c>
      <c r="I334" s="68" t="s">
        <v>76</v>
      </c>
      <c r="J334" s="68" t="s">
        <v>1625</v>
      </c>
      <c r="K334" s="66" t="s">
        <v>1491</v>
      </c>
      <c r="L334" s="66" t="s">
        <v>813</v>
      </c>
      <c r="M334" s="66" t="s">
        <v>693</v>
      </c>
      <c r="N334" s="66" t="s">
        <v>1836</v>
      </c>
      <c r="O334" s="66" t="str">
        <f t="shared" ca="1" si="21"/>
        <v>SI</v>
      </c>
      <c r="P334" s="66" t="str">
        <f t="shared" si="22"/>
        <v>DIANOSOL</v>
      </c>
      <c r="Q334" s="66" t="s">
        <v>1512</v>
      </c>
      <c r="R334" s="66" t="str">
        <f>VLOOKUP($Q334,Resultados!$A$1:$B$49,2,FALSE)</f>
        <v>Juicio Abreviado</v>
      </c>
      <c r="S334" s="73">
        <v>0.41041666666666665</v>
      </c>
      <c r="T334" s="75" t="str">
        <f t="shared" si="20"/>
        <v>NO</v>
      </c>
      <c r="U334" s="75"/>
      <c r="V334" s="66"/>
      <c r="W334" s="73">
        <v>0.42569444444444443</v>
      </c>
      <c r="X334" s="66"/>
      <c r="Y334" s="66"/>
      <c r="Z334" s="121" t="s">
        <v>748</v>
      </c>
      <c r="AA334" s="75"/>
      <c r="AB334" s="75"/>
      <c r="AC334" s="361"/>
    </row>
    <row r="335" spans="1:29" ht="38.25" outlineLevel="1" x14ac:dyDescent="0.2">
      <c r="A335" s="66">
        <v>333</v>
      </c>
      <c r="B335" s="68">
        <v>45111</v>
      </c>
      <c r="C335" s="73" t="s">
        <v>1009</v>
      </c>
      <c r="D335" s="66" t="s">
        <v>1555</v>
      </c>
      <c r="E335" s="67" t="s">
        <v>1797</v>
      </c>
      <c r="F335" s="66">
        <v>4</v>
      </c>
      <c r="G335" s="66" t="s">
        <v>29</v>
      </c>
      <c r="H335" s="68">
        <v>45120</v>
      </c>
      <c r="I335" s="68" t="s">
        <v>1450</v>
      </c>
      <c r="J335" s="68" t="s">
        <v>1492</v>
      </c>
      <c r="K335" s="66" t="s">
        <v>1346</v>
      </c>
      <c r="L335" s="66" t="s">
        <v>813</v>
      </c>
      <c r="M335" s="66" t="s">
        <v>695</v>
      </c>
      <c r="N335" s="66" t="s">
        <v>621</v>
      </c>
      <c r="O335" s="66" t="str">
        <f t="shared" ca="1" si="21"/>
        <v>SI</v>
      </c>
      <c r="P335" s="66" t="str">
        <f t="shared" si="22"/>
        <v>DIANOSOL</v>
      </c>
      <c r="Q335" s="66" t="s">
        <v>151</v>
      </c>
      <c r="R335" s="66" t="str">
        <f>VLOOKUP($Q335,Resultados!$A$1:$B$49,2,FALSE)</f>
        <v>Prisión Preventiva</v>
      </c>
      <c r="S335" s="66" t="s">
        <v>1276</v>
      </c>
      <c r="T335" s="75" t="str">
        <f t="shared" si="20"/>
        <v>NO</v>
      </c>
      <c r="U335" s="75"/>
      <c r="V335" s="66"/>
      <c r="W335" s="66" t="s">
        <v>1806</v>
      </c>
      <c r="X335" s="66"/>
      <c r="Y335" s="66"/>
      <c r="Z335" s="121" t="s">
        <v>1042</v>
      </c>
      <c r="AA335" s="75"/>
      <c r="AB335" s="75"/>
      <c r="AC335" s="361"/>
    </row>
    <row r="336" spans="1:29" ht="38.25" outlineLevel="1" x14ac:dyDescent="0.2">
      <c r="A336" s="66">
        <v>334</v>
      </c>
      <c r="B336" s="68">
        <v>45111</v>
      </c>
      <c r="C336" s="73" t="s">
        <v>1084</v>
      </c>
      <c r="D336" s="66" t="s">
        <v>1554</v>
      </c>
      <c r="E336" s="67" t="s">
        <v>1794</v>
      </c>
      <c r="F336" s="66">
        <v>4</v>
      </c>
      <c r="G336" s="66" t="s">
        <v>32</v>
      </c>
      <c r="H336" s="68">
        <v>45120</v>
      </c>
      <c r="I336" s="68" t="s">
        <v>76</v>
      </c>
      <c r="J336" s="68" t="s">
        <v>1625</v>
      </c>
      <c r="K336" s="66" t="s">
        <v>1491</v>
      </c>
      <c r="L336" s="66" t="s">
        <v>814</v>
      </c>
      <c r="M336" s="66" t="s">
        <v>1558</v>
      </c>
      <c r="N336" s="66" t="s">
        <v>899</v>
      </c>
      <c r="O336" s="66" t="str">
        <f t="shared" ca="1" si="21"/>
        <v>SI</v>
      </c>
      <c r="P336" s="66" t="str">
        <f t="shared" si="22"/>
        <v>DIANOSOL</v>
      </c>
      <c r="Q336" s="66" t="s">
        <v>899</v>
      </c>
      <c r="R336" s="66" t="str">
        <f>VLOOKUP($Q336,Resultados!$A$1:$B$49,2,FALSE)</f>
        <v>Libertad</v>
      </c>
      <c r="S336" s="66" t="s">
        <v>1802</v>
      </c>
      <c r="T336" s="75" t="str">
        <f t="shared" si="20"/>
        <v>NO</v>
      </c>
      <c r="U336" s="75"/>
      <c r="V336" s="66"/>
      <c r="W336" s="66" t="s">
        <v>1245</v>
      </c>
      <c r="X336" s="66" t="s">
        <v>1803</v>
      </c>
      <c r="Y336" s="66"/>
      <c r="Z336" s="121" t="s">
        <v>1042</v>
      </c>
      <c r="AA336" s="75"/>
      <c r="AB336" s="75"/>
      <c r="AC336" s="361"/>
    </row>
    <row r="337" spans="1:29" ht="38.25" outlineLevel="1" x14ac:dyDescent="0.2">
      <c r="A337" s="66">
        <v>335</v>
      </c>
      <c r="B337" s="68">
        <v>45111</v>
      </c>
      <c r="C337" s="73" t="s">
        <v>1747</v>
      </c>
      <c r="D337" s="66" t="s">
        <v>1553</v>
      </c>
      <c r="E337" s="67" t="s">
        <v>1798</v>
      </c>
      <c r="F337" s="66">
        <v>3</v>
      </c>
      <c r="G337" s="66" t="s">
        <v>32</v>
      </c>
      <c r="H337" s="68">
        <v>45120</v>
      </c>
      <c r="I337" s="68" t="s">
        <v>1450</v>
      </c>
      <c r="J337" s="68" t="s">
        <v>31</v>
      </c>
      <c r="K337" s="66">
        <f>IFERROR(VLOOKUP(J337,Jueces!$A$1:$B$11,2,FALSE),"")</f>
        <v>2</v>
      </c>
      <c r="L337" s="66" t="s">
        <v>810</v>
      </c>
      <c r="M337" s="66" t="s">
        <v>694</v>
      </c>
      <c r="N337" s="66" t="s">
        <v>1804</v>
      </c>
      <c r="O337" s="66" t="str">
        <f t="shared" ca="1" si="21"/>
        <v>SI</v>
      </c>
      <c r="P337" s="66" t="str">
        <f t="shared" si="22"/>
        <v>DIANOSOL</v>
      </c>
      <c r="Q337" s="66" t="s">
        <v>151</v>
      </c>
      <c r="R337" s="66" t="str">
        <f>VLOOKUP($Q337,Resultados!$A$1:$B$49,2,FALSE)</f>
        <v>Prisión Preventiva</v>
      </c>
      <c r="S337" s="66" t="s">
        <v>1739</v>
      </c>
      <c r="T337" s="75" t="str">
        <f t="shared" si="20"/>
        <v>NO</v>
      </c>
      <c r="U337" s="75"/>
      <c r="V337" s="66"/>
      <c r="W337" s="66" t="s">
        <v>1805</v>
      </c>
      <c r="X337" s="66"/>
      <c r="Y337" s="66"/>
      <c r="Z337" s="121" t="s">
        <v>748</v>
      </c>
      <c r="AA337" s="75"/>
      <c r="AB337" s="75"/>
      <c r="AC337" s="361"/>
    </row>
    <row r="338" spans="1:29" ht="38.25" outlineLevel="1" x14ac:dyDescent="0.2">
      <c r="A338" s="66">
        <v>336</v>
      </c>
      <c r="B338" s="68">
        <v>45111</v>
      </c>
      <c r="C338" s="73" t="s">
        <v>1243</v>
      </c>
      <c r="D338" s="66" t="s">
        <v>1523</v>
      </c>
      <c r="E338" s="67" t="s">
        <v>1521</v>
      </c>
      <c r="F338" s="66">
        <v>4</v>
      </c>
      <c r="G338" s="66" t="s">
        <v>568</v>
      </c>
      <c r="H338" s="68">
        <v>45119</v>
      </c>
      <c r="I338" s="68" t="s">
        <v>547</v>
      </c>
      <c r="J338" s="68" t="s">
        <v>35</v>
      </c>
      <c r="K338" s="66">
        <f>IFERROR(VLOOKUP(J338,Jueces!$A$1:$B$11,2,FALSE),"")</f>
        <v>3</v>
      </c>
      <c r="L338" s="66" t="s">
        <v>1522</v>
      </c>
      <c r="M338" s="66" t="s">
        <v>1434</v>
      </c>
      <c r="N338" s="66" t="s">
        <v>1780</v>
      </c>
      <c r="O338" s="66" t="str">
        <f t="shared" ca="1" si="21"/>
        <v>SI</v>
      </c>
      <c r="P338" s="66" t="str">
        <f t="shared" si="22"/>
        <v>DIANOSOL</v>
      </c>
      <c r="Q338" s="66" t="s">
        <v>913</v>
      </c>
      <c r="R338" s="66" t="str">
        <f>VLOOKUP($Q338,Resultados!$A$1:$B$49,2,FALSE)</f>
        <v>Prision domiciliaria</v>
      </c>
      <c r="S338" s="73">
        <v>0.47083333333333338</v>
      </c>
      <c r="T338" s="75" t="str">
        <f t="shared" si="20"/>
        <v>NO</v>
      </c>
      <c r="U338" s="75"/>
      <c r="V338" s="66"/>
      <c r="W338" s="73">
        <v>0.48958333333333331</v>
      </c>
      <c r="X338" s="66"/>
      <c r="Y338" s="66"/>
      <c r="Z338" s="121" t="s">
        <v>743</v>
      </c>
      <c r="AA338" s="75"/>
      <c r="AB338" s="121" t="s">
        <v>1177</v>
      </c>
      <c r="AC338" s="361"/>
    </row>
    <row r="339" spans="1:29" ht="51" outlineLevel="1" x14ac:dyDescent="0.2">
      <c r="A339" s="66">
        <v>337</v>
      </c>
      <c r="B339" s="68">
        <v>45111</v>
      </c>
      <c r="C339" s="73" t="s">
        <v>1746</v>
      </c>
      <c r="D339" s="66" t="s">
        <v>1552</v>
      </c>
      <c r="E339" s="67" t="s">
        <v>1524</v>
      </c>
      <c r="F339" s="66">
        <v>4</v>
      </c>
      <c r="G339" s="66" t="s">
        <v>1442</v>
      </c>
      <c r="H339" s="68">
        <v>45119</v>
      </c>
      <c r="I339" s="68" t="s">
        <v>76</v>
      </c>
      <c r="J339" s="68" t="s">
        <v>31</v>
      </c>
      <c r="K339" s="66">
        <f>IFERROR(VLOOKUP(J339,Jueces!$A$1:$B$11,2,FALSE),"")</f>
        <v>2</v>
      </c>
      <c r="L339" s="66" t="s">
        <v>807</v>
      </c>
      <c r="M339" s="66" t="s">
        <v>695</v>
      </c>
      <c r="N339" s="66" t="s">
        <v>1785</v>
      </c>
      <c r="O339" s="66" t="str">
        <f t="shared" ca="1" si="21"/>
        <v>SI</v>
      </c>
      <c r="P339" s="66" t="str">
        <f t="shared" si="22"/>
        <v>DIANOSOL</v>
      </c>
      <c r="Q339" s="66" t="s">
        <v>899</v>
      </c>
      <c r="R339" s="66" t="str">
        <f>VLOOKUP($Q339,Resultados!$A$1:$B$49,2,FALSE)</f>
        <v>Libertad</v>
      </c>
      <c r="S339" s="66" t="s">
        <v>1004</v>
      </c>
      <c r="T339" s="75" t="str">
        <f t="shared" si="20"/>
        <v>SI</v>
      </c>
      <c r="U339" s="75"/>
      <c r="V339" s="66"/>
      <c r="W339" s="66" t="s">
        <v>1243</v>
      </c>
      <c r="X339" s="66"/>
      <c r="Y339" s="66"/>
      <c r="Z339" s="121" t="s">
        <v>743</v>
      </c>
      <c r="AA339" s="75"/>
      <c r="AB339" s="121" t="s">
        <v>1748</v>
      </c>
      <c r="AC339" s="361"/>
    </row>
    <row r="340" spans="1:29" ht="63.75" outlineLevel="1" x14ac:dyDescent="0.2">
      <c r="A340" s="66">
        <v>338</v>
      </c>
      <c r="B340" s="68">
        <v>45111</v>
      </c>
      <c r="C340" s="73" t="s">
        <v>1396</v>
      </c>
      <c r="D340" s="66" t="s">
        <v>1551</v>
      </c>
      <c r="E340" s="67" t="s">
        <v>1792</v>
      </c>
      <c r="F340" s="66">
        <v>3</v>
      </c>
      <c r="G340" s="66" t="s">
        <v>1441</v>
      </c>
      <c r="H340" s="68">
        <v>45119</v>
      </c>
      <c r="I340" s="68" t="s">
        <v>76</v>
      </c>
      <c r="J340" s="68" t="s">
        <v>1492</v>
      </c>
      <c r="K340" s="66" t="s">
        <v>1346</v>
      </c>
      <c r="L340" s="66" t="s">
        <v>812</v>
      </c>
      <c r="M340" s="66" t="s">
        <v>694</v>
      </c>
      <c r="N340" s="66" t="s">
        <v>1765</v>
      </c>
      <c r="O340" s="66" t="str">
        <f t="shared" ca="1" si="21"/>
        <v>SI</v>
      </c>
      <c r="P340" s="66" t="str">
        <f t="shared" si="22"/>
        <v>DIANOSOL</v>
      </c>
      <c r="Q340" s="66" t="s">
        <v>905</v>
      </c>
      <c r="R340" s="66" t="str">
        <f>VLOOKUP($Q340,Resultados!$A$1:$B$49,2,FALSE)</f>
        <v>Juicio Abreviado</v>
      </c>
      <c r="S340" s="73">
        <v>0.3972222222222222</v>
      </c>
      <c r="T340" s="75" t="str">
        <f t="shared" si="20"/>
        <v>NO</v>
      </c>
      <c r="U340" s="75"/>
      <c r="V340" s="66"/>
      <c r="W340" s="73">
        <v>0.40625</v>
      </c>
      <c r="X340" s="66" t="s">
        <v>1766</v>
      </c>
      <c r="Y340" s="66"/>
      <c r="Z340" s="121" t="s">
        <v>1042</v>
      </c>
      <c r="AA340" s="75"/>
      <c r="AB340" s="121" t="s">
        <v>1749</v>
      </c>
      <c r="AC340" s="361"/>
    </row>
    <row r="341" spans="1:29" ht="25.5" outlineLevel="1" x14ac:dyDescent="0.2">
      <c r="A341" s="66">
        <v>339</v>
      </c>
      <c r="B341" s="68">
        <v>45111</v>
      </c>
      <c r="C341" s="73" t="s">
        <v>1509</v>
      </c>
      <c r="D341" s="66" t="s">
        <v>1550</v>
      </c>
      <c r="E341" s="67" t="s">
        <v>1795</v>
      </c>
      <c r="F341" s="66">
        <v>3</v>
      </c>
      <c r="G341" s="66" t="s">
        <v>568</v>
      </c>
      <c r="H341" s="68">
        <v>45120</v>
      </c>
      <c r="I341" s="68" t="s">
        <v>76</v>
      </c>
      <c r="J341" s="68" t="s">
        <v>31</v>
      </c>
      <c r="K341" s="66">
        <f>IFERROR(VLOOKUP(J341,Jueces!$A$1:$B$11,2,FALSE),"")</f>
        <v>2</v>
      </c>
      <c r="L341" s="66" t="s">
        <v>813</v>
      </c>
      <c r="M341" s="66" t="s">
        <v>694</v>
      </c>
      <c r="N341" s="66" t="s">
        <v>899</v>
      </c>
      <c r="O341" s="66" t="str">
        <f t="shared" ca="1" si="21"/>
        <v>SI</v>
      </c>
      <c r="P341" s="66" t="str">
        <f t="shared" si="22"/>
        <v>DIANOSOL</v>
      </c>
      <c r="Q341" s="66" t="s">
        <v>899</v>
      </c>
      <c r="R341" s="66" t="str">
        <f>VLOOKUP($Q341,Resultados!$A$1:$B$49,2,FALSE)</f>
        <v>Libertad</v>
      </c>
      <c r="S341" s="66" t="s">
        <v>1132</v>
      </c>
      <c r="T341" s="75" t="str">
        <f t="shared" si="20"/>
        <v>NO</v>
      </c>
      <c r="U341" s="75"/>
      <c r="V341" s="66"/>
      <c r="W341" s="66" t="s">
        <v>1807</v>
      </c>
      <c r="X341" s="66"/>
      <c r="Y341" s="66"/>
      <c r="Z341" s="121" t="s">
        <v>748</v>
      </c>
      <c r="AA341" s="75"/>
      <c r="AB341" s="75"/>
      <c r="AC341" s="361"/>
    </row>
    <row r="342" spans="1:29" ht="63.75" outlineLevel="1" x14ac:dyDescent="0.2">
      <c r="A342" s="66">
        <v>340</v>
      </c>
      <c r="B342" s="68">
        <v>45111</v>
      </c>
      <c r="C342" s="73">
        <v>0.41736111111111113</v>
      </c>
      <c r="D342" s="66" t="s">
        <v>1548</v>
      </c>
      <c r="E342" s="67" t="s">
        <v>1525</v>
      </c>
      <c r="F342" s="66">
        <v>3</v>
      </c>
      <c r="G342" s="66" t="s">
        <v>283</v>
      </c>
      <c r="H342" s="68">
        <v>45119</v>
      </c>
      <c r="I342" s="68" t="s">
        <v>1450</v>
      </c>
      <c r="J342" s="68" t="s">
        <v>35</v>
      </c>
      <c r="K342" s="66">
        <f>IFERROR(VLOOKUP(J342,Jueces!$A$1:$B$11,2,FALSE),"")</f>
        <v>3</v>
      </c>
      <c r="L342" s="66" t="s">
        <v>807</v>
      </c>
      <c r="M342" s="66" t="s">
        <v>694</v>
      </c>
      <c r="N342" s="66" t="s">
        <v>1784</v>
      </c>
      <c r="O342" s="66" t="str">
        <f t="shared" ca="1" si="21"/>
        <v>SI</v>
      </c>
      <c r="P342" s="66" t="str">
        <f t="shared" si="22"/>
        <v>DIANOSOL</v>
      </c>
      <c r="Q342" s="66" t="s">
        <v>905</v>
      </c>
      <c r="R342" s="66" t="str">
        <f>VLOOKUP($Q342,Resultados!$A$1:$B$49,2,FALSE)</f>
        <v>Juicio Abreviado</v>
      </c>
      <c r="S342" s="66" t="s">
        <v>1450</v>
      </c>
      <c r="T342" s="75" t="str">
        <f t="shared" si="20"/>
        <v>NO</v>
      </c>
      <c r="U342" s="75"/>
      <c r="V342" s="66"/>
      <c r="W342" s="66" t="s">
        <v>1783</v>
      </c>
      <c r="X342" s="66"/>
      <c r="Y342" s="66"/>
      <c r="Z342" s="121" t="s">
        <v>748</v>
      </c>
      <c r="AA342" s="75"/>
      <c r="AB342" s="121" t="s">
        <v>1750</v>
      </c>
      <c r="AC342" s="361"/>
    </row>
    <row r="343" spans="1:29" ht="76.5" outlineLevel="1" x14ac:dyDescent="0.2">
      <c r="A343" s="66">
        <v>341</v>
      </c>
      <c r="B343" s="68">
        <v>45111</v>
      </c>
      <c r="C343" s="73" t="s">
        <v>1458</v>
      </c>
      <c r="D343" s="66" t="s">
        <v>1549</v>
      </c>
      <c r="E343" s="67" t="s">
        <v>1793</v>
      </c>
      <c r="F343" s="66">
        <v>2</v>
      </c>
      <c r="G343" s="66" t="s">
        <v>43</v>
      </c>
      <c r="H343" s="68">
        <v>45119</v>
      </c>
      <c r="I343" s="68" t="s">
        <v>547</v>
      </c>
      <c r="J343" s="68" t="s">
        <v>1625</v>
      </c>
      <c r="K343" s="66" t="s">
        <v>1491</v>
      </c>
      <c r="L343" s="66" t="s">
        <v>798</v>
      </c>
      <c r="M343" s="66" t="s">
        <v>1179</v>
      </c>
      <c r="N343" s="66" t="s">
        <v>1778</v>
      </c>
      <c r="O343" s="66" t="str">
        <f t="shared" ca="1" si="21"/>
        <v>SI</v>
      </c>
      <c r="P343" s="66" t="str">
        <f t="shared" si="22"/>
        <v>DIANOSOL</v>
      </c>
      <c r="Q343" s="66" t="s">
        <v>905</v>
      </c>
      <c r="R343" s="66" t="str">
        <f>VLOOKUP($Q343,Resultados!$A$1:$B$49,2,FALSE)</f>
        <v>Juicio Abreviado</v>
      </c>
      <c r="S343" s="73">
        <v>0.4916666666666667</v>
      </c>
      <c r="T343" s="75" t="str">
        <f t="shared" si="20"/>
        <v>NO</v>
      </c>
      <c r="U343" s="75"/>
      <c r="V343" s="66"/>
      <c r="W343" s="73">
        <v>0.5083333333333333</v>
      </c>
      <c r="X343" s="66" t="s">
        <v>1779</v>
      </c>
      <c r="Y343" s="66"/>
      <c r="Z343" s="121" t="s">
        <v>1042</v>
      </c>
      <c r="AA343" s="75"/>
      <c r="AB343" s="121" t="s">
        <v>1751</v>
      </c>
      <c r="AC343" s="361"/>
    </row>
    <row r="344" spans="1:29" ht="63.75" outlineLevel="1" x14ac:dyDescent="0.2">
      <c r="A344" s="66">
        <v>342</v>
      </c>
      <c r="B344" s="68">
        <v>45111</v>
      </c>
      <c r="C344" s="73" t="s">
        <v>1279</v>
      </c>
      <c r="D344" s="66" t="s">
        <v>1557</v>
      </c>
      <c r="E344" s="67" t="s">
        <v>1556</v>
      </c>
      <c r="F344" s="66">
        <v>4</v>
      </c>
      <c r="G344" s="66" t="s">
        <v>29</v>
      </c>
      <c r="H344" s="68">
        <v>45119</v>
      </c>
      <c r="I344" s="68" t="s">
        <v>547</v>
      </c>
      <c r="J344" s="68" t="s">
        <v>1492</v>
      </c>
      <c r="K344" s="66" t="s">
        <v>1346</v>
      </c>
      <c r="L344" s="66" t="s">
        <v>813</v>
      </c>
      <c r="M344" s="66" t="s">
        <v>694</v>
      </c>
      <c r="N344" s="66" t="s">
        <v>1782</v>
      </c>
      <c r="O344" s="66" t="str">
        <f t="shared" ca="1" si="21"/>
        <v>SI</v>
      </c>
      <c r="P344" s="66" t="str">
        <f t="shared" si="22"/>
        <v>DIANOSOL</v>
      </c>
      <c r="Q344" s="66" t="s">
        <v>904</v>
      </c>
      <c r="R344" s="66" t="str">
        <f>VLOOKUP($Q344,Resultados!$A$1:$B$49,2,FALSE)</f>
        <v>Juicio Abreviado</v>
      </c>
      <c r="S344" s="66" t="s">
        <v>547</v>
      </c>
      <c r="T344" s="75" t="str">
        <f t="shared" si="20"/>
        <v>NO</v>
      </c>
      <c r="U344" s="75"/>
      <c r="V344" s="66"/>
      <c r="W344" s="66" t="s">
        <v>1781</v>
      </c>
      <c r="X344" s="66"/>
      <c r="Y344" s="66"/>
      <c r="Z344" s="121" t="s">
        <v>748</v>
      </c>
      <c r="AA344" s="75"/>
      <c r="AB344" s="75"/>
      <c r="AC344" s="361"/>
    </row>
    <row r="345" spans="1:29" ht="102" outlineLevel="1" x14ac:dyDescent="0.2">
      <c r="A345" s="66">
        <v>343</v>
      </c>
      <c r="B345" s="68">
        <v>45111</v>
      </c>
      <c r="C345" s="73" t="s">
        <v>1125</v>
      </c>
      <c r="D345" s="66" t="s">
        <v>1560</v>
      </c>
      <c r="E345" s="67" t="s">
        <v>1526</v>
      </c>
      <c r="F345" s="66">
        <v>4</v>
      </c>
      <c r="G345" s="66" t="s">
        <v>1441</v>
      </c>
      <c r="H345" s="68">
        <v>45121</v>
      </c>
      <c r="I345" s="68" t="s">
        <v>76</v>
      </c>
      <c r="J345" s="68" t="s">
        <v>35</v>
      </c>
      <c r="K345" s="66">
        <f>IFERROR(VLOOKUP(J345,Jueces!$A$1:$B$13,2,FALSE),"")</f>
        <v>3</v>
      </c>
      <c r="L345" s="66" t="s">
        <v>508</v>
      </c>
      <c r="M345" s="66" t="s">
        <v>1823</v>
      </c>
      <c r="N345" s="66" t="s">
        <v>1830</v>
      </c>
      <c r="O345" s="66" t="str">
        <f t="shared" ca="1" si="21"/>
        <v>SI</v>
      </c>
      <c r="P345" s="66" t="str">
        <f t="shared" si="22"/>
        <v>DIANOSOL</v>
      </c>
      <c r="Q345" s="66" t="s">
        <v>151</v>
      </c>
      <c r="R345" s="66" t="str">
        <f>VLOOKUP($Q345,Resultados!$A$1:$B$49,2,FALSE)</f>
        <v>Prisión Preventiva</v>
      </c>
      <c r="S345" s="73">
        <v>0.38819444444444445</v>
      </c>
      <c r="T345" s="75" t="str">
        <f t="shared" si="20"/>
        <v>NO</v>
      </c>
      <c r="U345" s="75"/>
      <c r="V345" s="66"/>
      <c r="W345" s="73">
        <v>0.41597222222222219</v>
      </c>
      <c r="X345" s="388" t="s">
        <v>1831</v>
      </c>
      <c r="Y345" s="66"/>
      <c r="Z345" s="121" t="s">
        <v>743</v>
      </c>
      <c r="AA345" s="75"/>
      <c r="AB345" s="75"/>
      <c r="AC345" s="361"/>
    </row>
    <row r="346" spans="1:29" ht="63.75" outlineLevel="1" x14ac:dyDescent="0.2">
      <c r="A346" s="66">
        <v>344</v>
      </c>
      <c r="B346" s="68">
        <v>45111</v>
      </c>
      <c r="C346" s="73">
        <v>0.53263888888888888</v>
      </c>
      <c r="D346" s="66" t="s">
        <v>1559</v>
      </c>
      <c r="E346" s="67" t="s">
        <v>1773</v>
      </c>
      <c r="F346" s="66">
        <v>3</v>
      </c>
      <c r="G346" s="66" t="s">
        <v>43</v>
      </c>
      <c r="H346" s="68">
        <v>45119</v>
      </c>
      <c r="I346" s="68" t="s">
        <v>1562</v>
      </c>
      <c r="J346" s="68" t="s">
        <v>1625</v>
      </c>
      <c r="K346" s="66" t="s">
        <v>1491</v>
      </c>
      <c r="L346" s="66" t="s">
        <v>806</v>
      </c>
      <c r="M346" s="66" t="s">
        <v>694</v>
      </c>
      <c r="N346" s="66" t="s">
        <v>1776</v>
      </c>
      <c r="O346" s="66" t="str">
        <f t="shared" ca="1" si="21"/>
        <v>SI</v>
      </c>
      <c r="P346" s="66" t="str">
        <f t="shared" si="22"/>
        <v>DIANOSOL</v>
      </c>
      <c r="Q346" s="66" t="s">
        <v>904</v>
      </c>
      <c r="R346" s="66" t="str">
        <f>VLOOKUP($Q346,Resultados!$A$1:$B$49,2,FALSE)</f>
        <v>Juicio Abreviado</v>
      </c>
      <c r="S346" s="66" t="s">
        <v>1774</v>
      </c>
      <c r="T346" s="75" t="str">
        <f t="shared" si="20"/>
        <v>NO</v>
      </c>
      <c r="U346" s="75"/>
      <c r="V346" s="66"/>
      <c r="W346" s="66" t="s">
        <v>1775</v>
      </c>
      <c r="X346" s="66" t="s">
        <v>1777</v>
      </c>
      <c r="Y346" s="66"/>
      <c r="Z346" s="121" t="s">
        <v>743</v>
      </c>
      <c r="AA346" s="75"/>
      <c r="AB346" s="75"/>
      <c r="AC346" s="361"/>
    </row>
    <row r="347" spans="1:29" ht="38.25" outlineLevel="1" x14ac:dyDescent="0.2">
      <c r="A347" s="66">
        <v>345</v>
      </c>
      <c r="B347" s="68">
        <v>45112</v>
      </c>
      <c r="C347" s="66" t="s">
        <v>73</v>
      </c>
      <c r="D347" s="66" t="s">
        <v>1561</v>
      </c>
      <c r="E347" s="67" t="s">
        <v>1799</v>
      </c>
      <c r="F347" s="66">
        <v>4</v>
      </c>
      <c r="G347" s="66" t="s">
        <v>1442</v>
      </c>
      <c r="H347" s="68">
        <v>45120</v>
      </c>
      <c r="I347" s="68" t="s">
        <v>547</v>
      </c>
      <c r="J347" s="68" t="s">
        <v>1625</v>
      </c>
      <c r="K347" s="66" t="str">
        <f>IFERROR(VLOOKUP(J347,Jueces!$A$1:$B$13,2,FALSE),"")</f>
        <v>JUI 5</v>
      </c>
      <c r="L347" s="66" t="s">
        <v>806</v>
      </c>
      <c r="M347" s="66" t="s">
        <v>695</v>
      </c>
      <c r="N347" s="66" t="s">
        <v>1825</v>
      </c>
      <c r="O347" s="66" t="str">
        <f t="shared" ca="1" si="21"/>
        <v>SI</v>
      </c>
      <c r="P347" s="66" t="str">
        <f t="shared" si="22"/>
        <v>DIANOSOL</v>
      </c>
      <c r="Q347" s="66" t="s">
        <v>904</v>
      </c>
      <c r="R347" s="66" t="str">
        <f>VLOOKUP($Q347,Resultados!$A$1:$B$49,2,FALSE)</f>
        <v>Juicio Abreviado</v>
      </c>
      <c r="S347" s="73">
        <v>0.50347222222222221</v>
      </c>
      <c r="T347" s="75" t="str">
        <f t="shared" si="20"/>
        <v>SI</v>
      </c>
      <c r="U347" s="75"/>
      <c r="V347" s="66"/>
      <c r="W347" s="73">
        <v>0.50902777777777775</v>
      </c>
      <c r="X347" s="66" t="s">
        <v>1826</v>
      </c>
      <c r="Y347" s="66"/>
      <c r="Z347" s="121" t="s">
        <v>743</v>
      </c>
      <c r="AA347" s="75"/>
      <c r="AB347" s="75"/>
      <c r="AC347" s="361"/>
    </row>
    <row r="348" spans="1:29" ht="102" outlineLevel="1" x14ac:dyDescent="0.2">
      <c r="A348" s="66">
        <v>346</v>
      </c>
      <c r="B348" s="68">
        <v>45112</v>
      </c>
      <c r="C348" s="66" t="s">
        <v>1564</v>
      </c>
      <c r="D348" s="66" t="s">
        <v>1563</v>
      </c>
      <c r="E348" s="67" t="s">
        <v>1800</v>
      </c>
      <c r="F348" s="66">
        <v>3</v>
      </c>
      <c r="G348" s="66" t="s">
        <v>283</v>
      </c>
      <c r="H348" s="68">
        <v>45120</v>
      </c>
      <c r="I348" s="68" t="s">
        <v>547</v>
      </c>
      <c r="J348" s="68" t="s">
        <v>31</v>
      </c>
      <c r="K348" s="66">
        <f>IFERROR(VLOOKUP(J348,Jueces!$A$1:$B$13,2,FALSE),"")</f>
        <v>2</v>
      </c>
      <c r="L348" s="66" t="s">
        <v>789</v>
      </c>
      <c r="M348" s="66" t="s">
        <v>1828</v>
      </c>
      <c r="N348" s="66" t="s">
        <v>1824</v>
      </c>
      <c r="O348" s="66" t="str">
        <f t="shared" ca="1" si="21"/>
        <v>SI</v>
      </c>
      <c r="P348" s="66" t="str">
        <f t="shared" si="22"/>
        <v>DIANOSOL</v>
      </c>
      <c r="Q348" s="66" t="s">
        <v>151</v>
      </c>
      <c r="R348" s="66" t="str">
        <f>VLOOKUP($Q348,Resultados!$A$1:$B$49,2,FALSE)</f>
        <v>Prisión Preventiva</v>
      </c>
      <c r="S348" s="73">
        <v>0.47638888888888892</v>
      </c>
      <c r="T348" s="75" t="str">
        <f t="shared" si="20"/>
        <v>NO</v>
      </c>
      <c r="U348" s="75"/>
      <c r="V348" s="66"/>
      <c r="W348" s="73">
        <v>0.49513888888888885</v>
      </c>
      <c r="X348" s="66" t="s">
        <v>1829</v>
      </c>
      <c r="Y348" s="66"/>
      <c r="Z348" s="121" t="s">
        <v>1042</v>
      </c>
      <c r="AA348" s="75"/>
      <c r="AB348" s="75"/>
      <c r="AC348" s="361"/>
    </row>
    <row r="349" spans="1:29" ht="38.25" outlineLevel="1" x14ac:dyDescent="0.2">
      <c r="A349" s="66">
        <v>347</v>
      </c>
      <c r="B349" s="68">
        <v>45112</v>
      </c>
      <c r="C349" s="66" t="s">
        <v>1566</v>
      </c>
      <c r="D349" s="66" t="s">
        <v>1565</v>
      </c>
      <c r="E349" s="67" t="s">
        <v>1796</v>
      </c>
      <c r="F349" s="66">
        <v>4</v>
      </c>
      <c r="G349" s="66" t="s">
        <v>43</v>
      </c>
      <c r="H349" s="68">
        <v>45120</v>
      </c>
      <c r="I349" s="68" t="s">
        <v>76</v>
      </c>
      <c r="J349" s="68" t="s">
        <v>1492</v>
      </c>
      <c r="K349" s="66" t="s">
        <v>1346</v>
      </c>
      <c r="L349" s="66" t="s">
        <v>809</v>
      </c>
      <c r="M349" s="66" t="s">
        <v>695</v>
      </c>
      <c r="N349" s="66" t="s">
        <v>621</v>
      </c>
      <c r="O349" s="66" t="str">
        <f t="shared" ca="1" si="21"/>
        <v>SI</v>
      </c>
      <c r="P349" s="66" t="str">
        <f t="shared" si="22"/>
        <v>DIANOSOL</v>
      </c>
      <c r="Q349" s="66" t="s">
        <v>151</v>
      </c>
      <c r="R349" s="66" t="str">
        <f>VLOOKUP($Q349,Resultados!$A$1:$B$49,2,FALSE)</f>
        <v>Prisión Preventiva</v>
      </c>
      <c r="S349" s="66" t="s">
        <v>1299</v>
      </c>
      <c r="T349" s="75" t="str">
        <f t="shared" si="20"/>
        <v>NO</v>
      </c>
      <c r="U349" s="75"/>
      <c r="V349" s="66"/>
      <c r="W349" s="66" t="s">
        <v>1450</v>
      </c>
      <c r="X349" s="382"/>
      <c r="Y349" s="66"/>
      <c r="Z349" s="121" t="s">
        <v>743</v>
      </c>
      <c r="AA349" s="75"/>
      <c r="AB349" s="75"/>
      <c r="AC349" s="361"/>
    </row>
    <row r="350" spans="1:29" ht="51" outlineLevel="1" x14ac:dyDescent="0.2">
      <c r="A350" s="66">
        <v>348</v>
      </c>
      <c r="B350" s="68">
        <v>45112</v>
      </c>
      <c r="C350" s="66" t="s">
        <v>1237</v>
      </c>
      <c r="D350" s="66" t="s">
        <v>1569</v>
      </c>
      <c r="E350" s="67" t="s">
        <v>1582</v>
      </c>
      <c r="F350" s="66">
        <v>4</v>
      </c>
      <c r="G350" s="66" t="s">
        <v>32</v>
      </c>
      <c r="H350" s="68">
        <v>45121</v>
      </c>
      <c r="I350" s="68" t="s">
        <v>76</v>
      </c>
      <c r="J350" s="68" t="s">
        <v>31</v>
      </c>
      <c r="K350" s="66">
        <f>IFERROR(VLOOKUP(J350,Jueces!$A$1:$B$13,2,FALSE),"")</f>
        <v>2</v>
      </c>
      <c r="L350" s="66" t="s">
        <v>809</v>
      </c>
      <c r="M350" s="66" t="s">
        <v>695</v>
      </c>
      <c r="N350" s="66" t="s">
        <v>1827</v>
      </c>
      <c r="O350" s="66" t="str">
        <f t="shared" ca="1" si="21"/>
        <v>SI</v>
      </c>
      <c r="P350" s="66" t="str">
        <f t="shared" si="22"/>
        <v>DIANOSOL</v>
      </c>
      <c r="Q350" s="66" t="s">
        <v>904</v>
      </c>
      <c r="R350" s="66" t="str">
        <f>VLOOKUP($Q350,Resultados!$A$1:$B$49,2,FALSE)</f>
        <v>Juicio Abreviado</v>
      </c>
      <c r="S350" s="73">
        <v>0.375</v>
      </c>
      <c r="T350" s="75" t="str">
        <f t="shared" si="20"/>
        <v>NO</v>
      </c>
      <c r="U350" s="75"/>
      <c r="V350" s="66"/>
      <c r="W350" s="73">
        <v>0.40138888888888885</v>
      </c>
      <c r="X350" s="66"/>
      <c r="Y350" s="66"/>
      <c r="Z350" s="121" t="s">
        <v>1042</v>
      </c>
      <c r="AA350" s="75"/>
      <c r="AB350" s="75"/>
      <c r="AC350" s="361"/>
    </row>
    <row r="351" spans="1:29" ht="38.25" outlineLevel="1" x14ac:dyDescent="0.2">
      <c r="A351" s="66">
        <v>349</v>
      </c>
      <c r="B351" s="68">
        <v>45112</v>
      </c>
      <c r="C351" s="73">
        <v>0.36388888888888887</v>
      </c>
      <c r="D351" s="66" t="s">
        <v>1567</v>
      </c>
      <c r="E351" s="67" t="s">
        <v>1568</v>
      </c>
      <c r="F351" s="66">
        <v>4</v>
      </c>
      <c r="G351" s="66" t="s">
        <v>29</v>
      </c>
      <c r="H351" s="68">
        <v>45121</v>
      </c>
      <c r="I351" s="68" t="s">
        <v>1450</v>
      </c>
      <c r="J351" s="68" t="s">
        <v>1625</v>
      </c>
      <c r="K351" s="66" t="str">
        <f>IFERROR(VLOOKUP(J351,Jueces!$A$1:$B$13,2,FALSE),"")</f>
        <v>JUI 5</v>
      </c>
      <c r="L351" s="66" t="s">
        <v>807</v>
      </c>
      <c r="M351" s="66" t="s">
        <v>695</v>
      </c>
      <c r="N351" s="66" t="s">
        <v>1753</v>
      </c>
      <c r="O351" s="66" t="str">
        <f t="shared" ca="1" si="21"/>
        <v>SI</v>
      </c>
      <c r="P351" s="66" t="str">
        <f t="shared" si="22"/>
        <v>DIANOSOL</v>
      </c>
      <c r="Q351" s="66" t="s">
        <v>151</v>
      </c>
      <c r="R351" s="66" t="str">
        <f>VLOOKUP($Q351,Resultados!$A$1:$B$49,2,FALSE)</f>
        <v>Prisión Preventiva</v>
      </c>
      <c r="S351" s="73">
        <v>0.44513888888888892</v>
      </c>
      <c r="T351" s="75" t="str">
        <f t="shared" si="20"/>
        <v>NO</v>
      </c>
      <c r="U351" s="75"/>
      <c r="V351" s="66"/>
      <c r="W351" s="73">
        <v>0.45347222222222222</v>
      </c>
      <c r="X351" s="66"/>
      <c r="Y351" s="66"/>
      <c r="Z351" s="121" t="s">
        <v>1042</v>
      </c>
      <c r="AA351" s="75"/>
      <c r="AB351" s="75"/>
      <c r="AC351" s="361"/>
    </row>
    <row r="352" spans="1:29" ht="63.75" outlineLevel="1" x14ac:dyDescent="0.2">
      <c r="A352" s="66">
        <v>350</v>
      </c>
      <c r="B352" s="68">
        <v>45112</v>
      </c>
      <c r="C352" s="73">
        <v>0.5625</v>
      </c>
      <c r="D352" s="66" t="s">
        <v>1598</v>
      </c>
      <c r="E352" s="67" t="s">
        <v>1599</v>
      </c>
      <c r="F352" s="66">
        <v>3</v>
      </c>
      <c r="G352" s="66" t="s">
        <v>1442</v>
      </c>
      <c r="H352" s="68">
        <v>45121</v>
      </c>
      <c r="I352" s="68" t="s">
        <v>1450</v>
      </c>
      <c r="J352" s="68" t="s">
        <v>1492</v>
      </c>
      <c r="K352" s="66" t="s">
        <v>1346</v>
      </c>
      <c r="L352" s="66" t="s">
        <v>1834</v>
      </c>
      <c r="M352" s="66" t="s">
        <v>694</v>
      </c>
      <c r="N352" s="66" t="s">
        <v>1833</v>
      </c>
      <c r="O352" s="66" t="str">
        <f t="shared" ca="1" si="21"/>
        <v>SI</v>
      </c>
      <c r="P352" s="66" t="str">
        <f t="shared" si="22"/>
        <v>DIANOSOL</v>
      </c>
      <c r="Q352" s="66" t="s">
        <v>905</v>
      </c>
      <c r="R352" s="66" t="str">
        <f>VLOOKUP($Q352,Resultados!$A$1:$B$49,2,FALSE)</f>
        <v>Juicio Abreviado</v>
      </c>
      <c r="S352" s="73">
        <v>0.4368055555555555</v>
      </c>
      <c r="T352" s="75" t="str">
        <f t="shared" si="20"/>
        <v>SI</v>
      </c>
      <c r="U352" s="75"/>
      <c r="V352" s="66"/>
      <c r="W352" s="73">
        <v>0.4513888888888889</v>
      </c>
      <c r="X352" s="66"/>
      <c r="Y352" s="66"/>
      <c r="Z352" s="121" t="s">
        <v>743</v>
      </c>
      <c r="AA352" s="75"/>
      <c r="AB352" s="75"/>
      <c r="AC352" s="361"/>
    </row>
    <row r="353" spans="1:29" ht="51" outlineLevel="1" x14ac:dyDescent="0.2">
      <c r="A353" s="66">
        <v>351</v>
      </c>
      <c r="B353" s="68">
        <v>45113</v>
      </c>
      <c r="C353" s="73" t="s">
        <v>1210</v>
      </c>
      <c r="D353" s="66" t="s">
        <v>1594</v>
      </c>
      <c r="E353" s="67" t="s">
        <v>1846</v>
      </c>
      <c r="F353" s="66">
        <v>4</v>
      </c>
      <c r="G353" s="66" t="s">
        <v>283</v>
      </c>
      <c r="H353" s="68">
        <v>45124</v>
      </c>
      <c r="I353" s="68" t="s">
        <v>76</v>
      </c>
      <c r="J353" s="68" t="s">
        <v>1689</v>
      </c>
      <c r="K353" s="66" t="s">
        <v>1692</v>
      </c>
      <c r="L353" s="66" t="s">
        <v>806</v>
      </c>
      <c r="M353" s="66" t="s">
        <v>695</v>
      </c>
      <c r="N353" s="66" t="s">
        <v>235</v>
      </c>
      <c r="O353" s="66" t="str">
        <f t="shared" ca="1" si="21"/>
        <v>SI</v>
      </c>
      <c r="P353" s="66" t="str">
        <f t="shared" si="22"/>
        <v>DIANOSOL</v>
      </c>
      <c r="Q353" s="66" t="s">
        <v>151</v>
      </c>
      <c r="R353" s="66" t="str">
        <f>VLOOKUP($Q353,Resultados!$A$1:$B$49,2,FALSE)</f>
        <v>Prisión Preventiva</v>
      </c>
      <c r="S353" s="73">
        <v>0.45833333333333331</v>
      </c>
      <c r="T353" s="75" t="str">
        <f t="shared" si="20"/>
        <v>NO</v>
      </c>
      <c r="U353" s="75"/>
      <c r="V353" s="66"/>
      <c r="W353" s="73">
        <v>0.5</v>
      </c>
      <c r="X353" s="66" t="s">
        <v>1851</v>
      </c>
      <c r="Y353" s="66"/>
      <c r="Z353" s="121" t="s">
        <v>1042</v>
      </c>
      <c r="AA353" s="75"/>
      <c r="AB353" s="75"/>
      <c r="AC353" s="361"/>
    </row>
    <row r="354" spans="1:29" ht="63.75" outlineLevel="1" x14ac:dyDescent="0.2">
      <c r="A354" s="66">
        <v>352</v>
      </c>
      <c r="B354" s="68">
        <v>45113</v>
      </c>
      <c r="C354" s="73" t="s">
        <v>1131</v>
      </c>
      <c r="D354" s="66" t="s">
        <v>1721</v>
      </c>
      <c r="E354" s="67" t="s">
        <v>1593</v>
      </c>
      <c r="F354" s="66">
        <v>4</v>
      </c>
      <c r="G354" s="66" t="s">
        <v>1663</v>
      </c>
      <c r="H354" s="68">
        <v>45124</v>
      </c>
      <c r="I354" s="68" t="s">
        <v>1450</v>
      </c>
      <c r="J354" s="68" t="s">
        <v>1732</v>
      </c>
      <c r="K354" s="66" t="s">
        <v>1346</v>
      </c>
      <c r="L354" s="66" t="s">
        <v>813</v>
      </c>
      <c r="M354" s="66" t="s">
        <v>695</v>
      </c>
      <c r="N354" s="66" t="s">
        <v>1842</v>
      </c>
      <c r="O354" s="66" t="str">
        <f t="shared" ca="1" si="21"/>
        <v>SI</v>
      </c>
      <c r="P354" s="66" t="str">
        <f t="shared" si="22"/>
        <v>DIANOSOL</v>
      </c>
      <c r="Q354" s="66" t="s">
        <v>904</v>
      </c>
      <c r="R354" s="66" t="str">
        <f>VLOOKUP($Q354,Resultados!$A$1:$B$49,2,FALSE)</f>
        <v>Juicio Abreviado</v>
      </c>
      <c r="S354" s="73">
        <v>0.43958333333333338</v>
      </c>
      <c r="T354" s="75" t="str">
        <f t="shared" si="20"/>
        <v>NO</v>
      </c>
      <c r="U354" s="75"/>
      <c r="V354" s="66"/>
      <c r="W354" s="73">
        <v>0.45277777777777778</v>
      </c>
      <c r="X354" s="66" t="s">
        <v>1841</v>
      </c>
      <c r="Y354" s="66"/>
      <c r="Z354" s="121" t="s">
        <v>1042</v>
      </c>
      <c r="AA354" s="75"/>
      <c r="AB354" s="75"/>
      <c r="AC354" s="361"/>
    </row>
    <row r="355" spans="1:29" ht="51" outlineLevel="1" x14ac:dyDescent="0.2">
      <c r="A355" s="66">
        <v>353</v>
      </c>
      <c r="B355" s="68">
        <v>45113</v>
      </c>
      <c r="C355" s="66" t="s">
        <v>1131</v>
      </c>
      <c r="D355" s="66" t="s">
        <v>1595</v>
      </c>
      <c r="E355" s="67" t="s">
        <v>1644</v>
      </c>
      <c r="F355" s="66">
        <v>4</v>
      </c>
      <c r="G355" s="66" t="s">
        <v>1661</v>
      </c>
      <c r="H355" s="68">
        <v>45124</v>
      </c>
      <c r="I355" s="68" t="s">
        <v>547</v>
      </c>
      <c r="J355" s="68" t="s">
        <v>1625</v>
      </c>
      <c r="K355" s="66" t="s">
        <v>1491</v>
      </c>
      <c r="L355" s="66" t="s">
        <v>810</v>
      </c>
      <c r="M355" s="66" t="s">
        <v>783</v>
      </c>
      <c r="N355" s="66" t="s">
        <v>1850</v>
      </c>
      <c r="O355" s="66" t="str">
        <f t="shared" ca="1" si="21"/>
        <v>SI</v>
      </c>
      <c r="P355" s="66" t="str">
        <f t="shared" si="22"/>
        <v>DIANOSOL</v>
      </c>
      <c r="Q355" s="66" t="s">
        <v>899</v>
      </c>
      <c r="R355" s="66" t="str">
        <f>VLOOKUP($Q355,Resultados!$A$1:$B$49,2,FALSE)</f>
        <v>Libertad</v>
      </c>
      <c r="S355" s="73"/>
      <c r="T355" s="75" t="str">
        <f t="shared" si="20"/>
        <v>NO</v>
      </c>
      <c r="U355" s="75"/>
      <c r="V355" s="66"/>
      <c r="W355" s="73"/>
      <c r="X355" s="66"/>
      <c r="Y355" s="66"/>
      <c r="Z355" s="121" t="s">
        <v>770</v>
      </c>
      <c r="AA355" s="75"/>
      <c r="AB355" s="75"/>
      <c r="AC355" s="361"/>
    </row>
    <row r="356" spans="1:29" ht="38.25" outlineLevel="1" x14ac:dyDescent="0.2">
      <c r="A356" s="66">
        <v>354</v>
      </c>
      <c r="B356" s="68">
        <v>45113</v>
      </c>
      <c r="C356" s="73">
        <v>0.3972222222222222</v>
      </c>
      <c r="D356" s="66" t="s">
        <v>1596</v>
      </c>
      <c r="E356" s="67" t="s">
        <v>1943</v>
      </c>
      <c r="F356" s="66">
        <v>4</v>
      </c>
      <c r="G356" s="66" t="s">
        <v>1441</v>
      </c>
      <c r="H356" s="68">
        <v>45128</v>
      </c>
      <c r="I356" s="68" t="s">
        <v>228</v>
      </c>
      <c r="J356" s="68" t="s">
        <v>1625</v>
      </c>
      <c r="K356" s="66" t="s">
        <v>1491</v>
      </c>
      <c r="L356" s="66" t="s">
        <v>804</v>
      </c>
      <c r="M356" s="66" t="s">
        <v>695</v>
      </c>
      <c r="N356" s="66" t="s">
        <v>1922</v>
      </c>
      <c r="O356" s="66" t="str">
        <f t="shared" ca="1" si="21"/>
        <v>SI</v>
      </c>
      <c r="P356" s="66" t="str">
        <f t="shared" si="22"/>
        <v>DIANOSOL</v>
      </c>
      <c r="Q356" s="66" t="s">
        <v>151</v>
      </c>
      <c r="R356" s="66" t="str">
        <f>VLOOKUP($Q356,Resultados!$A$1:$B$49,2,FALSE)</f>
        <v>Prisión Preventiva</v>
      </c>
      <c r="S356" s="66" t="s">
        <v>1920</v>
      </c>
      <c r="T356" s="75" t="str">
        <f t="shared" si="20"/>
        <v>NO</v>
      </c>
      <c r="U356" s="75"/>
      <c r="V356" s="66"/>
      <c r="W356" s="66" t="s">
        <v>1921</v>
      </c>
      <c r="X356" s="66" t="s">
        <v>1923</v>
      </c>
      <c r="Y356" s="66"/>
      <c r="Z356" s="121" t="s">
        <v>1042</v>
      </c>
      <c r="AA356" s="75"/>
      <c r="AB356" s="75"/>
      <c r="AC356" s="361"/>
    </row>
    <row r="357" spans="1:29" ht="63.75" outlineLevel="1" x14ac:dyDescent="0.2">
      <c r="A357" s="66">
        <v>355</v>
      </c>
      <c r="B357" s="68">
        <v>45113</v>
      </c>
      <c r="C357" s="66" t="s">
        <v>1635</v>
      </c>
      <c r="D357" s="66" t="s">
        <v>1597</v>
      </c>
      <c r="E357" s="67" t="s">
        <v>1621</v>
      </c>
      <c r="F357" s="66">
        <v>3</v>
      </c>
      <c r="G357" s="66" t="s">
        <v>568</v>
      </c>
      <c r="H357" s="68">
        <v>45121</v>
      </c>
      <c r="I357" s="68" t="s">
        <v>547</v>
      </c>
      <c r="J357" s="68" t="s">
        <v>1492</v>
      </c>
      <c r="K357" s="66" t="s">
        <v>1346</v>
      </c>
      <c r="L357" s="66" t="s">
        <v>809</v>
      </c>
      <c r="M357" s="66" t="s">
        <v>693</v>
      </c>
      <c r="N357" s="66" t="s">
        <v>1835</v>
      </c>
      <c r="O357" s="66" t="str">
        <f t="shared" ca="1" si="21"/>
        <v>SI</v>
      </c>
      <c r="P357" s="66" t="str">
        <f t="shared" si="22"/>
        <v>DIANOSOL</v>
      </c>
      <c r="Q357" s="66" t="s">
        <v>899</v>
      </c>
      <c r="R357" s="66" t="str">
        <f>VLOOKUP($Q357,Resultados!$A$1:$B$49,2,FALSE)</f>
        <v>Libertad</v>
      </c>
      <c r="S357" s="73">
        <v>0.4770833333333333</v>
      </c>
      <c r="T357" s="75" t="str">
        <f t="shared" si="20"/>
        <v>NO</v>
      </c>
      <c r="U357" s="75"/>
      <c r="V357" s="66"/>
      <c r="W357" s="73">
        <v>0.48402777777777778</v>
      </c>
      <c r="X357" s="66"/>
      <c r="Y357" s="66"/>
      <c r="Z357" s="121" t="s">
        <v>748</v>
      </c>
      <c r="AA357" s="75"/>
      <c r="AB357" s="75"/>
      <c r="AC357" s="361"/>
    </row>
    <row r="358" spans="1:29" ht="51" outlineLevel="1" x14ac:dyDescent="0.2">
      <c r="A358" s="66">
        <v>356</v>
      </c>
      <c r="B358" s="68">
        <v>45113</v>
      </c>
      <c r="C358" s="66" t="s">
        <v>1639</v>
      </c>
      <c r="D358" s="66" t="s">
        <v>1636</v>
      </c>
      <c r="E358" s="67" t="s">
        <v>1946</v>
      </c>
      <c r="F358" s="66">
        <v>4</v>
      </c>
      <c r="G358" s="66" t="s">
        <v>1742</v>
      </c>
      <c r="H358" s="68">
        <v>45128</v>
      </c>
      <c r="I358" s="68" t="s">
        <v>547</v>
      </c>
      <c r="J358" s="68" t="s">
        <v>31</v>
      </c>
      <c r="K358" s="66">
        <f>IFERROR(VLOOKUP(J358,Jueces!$A$1:$B$11,2,FALSE),"")</f>
        <v>2</v>
      </c>
      <c r="L358" s="66" t="s">
        <v>812</v>
      </c>
      <c r="M358" s="66" t="s">
        <v>695</v>
      </c>
      <c r="N358" s="66" t="s">
        <v>621</v>
      </c>
      <c r="O358" s="66" t="str">
        <f t="shared" ca="1" si="21"/>
        <v>SI</v>
      </c>
      <c r="P358" s="66" t="str">
        <f t="shared" si="22"/>
        <v>DIANOSOL</v>
      </c>
      <c r="Q358" s="66" t="s">
        <v>151</v>
      </c>
      <c r="R358" s="66" t="str">
        <f>VLOOKUP($Q358,Resultados!$A$1:$B$49,2,FALSE)</f>
        <v>Prisión Preventiva</v>
      </c>
      <c r="S358" s="73" t="s">
        <v>547</v>
      </c>
      <c r="T358" s="75" t="str">
        <f t="shared" si="20"/>
        <v>NO</v>
      </c>
      <c r="U358" s="75"/>
      <c r="V358" s="66"/>
      <c r="W358" s="66" t="s">
        <v>1715</v>
      </c>
      <c r="X358" s="382" t="s">
        <v>1755</v>
      </c>
      <c r="Y358" s="66"/>
      <c r="Z358" s="121" t="s">
        <v>1918</v>
      </c>
      <c r="AA358" s="75"/>
      <c r="AB358" s="75"/>
      <c r="AC358" s="361"/>
    </row>
    <row r="359" spans="1:29" ht="63.75" outlineLevel="1" x14ac:dyDescent="0.2">
      <c r="A359" s="66">
        <v>357</v>
      </c>
      <c r="B359" s="68">
        <v>45113</v>
      </c>
      <c r="C359" s="66" t="s">
        <v>228</v>
      </c>
      <c r="D359" s="66" t="s">
        <v>1643</v>
      </c>
      <c r="E359" s="67" t="s">
        <v>1645</v>
      </c>
      <c r="F359" s="66">
        <v>3</v>
      </c>
      <c r="G359" s="66" t="s">
        <v>1441</v>
      </c>
      <c r="H359" s="68">
        <v>45124</v>
      </c>
      <c r="I359" s="68" t="s">
        <v>76</v>
      </c>
      <c r="J359" s="68" t="s">
        <v>1732</v>
      </c>
      <c r="K359" s="66" t="s">
        <v>1346</v>
      </c>
      <c r="L359" s="66" t="s">
        <v>810</v>
      </c>
      <c r="M359" s="66" t="s">
        <v>694</v>
      </c>
      <c r="N359" s="66" t="s">
        <v>1843</v>
      </c>
      <c r="O359" s="66" t="str">
        <f t="shared" ca="1" si="21"/>
        <v>SI</v>
      </c>
      <c r="P359" s="66" t="str">
        <f t="shared" si="22"/>
        <v>DIANOSOL</v>
      </c>
      <c r="Q359" s="66" t="s">
        <v>904</v>
      </c>
      <c r="R359" s="66" t="str">
        <f>VLOOKUP($Q359,Resultados!$A$1:$B$49,2,FALSE)</f>
        <v>Juicio Abreviado</v>
      </c>
      <c r="S359" s="73">
        <v>0.41041666666666665</v>
      </c>
      <c r="T359" s="75" t="str">
        <f t="shared" si="20"/>
        <v>NO</v>
      </c>
      <c r="U359" s="75"/>
      <c r="V359" s="66"/>
      <c r="W359" s="73">
        <v>0.4201388888888889</v>
      </c>
      <c r="X359" s="66" t="s">
        <v>1840</v>
      </c>
      <c r="Y359" s="66"/>
      <c r="Z359" s="121" t="s">
        <v>770</v>
      </c>
      <c r="AA359" s="75"/>
      <c r="AB359" s="75"/>
      <c r="AC359" s="361"/>
    </row>
    <row r="360" spans="1:29" ht="76.5" outlineLevel="1" x14ac:dyDescent="0.2">
      <c r="A360" s="66">
        <v>358</v>
      </c>
      <c r="B360" s="68">
        <v>45113</v>
      </c>
      <c r="C360" s="66" t="s">
        <v>1642</v>
      </c>
      <c r="D360" s="66" t="s">
        <v>1641</v>
      </c>
      <c r="E360" s="67" t="s">
        <v>1646</v>
      </c>
      <c r="F360" s="66">
        <v>3</v>
      </c>
      <c r="G360" s="66" t="s">
        <v>283</v>
      </c>
      <c r="H360" s="68">
        <v>45121</v>
      </c>
      <c r="I360" s="68" t="s">
        <v>76</v>
      </c>
      <c r="J360" s="68" t="s">
        <v>1492</v>
      </c>
      <c r="K360" s="66" t="s">
        <v>1346</v>
      </c>
      <c r="L360" s="66" t="s">
        <v>793</v>
      </c>
      <c r="M360" s="66" t="s">
        <v>1647</v>
      </c>
      <c r="N360" s="66" t="s">
        <v>1832</v>
      </c>
      <c r="O360" s="66" t="str">
        <f t="shared" ca="1" si="21"/>
        <v>SI</v>
      </c>
      <c r="P360" s="66" t="str">
        <f t="shared" si="22"/>
        <v>DIANOSOL</v>
      </c>
      <c r="Q360" s="66" t="s">
        <v>912</v>
      </c>
      <c r="R360" s="66" t="str">
        <f>VLOOKUP($Q360,Resultados!$A$1:$B$49,2,FALSE)</f>
        <v>Suspendida</v>
      </c>
      <c r="S360" s="66" t="s">
        <v>745</v>
      </c>
      <c r="T360" s="75" t="str">
        <f t="shared" si="20"/>
        <v>NO</v>
      </c>
      <c r="U360" s="75"/>
      <c r="V360" s="66"/>
      <c r="W360" s="66" t="s">
        <v>745</v>
      </c>
      <c r="X360" s="66"/>
      <c r="Y360" s="66"/>
      <c r="Z360" s="121" t="s">
        <v>748</v>
      </c>
      <c r="AA360" s="75"/>
      <c r="AB360" s="75"/>
      <c r="AC360" s="361"/>
    </row>
    <row r="361" spans="1:29" ht="89.25" outlineLevel="1" x14ac:dyDescent="0.2">
      <c r="A361" s="66">
        <v>359</v>
      </c>
      <c r="B361" s="68">
        <v>45113</v>
      </c>
      <c r="C361" s="66" t="s">
        <v>1239</v>
      </c>
      <c r="D361" s="66" t="s">
        <v>1640</v>
      </c>
      <c r="E361" s="67" t="s">
        <v>1637</v>
      </c>
      <c r="F361" s="66">
        <v>6</v>
      </c>
      <c r="G361" s="66" t="s">
        <v>1441</v>
      </c>
      <c r="H361" s="68">
        <v>45126</v>
      </c>
      <c r="I361" s="68" t="s">
        <v>76</v>
      </c>
      <c r="J361" s="68" t="s">
        <v>1689</v>
      </c>
      <c r="K361" s="66" t="s">
        <v>1692</v>
      </c>
      <c r="L361" s="66" t="s">
        <v>791</v>
      </c>
      <c r="M361" s="66" t="s">
        <v>694</v>
      </c>
      <c r="N361" s="66" t="s">
        <v>1889</v>
      </c>
      <c r="O361" s="66" t="str">
        <f t="shared" ca="1" si="21"/>
        <v>SI</v>
      </c>
      <c r="P361" s="66" t="str">
        <f t="shared" si="22"/>
        <v>DIANOSOL</v>
      </c>
      <c r="Q361" s="66" t="s">
        <v>151</v>
      </c>
      <c r="R361" s="66" t="str">
        <f>VLOOKUP($Q361,Resultados!$A$1:$B$49,2,FALSE)</f>
        <v>Prisión Preventiva</v>
      </c>
      <c r="S361" s="66"/>
      <c r="T361" s="75" t="str">
        <f t="shared" si="20"/>
        <v>NO</v>
      </c>
      <c r="U361" s="75"/>
      <c r="V361" s="66"/>
      <c r="W361" s="66"/>
      <c r="X361" s="66"/>
      <c r="Y361" s="66"/>
      <c r="Z361" s="121" t="s">
        <v>1871</v>
      </c>
      <c r="AA361" s="121"/>
      <c r="AB361" s="75"/>
      <c r="AC361" s="361"/>
    </row>
    <row r="362" spans="1:29" ht="76.5" outlineLevel="1" x14ac:dyDescent="0.2">
      <c r="A362" s="66">
        <v>360</v>
      </c>
      <c r="B362" s="68">
        <v>45113</v>
      </c>
      <c r="C362" s="66" t="s">
        <v>1639</v>
      </c>
      <c r="D362" s="66" t="s">
        <v>1638</v>
      </c>
      <c r="E362" s="67" t="s">
        <v>1688</v>
      </c>
      <c r="F362" s="66">
        <v>3</v>
      </c>
      <c r="G362" s="66" t="s">
        <v>1443</v>
      </c>
      <c r="H362" s="68">
        <v>45124</v>
      </c>
      <c r="I362" s="68" t="s">
        <v>76</v>
      </c>
      <c r="J362" s="68" t="s">
        <v>31</v>
      </c>
      <c r="K362" s="66">
        <f>IFERROR(VLOOKUP(J362,Jueces!$A$1:$B$11,2,FALSE),"")</f>
        <v>2</v>
      </c>
      <c r="L362" s="66" t="s">
        <v>797</v>
      </c>
      <c r="M362" s="66" t="s">
        <v>782</v>
      </c>
      <c r="N362" s="66" t="s">
        <v>1844</v>
      </c>
      <c r="O362" s="66" t="str">
        <f t="shared" ca="1" si="21"/>
        <v>SI</v>
      </c>
      <c r="P362" s="66" t="str">
        <f t="shared" si="22"/>
        <v>DIANOSOL</v>
      </c>
      <c r="Q362" s="66" t="s">
        <v>899</v>
      </c>
      <c r="R362" s="66" t="str">
        <f>VLOOKUP($Q362,Resultados!$A$1:$B$49,2,FALSE)</f>
        <v>Libertad</v>
      </c>
      <c r="S362" s="66" t="s">
        <v>76</v>
      </c>
      <c r="T362" s="75" t="str">
        <f t="shared" ref="T362:T425" si="23">IF(G362=$J$1,"SI","NO")</f>
        <v>NO</v>
      </c>
      <c r="U362" s="75"/>
      <c r="V362" s="66"/>
      <c r="W362" s="73">
        <v>0.4236111111111111</v>
      </c>
      <c r="X362" s="173" t="s">
        <v>1845</v>
      </c>
      <c r="Y362" s="66"/>
      <c r="Z362" s="121" t="s">
        <v>1847</v>
      </c>
      <c r="AA362" s="75"/>
      <c r="AB362" s="75"/>
      <c r="AC362" s="361"/>
    </row>
    <row r="363" spans="1:29" ht="127.5" outlineLevel="1" x14ac:dyDescent="0.2">
      <c r="A363" s="66">
        <v>361</v>
      </c>
      <c r="B363" s="68">
        <v>45114</v>
      </c>
      <c r="C363" s="66" t="s">
        <v>1677</v>
      </c>
      <c r="D363" s="66" t="s">
        <v>1678</v>
      </c>
      <c r="E363" s="67" t="s">
        <v>1676</v>
      </c>
      <c r="F363" s="66">
        <v>3</v>
      </c>
      <c r="G363" s="66" t="s">
        <v>1663</v>
      </c>
      <c r="H363" s="68">
        <v>45118</v>
      </c>
      <c r="I363" s="68" t="s">
        <v>1562</v>
      </c>
      <c r="J363" s="68" t="s">
        <v>1625</v>
      </c>
      <c r="K363" s="66" t="s">
        <v>1491</v>
      </c>
      <c r="L363" s="66" t="s">
        <v>789</v>
      </c>
      <c r="M363" s="66" t="s">
        <v>1694</v>
      </c>
      <c r="N363" s="66" t="s">
        <v>1837</v>
      </c>
      <c r="O363" s="81" t="s">
        <v>1801</v>
      </c>
      <c r="P363" s="81" t="str">
        <f t="shared" si="22"/>
        <v>DIANOSOL</v>
      </c>
      <c r="Q363" s="66" t="s">
        <v>905</v>
      </c>
      <c r="R363" s="66" t="str">
        <f>VLOOKUP($Q363,Resultados!$A$1:$B$49,2,FALSE)</f>
        <v>Juicio Abreviado</v>
      </c>
      <c r="S363" s="73">
        <v>0.41944444444444445</v>
      </c>
      <c r="T363" s="84" t="str">
        <f t="shared" si="23"/>
        <v>NO</v>
      </c>
      <c r="U363" s="84"/>
      <c r="V363" s="81"/>
      <c r="W363" s="73">
        <v>0.44722222222222219</v>
      </c>
      <c r="X363" s="66" t="s">
        <v>1745</v>
      </c>
      <c r="Y363" s="66"/>
      <c r="Z363" s="75"/>
      <c r="AA363" s="75"/>
      <c r="AB363" s="75"/>
      <c r="AC363" s="361"/>
    </row>
    <row r="364" spans="1:29" ht="76.5" outlineLevel="1" x14ac:dyDescent="0.2">
      <c r="A364" s="66">
        <v>362</v>
      </c>
      <c r="B364" s="68">
        <v>45114</v>
      </c>
      <c r="C364" s="66" t="s">
        <v>1680</v>
      </c>
      <c r="D364" s="66" t="s">
        <v>1681</v>
      </c>
      <c r="E364" s="67" t="s">
        <v>1679</v>
      </c>
      <c r="F364" s="66">
        <v>3</v>
      </c>
      <c r="G364" s="66" t="s">
        <v>1663</v>
      </c>
      <c r="H364" s="68">
        <v>45126</v>
      </c>
      <c r="I364" s="68" t="s">
        <v>547</v>
      </c>
      <c r="J364" s="68" t="s">
        <v>1732</v>
      </c>
      <c r="K364" s="66" t="s">
        <v>1346</v>
      </c>
      <c r="L364" s="66" t="s">
        <v>1070</v>
      </c>
      <c r="M364" s="66" t="s">
        <v>694</v>
      </c>
      <c r="N364" s="66" t="s">
        <v>1891</v>
      </c>
      <c r="O364" s="66" t="str">
        <f t="shared" ref="O364:O427" ca="1" si="24">IF(H364&lt;&gt;"",IF(H364&lt;=TODAY(),"SI","NO"),"LIMBO")</f>
        <v>SI</v>
      </c>
      <c r="P364" s="66" t="str">
        <f t="shared" si="22"/>
        <v>DIANOSOL</v>
      </c>
      <c r="Q364" s="66" t="s">
        <v>151</v>
      </c>
      <c r="R364" s="66" t="str">
        <f>VLOOKUP($Q364,Resultados!$A$1:$B$49,2,FALSE)</f>
        <v>Prisión Preventiva</v>
      </c>
      <c r="S364" s="73">
        <v>0.44930555555555557</v>
      </c>
      <c r="T364" s="75" t="str">
        <f t="shared" si="23"/>
        <v>NO</v>
      </c>
      <c r="U364" s="75"/>
      <c r="V364" s="66"/>
      <c r="W364" s="73">
        <v>0.4770833333333333</v>
      </c>
      <c r="X364" s="66"/>
      <c r="Y364" s="66"/>
      <c r="Z364" s="121" t="s">
        <v>1870</v>
      </c>
      <c r="AA364" s="75"/>
      <c r="AB364" s="75"/>
      <c r="AC364" s="361"/>
    </row>
    <row r="365" spans="1:29" ht="127.5" outlineLevel="1" x14ac:dyDescent="0.2">
      <c r="A365" s="66">
        <v>363</v>
      </c>
      <c r="B365" s="68">
        <v>45114</v>
      </c>
      <c r="C365" s="66" t="s">
        <v>1683</v>
      </c>
      <c r="D365" s="66" t="s">
        <v>1682</v>
      </c>
      <c r="E365" s="67" t="s">
        <v>1950</v>
      </c>
      <c r="F365" s="66">
        <v>3</v>
      </c>
      <c r="G365" s="66" t="s">
        <v>1443</v>
      </c>
      <c r="H365" s="68">
        <v>45127</v>
      </c>
      <c r="I365" s="68" t="s">
        <v>547</v>
      </c>
      <c r="J365" s="68" t="s">
        <v>31</v>
      </c>
      <c r="K365" s="66">
        <f>IFERROR(VLOOKUP(J365,Jueces!$A$1:$B$11,2,FALSE),"")</f>
        <v>2</v>
      </c>
      <c r="L365" s="66" t="s">
        <v>789</v>
      </c>
      <c r="M365" s="66" t="s">
        <v>694</v>
      </c>
      <c r="N365" s="66" t="s">
        <v>1898</v>
      </c>
      <c r="O365" s="66" t="str">
        <f t="shared" ca="1" si="24"/>
        <v>SI</v>
      </c>
      <c r="P365" s="66" t="str">
        <f t="shared" si="22"/>
        <v>DIANOSOL</v>
      </c>
      <c r="Q365" s="66" t="s">
        <v>904</v>
      </c>
      <c r="R365" s="66" t="str">
        <f>VLOOKUP($Q365,Resultados!$A$1:$B$49,2,FALSE)</f>
        <v>Juicio Abreviado</v>
      </c>
      <c r="S365" s="73">
        <v>0.49791666666666662</v>
      </c>
      <c r="T365" s="75" t="str">
        <f t="shared" si="23"/>
        <v>NO</v>
      </c>
      <c r="U365" s="75"/>
      <c r="V365" s="66"/>
      <c r="W365" s="73">
        <v>0.51041666666666663</v>
      </c>
      <c r="X365" s="66" t="s">
        <v>1899</v>
      </c>
      <c r="Y365" s="66"/>
      <c r="Z365" s="121" t="s">
        <v>770</v>
      </c>
      <c r="AA365" s="75"/>
      <c r="AB365" s="75"/>
      <c r="AC365" s="361"/>
    </row>
    <row r="366" spans="1:29" ht="51" outlineLevel="1" x14ac:dyDescent="0.2">
      <c r="A366" s="66">
        <v>364</v>
      </c>
      <c r="B366" s="68">
        <v>45114</v>
      </c>
      <c r="C366" s="66" t="s">
        <v>1135</v>
      </c>
      <c r="D366" s="66" t="s">
        <v>1685</v>
      </c>
      <c r="E366" s="67" t="s">
        <v>1684</v>
      </c>
      <c r="F366" s="66">
        <v>4</v>
      </c>
      <c r="G366" s="66" t="s">
        <v>1742</v>
      </c>
      <c r="H366" s="68">
        <v>45126</v>
      </c>
      <c r="I366" s="68" t="s">
        <v>1450</v>
      </c>
      <c r="J366" s="68" t="s">
        <v>31</v>
      </c>
      <c r="K366" s="66">
        <f>IFERROR(VLOOKUP(J366,Jueces!$A$1:$B$11,2,FALSE),"")</f>
        <v>2</v>
      </c>
      <c r="L366" s="66" t="s">
        <v>804</v>
      </c>
      <c r="M366" s="66" t="s">
        <v>695</v>
      </c>
      <c r="N366" s="66" t="s">
        <v>1893</v>
      </c>
      <c r="O366" s="66" t="str">
        <f t="shared" ca="1" si="24"/>
        <v>SI</v>
      </c>
      <c r="P366" s="66" t="str">
        <f t="shared" si="22"/>
        <v>DIANOSOL</v>
      </c>
      <c r="Q366" s="66" t="s">
        <v>151</v>
      </c>
      <c r="R366" s="66" t="str">
        <f>VLOOKUP($Q366,Resultados!$A$1:$B$49,2,FALSE)</f>
        <v>Prisión Preventiva</v>
      </c>
      <c r="S366" s="73">
        <v>0.45347222222222222</v>
      </c>
      <c r="T366" s="75" t="str">
        <f t="shared" si="23"/>
        <v>NO</v>
      </c>
      <c r="U366" s="75"/>
      <c r="V366" s="66"/>
      <c r="W366" s="73">
        <v>0.47222222222222227</v>
      </c>
      <c r="X366" s="66" t="s">
        <v>1892</v>
      </c>
      <c r="Y366" s="66"/>
      <c r="Z366" s="121" t="s">
        <v>1847</v>
      </c>
      <c r="AA366" s="75"/>
      <c r="AB366" s="75"/>
      <c r="AC366" s="361"/>
    </row>
    <row r="367" spans="1:29" ht="51" outlineLevel="1" x14ac:dyDescent="0.2">
      <c r="A367" s="66">
        <v>365</v>
      </c>
      <c r="B367" s="68">
        <v>45114</v>
      </c>
      <c r="C367" s="66" t="s">
        <v>1124</v>
      </c>
      <c r="D367" s="66" t="s">
        <v>1687</v>
      </c>
      <c r="E367" s="67" t="s">
        <v>1686</v>
      </c>
      <c r="F367" s="66">
        <v>4</v>
      </c>
      <c r="G367" s="66" t="s">
        <v>1663</v>
      </c>
      <c r="H367" s="68">
        <v>45127</v>
      </c>
      <c r="I367" s="68" t="s">
        <v>547</v>
      </c>
      <c r="J367" s="68" t="s">
        <v>1732</v>
      </c>
      <c r="K367" s="66" t="s">
        <v>1346</v>
      </c>
      <c r="L367" s="66" t="s">
        <v>813</v>
      </c>
      <c r="M367" s="66" t="s">
        <v>695</v>
      </c>
      <c r="N367" s="66" t="s">
        <v>1900</v>
      </c>
      <c r="O367" s="66" t="str">
        <f t="shared" ca="1" si="24"/>
        <v>SI</v>
      </c>
      <c r="P367" s="66" t="str">
        <f t="shared" si="22"/>
        <v>DIANOSOL</v>
      </c>
      <c r="Q367" s="66" t="s">
        <v>1901</v>
      </c>
      <c r="R367" s="66" t="str">
        <f>VLOOKUP($Q367,Resultados!$A$1:$B$49,2,FALSE)</f>
        <v>Sobreseimiento</v>
      </c>
      <c r="S367" s="73">
        <v>0.4375</v>
      </c>
      <c r="T367" s="75" t="str">
        <f t="shared" si="23"/>
        <v>NO</v>
      </c>
      <c r="U367" s="75"/>
      <c r="V367" s="66"/>
      <c r="W367" s="73">
        <v>0.5</v>
      </c>
      <c r="X367" s="173" t="s">
        <v>1902</v>
      </c>
      <c r="Y367" s="66"/>
      <c r="Z367" s="121" t="s">
        <v>1042</v>
      </c>
      <c r="AA367" s="75"/>
      <c r="AB367" s="75"/>
      <c r="AC367" s="361"/>
    </row>
    <row r="368" spans="1:29" ht="51" outlineLevel="1" x14ac:dyDescent="0.2">
      <c r="A368" s="66">
        <v>366</v>
      </c>
      <c r="B368" s="68">
        <v>45114</v>
      </c>
      <c r="C368" s="66" t="s">
        <v>1499</v>
      </c>
      <c r="D368" s="66" t="s">
        <v>604</v>
      </c>
      <c r="E368" s="67" t="s">
        <v>1951</v>
      </c>
      <c r="F368" s="66">
        <v>4</v>
      </c>
      <c r="G368" s="66" t="s">
        <v>1661</v>
      </c>
      <c r="H368" s="68">
        <v>45127</v>
      </c>
      <c r="I368" s="68" t="s">
        <v>76</v>
      </c>
      <c r="J368" s="68" t="s">
        <v>1689</v>
      </c>
      <c r="K368" s="66" t="s">
        <v>1692</v>
      </c>
      <c r="L368" s="66" t="s">
        <v>813</v>
      </c>
      <c r="M368" s="66" t="s">
        <v>783</v>
      </c>
      <c r="N368" s="66" t="s">
        <v>1903</v>
      </c>
      <c r="O368" s="66" t="str">
        <f t="shared" ca="1" si="24"/>
        <v>SI</v>
      </c>
      <c r="P368" s="66" t="str">
        <f t="shared" si="22"/>
        <v>DIANOSOL</v>
      </c>
      <c r="Q368" s="66" t="s">
        <v>905</v>
      </c>
      <c r="R368" s="66" t="str">
        <f>VLOOKUP($Q368,Resultados!$A$1:$B$49,2,FALSE)</f>
        <v>Juicio Abreviado</v>
      </c>
      <c r="S368" s="73">
        <v>0.43888888888888888</v>
      </c>
      <c r="T368" s="75" t="str">
        <f t="shared" si="23"/>
        <v>NO</v>
      </c>
      <c r="U368" s="75"/>
      <c r="V368" s="66"/>
      <c r="W368" s="73">
        <v>0.45277777777777778</v>
      </c>
      <c r="X368" s="66" t="s">
        <v>1904</v>
      </c>
      <c r="Y368" s="66"/>
      <c r="Z368" s="121" t="s">
        <v>1042</v>
      </c>
      <c r="AA368" s="75"/>
      <c r="AB368" s="75"/>
      <c r="AC368" s="361"/>
    </row>
    <row r="369" spans="1:29" ht="63.75" outlineLevel="1" x14ac:dyDescent="0.2">
      <c r="A369" s="66">
        <v>367</v>
      </c>
      <c r="B369" s="68">
        <v>45114</v>
      </c>
      <c r="C369" s="66" t="s">
        <v>1696</v>
      </c>
      <c r="D369" s="66" t="s">
        <v>1695</v>
      </c>
      <c r="E369" s="67" t="s">
        <v>1704</v>
      </c>
      <c r="F369" s="66">
        <v>4</v>
      </c>
      <c r="G369" s="66" t="s">
        <v>1443</v>
      </c>
      <c r="H369" s="68">
        <v>45125</v>
      </c>
      <c r="I369" s="68" t="s">
        <v>76</v>
      </c>
      <c r="J369" s="68" t="s">
        <v>1732</v>
      </c>
      <c r="K369" s="66" t="s">
        <v>1326</v>
      </c>
      <c r="L369" s="66" t="s">
        <v>806</v>
      </c>
      <c r="M369" s="66" t="s">
        <v>695</v>
      </c>
      <c r="N369" s="66" t="s">
        <v>1860</v>
      </c>
      <c r="O369" s="66" t="str">
        <f t="shared" ca="1" si="24"/>
        <v>SI</v>
      </c>
      <c r="P369" s="66" t="str">
        <f t="shared" si="22"/>
        <v>DIANOSOL</v>
      </c>
      <c r="Q369" s="66" t="s">
        <v>904</v>
      </c>
      <c r="R369" s="66" t="str">
        <f>VLOOKUP($Q369,Resultados!$A$1:$B$49,2,FALSE)</f>
        <v>Juicio Abreviado</v>
      </c>
      <c r="S369" s="73">
        <v>0.3888888888888889</v>
      </c>
      <c r="T369" s="75" t="str">
        <f t="shared" si="23"/>
        <v>NO</v>
      </c>
      <c r="U369" s="75"/>
      <c r="V369" s="66"/>
      <c r="W369" s="73">
        <v>0.41666666666666669</v>
      </c>
      <c r="X369" s="66"/>
      <c r="Y369" s="66"/>
      <c r="Z369" s="121" t="s">
        <v>770</v>
      </c>
      <c r="AA369" s="121"/>
      <c r="AB369" s="75"/>
      <c r="AC369" s="361"/>
    </row>
    <row r="370" spans="1:29" ht="25.5" outlineLevel="1" x14ac:dyDescent="0.2">
      <c r="A370" s="66">
        <v>368</v>
      </c>
      <c r="B370" s="68">
        <v>45114</v>
      </c>
      <c r="C370" s="73">
        <v>0.47291666666666665</v>
      </c>
      <c r="D370" s="66" t="s">
        <v>1697</v>
      </c>
      <c r="E370" s="67" t="s">
        <v>1712</v>
      </c>
      <c r="F370" s="66">
        <v>4</v>
      </c>
      <c r="G370" s="66" t="s">
        <v>1663</v>
      </c>
      <c r="H370" s="68">
        <v>45125</v>
      </c>
      <c r="I370" s="68" t="s">
        <v>76</v>
      </c>
      <c r="J370" s="68" t="s">
        <v>31</v>
      </c>
      <c r="K370" s="66">
        <f>IFERROR(VLOOKUP(J370,Jueces!$A$1:$B$11,2,FALSE),"")</f>
        <v>2</v>
      </c>
      <c r="L370" s="66" t="s">
        <v>812</v>
      </c>
      <c r="M370" s="66" t="s">
        <v>1861</v>
      </c>
      <c r="N370" s="66" t="s">
        <v>1856</v>
      </c>
      <c r="O370" s="66" t="str">
        <f t="shared" ca="1" si="24"/>
        <v>SI</v>
      </c>
      <c r="P370" s="66" t="str">
        <f t="shared" si="22"/>
        <v>DIANOSOL</v>
      </c>
      <c r="Q370" s="66" t="s">
        <v>899</v>
      </c>
      <c r="R370" s="66" t="str">
        <f>VLOOKUP($Q370,Resultados!$A$1:$B$49,2,FALSE)</f>
        <v>Libertad</v>
      </c>
      <c r="S370" s="66" t="s">
        <v>1050</v>
      </c>
      <c r="T370" s="75" t="str">
        <f t="shared" si="23"/>
        <v>NO</v>
      </c>
      <c r="U370" s="75"/>
      <c r="V370" s="66"/>
      <c r="W370" s="73">
        <v>0.40763888888888888</v>
      </c>
      <c r="X370" s="66" t="s">
        <v>1862</v>
      </c>
      <c r="Y370" s="66"/>
      <c r="Z370" s="121" t="s">
        <v>770</v>
      </c>
      <c r="AA370" s="121"/>
      <c r="AB370" s="75"/>
      <c r="AC370" s="361"/>
    </row>
    <row r="371" spans="1:29" ht="127.5" outlineLevel="1" x14ac:dyDescent="0.2">
      <c r="A371" s="66">
        <v>369</v>
      </c>
      <c r="B371" s="68">
        <v>45114</v>
      </c>
      <c r="C371" s="73">
        <v>0.47638888888888892</v>
      </c>
      <c r="D371" s="66" t="s">
        <v>1698</v>
      </c>
      <c r="E371" s="67" t="s">
        <v>1699</v>
      </c>
      <c r="F371" s="66">
        <v>4</v>
      </c>
      <c r="G371" s="66" t="s">
        <v>1441</v>
      </c>
      <c r="H371" s="68">
        <v>45138</v>
      </c>
      <c r="I371" s="68" t="s">
        <v>73</v>
      </c>
      <c r="J371" s="68" t="s">
        <v>31</v>
      </c>
      <c r="K371" s="66">
        <f>IFERROR(VLOOKUP(J371,Jueces!$A$1:$B$11,2,FALSE),"")</f>
        <v>2</v>
      </c>
      <c r="L371" s="66" t="s">
        <v>803</v>
      </c>
      <c r="M371" s="66" t="s">
        <v>695</v>
      </c>
      <c r="N371" s="66" t="s">
        <v>2040</v>
      </c>
      <c r="O371" s="66" t="str">
        <f t="shared" ca="1" si="24"/>
        <v>SI</v>
      </c>
      <c r="P371" s="66" t="str">
        <f t="shared" si="22"/>
        <v>DIANOSOL</v>
      </c>
      <c r="Q371" s="66" t="s">
        <v>904</v>
      </c>
      <c r="R371" s="66" t="str">
        <f>VLOOKUP($Q371,Resultados!$A$1:$B$49,2,FALSE)</f>
        <v>Juicio Abreviado</v>
      </c>
      <c r="S371" s="66" t="s">
        <v>73</v>
      </c>
      <c r="T371" s="75" t="str">
        <f t="shared" si="23"/>
        <v>NO</v>
      </c>
      <c r="U371" s="75"/>
      <c r="V371" s="66"/>
      <c r="W371" s="66" t="s">
        <v>1009</v>
      </c>
      <c r="X371" s="173" t="s">
        <v>2062</v>
      </c>
      <c r="Y371" s="66"/>
      <c r="Z371" s="121" t="s">
        <v>748</v>
      </c>
      <c r="AA371" s="121" t="s">
        <v>1171</v>
      </c>
      <c r="AB371" s="121" t="s">
        <v>1175</v>
      </c>
      <c r="AC371" s="361"/>
    </row>
    <row r="372" spans="1:29" ht="76.5" outlineLevel="1" x14ac:dyDescent="0.2">
      <c r="A372" s="66">
        <v>370</v>
      </c>
      <c r="B372" s="68">
        <v>45114</v>
      </c>
      <c r="C372" s="73">
        <v>0.49305555555555558</v>
      </c>
      <c r="D372" s="66" t="s">
        <v>1700</v>
      </c>
      <c r="E372" s="67" t="s">
        <v>1877</v>
      </c>
      <c r="F372" s="66">
        <v>3</v>
      </c>
      <c r="G372" s="66" t="s">
        <v>1742</v>
      </c>
      <c r="H372" s="68">
        <v>45125</v>
      </c>
      <c r="I372" s="68" t="s">
        <v>76</v>
      </c>
      <c r="J372" s="68" t="s">
        <v>1625</v>
      </c>
      <c r="K372" s="66" t="s">
        <v>1491</v>
      </c>
      <c r="L372" s="66" t="s">
        <v>797</v>
      </c>
      <c r="M372" s="66" t="s">
        <v>693</v>
      </c>
      <c r="N372" s="66" t="s">
        <v>1854</v>
      </c>
      <c r="O372" s="66" t="str">
        <f t="shared" ca="1" si="24"/>
        <v>SI</v>
      </c>
      <c r="P372" s="66" t="str">
        <f t="shared" si="22"/>
        <v>DIANOSOL</v>
      </c>
      <c r="Q372" s="66" t="s">
        <v>899</v>
      </c>
      <c r="R372" s="66" t="str">
        <f>VLOOKUP($Q372,Resultados!$A$1:$B$49,2,FALSE)</f>
        <v>Libertad</v>
      </c>
      <c r="S372" s="66" t="s">
        <v>1003</v>
      </c>
      <c r="T372" s="75" t="str">
        <f t="shared" si="23"/>
        <v>NO</v>
      </c>
      <c r="U372" s="75"/>
      <c r="V372" s="66"/>
      <c r="W372" s="66" t="s">
        <v>1337</v>
      </c>
      <c r="X372" s="66" t="s">
        <v>1506</v>
      </c>
      <c r="Y372" s="66"/>
      <c r="Z372" s="121" t="s">
        <v>1042</v>
      </c>
      <c r="AA372" s="121"/>
      <c r="AB372" s="75"/>
      <c r="AC372" s="361"/>
    </row>
    <row r="373" spans="1:29" ht="76.5" outlineLevel="1" x14ac:dyDescent="0.2">
      <c r="A373" s="66">
        <v>371</v>
      </c>
      <c r="B373" s="68">
        <v>45114</v>
      </c>
      <c r="C373" s="73">
        <v>0.49444444444444446</v>
      </c>
      <c r="D373" s="66" t="s">
        <v>1701</v>
      </c>
      <c r="E373" s="67" t="s">
        <v>2194</v>
      </c>
      <c r="F373" s="66">
        <v>3</v>
      </c>
      <c r="G373" s="66" t="s">
        <v>1441</v>
      </c>
      <c r="H373" s="68">
        <v>45145</v>
      </c>
      <c r="I373" s="68" t="s">
        <v>2020</v>
      </c>
      <c r="J373" s="68" t="s">
        <v>35</v>
      </c>
      <c r="K373" s="66" t="s">
        <v>1520</v>
      </c>
      <c r="L373" s="66" t="s">
        <v>1702</v>
      </c>
      <c r="M373" s="66" t="s">
        <v>694</v>
      </c>
      <c r="N373" s="66" t="s">
        <v>235</v>
      </c>
      <c r="O373" s="66" t="str">
        <f t="shared" ca="1" si="24"/>
        <v>SI</v>
      </c>
      <c r="P373" s="66" t="str">
        <f t="shared" si="22"/>
        <v>DIANOSOL</v>
      </c>
      <c r="Q373" s="66" t="s">
        <v>151</v>
      </c>
      <c r="R373" s="66" t="str">
        <f>VLOOKUP($Q373,Resultados!$A$1:$B$49,2,FALSE)</f>
        <v>Prisión Preventiva</v>
      </c>
      <c r="S373" s="73">
        <v>0.53402777777777777</v>
      </c>
      <c r="T373" s="75" t="str">
        <f t="shared" si="23"/>
        <v>NO</v>
      </c>
      <c r="U373" s="75"/>
      <c r="V373" s="66"/>
      <c r="W373" s="73">
        <v>0.54097222222222219</v>
      </c>
      <c r="X373" s="66" t="s">
        <v>2183</v>
      </c>
      <c r="Y373" s="66"/>
      <c r="Z373" s="121" t="s">
        <v>748</v>
      </c>
      <c r="AA373" s="121" t="s">
        <v>1171</v>
      </c>
      <c r="AB373" s="121" t="s">
        <v>1175</v>
      </c>
      <c r="AC373" s="361"/>
    </row>
    <row r="374" spans="1:29" ht="51" outlineLevel="1" x14ac:dyDescent="0.2">
      <c r="A374" s="66">
        <v>372</v>
      </c>
      <c r="B374" s="68">
        <v>45114</v>
      </c>
      <c r="C374" s="73">
        <v>0.49513888888888885</v>
      </c>
      <c r="D374" s="66" t="s">
        <v>1703</v>
      </c>
      <c r="E374" s="67" t="s">
        <v>1876</v>
      </c>
      <c r="F374" s="66">
        <v>3</v>
      </c>
      <c r="G374" s="66" t="s">
        <v>283</v>
      </c>
      <c r="H374" s="68">
        <v>45125</v>
      </c>
      <c r="I374" s="68" t="s">
        <v>1450</v>
      </c>
      <c r="J374" s="68" t="s">
        <v>1625</v>
      </c>
      <c r="K374" s="66" t="s">
        <v>1491</v>
      </c>
      <c r="L374" s="66" t="s">
        <v>802</v>
      </c>
      <c r="M374" s="66" t="s">
        <v>1711</v>
      </c>
      <c r="N374" s="66" t="s">
        <v>1855</v>
      </c>
      <c r="O374" s="66" t="str">
        <f t="shared" ca="1" si="24"/>
        <v>SI</v>
      </c>
      <c r="P374" s="66" t="str">
        <f t="shared" si="22"/>
        <v>DIANOSOL</v>
      </c>
      <c r="Q374" s="66" t="s">
        <v>904</v>
      </c>
      <c r="R374" s="66" t="str">
        <f>VLOOKUP($Q374,Resultados!$A$1:$B$49,2,FALSE)</f>
        <v>Juicio Abreviado</v>
      </c>
      <c r="S374" s="73">
        <v>0.45069444444444445</v>
      </c>
      <c r="T374" s="75" t="str">
        <f t="shared" si="23"/>
        <v>NO</v>
      </c>
      <c r="U374" s="75"/>
      <c r="V374" s="66"/>
      <c r="W374" s="73">
        <v>0.46527777777777773</v>
      </c>
      <c r="X374" s="66" t="s">
        <v>1857</v>
      </c>
      <c r="Y374" s="66"/>
      <c r="Z374" s="121" t="s">
        <v>1042</v>
      </c>
      <c r="AA374" s="121"/>
      <c r="AB374" s="75"/>
      <c r="AC374" s="361"/>
    </row>
    <row r="375" spans="1:29" ht="127.5" outlineLevel="1" x14ac:dyDescent="0.2">
      <c r="A375" s="66">
        <v>373</v>
      </c>
      <c r="B375" s="68">
        <v>45114</v>
      </c>
      <c r="C375" s="73">
        <v>0.5</v>
      </c>
      <c r="D375" s="66" t="s">
        <v>1731</v>
      </c>
      <c r="E375" s="67" t="s">
        <v>1713</v>
      </c>
      <c r="F375" s="66">
        <v>2</v>
      </c>
      <c r="G375" s="66" t="s">
        <v>283</v>
      </c>
      <c r="H375" s="68">
        <v>45126</v>
      </c>
      <c r="I375" s="68" t="s">
        <v>76</v>
      </c>
      <c r="J375" s="68" t="s">
        <v>1625</v>
      </c>
      <c r="K375" s="66" t="s">
        <v>1491</v>
      </c>
      <c r="L375" s="66" t="s">
        <v>326</v>
      </c>
      <c r="M375" s="66" t="s">
        <v>695</v>
      </c>
      <c r="N375" s="66" t="s">
        <v>1878</v>
      </c>
      <c r="O375" s="66" t="str">
        <f t="shared" ca="1" si="24"/>
        <v>SI</v>
      </c>
      <c r="P375" s="66" t="str">
        <f t="shared" si="22"/>
        <v>DIANOSOL</v>
      </c>
      <c r="Q375" s="66" t="s">
        <v>1512</v>
      </c>
      <c r="R375" s="66" t="str">
        <f>VLOOKUP($Q375,Resultados!$A$1:$B$49,2,FALSE)</f>
        <v>Juicio Abreviado</v>
      </c>
      <c r="S375" s="66" t="s">
        <v>1783</v>
      </c>
      <c r="T375" s="75" t="str">
        <f t="shared" si="23"/>
        <v>NO</v>
      </c>
      <c r="U375" s="75"/>
      <c r="V375" s="66"/>
      <c r="W375" s="73">
        <v>0.44930555555555557</v>
      </c>
      <c r="X375" s="382"/>
      <c r="Y375" s="66"/>
      <c r="Z375" s="121" t="s">
        <v>1042</v>
      </c>
      <c r="AA375" s="75"/>
      <c r="AB375" s="75"/>
      <c r="AC375" s="361"/>
    </row>
    <row r="376" spans="1:29" ht="51" outlineLevel="1" x14ac:dyDescent="0.2">
      <c r="A376" s="66">
        <v>374</v>
      </c>
      <c r="B376" s="68">
        <v>45114</v>
      </c>
      <c r="C376" s="73">
        <v>0.5</v>
      </c>
      <c r="D376" s="66" t="s">
        <v>1735</v>
      </c>
      <c r="E376" s="67" t="s">
        <v>1948</v>
      </c>
      <c r="F376" s="66">
        <v>3</v>
      </c>
      <c r="G376" s="66" t="s">
        <v>283</v>
      </c>
      <c r="H376" s="68">
        <v>45128</v>
      </c>
      <c r="I376" s="68" t="s">
        <v>1450</v>
      </c>
      <c r="J376" s="68" t="s">
        <v>1689</v>
      </c>
      <c r="K376" s="66" t="s">
        <v>1692</v>
      </c>
      <c r="L376" s="66" t="s">
        <v>800</v>
      </c>
      <c r="M376" s="66" t="s">
        <v>694</v>
      </c>
      <c r="N376" s="66" t="s">
        <v>621</v>
      </c>
      <c r="O376" s="66" t="str">
        <f t="shared" ca="1" si="24"/>
        <v>SI</v>
      </c>
      <c r="P376" s="66" t="str">
        <f t="shared" si="22"/>
        <v>DIANOSOL</v>
      </c>
      <c r="Q376" s="66" t="s">
        <v>151</v>
      </c>
      <c r="R376" s="66" t="str">
        <f>VLOOKUP($Q376,Resultados!$A$1:$B$49,2,FALSE)</f>
        <v>Prisión Preventiva</v>
      </c>
      <c r="S376" s="66" t="s">
        <v>1913</v>
      </c>
      <c r="T376" s="75" t="str">
        <f t="shared" si="23"/>
        <v>NO</v>
      </c>
      <c r="U376" s="75"/>
      <c r="V376" s="66"/>
      <c r="W376" s="66" t="s">
        <v>1240</v>
      </c>
      <c r="X376" s="66" t="s">
        <v>1914</v>
      </c>
      <c r="Y376" s="66"/>
      <c r="Z376" s="121" t="s">
        <v>1042</v>
      </c>
      <c r="AA376" s="75"/>
      <c r="AB376" s="75"/>
      <c r="AC376" s="361"/>
    </row>
    <row r="377" spans="1:29" ht="114.75" outlineLevel="1" x14ac:dyDescent="0.2">
      <c r="A377" s="66">
        <v>375</v>
      </c>
      <c r="B377" s="68">
        <v>45114</v>
      </c>
      <c r="C377" s="73">
        <v>0.5</v>
      </c>
      <c r="D377" s="66" t="s">
        <v>1734</v>
      </c>
      <c r="E377" s="67" t="s">
        <v>1945</v>
      </c>
      <c r="F377" s="66">
        <v>4</v>
      </c>
      <c r="G377" s="66" t="s">
        <v>283</v>
      </c>
      <c r="H377" s="68">
        <v>45128</v>
      </c>
      <c r="I377" s="68" t="s">
        <v>547</v>
      </c>
      <c r="J377" s="68" t="s">
        <v>1732</v>
      </c>
      <c r="K377" s="66" t="s">
        <v>1346</v>
      </c>
      <c r="L377" s="66" t="s">
        <v>326</v>
      </c>
      <c r="M377" s="66" t="s">
        <v>695</v>
      </c>
      <c r="N377" s="66" t="s">
        <v>1919</v>
      </c>
      <c r="O377" s="66" t="str">
        <f t="shared" ca="1" si="24"/>
        <v>SI</v>
      </c>
      <c r="P377" s="66" t="str">
        <f t="shared" si="22"/>
        <v>DIANOSOL</v>
      </c>
      <c r="Q377" s="66" t="s">
        <v>950</v>
      </c>
      <c r="R377" s="66" t="str">
        <f>VLOOKUP($Q377,Resultados!$A$1:$B$49,2,FALSE)</f>
        <v>Prision domiciliaria</v>
      </c>
      <c r="S377" s="73" t="s">
        <v>1562</v>
      </c>
      <c r="T377" s="75" t="str">
        <f t="shared" si="23"/>
        <v>NO</v>
      </c>
      <c r="U377" s="75"/>
      <c r="V377" s="66"/>
      <c r="W377" s="73" t="s">
        <v>989</v>
      </c>
      <c r="X377" s="66" t="s">
        <v>1924</v>
      </c>
      <c r="Y377" s="66"/>
      <c r="Z377" s="121" t="s">
        <v>770</v>
      </c>
      <c r="AA377" s="75"/>
      <c r="AB377" s="75"/>
      <c r="AC377" s="361"/>
    </row>
    <row r="378" spans="1:29" ht="102" outlineLevel="1" x14ac:dyDescent="0.2">
      <c r="A378" s="66">
        <v>376</v>
      </c>
      <c r="B378" s="68">
        <v>45117</v>
      </c>
      <c r="C378" s="66" t="s">
        <v>1609</v>
      </c>
      <c r="D378" s="66" t="s">
        <v>1722</v>
      </c>
      <c r="E378" s="67" t="s">
        <v>1723</v>
      </c>
      <c r="F378" s="66">
        <v>3</v>
      </c>
      <c r="G378" s="66" t="s">
        <v>1443</v>
      </c>
      <c r="H378" s="68">
        <v>45126</v>
      </c>
      <c r="I378" s="68" t="s">
        <v>547</v>
      </c>
      <c r="J378" s="68" t="s">
        <v>1625</v>
      </c>
      <c r="K378" s="66" t="s">
        <v>1491</v>
      </c>
      <c r="L378" s="66" t="s">
        <v>801</v>
      </c>
      <c r="M378" s="66" t="s">
        <v>693</v>
      </c>
      <c r="N378" s="66" t="s">
        <v>1890</v>
      </c>
      <c r="O378" s="66" t="str">
        <f t="shared" ca="1" si="24"/>
        <v>SI</v>
      </c>
      <c r="P378" s="66" t="str">
        <f t="shared" si="22"/>
        <v>DIANOSOL</v>
      </c>
      <c r="Q378" s="66" t="s">
        <v>899</v>
      </c>
      <c r="R378" s="66" t="str">
        <f>VLOOKUP($Q378,Resultados!$A$1:$B$49,2,FALSE)</f>
        <v>Libertad</v>
      </c>
      <c r="S378" s="73">
        <v>0.51111111111111118</v>
      </c>
      <c r="T378" s="75" t="str">
        <f t="shared" si="23"/>
        <v>NO</v>
      </c>
      <c r="U378" s="75"/>
      <c r="V378" s="66"/>
      <c r="W378" s="73">
        <v>0.53194444444444444</v>
      </c>
      <c r="X378" s="66"/>
      <c r="Y378" s="66"/>
      <c r="Z378" s="121" t="s">
        <v>1042</v>
      </c>
      <c r="AA378" s="75"/>
      <c r="AB378" s="75"/>
      <c r="AC378" s="361"/>
    </row>
    <row r="379" spans="1:29" ht="63.75" outlineLevel="1" x14ac:dyDescent="0.2">
      <c r="A379" s="66">
        <v>377</v>
      </c>
      <c r="B379" s="68">
        <v>45117</v>
      </c>
      <c r="C379" s="73">
        <v>0.47847222222222219</v>
      </c>
      <c r="D379" s="66" t="s">
        <v>1725</v>
      </c>
      <c r="E379" s="67" t="s">
        <v>1724</v>
      </c>
      <c r="F379" s="66">
        <v>4</v>
      </c>
      <c r="G379" s="66" t="s">
        <v>1661</v>
      </c>
      <c r="H379" s="68">
        <v>45125</v>
      </c>
      <c r="I379" s="68" t="s">
        <v>1764</v>
      </c>
      <c r="J379" s="68" t="s">
        <v>1732</v>
      </c>
      <c r="K379" s="66" t="s">
        <v>1346</v>
      </c>
      <c r="L379" s="66" t="s">
        <v>806</v>
      </c>
      <c r="M379" s="66" t="s">
        <v>695</v>
      </c>
      <c r="N379" s="66" t="s">
        <v>1858</v>
      </c>
      <c r="O379" s="66" t="str">
        <f t="shared" ca="1" si="24"/>
        <v>SI</v>
      </c>
      <c r="P379" s="66" t="str">
        <f t="shared" si="22"/>
        <v>DIANOSOL</v>
      </c>
      <c r="Q379" s="66" t="s">
        <v>904</v>
      </c>
      <c r="R379" s="66" t="str">
        <f>VLOOKUP($Q379,Resultados!$A$1:$B$49,2,FALSE)</f>
        <v>Juicio Abreviado</v>
      </c>
      <c r="S379" s="73">
        <v>0.49583333333333335</v>
      </c>
      <c r="T379" s="75" t="str">
        <f t="shared" si="23"/>
        <v>NO</v>
      </c>
      <c r="U379" s="75"/>
      <c r="V379" s="66"/>
      <c r="W379" s="73">
        <v>0.50694444444444442</v>
      </c>
      <c r="X379" s="66" t="s">
        <v>1859</v>
      </c>
      <c r="Y379" s="66"/>
      <c r="Z379" s="121" t="s">
        <v>1042</v>
      </c>
      <c r="AA379" s="121"/>
      <c r="AB379" s="75"/>
      <c r="AC379" s="361"/>
    </row>
    <row r="380" spans="1:29" ht="76.5" outlineLevel="1" x14ac:dyDescent="0.2">
      <c r="A380" s="66">
        <v>378</v>
      </c>
      <c r="B380" s="68">
        <v>45117</v>
      </c>
      <c r="C380" s="66" t="s">
        <v>1738</v>
      </c>
      <c r="D380" s="66" t="s">
        <v>1726</v>
      </c>
      <c r="E380" s="67" t="s">
        <v>1910</v>
      </c>
      <c r="F380" s="66">
        <v>4</v>
      </c>
      <c r="G380" s="66" t="s">
        <v>1441</v>
      </c>
      <c r="H380" s="68">
        <v>45127</v>
      </c>
      <c r="I380" s="68" t="s">
        <v>1562</v>
      </c>
      <c r="J380" s="68" t="s">
        <v>1625</v>
      </c>
      <c r="K380" s="66" t="s">
        <v>1491</v>
      </c>
      <c r="L380" s="66" t="s">
        <v>807</v>
      </c>
      <c r="M380" s="66" t="s">
        <v>695</v>
      </c>
      <c r="N380" s="66" t="s">
        <v>1896</v>
      </c>
      <c r="O380" s="66" t="str">
        <f t="shared" ca="1" si="24"/>
        <v>SI</v>
      </c>
      <c r="P380" s="66" t="str">
        <f t="shared" si="22"/>
        <v>DIANOSOL</v>
      </c>
      <c r="Q380" s="66" t="s">
        <v>904</v>
      </c>
      <c r="R380" s="66" t="str">
        <f>VLOOKUP($Q380,Resultados!$A$1:$B$49,2,FALSE)</f>
        <v>Juicio Abreviado</v>
      </c>
      <c r="S380" s="73">
        <v>0.52777777777777779</v>
      </c>
      <c r="T380" s="75" t="str">
        <f t="shared" si="23"/>
        <v>NO</v>
      </c>
      <c r="U380" s="75"/>
      <c r="V380" s="66"/>
      <c r="W380" s="73">
        <v>0.53333333333333333</v>
      </c>
      <c r="X380" s="66" t="s">
        <v>1897</v>
      </c>
      <c r="Y380" s="66"/>
      <c r="Z380" s="121" t="s">
        <v>770</v>
      </c>
      <c r="AA380" s="75"/>
      <c r="AB380" s="75"/>
      <c r="AC380" s="361"/>
    </row>
    <row r="381" spans="1:29" ht="89.25" outlineLevel="1" x14ac:dyDescent="0.2">
      <c r="A381" s="66">
        <v>379</v>
      </c>
      <c r="B381" s="68">
        <v>45117</v>
      </c>
      <c r="C381" s="73">
        <v>0.53749999999999998</v>
      </c>
      <c r="D381" s="66" t="s">
        <v>1733</v>
      </c>
      <c r="E381" s="67" t="s">
        <v>1730</v>
      </c>
      <c r="F381" s="66">
        <v>3</v>
      </c>
      <c r="G381" s="66" t="s">
        <v>1661</v>
      </c>
      <c r="H381" s="68">
        <v>45126</v>
      </c>
      <c r="I381" s="68" t="s">
        <v>76</v>
      </c>
      <c r="J381" s="68" t="s">
        <v>1732</v>
      </c>
      <c r="K381" s="66" t="s">
        <v>1346</v>
      </c>
      <c r="L381" s="66" t="s">
        <v>798</v>
      </c>
      <c r="M381" s="66" t="s">
        <v>693</v>
      </c>
      <c r="N381" s="66" t="s">
        <v>1894</v>
      </c>
      <c r="O381" s="66" t="str">
        <f t="shared" ca="1" si="24"/>
        <v>SI</v>
      </c>
      <c r="P381" s="66" t="str">
        <f t="shared" si="22"/>
        <v>DIANOSOL</v>
      </c>
      <c r="Q381" s="66" t="s">
        <v>905</v>
      </c>
      <c r="R381" s="66" t="str">
        <f>VLOOKUP($Q381,Resultados!$A$1:$B$49,2,FALSE)</f>
        <v>Juicio Abreviado</v>
      </c>
      <c r="S381" s="73">
        <v>0.4055555555555555</v>
      </c>
      <c r="T381" s="75" t="str">
        <f t="shared" si="23"/>
        <v>NO</v>
      </c>
      <c r="U381" s="75"/>
      <c r="V381" s="66"/>
      <c r="W381" s="73">
        <v>0.4201388888888889</v>
      </c>
      <c r="X381" s="66" t="s">
        <v>1895</v>
      </c>
      <c r="Y381" s="66"/>
      <c r="Z381" s="121" t="s">
        <v>1870</v>
      </c>
      <c r="AA381" s="391"/>
      <c r="AB381" s="75"/>
      <c r="AC381" s="361"/>
    </row>
    <row r="382" spans="1:29" ht="25.5" outlineLevel="1" x14ac:dyDescent="0.2">
      <c r="A382" s="66">
        <v>380</v>
      </c>
      <c r="B382" s="68">
        <v>45117</v>
      </c>
      <c r="C382" s="66" t="s">
        <v>1737</v>
      </c>
      <c r="D382" s="66" t="s">
        <v>1736</v>
      </c>
      <c r="E382" s="67" t="s">
        <v>1949</v>
      </c>
      <c r="F382" s="66">
        <v>4</v>
      </c>
      <c r="G382" s="66" t="s">
        <v>1443</v>
      </c>
      <c r="H382" s="68">
        <v>45128</v>
      </c>
      <c r="I382" s="68" t="s">
        <v>76</v>
      </c>
      <c r="J382" s="68" t="s">
        <v>1732</v>
      </c>
      <c r="K382" s="66" t="s">
        <v>1346</v>
      </c>
      <c r="L382" s="66" t="s">
        <v>797</v>
      </c>
      <c r="M382" s="66" t="s">
        <v>1179</v>
      </c>
      <c r="N382" s="66" t="s">
        <v>621</v>
      </c>
      <c r="O382" s="66" t="str">
        <f t="shared" ca="1" si="24"/>
        <v>SI</v>
      </c>
      <c r="P382" s="66" t="str">
        <f t="shared" si="22"/>
        <v>DIANOSOL</v>
      </c>
      <c r="Q382" s="66" t="s">
        <v>151</v>
      </c>
      <c r="R382" s="66" t="str">
        <f>VLOOKUP($Q382,Resultados!$A$1:$B$49,2,FALSE)</f>
        <v>Prisión Preventiva</v>
      </c>
      <c r="S382" s="66" t="s">
        <v>1036</v>
      </c>
      <c r="T382" s="75" t="str">
        <f t="shared" si="23"/>
        <v>NO</v>
      </c>
      <c r="U382" s="75"/>
      <c r="V382" s="66"/>
      <c r="W382" s="66" t="s">
        <v>1337</v>
      </c>
      <c r="X382" s="66" t="s">
        <v>1912</v>
      </c>
      <c r="Y382" s="66"/>
      <c r="Z382" s="121" t="s">
        <v>770</v>
      </c>
      <c r="AA382" s="75"/>
      <c r="AB382" s="75"/>
      <c r="AC382" s="361"/>
    </row>
    <row r="383" spans="1:29" ht="38.25" outlineLevel="1" x14ac:dyDescent="0.2">
      <c r="A383" s="66">
        <v>381</v>
      </c>
      <c r="B383" s="68">
        <v>45118</v>
      </c>
      <c r="C383" s="66" t="s">
        <v>1696</v>
      </c>
      <c r="D383" s="66" t="s">
        <v>1752</v>
      </c>
      <c r="E383" s="67" t="s">
        <v>1944</v>
      </c>
      <c r="F383" s="66">
        <v>4</v>
      </c>
      <c r="G383" s="66" t="s">
        <v>1661</v>
      </c>
      <c r="H383" s="68">
        <v>45128</v>
      </c>
      <c r="I383" s="68" t="s">
        <v>1562</v>
      </c>
      <c r="J383" s="68" t="s">
        <v>1625</v>
      </c>
      <c r="K383" s="66" t="s">
        <v>1491</v>
      </c>
      <c r="L383" s="66" t="s">
        <v>802</v>
      </c>
      <c r="M383" s="66"/>
      <c r="N383" s="66" t="s">
        <v>1911</v>
      </c>
      <c r="O383" s="66" t="str">
        <f t="shared" ca="1" si="24"/>
        <v>SI</v>
      </c>
      <c r="P383" s="66" t="str">
        <f t="shared" si="22"/>
        <v>DIANOSOL</v>
      </c>
      <c r="Q383" s="66" t="s">
        <v>912</v>
      </c>
      <c r="R383" s="66" t="str">
        <f>VLOOKUP($Q383,Resultados!$A$1:$B$49,2,FALSE)</f>
        <v>Suspendida</v>
      </c>
      <c r="S383" s="66"/>
      <c r="T383" s="75" t="str">
        <f t="shared" si="23"/>
        <v>NO</v>
      </c>
      <c r="U383" s="75"/>
      <c r="V383" s="66"/>
      <c r="W383" s="66"/>
      <c r="X383" s="66"/>
      <c r="Y383" s="66"/>
      <c r="Z383" s="75"/>
      <c r="AA383" s="75"/>
      <c r="AB383" s="75"/>
      <c r="AC383" s="361"/>
    </row>
    <row r="384" spans="1:29" ht="38.25" outlineLevel="1" x14ac:dyDescent="0.2">
      <c r="A384" s="66">
        <v>382</v>
      </c>
      <c r="B384" s="68">
        <v>45118</v>
      </c>
      <c r="C384" s="73">
        <v>0.53680555555555554</v>
      </c>
      <c r="D384" s="66" t="s">
        <v>1762</v>
      </c>
      <c r="E384" s="67" t="s">
        <v>1947</v>
      </c>
      <c r="F384" s="66">
        <v>4</v>
      </c>
      <c r="G384" s="66" t="s">
        <v>1663</v>
      </c>
      <c r="H384" s="68">
        <v>45128</v>
      </c>
      <c r="I384" s="68" t="s">
        <v>1450</v>
      </c>
      <c r="J384" s="68" t="s">
        <v>1732</v>
      </c>
      <c r="K384" s="66" t="s">
        <v>1346</v>
      </c>
      <c r="L384" s="66" t="s">
        <v>1070</v>
      </c>
      <c r="M384" s="66" t="s">
        <v>1763</v>
      </c>
      <c r="N384" s="66" t="s">
        <v>621</v>
      </c>
      <c r="O384" s="66" t="str">
        <f t="shared" ca="1" si="24"/>
        <v>SI</v>
      </c>
      <c r="P384" s="66" t="str">
        <f t="shared" si="22"/>
        <v>DIANOSOL</v>
      </c>
      <c r="Q384" s="66" t="s">
        <v>151</v>
      </c>
      <c r="R384" s="66" t="str">
        <f>VLOOKUP($Q384,Resultados!$A$1:$B$49,2,FALSE)</f>
        <v>Prisión Preventiva</v>
      </c>
      <c r="S384" s="66" t="s">
        <v>1915</v>
      </c>
      <c r="T384" s="75" t="str">
        <f t="shared" si="23"/>
        <v>NO</v>
      </c>
      <c r="U384" s="75"/>
      <c r="V384" s="66"/>
      <c r="W384" s="66" t="s">
        <v>1916</v>
      </c>
      <c r="X384" s="66" t="s">
        <v>1917</v>
      </c>
      <c r="Y384" s="66"/>
      <c r="Z384" s="121" t="s">
        <v>770</v>
      </c>
      <c r="AA384" s="75"/>
      <c r="AB384" s="75"/>
      <c r="AC384" s="361"/>
    </row>
    <row r="385" spans="1:29" ht="114.75" outlineLevel="1" x14ac:dyDescent="0.2">
      <c r="A385" s="66">
        <v>383</v>
      </c>
      <c r="B385" s="68">
        <v>45119</v>
      </c>
      <c r="C385" s="73">
        <v>0.4770833333333333</v>
      </c>
      <c r="D385" s="66" t="s">
        <v>1767</v>
      </c>
      <c r="E385" s="67" t="s">
        <v>2016</v>
      </c>
      <c r="F385" s="66">
        <v>3</v>
      </c>
      <c r="G385" s="66" t="s">
        <v>1441</v>
      </c>
      <c r="H385" s="68">
        <v>45135</v>
      </c>
      <c r="I385" s="68" t="s">
        <v>73</v>
      </c>
      <c r="J385" s="68" t="s">
        <v>1224</v>
      </c>
      <c r="K385" s="66" t="s">
        <v>1346</v>
      </c>
      <c r="L385" s="66" t="s">
        <v>803</v>
      </c>
      <c r="M385" s="66" t="s">
        <v>2031</v>
      </c>
      <c r="N385" s="66" t="s">
        <v>2027</v>
      </c>
      <c r="O385" s="66" t="str">
        <f t="shared" ca="1" si="24"/>
        <v>SI</v>
      </c>
      <c r="P385" s="66" t="str">
        <f t="shared" si="22"/>
        <v>DIANOSOL</v>
      </c>
      <c r="Q385" s="66" t="s">
        <v>151</v>
      </c>
      <c r="R385" s="66" t="str">
        <f>VLOOKUP($Q385,Resultados!$A$1:$B$49,2,FALSE)</f>
        <v>Prisión Preventiva</v>
      </c>
      <c r="S385" s="73">
        <v>0.36041666666666666</v>
      </c>
      <c r="T385" s="75" t="str">
        <f t="shared" si="23"/>
        <v>NO</v>
      </c>
      <c r="U385" s="75"/>
      <c r="V385" s="66"/>
      <c r="W385" s="73">
        <v>0.37708333333333338</v>
      </c>
      <c r="X385" s="66" t="s">
        <v>2026</v>
      </c>
      <c r="Y385" s="66"/>
      <c r="Z385" s="121" t="s">
        <v>1042</v>
      </c>
      <c r="AA385" s="121" t="s">
        <v>1171</v>
      </c>
      <c r="AB385" s="279" t="s">
        <v>1173</v>
      </c>
      <c r="AC385" s="361"/>
    </row>
    <row r="386" spans="1:29" ht="39.950000000000003" customHeight="1" outlineLevel="1" x14ac:dyDescent="0.2">
      <c r="A386" s="66">
        <v>384</v>
      </c>
      <c r="B386" s="68">
        <v>45119</v>
      </c>
      <c r="C386" s="73">
        <v>0.50138888888888888</v>
      </c>
      <c r="D386" s="66" t="s">
        <v>1768</v>
      </c>
      <c r="E386" s="67" t="s">
        <v>1769</v>
      </c>
      <c r="F386" s="66">
        <v>4</v>
      </c>
      <c r="G386" s="66" t="s">
        <v>43</v>
      </c>
      <c r="H386" s="68">
        <v>45133</v>
      </c>
      <c r="I386" s="68" t="s">
        <v>73</v>
      </c>
      <c r="J386" s="68" t="s">
        <v>31</v>
      </c>
      <c r="K386" s="66">
        <f>IFERROR(VLOOKUP(J386,Jueces!$A$1:$B$11,2,FALSE),"")</f>
        <v>2</v>
      </c>
      <c r="L386" s="66" t="s">
        <v>1972</v>
      </c>
      <c r="M386" s="66" t="s">
        <v>1838</v>
      </c>
      <c r="N386" s="66" t="s">
        <v>1973</v>
      </c>
      <c r="O386" s="66" t="str">
        <f t="shared" ca="1" si="24"/>
        <v>SI</v>
      </c>
      <c r="P386" s="66" t="str">
        <f t="shared" si="22"/>
        <v>DIANOSOL</v>
      </c>
      <c r="Q386" s="66" t="s">
        <v>151</v>
      </c>
      <c r="R386" s="66" t="str">
        <f>VLOOKUP($Q386,Resultados!$A$1:$B$49,2,FALSE)</f>
        <v>Prisión Preventiva</v>
      </c>
      <c r="S386" s="73">
        <v>0.37083333333333335</v>
      </c>
      <c r="T386" s="75" t="str">
        <f t="shared" si="23"/>
        <v>NO</v>
      </c>
      <c r="U386" s="75"/>
      <c r="V386" s="66"/>
      <c r="W386" s="73">
        <v>0.39027777777777778</v>
      </c>
      <c r="X386" s="66" t="s">
        <v>1974</v>
      </c>
      <c r="Y386" s="66"/>
      <c r="Z386" s="121" t="s">
        <v>743</v>
      </c>
      <c r="AA386" s="121" t="s">
        <v>743</v>
      </c>
      <c r="AB386" s="121" t="s">
        <v>1177</v>
      </c>
      <c r="AC386" s="361"/>
    </row>
    <row r="387" spans="1:29" ht="39.950000000000003" customHeight="1" outlineLevel="1" x14ac:dyDescent="0.2">
      <c r="A387" s="66">
        <v>385</v>
      </c>
      <c r="B387" s="68">
        <v>45119</v>
      </c>
      <c r="C387" s="66" t="s">
        <v>1772</v>
      </c>
      <c r="D387" s="66" t="s">
        <v>1770</v>
      </c>
      <c r="E387" s="67" t="s">
        <v>1771</v>
      </c>
      <c r="F387" s="66">
        <v>3</v>
      </c>
      <c r="G387" s="66" t="s">
        <v>32</v>
      </c>
      <c r="H387" s="68">
        <v>45132</v>
      </c>
      <c r="I387" s="68" t="s">
        <v>73</v>
      </c>
      <c r="J387" s="68" t="s">
        <v>35</v>
      </c>
      <c r="K387" s="66">
        <f>IFERROR(VLOOKUP(J387,Jueces!$A$1:$B$11,2,FALSE),"")</f>
        <v>3</v>
      </c>
      <c r="L387" s="66" t="s">
        <v>813</v>
      </c>
      <c r="M387" s="66" t="s">
        <v>694</v>
      </c>
      <c r="N387" s="66" t="s">
        <v>1952</v>
      </c>
      <c r="O387" s="66" t="str">
        <f t="shared" ca="1" si="24"/>
        <v>SI</v>
      </c>
      <c r="P387" s="66" t="str">
        <f t="shared" ref="P387:P450" si="25">IF($P$1=H387,"DIASOL", "DIANOSOL")</f>
        <v>DIANOSOL</v>
      </c>
      <c r="Q387" s="66" t="s">
        <v>909</v>
      </c>
      <c r="R387" s="66" t="s">
        <v>909</v>
      </c>
      <c r="S387" s="73">
        <v>0.35416666666666669</v>
      </c>
      <c r="T387" s="75" t="str">
        <f t="shared" si="23"/>
        <v>NO</v>
      </c>
      <c r="U387" s="75"/>
      <c r="V387" s="66"/>
      <c r="W387" s="73">
        <v>0.36180555555555555</v>
      </c>
      <c r="X387" s="66" t="s">
        <v>1955</v>
      </c>
      <c r="Y387" s="66"/>
      <c r="Z387" s="121" t="s">
        <v>1042</v>
      </c>
      <c r="AA387" s="121" t="s">
        <v>1171</v>
      </c>
      <c r="AB387" s="121" t="s">
        <v>1175</v>
      </c>
      <c r="AC387" s="361"/>
    </row>
    <row r="388" spans="1:29" ht="39.950000000000003" customHeight="1" outlineLevel="1" x14ac:dyDescent="0.2">
      <c r="A388" s="66">
        <v>386</v>
      </c>
      <c r="B388" s="68">
        <v>45120</v>
      </c>
      <c r="C388" s="73">
        <v>0.5</v>
      </c>
      <c r="D388" s="66" t="s">
        <v>1815</v>
      </c>
      <c r="E388" s="67" t="s">
        <v>2130</v>
      </c>
      <c r="F388" s="66">
        <v>4</v>
      </c>
      <c r="G388" s="66" t="s">
        <v>1443</v>
      </c>
      <c r="H388" s="68">
        <v>45139</v>
      </c>
      <c r="I388" s="68" t="s">
        <v>1086</v>
      </c>
      <c r="J388" s="68" t="s">
        <v>33</v>
      </c>
      <c r="K388" s="66">
        <f>IFERROR(VLOOKUP(J388,Jueces!$A$1:$B$11,2,FALSE),"")</f>
        <v>4</v>
      </c>
      <c r="L388" s="66" t="s">
        <v>802</v>
      </c>
      <c r="M388" s="66" t="s">
        <v>1838</v>
      </c>
      <c r="N388" s="66" t="s">
        <v>2083</v>
      </c>
      <c r="O388" s="66" t="str">
        <f t="shared" ca="1" si="24"/>
        <v>SI</v>
      </c>
      <c r="P388" s="66" t="str">
        <f t="shared" si="25"/>
        <v>DIANOSOL</v>
      </c>
      <c r="Q388" s="66" t="s">
        <v>151</v>
      </c>
      <c r="R388" s="66" t="str">
        <f>VLOOKUP($Q388,Resultados!$A$1:$B$49,2,FALSE)</f>
        <v>Prisión Preventiva</v>
      </c>
      <c r="S388" s="73">
        <v>0.37986111111111115</v>
      </c>
      <c r="T388" s="75" t="str">
        <f t="shared" si="23"/>
        <v>NO</v>
      </c>
      <c r="U388" s="75"/>
      <c r="V388" s="66"/>
      <c r="W388" s="73">
        <v>0.3979166666666667</v>
      </c>
      <c r="X388" s="66"/>
      <c r="Y388" s="66"/>
      <c r="Z388" s="121" t="s">
        <v>748</v>
      </c>
      <c r="AA388" s="121" t="s">
        <v>1169</v>
      </c>
      <c r="AB388" s="121" t="s">
        <v>1176</v>
      </c>
      <c r="AC388" s="361"/>
    </row>
    <row r="389" spans="1:29" ht="39.950000000000003" customHeight="1" outlineLevel="1" x14ac:dyDescent="0.2">
      <c r="A389" s="66">
        <v>387</v>
      </c>
      <c r="B389" s="68">
        <v>45120</v>
      </c>
      <c r="C389" s="73">
        <v>0.5</v>
      </c>
      <c r="D389" s="66" t="s">
        <v>1814</v>
      </c>
      <c r="E389" s="67" t="s">
        <v>1819</v>
      </c>
      <c r="F389" s="66">
        <v>4</v>
      </c>
      <c r="G389" s="66" t="s">
        <v>283</v>
      </c>
      <c r="H389" s="68">
        <v>45147</v>
      </c>
      <c r="I389" s="68" t="s">
        <v>73</v>
      </c>
      <c r="J389" s="68" t="s">
        <v>33</v>
      </c>
      <c r="K389" s="66">
        <v>4</v>
      </c>
      <c r="L389" s="66" t="s">
        <v>803</v>
      </c>
      <c r="M389" s="66" t="s">
        <v>1838</v>
      </c>
      <c r="N389" s="66" t="s">
        <v>2244</v>
      </c>
      <c r="O389" s="66" t="str">
        <f t="shared" ca="1" si="24"/>
        <v>SI</v>
      </c>
      <c r="P389" s="66" t="str">
        <f t="shared" si="25"/>
        <v>DIANOSOL</v>
      </c>
      <c r="Q389" s="66" t="s">
        <v>912</v>
      </c>
      <c r="R389" s="66" t="str">
        <f>VLOOKUP($Q389,Resultados!$A$1:$B$49,2,FALSE)</f>
        <v>Suspendida</v>
      </c>
      <c r="S389" s="73">
        <v>0.35833333333333334</v>
      </c>
      <c r="T389" s="75" t="str">
        <f t="shared" si="23"/>
        <v>NO</v>
      </c>
      <c r="U389" s="75"/>
      <c r="V389" s="66"/>
      <c r="W389" s="73">
        <v>0.37708333333333338</v>
      </c>
      <c r="X389" s="66"/>
      <c r="Y389" s="66"/>
      <c r="Z389" s="121" t="s">
        <v>770</v>
      </c>
      <c r="AA389" s="121" t="s">
        <v>1171</v>
      </c>
      <c r="AB389" s="121" t="s">
        <v>1176</v>
      </c>
      <c r="AC389" s="361"/>
    </row>
    <row r="390" spans="1:29" ht="39.950000000000003" customHeight="1" outlineLevel="1" x14ac:dyDescent="0.2">
      <c r="A390" s="66">
        <v>388</v>
      </c>
      <c r="B390" s="68">
        <v>45120</v>
      </c>
      <c r="C390" s="73">
        <v>0.54166666666666663</v>
      </c>
      <c r="D390" s="66" t="s">
        <v>1808</v>
      </c>
      <c r="E390" s="67" t="s">
        <v>1821</v>
      </c>
      <c r="F390" s="66">
        <v>2</v>
      </c>
      <c r="G390" s="66" t="s">
        <v>29</v>
      </c>
      <c r="H390" s="68">
        <v>45132</v>
      </c>
      <c r="I390" s="68" t="s">
        <v>73</v>
      </c>
      <c r="J390" s="68" t="s">
        <v>33</v>
      </c>
      <c r="K390" s="66">
        <f>IFERROR(VLOOKUP(J390,Jueces!$A$1:$B$11,2,FALSE),"")</f>
        <v>4</v>
      </c>
      <c r="L390" s="66" t="s">
        <v>326</v>
      </c>
      <c r="M390" s="66" t="s">
        <v>695</v>
      </c>
      <c r="N390" s="66" t="s">
        <v>577</v>
      </c>
      <c r="O390" s="66" t="str">
        <f t="shared" ca="1" si="24"/>
        <v>SI</v>
      </c>
      <c r="P390" s="66" t="str">
        <f t="shared" si="25"/>
        <v>DIANOSOL</v>
      </c>
      <c r="Q390" s="66" t="s">
        <v>151</v>
      </c>
      <c r="R390" s="66" t="str">
        <f>VLOOKUP($Q390,Resultados!$A$1:$B$49,2,FALSE)</f>
        <v>Prisión Preventiva</v>
      </c>
      <c r="S390" s="73">
        <v>0.41180555555555554</v>
      </c>
      <c r="T390" s="75" t="str">
        <f t="shared" si="23"/>
        <v>NO</v>
      </c>
      <c r="U390" s="75"/>
      <c r="V390" s="66"/>
      <c r="W390" s="73">
        <v>0.44027777777777777</v>
      </c>
      <c r="X390" s="66" t="s">
        <v>1954</v>
      </c>
      <c r="Y390" s="66"/>
      <c r="Z390" s="121" t="s">
        <v>743</v>
      </c>
      <c r="AA390" s="121" t="s">
        <v>1169</v>
      </c>
      <c r="AB390" s="121" t="s">
        <v>1176</v>
      </c>
      <c r="AC390" s="361"/>
    </row>
    <row r="391" spans="1:29" ht="39.950000000000003" customHeight="1" outlineLevel="1" x14ac:dyDescent="0.2">
      <c r="A391" s="66">
        <v>389</v>
      </c>
      <c r="B391" s="68">
        <v>45120</v>
      </c>
      <c r="C391" s="73">
        <v>0.54166666666666663</v>
      </c>
      <c r="D391" s="66" t="s">
        <v>1812</v>
      </c>
      <c r="E391" s="67" t="s">
        <v>2129</v>
      </c>
      <c r="F391" s="66">
        <v>4</v>
      </c>
      <c r="G391" s="66" t="s">
        <v>29</v>
      </c>
      <c r="H391" s="68">
        <v>45139</v>
      </c>
      <c r="I391" s="68" t="s">
        <v>1086</v>
      </c>
      <c r="J391" s="68" t="s">
        <v>1224</v>
      </c>
      <c r="K391" s="66" t="s">
        <v>1326</v>
      </c>
      <c r="L391" s="66" t="s">
        <v>811</v>
      </c>
      <c r="M391" s="66" t="s">
        <v>695</v>
      </c>
      <c r="N391" s="66" t="s">
        <v>2081</v>
      </c>
      <c r="O391" s="66" t="str">
        <f t="shared" ca="1" si="24"/>
        <v>SI</v>
      </c>
      <c r="P391" s="66" t="str">
        <f t="shared" si="25"/>
        <v>DIANOSOL</v>
      </c>
      <c r="Q391" s="66" t="s">
        <v>904</v>
      </c>
      <c r="R391" s="66" t="str">
        <f>VLOOKUP($Q391,Resultados!$A$1:$B$49,2,FALSE)</f>
        <v>Juicio Abreviado</v>
      </c>
      <c r="S391" s="73">
        <v>0.3840277777777778</v>
      </c>
      <c r="T391" s="75" t="str">
        <f t="shared" si="23"/>
        <v>NO</v>
      </c>
      <c r="U391" s="75"/>
      <c r="V391" s="66"/>
      <c r="W391" s="73">
        <v>0.41111111111111115</v>
      </c>
      <c r="X391" s="66" t="s">
        <v>2082</v>
      </c>
      <c r="Y391" s="66"/>
      <c r="Z391" s="121" t="s">
        <v>743</v>
      </c>
      <c r="AA391" s="121" t="s">
        <v>743</v>
      </c>
      <c r="AB391" s="121" t="s">
        <v>1173</v>
      </c>
      <c r="AC391" s="361"/>
    </row>
    <row r="392" spans="1:29" ht="39.950000000000003" customHeight="1" outlineLevel="1" x14ac:dyDescent="0.2">
      <c r="A392" s="66">
        <v>390</v>
      </c>
      <c r="B392" s="68">
        <v>45120</v>
      </c>
      <c r="C392" s="73">
        <v>0.54166666666666663</v>
      </c>
      <c r="D392" s="66" t="s">
        <v>1813</v>
      </c>
      <c r="E392" s="67" t="s">
        <v>1820</v>
      </c>
      <c r="F392" s="66">
        <v>4</v>
      </c>
      <c r="G392" s="66" t="s">
        <v>1443</v>
      </c>
      <c r="H392" s="68">
        <v>45132</v>
      </c>
      <c r="I392" s="68" t="s">
        <v>1086</v>
      </c>
      <c r="J392" s="68" t="s">
        <v>1225</v>
      </c>
      <c r="K392" s="66">
        <f>IFERROR(VLOOKUP(J392,Jueces!$A$1:$B$11,2,FALSE),"")</f>
        <v>6</v>
      </c>
      <c r="L392" s="66" t="s">
        <v>813</v>
      </c>
      <c r="M392" s="66" t="s">
        <v>695</v>
      </c>
      <c r="N392" s="66" t="s">
        <v>235</v>
      </c>
      <c r="O392" s="66" t="str">
        <f t="shared" ca="1" si="24"/>
        <v>SI</v>
      </c>
      <c r="P392" s="66" t="str">
        <f t="shared" si="25"/>
        <v>DIANOSOL</v>
      </c>
      <c r="Q392" s="66" t="s">
        <v>151</v>
      </c>
      <c r="R392" s="66" t="str">
        <f>VLOOKUP($Q392,Resultados!$A$1:$B$49,2,FALSE)</f>
        <v>Prisión Preventiva</v>
      </c>
      <c r="S392" s="73">
        <v>0.38541666666666669</v>
      </c>
      <c r="T392" s="75" t="str">
        <f t="shared" si="23"/>
        <v>NO</v>
      </c>
      <c r="U392" s="75"/>
      <c r="V392" s="66"/>
      <c r="W392" s="73">
        <v>0.42986111111111108</v>
      </c>
      <c r="X392" s="66" t="s">
        <v>1956</v>
      </c>
      <c r="Y392" s="66"/>
      <c r="Z392" s="121" t="s">
        <v>1042</v>
      </c>
      <c r="AA392" s="121" t="s">
        <v>1169</v>
      </c>
      <c r="AB392" s="121" t="s">
        <v>1173</v>
      </c>
      <c r="AC392" s="361"/>
    </row>
    <row r="393" spans="1:29" ht="38.25" outlineLevel="1" x14ac:dyDescent="0.2">
      <c r="A393" s="66">
        <v>391</v>
      </c>
      <c r="B393" s="68">
        <v>45119</v>
      </c>
      <c r="C393" s="73">
        <v>0.52013888888888882</v>
      </c>
      <c r="D393" s="66" t="s">
        <v>1818</v>
      </c>
      <c r="E393" s="67" t="s">
        <v>2132</v>
      </c>
      <c r="F393" s="66">
        <v>4</v>
      </c>
      <c r="G393" s="66" t="s">
        <v>43</v>
      </c>
      <c r="H393" s="68">
        <v>45139</v>
      </c>
      <c r="I393" s="68" t="s">
        <v>73</v>
      </c>
      <c r="J393" s="68" t="s">
        <v>1220</v>
      </c>
      <c r="K393" s="66">
        <f>IFERROR(VLOOKUP(J393,Jueces!$A$1:$B$11,2,FALSE),"")</f>
        <v>1</v>
      </c>
      <c r="L393" s="66" t="s">
        <v>804</v>
      </c>
      <c r="M393" s="66" t="s">
        <v>1969</v>
      </c>
      <c r="N393" s="66" t="s">
        <v>1869</v>
      </c>
      <c r="O393" s="66" t="str">
        <f t="shared" ca="1" si="24"/>
        <v>SI</v>
      </c>
      <c r="P393" s="66" t="str">
        <f t="shared" si="25"/>
        <v>DIANOSOL</v>
      </c>
      <c r="Q393" s="66" t="s">
        <v>151</v>
      </c>
      <c r="R393" s="66" t="str">
        <f>VLOOKUP($Q393,Resultados!$A$1:$B$49,2,FALSE)</f>
        <v>Prisión Preventiva</v>
      </c>
      <c r="S393" s="73" t="s">
        <v>1375</v>
      </c>
      <c r="T393" s="75" t="str">
        <f t="shared" si="23"/>
        <v>NO</v>
      </c>
      <c r="U393" s="75"/>
      <c r="V393" s="66"/>
      <c r="W393" s="66" t="s">
        <v>2076</v>
      </c>
      <c r="X393" s="66" t="s">
        <v>2077</v>
      </c>
      <c r="Y393" s="66"/>
      <c r="Z393" s="121" t="s">
        <v>1041</v>
      </c>
      <c r="AA393" s="121" t="s">
        <v>1169</v>
      </c>
      <c r="AB393" s="121" t="s">
        <v>1173</v>
      </c>
      <c r="AC393" s="361"/>
    </row>
    <row r="394" spans="1:29" ht="39.950000000000003" customHeight="1" outlineLevel="1" x14ac:dyDescent="0.2">
      <c r="A394" s="66">
        <v>392</v>
      </c>
      <c r="B394" s="68">
        <v>45120</v>
      </c>
      <c r="C394" s="73">
        <v>0.375</v>
      </c>
      <c r="D394" s="66" t="s">
        <v>1816</v>
      </c>
      <c r="E394" s="67" t="s">
        <v>1809</v>
      </c>
      <c r="F394" s="66">
        <v>4</v>
      </c>
      <c r="G394" s="66" t="s">
        <v>283</v>
      </c>
      <c r="H394" s="68">
        <v>45133</v>
      </c>
      <c r="I394" s="68" t="s">
        <v>1210</v>
      </c>
      <c r="J394" s="68" t="s">
        <v>33</v>
      </c>
      <c r="K394" s="66">
        <f>IFERROR(VLOOKUP(J394,Jueces!$A$1:$B$11,2,FALSE),"")</f>
        <v>4</v>
      </c>
      <c r="L394" s="66" t="s">
        <v>812</v>
      </c>
      <c r="M394" s="66" t="s">
        <v>1969</v>
      </c>
      <c r="N394" s="66" t="s">
        <v>1970</v>
      </c>
      <c r="O394" s="66" t="str">
        <f t="shared" ca="1" si="24"/>
        <v>SI</v>
      </c>
      <c r="P394" s="66" t="str">
        <f t="shared" si="25"/>
        <v>DIANOSOL</v>
      </c>
      <c r="Q394" s="66" t="s">
        <v>904</v>
      </c>
      <c r="R394" s="66" t="str">
        <f>VLOOKUP($Q394,Resultados!$A$1:$B$49,2,FALSE)</f>
        <v>Juicio Abreviado</v>
      </c>
      <c r="S394" s="73">
        <v>0.35625000000000001</v>
      </c>
      <c r="T394" s="75" t="str">
        <f t="shared" si="23"/>
        <v>NO</v>
      </c>
      <c r="U394" s="75"/>
      <c r="V394" s="66"/>
      <c r="W394" s="73">
        <v>0.37361111111111112</v>
      </c>
      <c r="X394" s="66" t="s">
        <v>1971</v>
      </c>
      <c r="Y394" s="66"/>
      <c r="Z394" s="121" t="s">
        <v>1041</v>
      </c>
      <c r="AA394" s="121" t="s">
        <v>743</v>
      </c>
      <c r="AB394" s="121" t="s">
        <v>1174</v>
      </c>
      <c r="AC394" s="361"/>
    </row>
    <row r="395" spans="1:29" ht="39.950000000000003" customHeight="1" outlineLevel="1" x14ac:dyDescent="0.2">
      <c r="A395" s="66">
        <v>393</v>
      </c>
      <c r="B395" s="68">
        <v>45120</v>
      </c>
      <c r="C395" s="73">
        <v>0.375</v>
      </c>
      <c r="D395" s="66" t="s">
        <v>1817</v>
      </c>
      <c r="E395" s="67" t="s">
        <v>1874</v>
      </c>
      <c r="F395" s="66">
        <v>4</v>
      </c>
      <c r="G395" s="66" t="s">
        <v>32</v>
      </c>
      <c r="H395" s="68">
        <v>45132</v>
      </c>
      <c r="I395" s="68" t="s">
        <v>1086</v>
      </c>
      <c r="J395" s="68" t="s">
        <v>33</v>
      </c>
      <c r="K395" s="66">
        <f>IFERROR(VLOOKUP(J395,Jueces!$A$1:$B$11,2,FALSE),"")</f>
        <v>4</v>
      </c>
      <c r="L395" s="66" t="s">
        <v>1070</v>
      </c>
      <c r="M395" s="66" t="s">
        <v>1853</v>
      </c>
      <c r="N395" s="66" t="s">
        <v>1934</v>
      </c>
      <c r="O395" s="66" t="str">
        <f t="shared" ca="1" si="24"/>
        <v>SI</v>
      </c>
      <c r="P395" s="66" t="str">
        <f t="shared" si="25"/>
        <v>DIANOSOL</v>
      </c>
      <c r="Q395" s="66" t="s">
        <v>905</v>
      </c>
      <c r="R395" s="66" t="str">
        <f>VLOOKUP($Q395,Resultados!$A$1:$B$49,2,FALSE)</f>
        <v>Juicio Abreviado</v>
      </c>
      <c r="S395" s="73">
        <v>0.39305555555555555</v>
      </c>
      <c r="T395" s="75" t="str">
        <f t="shared" si="23"/>
        <v>NO</v>
      </c>
      <c r="U395" s="75"/>
      <c r="V395" s="66"/>
      <c r="W395" s="73">
        <v>0.4069444444444445</v>
      </c>
      <c r="X395" s="66" t="s">
        <v>1953</v>
      </c>
      <c r="Y395" s="66"/>
      <c r="Z395" s="121" t="s">
        <v>1041</v>
      </c>
      <c r="AA395" s="121" t="s">
        <v>743</v>
      </c>
      <c r="AB395" s="121" t="s">
        <v>1177</v>
      </c>
      <c r="AC395" s="361"/>
    </row>
    <row r="396" spans="1:29" ht="51" outlineLevel="1" x14ac:dyDescent="0.2">
      <c r="A396" s="66">
        <v>394</v>
      </c>
      <c r="B396" s="68">
        <v>45121</v>
      </c>
      <c r="C396" s="73">
        <v>0.33333333333333331</v>
      </c>
      <c r="D396" s="66" t="s">
        <v>1839</v>
      </c>
      <c r="E396" s="67" t="s">
        <v>1978</v>
      </c>
      <c r="F396" s="66">
        <v>4</v>
      </c>
      <c r="G396" s="66" t="s">
        <v>32</v>
      </c>
      <c r="H396" s="68">
        <v>45141</v>
      </c>
      <c r="I396" s="68" t="s">
        <v>73</v>
      </c>
      <c r="J396" s="68" t="s">
        <v>1223</v>
      </c>
      <c r="K396" s="66" t="s">
        <v>1326</v>
      </c>
      <c r="L396" s="66" t="s">
        <v>812</v>
      </c>
      <c r="M396" s="66" t="s">
        <v>1838</v>
      </c>
      <c r="N396" s="66" t="s">
        <v>1753</v>
      </c>
      <c r="O396" s="66" t="str">
        <f t="shared" ca="1" si="24"/>
        <v>SI</v>
      </c>
      <c r="P396" s="66" t="str">
        <f t="shared" si="25"/>
        <v>DIANOSOL</v>
      </c>
      <c r="Q396" s="66" t="s">
        <v>151</v>
      </c>
      <c r="R396" s="66" t="str">
        <f>VLOOKUP($Q396,Resultados!$A$1:$B$49,2,FALSE)</f>
        <v>Prisión Preventiva</v>
      </c>
      <c r="S396" s="66"/>
      <c r="T396" s="75" t="str">
        <f t="shared" si="23"/>
        <v>NO</v>
      </c>
      <c r="U396" s="75"/>
      <c r="V396" s="66"/>
      <c r="W396" s="66"/>
      <c r="X396" s="66"/>
      <c r="Y396" s="66"/>
      <c r="Z396" s="121" t="s">
        <v>748</v>
      </c>
      <c r="AA396" s="121" t="s">
        <v>743</v>
      </c>
      <c r="AB396" s="121" t="s">
        <v>1175</v>
      </c>
      <c r="AC396" s="361"/>
    </row>
    <row r="397" spans="1:29" ht="39.950000000000003" customHeight="1" outlineLevel="1" x14ac:dyDescent="0.2">
      <c r="A397" s="66">
        <v>395</v>
      </c>
      <c r="B397" s="68">
        <v>45121</v>
      </c>
      <c r="C397" s="73">
        <v>0.40069444444444446</v>
      </c>
      <c r="D397" s="66" t="s">
        <v>1811</v>
      </c>
      <c r="E397" s="67" t="s">
        <v>1810</v>
      </c>
      <c r="F397" s="66">
        <v>4</v>
      </c>
      <c r="G397" s="66" t="s">
        <v>568</v>
      </c>
      <c r="H397" s="68">
        <v>45132</v>
      </c>
      <c r="I397" s="68" t="s">
        <v>1086</v>
      </c>
      <c r="J397" s="68" t="s">
        <v>1221</v>
      </c>
      <c r="K397" s="66">
        <f>IFERROR(VLOOKUP(J397,Jueces!$A$1:$B$11,2,FALSE),"")</f>
        <v>7</v>
      </c>
      <c r="L397" s="66" t="s">
        <v>791</v>
      </c>
      <c r="M397" s="66" t="s">
        <v>1838</v>
      </c>
      <c r="N397" s="66" t="s">
        <v>1976</v>
      </c>
      <c r="O397" s="66" t="str">
        <f t="shared" ca="1" si="24"/>
        <v>SI</v>
      </c>
      <c r="P397" s="66" t="str">
        <f t="shared" si="25"/>
        <v>DIANOSOL</v>
      </c>
      <c r="Q397" s="66" t="s">
        <v>151</v>
      </c>
      <c r="R397" s="66" t="str">
        <f>VLOOKUP($Q397,Resultados!$A$1:$B$49,2,FALSE)</f>
        <v>Prisión Preventiva</v>
      </c>
      <c r="S397" s="66" t="s">
        <v>1975</v>
      </c>
      <c r="T397" s="75" t="str">
        <f t="shared" si="23"/>
        <v>NO</v>
      </c>
      <c r="U397" s="75"/>
      <c r="V397" s="66"/>
      <c r="W397" s="73">
        <v>0.40486111111111112</v>
      </c>
      <c r="X397" s="66"/>
      <c r="Y397" s="66"/>
      <c r="Z397" s="121" t="s">
        <v>748</v>
      </c>
      <c r="AA397" s="121" t="s">
        <v>1171</v>
      </c>
      <c r="AB397" s="121" t="s">
        <v>1175</v>
      </c>
      <c r="AC397" s="361"/>
    </row>
    <row r="398" spans="1:29" ht="39.950000000000003" customHeight="1" outlineLevel="1" x14ac:dyDescent="0.2">
      <c r="A398" s="66">
        <v>396</v>
      </c>
      <c r="B398" s="68">
        <v>45124</v>
      </c>
      <c r="C398" s="73">
        <v>0.53194444444444444</v>
      </c>
      <c r="D398" s="66" t="s">
        <v>1849</v>
      </c>
      <c r="E398" s="67" t="s">
        <v>1848</v>
      </c>
      <c r="F398" s="66">
        <v>3</v>
      </c>
      <c r="G398" s="66" t="s">
        <v>32</v>
      </c>
      <c r="H398" s="68">
        <v>45138</v>
      </c>
      <c r="I398" s="68" t="s">
        <v>73</v>
      </c>
      <c r="J398" s="68" t="s">
        <v>1223</v>
      </c>
      <c r="K398" s="66" t="s">
        <v>1346</v>
      </c>
      <c r="L398" s="66" t="s">
        <v>798</v>
      </c>
      <c r="M398" s="66" t="s">
        <v>2048</v>
      </c>
      <c r="N398" s="66" t="s">
        <v>2049</v>
      </c>
      <c r="O398" s="66" t="str">
        <f t="shared" ca="1" si="24"/>
        <v>SI</v>
      </c>
      <c r="P398" s="66" t="str">
        <f t="shared" si="25"/>
        <v>DIANOSOL</v>
      </c>
      <c r="Q398" s="66" t="s">
        <v>905</v>
      </c>
      <c r="R398" s="66" t="str">
        <f>VLOOKUP($Q398,Resultados!$A$1:$B$49,2,FALSE)</f>
        <v>Juicio Abreviado</v>
      </c>
      <c r="S398" s="73">
        <v>0.35416666666666669</v>
      </c>
      <c r="T398" s="75" t="str">
        <f t="shared" si="23"/>
        <v>NO</v>
      </c>
      <c r="U398" s="75"/>
      <c r="V398" s="66"/>
      <c r="W398" s="73">
        <v>0.37361111111111112</v>
      </c>
      <c r="X398" s="66" t="s">
        <v>2050</v>
      </c>
      <c r="Y398" s="66"/>
      <c r="Z398" s="121" t="s">
        <v>743</v>
      </c>
      <c r="AA398" s="121" t="s">
        <v>743</v>
      </c>
      <c r="AB398" s="121" t="s">
        <v>1173</v>
      </c>
      <c r="AC398" s="361"/>
    </row>
    <row r="399" spans="1:29" ht="39.950000000000003" customHeight="1" outlineLevel="1" x14ac:dyDescent="0.2">
      <c r="A399" s="66">
        <v>397</v>
      </c>
      <c r="B399" s="68">
        <v>45125</v>
      </c>
      <c r="C399" s="73">
        <v>0.39166666666666666</v>
      </c>
      <c r="D399" s="66" t="s">
        <v>1852</v>
      </c>
      <c r="E399" s="67" t="s">
        <v>2011</v>
      </c>
      <c r="F399" s="66">
        <v>3</v>
      </c>
      <c r="G399" s="66" t="s">
        <v>1443</v>
      </c>
      <c r="H399" s="68">
        <v>45134</v>
      </c>
      <c r="I399" s="68" t="s">
        <v>73</v>
      </c>
      <c r="J399" s="68" t="s">
        <v>78</v>
      </c>
      <c r="K399" s="66">
        <f>IFERROR(VLOOKUP(J399,Jueces!$A$1:$B$11,2,FALSE),"")</f>
        <v>8</v>
      </c>
      <c r="L399" s="66" t="s">
        <v>791</v>
      </c>
      <c r="M399" s="66" t="s">
        <v>694</v>
      </c>
      <c r="N399" s="66" t="s">
        <v>2021</v>
      </c>
      <c r="O399" s="66" t="str">
        <f t="shared" ca="1" si="24"/>
        <v>SI</v>
      </c>
      <c r="P399" s="66" t="str">
        <f t="shared" si="25"/>
        <v>DIANOSOL</v>
      </c>
      <c r="Q399" s="66" t="s">
        <v>904</v>
      </c>
      <c r="R399" s="66" t="str">
        <f>VLOOKUP($Q399,Resultados!$A$1:$B$49,2,FALSE)</f>
        <v>Juicio Abreviado</v>
      </c>
      <c r="S399" s="73">
        <v>0.34513888888888888</v>
      </c>
      <c r="T399" s="75" t="str">
        <f t="shared" si="23"/>
        <v>NO</v>
      </c>
      <c r="U399" s="75"/>
      <c r="V399" s="66"/>
      <c r="W399" s="73">
        <v>0.34930555555555554</v>
      </c>
      <c r="X399" s="66" t="s">
        <v>1506</v>
      </c>
      <c r="Y399" s="66"/>
      <c r="Z399" s="121" t="s">
        <v>1042</v>
      </c>
      <c r="AA399" s="121" t="s">
        <v>1169</v>
      </c>
      <c r="AB399" s="121" t="s">
        <v>1173</v>
      </c>
      <c r="AC399" s="361"/>
    </row>
    <row r="400" spans="1:29" ht="39.950000000000003" customHeight="1" outlineLevel="1" x14ac:dyDescent="0.2">
      <c r="A400" s="66">
        <v>398</v>
      </c>
      <c r="B400" s="68">
        <v>45125</v>
      </c>
      <c r="C400" s="73">
        <v>0.50902777777777775</v>
      </c>
      <c r="D400" s="66" t="s">
        <v>1868</v>
      </c>
      <c r="E400" s="67" t="s">
        <v>1863</v>
      </c>
      <c r="F400" s="66">
        <v>2</v>
      </c>
      <c r="G400" s="66" t="s">
        <v>1442</v>
      </c>
      <c r="H400" s="68">
        <v>45133</v>
      </c>
      <c r="I400" s="68" t="s">
        <v>73</v>
      </c>
      <c r="J400" s="68" t="s">
        <v>1224</v>
      </c>
      <c r="K400" s="66" t="s">
        <v>1346</v>
      </c>
      <c r="L400" s="66" t="s">
        <v>813</v>
      </c>
      <c r="M400" s="66" t="s">
        <v>695</v>
      </c>
      <c r="N400" s="66" t="s">
        <v>1966</v>
      </c>
      <c r="O400" s="66" t="str">
        <f t="shared" ca="1" si="24"/>
        <v>SI</v>
      </c>
      <c r="P400" s="66" t="str">
        <f t="shared" si="25"/>
        <v>DIANOSOL</v>
      </c>
      <c r="Q400" s="66" t="s">
        <v>905</v>
      </c>
      <c r="R400" s="66" t="str">
        <f>VLOOKUP($Q400,Resultados!$A$1:$B$49,2,FALSE)</f>
        <v>Juicio Abreviado</v>
      </c>
      <c r="S400" s="66" t="s">
        <v>1018</v>
      </c>
      <c r="T400" s="75" t="str">
        <f t="shared" si="23"/>
        <v>SI</v>
      </c>
      <c r="U400" s="75"/>
      <c r="V400" s="66"/>
      <c r="W400" s="66" t="s">
        <v>1004</v>
      </c>
      <c r="X400" s="66" t="s">
        <v>1967</v>
      </c>
      <c r="Y400" s="66"/>
      <c r="Z400" s="121" t="s">
        <v>1042</v>
      </c>
      <c r="AA400" s="121" t="s">
        <v>743</v>
      </c>
      <c r="AB400" s="121" t="s">
        <v>1173</v>
      </c>
      <c r="AC400" s="361"/>
    </row>
    <row r="401" spans="1:29" ht="39.950000000000003" customHeight="1" outlineLevel="1" x14ac:dyDescent="0.2">
      <c r="A401" s="66">
        <v>399</v>
      </c>
      <c r="B401" s="68">
        <v>45125</v>
      </c>
      <c r="C401" s="66" t="s">
        <v>1867</v>
      </c>
      <c r="D401" s="66" t="s">
        <v>1866</v>
      </c>
      <c r="E401" s="67" t="s">
        <v>2143</v>
      </c>
      <c r="F401" s="66">
        <v>2</v>
      </c>
      <c r="G401" s="66" t="s">
        <v>1443</v>
      </c>
      <c r="H401" s="68">
        <v>45141</v>
      </c>
      <c r="I401" s="68" t="s">
        <v>73</v>
      </c>
      <c r="J401" s="68" t="s">
        <v>33</v>
      </c>
      <c r="K401" s="66">
        <f>IFERROR(VLOOKUP(J401,Jueces!$A$1:$B$11,2,FALSE),"")</f>
        <v>4</v>
      </c>
      <c r="L401" s="66" t="s">
        <v>804</v>
      </c>
      <c r="M401" s="66" t="s">
        <v>695</v>
      </c>
      <c r="N401" s="210" t="s">
        <v>2140</v>
      </c>
      <c r="O401" s="66" t="str">
        <f t="shared" ca="1" si="24"/>
        <v>SI</v>
      </c>
      <c r="P401" s="66" t="str">
        <f t="shared" si="25"/>
        <v>DIANOSOL</v>
      </c>
      <c r="Q401" s="66" t="s">
        <v>899</v>
      </c>
      <c r="R401" s="66" t="str">
        <f>VLOOKUP($Q401,Resultados!$A$1:$B$49,2,FALSE)</f>
        <v>Libertad</v>
      </c>
      <c r="S401" s="66"/>
      <c r="T401" s="75" t="str">
        <f t="shared" si="23"/>
        <v>NO</v>
      </c>
      <c r="U401" s="75"/>
      <c r="V401" s="66"/>
      <c r="W401" s="66"/>
      <c r="X401" s="66"/>
      <c r="Y401" s="66"/>
      <c r="Z401" s="121" t="s">
        <v>770</v>
      </c>
      <c r="AA401" s="121" t="s">
        <v>743</v>
      </c>
      <c r="AB401" s="121" t="s">
        <v>1176</v>
      </c>
      <c r="AC401" s="361"/>
    </row>
    <row r="402" spans="1:29" ht="39.950000000000003" customHeight="1" outlineLevel="1" x14ac:dyDescent="0.2">
      <c r="A402" s="66">
        <v>400</v>
      </c>
      <c r="B402" s="68">
        <v>45125</v>
      </c>
      <c r="C402" s="73">
        <v>0.51111111111111118</v>
      </c>
      <c r="D402" s="66" t="s">
        <v>1865</v>
      </c>
      <c r="E402" s="67" t="s">
        <v>1864</v>
      </c>
      <c r="F402" s="66">
        <v>5</v>
      </c>
      <c r="G402" s="66" t="s">
        <v>43</v>
      </c>
      <c r="H402" s="68">
        <v>45132</v>
      </c>
      <c r="I402" s="68" t="s">
        <v>73</v>
      </c>
      <c r="J402" s="68" t="s">
        <v>1222</v>
      </c>
      <c r="K402" s="66" t="s">
        <v>1346</v>
      </c>
      <c r="L402" s="66" t="s">
        <v>812</v>
      </c>
      <c r="M402" s="66" t="s">
        <v>1875</v>
      </c>
      <c r="N402" s="66" t="s">
        <v>1649</v>
      </c>
      <c r="O402" s="66" t="str">
        <f t="shared" ca="1" si="24"/>
        <v>SI</v>
      </c>
      <c r="P402" s="66" t="str">
        <f t="shared" si="25"/>
        <v>DIANOSOL</v>
      </c>
      <c r="Q402" s="66" t="s">
        <v>151</v>
      </c>
      <c r="R402" s="66" t="str">
        <f>VLOOKUP($Q402,Resultados!$A$1:$B$49,2,FALSE)</f>
        <v>Prisión Preventiva</v>
      </c>
      <c r="S402" s="73">
        <v>0.34027777777777773</v>
      </c>
      <c r="T402" s="75" t="str">
        <f t="shared" si="23"/>
        <v>NO</v>
      </c>
      <c r="U402" s="75"/>
      <c r="V402" s="66"/>
      <c r="W402" s="73">
        <v>0.34791666666666665</v>
      </c>
      <c r="X402" s="66"/>
      <c r="Y402" s="66"/>
      <c r="Z402" s="121" t="s">
        <v>770</v>
      </c>
      <c r="AA402" s="121" t="s">
        <v>1171</v>
      </c>
      <c r="AB402" s="121" t="s">
        <v>1174</v>
      </c>
      <c r="AC402" s="361"/>
    </row>
    <row r="403" spans="1:29" ht="153" outlineLevel="1" x14ac:dyDescent="0.2">
      <c r="A403" s="66">
        <v>401</v>
      </c>
      <c r="B403" s="68">
        <v>45125</v>
      </c>
      <c r="C403" s="73">
        <v>0.52708333333333335</v>
      </c>
      <c r="D403" s="66" t="s">
        <v>1872</v>
      </c>
      <c r="E403" s="67" t="s">
        <v>2019</v>
      </c>
      <c r="F403" s="66">
        <v>4</v>
      </c>
      <c r="G403" s="66" t="s">
        <v>1443</v>
      </c>
      <c r="H403" s="68">
        <v>45135</v>
      </c>
      <c r="I403" s="68" t="s">
        <v>1086</v>
      </c>
      <c r="J403" s="68" t="s">
        <v>1223</v>
      </c>
      <c r="K403" s="66" t="s">
        <v>1491</v>
      </c>
      <c r="L403" s="66" t="s">
        <v>813</v>
      </c>
      <c r="M403" s="66" t="s">
        <v>695</v>
      </c>
      <c r="N403" s="66" t="s">
        <v>2030</v>
      </c>
      <c r="O403" s="66" t="str">
        <f t="shared" ca="1" si="24"/>
        <v>SI</v>
      </c>
      <c r="P403" s="66" t="str">
        <f t="shared" si="25"/>
        <v>DIANOSOL</v>
      </c>
      <c r="Q403" s="66" t="s">
        <v>904</v>
      </c>
      <c r="R403" s="66" t="str">
        <f>VLOOKUP($Q403,Resultados!$A$1:$B$49,2,FALSE)</f>
        <v>Juicio Abreviado</v>
      </c>
      <c r="S403" s="66" t="s">
        <v>1609</v>
      </c>
      <c r="T403" s="75" t="str">
        <f t="shared" si="23"/>
        <v>NO</v>
      </c>
      <c r="U403" s="75"/>
      <c r="V403" s="66"/>
      <c r="W403" s="66" t="s">
        <v>1337</v>
      </c>
      <c r="X403" s="66" t="s">
        <v>1506</v>
      </c>
      <c r="Y403" s="66"/>
      <c r="Z403" s="121" t="s">
        <v>770</v>
      </c>
      <c r="AA403" s="121" t="s">
        <v>1169</v>
      </c>
      <c r="AB403" s="121" t="s">
        <v>1173</v>
      </c>
      <c r="AC403" s="361"/>
    </row>
    <row r="404" spans="1:29" ht="76.5" outlineLevel="1" x14ac:dyDescent="0.2">
      <c r="A404" s="66">
        <v>402</v>
      </c>
      <c r="B404" s="68">
        <v>45126</v>
      </c>
      <c r="C404" s="73">
        <v>0.33333333333333331</v>
      </c>
      <c r="D404" s="66" t="s">
        <v>1873</v>
      </c>
      <c r="E404" s="67" t="s">
        <v>1977</v>
      </c>
      <c r="F404" s="66">
        <v>5</v>
      </c>
      <c r="G404" s="66" t="s">
        <v>1443</v>
      </c>
      <c r="H404" s="68">
        <v>45133</v>
      </c>
      <c r="I404" s="68" t="s">
        <v>1086</v>
      </c>
      <c r="J404" s="68" t="s">
        <v>31</v>
      </c>
      <c r="K404" s="66" t="s">
        <v>1925</v>
      </c>
      <c r="L404" s="66" t="s">
        <v>789</v>
      </c>
      <c r="M404" s="66" t="s">
        <v>1875</v>
      </c>
      <c r="N404" s="66" t="s">
        <v>1981</v>
      </c>
      <c r="O404" s="66" t="str">
        <f t="shared" ca="1" si="24"/>
        <v>SI</v>
      </c>
      <c r="P404" s="66" t="str">
        <f t="shared" si="25"/>
        <v>DIANOSOL</v>
      </c>
      <c r="Q404" s="66" t="s">
        <v>905</v>
      </c>
      <c r="R404" s="66" t="str">
        <f>VLOOKUP($Q404,Resultados!$A$1:$B$49,2,FALSE)</f>
        <v>Juicio Abreviado</v>
      </c>
      <c r="S404" s="73">
        <v>0.39444444444444443</v>
      </c>
      <c r="T404" s="75" t="str">
        <f t="shared" si="23"/>
        <v>NO</v>
      </c>
      <c r="U404" s="75"/>
      <c r="V404" s="66"/>
      <c r="W404" s="73">
        <v>0.40972222222222227</v>
      </c>
      <c r="X404" s="66" t="s">
        <v>1982</v>
      </c>
      <c r="Y404" s="66"/>
      <c r="Z404" s="121" t="s">
        <v>748</v>
      </c>
      <c r="AA404" s="121" t="s">
        <v>1171</v>
      </c>
      <c r="AB404" s="121" t="s">
        <v>1175</v>
      </c>
      <c r="AC404" s="361"/>
    </row>
    <row r="405" spans="1:29" ht="76.5" x14ac:dyDescent="0.2">
      <c r="A405" s="66">
        <v>403</v>
      </c>
      <c r="B405" s="68">
        <v>45126</v>
      </c>
      <c r="C405" s="73">
        <v>0.50555555555555554</v>
      </c>
      <c r="D405" s="66" t="s">
        <v>1880</v>
      </c>
      <c r="E405" s="67" t="s">
        <v>1884</v>
      </c>
      <c r="F405" s="66">
        <v>5</v>
      </c>
      <c r="G405" s="66" t="s">
        <v>568</v>
      </c>
      <c r="H405" s="68">
        <v>45133</v>
      </c>
      <c r="I405" s="68" t="s">
        <v>73</v>
      </c>
      <c r="J405" s="68" t="s">
        <v>78</v>
      </c>
      <c r="K405" s="66">
        <f>IFERROR(VLOOKUP(J405,Jueces!$A$1:$B$11,2,FALSE),"")</f>
        <v>8</v>
      </c>
      <c r="L405" s="66" t="s">
        <v>800</v>
      </c>
      <c r="M405" s="66" t="s">
        <v>1875</v>
      </c>
      <c r="N405" s="66" t="s">
        <v>1968</v>
      </c>
      <c r="O405" s="66" t="str">
        <f t="shared" ca="1" si="24"/>
        <v>SI</v>
      </c>
      <c r="P405" s="66" t="str">
        <f t="shared" si="25"/>
        <v>DIANOSOL</v>
      </c>
      <c r="Q405" s="66" t="s">
        <v>151</v>
      </c>
      <c r="R405" s="66" t="str">
        <f>VLOOKUP($Q405,Resultados!$A$1:$B$49,2,FALSE)</f>
        <v>Prisión Preventiva</v>
      </c>
      <c r="S405" s="66" t="s">
        <v>1297</v>
      </c>
      <c r="T405" s="75" t="str">
        <f t="shared" si="23"/>
        <v>NO</v>
      </c>
      <c r="U405" s="75"/>
      <c r="V405" s="66"/>
      <c r="W405" s="73">
        <v>0.3833333333333333</v>
      </c>
      <c r="X405" s="66" t="s">
        <v>1506</v>
      </c>
      <c r="Y405" s="66"/>
      <c r="Z405" s="121" t="s">
        <v>1041</v>
      </c>
      <c r="AA405" s="121" t="s">
        <v>1171</v>
      </c>
      <c r="AB405" s="121" t="s">
        <v>1174</v>
      </c>
      <c r="AC405" s="361"/>
    </row>
    <row r="406" spans="1:29" ht="39.950000000000003" customHeight="1" x14ac:dyDescent="0.2">
      <c r="A406" s="66">
        <v>408</v>
      </c>
      <c r="B406" s="68">
        <v>45126</v>
      </c>
      <c r="C406" s="66" t="s">
        <v>1639</v>
      </c>
      <c r="D406" s="66" t="s">
        <v>1887</v>
      </c>
      <c r="E406" s="67" t="s">
        <v>1888</v>
      </c>
      <c r="F406" s="66">
        <v>4</v>
      </c>
      <c r="G406" s="66" t="s">
        <v>1441</v>
      </c>
      <c r="H406" s="68">
        <v>45133</v>
      </c>
      <c r="I406" s="68" t="s">
        <v>1210</v>
      </c>
      <c r="J406" s="68" t="s">
        <v>1221</v>
      </c>
      <c r="K406" s="66">
        <f>IFERROR(VLOOKUP(J406,Jueces!$A$1:$B$11,2,FALSE),"")</f>
        <v>7</v>
      </c>
      <c r="L406" s="66" t="s">
        <v>801</v>
      </c>
      <c r="M406" s="66" t="s">
        <v>695</v>
      </c>
      <c r="N406" s="66" t="s">
        <v>1983</v>
      </c>
      <c r="O406" s="66" t="str">
        <f t="shared" ca="1" si="24"/>
        <v>SI</v>
      </c>
      <c r="P406" s="66" t="str">
        <f t="shared" si="25"/>
        <v>DIANOSOL</v>
      </c>
      <c r="Q406" s="66" t="s">
        <v>899</v>
      </c>
      <c r="R406" s="66" t="str">
        <f>VLOOKUP($Q406,Resultados!$A$1:$B$49,2,FALSE)</f>
        <v>Libertad</v>
      </c>
      <c r="S406" s="73">
        <v>0.4368055555555555</v>
      </c>
      <c r="T406" s="75" t="str">
        <f t="shared" si="23"/>
        <v>NO</v>
      </c>
      <c r="U406" s="75"/>
      <c r="V406" s="66"/>
      <c r="W406" s="73">
        <v>0.46180555555555558</v>
      </c>
      <c r="X406" s="382" t="s">
        <v>1984</v>
      </c>
      <c r="Y406" s="66"/>
      <c r="Z406" s="121" t="s">
        <v>743</v>
      </c>
      <c r="AA406" s="121" t="s">
        <v>743</v>
      </c>
      <c r="AB406" s="121" t="s">
        <v>1177</v>
      </c>
      <c r="AC406" s="361"/>
    </row>
    <row r="407" spans="1:29" ht="39.950000000000003" customHeight="1" x14ac:dyDescent="0.2">
      <c r="A407" s="66">
        <v>405</v>
      </c>
      <c r="B407" s="68">
        <v>45126</v>
      </c>
      <c r="C407" s="73">
        <v>0.53333333333333333</v>
      </c>
      <c r="D407" s="66" t="s">
        <v>1882</v>
      </c>
      <c r="E407" s="67" t="s">
        <v>2015</v>
      </c>
      <c r="F407" s="66">
        <v>4</v>
      </c>
      <c r="G407" s="66" t="s">
        <v>1441</v>
      </c>
      <c r="H407" s="68">
        <v>45134</v>
      </c>
      <c r="I407" s="68" t="s">
        <v>73</v>
      </c>
      <c r="J407" s="68" t="s">
        <v>31</v>
      </c>
      <c r="K407" s="66">
        <f>IFERROR(VLOOKUP(J407,Jueces!$A$1:$B$11,2,FALSE),"")</f>
        <v>2</v>
      </c>
      <c r="L407" s="66" t="s">
        <v>789</v>
      </c>
      <c r="M407" s="66" t="s">
        <v>695</v>
      </c>
      <c r="N407" s="66" t="s">
        <v>1999</v>
      </c>
      <c r="O407" s="66" t="str">
        <f t="shared" ca="1" si="24"/>
        <v>SI</v>
      </c>
      <c r="P407" s="66" t="str">
        <f t="shared" si="25"/>
        <v>DIANOSOL</v>
      </c>
      <c r="Q407" s="66" t="s">
        <v>904</v>
      </c>
      <c r="R407" s="66" t="str">
        <f>VLOOKUP($Q407,Resultados!$A$1:$B$49,2,FALSE)</f>
        <v>Juicio Abreviado</v>
      </c>
      <c r="S407" s="73">
        <v>0.3743055555555555</v>
      </c>
      <c r="T407" s="75" t="str">
        <f t="shared" si="23"/>
        <v>NO</v>
      </c>
      <c r="U407" s="75"/>
      <c r="V407" s="66"/>
      <c r="W407" s="73">
        <v>0.38125000000000003</v>
      </c>
      <c r="X407" s="66"/>
      <c r="Y407" s="66"/>
      <c r="Z407" s="121" t="s">
        <v>748</v>
      </c>
      <c r="AA407" s="121" t="s">
        <v>1171</v>
      </c>
      <c r="AB407" s="121" t="s">
        <v>1175</v>
      </c>
      <c r="AC407" s="361"/>
    </row>
    <row r="408" spans="1:29" ht="39.950000000000003" customHeight="1" x14ac:dyDescent="0.2">
      <c r="A408" s="66">
        <v>406</v>
      </c>
      <c r="B408" s="68">
        <v>45126</v>
      </c>
      <c r="C408" s="73">
        <v>0.42569444444444443</v>
      </c>
      <c r="D408" s="66" t="s">
        <v>1883</v>
      </c>
      <c r="E408" s="67" t="s">
        <v>2012</v>
      </c>
      <c r="F408" s="66">
        <v>5</v>
      </c>
      <c r="G408" s="66" t="s">
        <v>1442</v>
      </c>
      <c r="H408" s="68">
        <v>45134</v>
      </c>
      <c r="I408" s="68" t="s">
        <v>73</v>
      </c>
      <c r="J408" s="68" t="s">
        <v>35</v>
      </c>
      <c r="K408" s="66">
        <f>IFERROR(VLOOKUP(J408,Jueces!$A$1:$B$11,2,FALSE),"")</f>
        <v>3</v>
      </c>
      <c r="L408" s="66" t="s">
        <v>812</v>
      </c>
      <c r="M408" s="66" t="s">
        <v>1875</v>
      </c>
      <c r="N408" s="66" t="s">
        <v>621</v>
      </c>
      <c r="O408" s="66" t="str">
        <f t="shared" ca="1" si="24"/>
        <v>SI</v>
      </c>
      <c r="P408" s="66" t="str">
        <f t="shared" si="25"/>
        <v>DIANOSOL</v>
      </c>
      <c r="Q408" s="66" t="s">
        <v>151</v>
      </c>
      <c r="R408" s="66" t="str">
        <f>VLOOKUP($Q408,Resultados!$A$1:$B$49,2,FALSE)</f>
        <v>Prisión Preventiva</v>
      </c>
      <c r="S408" s="73">
        <v>0.34861111111111115</v>
      </c>
      <c r="T408" s="75" t="str">
        <f t="shared" si="23"/>
        <v>SI</v>
      </c>
      <c r="U408" s="75"/>
      <c r="V408" s="66"/>
      <c r="W408" s="73">
        <v>0.3611111111111111</v>
      </c>
      <c r="X408" s="66"/>
      <c r="Y408" s="66"/>
      <c r="Z408" s="121" t="s">
        <v>743</v>
      </c>
      <c r="AA408" s="121" t="s">
        <v>743</v>
      </c>
      <c r="AB408" s="121" t="s">
        <v>1177</v>
      </c>
      <c r="AC408" s="361"/>
    </row>
    <row r="409" spans="1:29" ht="63.75" x14ac:dyDescent="0.2">
      <c r="A409" s="66">
        <v>407</v>
      </c>
      <c r="B409" s="68">
        <v>45126</v>
      </c>
      <c r="C409" s="73">
        <v>0.50347222222222221</v>
      </c>
      <c r="D409" s="66" t="s">
        <v>1885</v>
      </c>
      <c r="E409" s="67" t="s">
        <v>2013</v>
      </c>
      <c r="F409" s="66">
        <v>7</v>
      </c>
      <c r="G409" s="66" t="s">
        <v>32</v>
      </c>
      <c r="H409" s="68">
        <v>45134</v>
      </c>
      <c r="I409" s="68" t="s">
        <v>73</v>
      </c>
      <c r="J409" s="68" t="s">
        <v>33</v>
      </c>
      <c r="K409" s="66">
        <f>IFERROR(VLOOKUP(J409,Jueces!$A$1:$B$11,2,FALSE),"")</f>
        <v>4</v>
      </c>
      <c r="L409" s="66" t="s">
        <v>813</v>
      </c>
      <c r="M409" s="66" t="s">
        <v>1886</v>
      </c>
      <c r="N409" s="66" t="s">
        <v>1753</v>
      </c>
      <c r="O409" s="66" t="str">
        <f t="shared" ca="1" si="24"/>
        <v>SI</v>
      </c>
      <c r="P409" s="66" t="str">
        <f t="shared" si="25"/>
        <v>DIANOSOL</v>
      </c>
      <c r="Q409" s="66" t="s">
        <v>151</v>
      </c>
      <c r="R409" s="66" t="str">
        <f>VLOOKUP($Q409,Resultados!$A$1:$B$49,2,FALSE)</f>
        <v>Prisión Preventiva</v>
      </c>
      <c r="S409" s="73">
        <v>0.38194444444444442</v>
      </c>
      <c r="T409" s="75" t="str">
        <f t="shared" si="23"/>
        <v>NO</v>
      </c>
      <c r="U409" s="75"/>
      <c r="V409" s="66"/>
      <c r="W409" s="73">
        <v>0.40763888888888888</v>
      </c>
      <c r="X409" s="382"/>
      <c r="Y409" s="66"/>
      <c r="Z409" s="121" t="s">
        <v>770</v>
      </c>
      <c r="AA409" s="121" t="s">
        <v>1169</v>
      </c>
      <c r="AB409" s="121" t="s">
        <v>1176</v>
      </c>
      <c r="AC409" s="361"/>
    </row>
    <row r="410" spans="1:29" ht="38.25" x14ac:dyDescent="0.2">
      <c r="A410" s="66">
        <v>416</v>
      </c>
      <c r="B410" s="68">
        <v>45128</v>
      </c>
      <c r="C410" s="73">
        <v>0.33333333333333331</v>
      </c>
      <c r="D410" s="66" t="s">
        <v>1929</v>
      </c>
      <c r="E410" s="67" t="s">
        <v>2014</v>
      </c>
      <c r="F410" s="66">
        <v>4</v>
      </c>
      <c r="G410" s="66" t="s">
        <v>29</v>
      </c>
      <c r="H410" s="68">
        <v>45134</v>
      </c>
      <c r="I410" s="68" t="s">
        <v>1086</v>
      </c>
      <c r="J410" s="68" t="s">
        <v>1223</v>
      </c>
      <c r="K410" s="66" t="s">
        <v>1925</v>
      </c>
      <c r="L410" s="66" t="s">
        <v>2001</v>
      </c>
      <c r="M410" s="66" t="s">
        <v>2000</v>
      </c>
      <c r="N410" s="66" t="s">
        <v>621</v>
      </c>
      <c r="O410" s="66" t="str">
        <f t="shared" ca="1" si="24"/>
        <v>SI</v>
      </c>
      <c r="P410" s="66" t="str">
        <f t="shared" si="25"/>
        <v>DIANOSOL</v>
      </c>
      <c r="Q410" s="66" t="s">
        <v>151</v>
      </c>
      <c r="R410" s="66" t="str">
        <f>VLOOKUP($Q410,Resultados!$A$1:$B$49,2,FALSE)</f>
        <v>Prisión Preventiva</v>
      </c>
      <c r="S410" s="73">
        <v>0.39583333333333331</v>
      </c>
      <c r="T410" s="75" t="str">
        <f t="shared" si="23"/>
        <v>NO</v>
      </c>
      <c r="U410" s="75"/>
      <c r="V410" s="66"/>
      <c r="W410" s="73">
        <v>0.42777777777777781</v>
      </c>
      <c r="X410" s="66"/>
      <c r="Y410" s="66"/>
      <c r="Z410" s="121" t="s">
        <v>1041</v>
      </c>
      <c r="AA410" s="121" t="s">
        <v>1169</v>
      </c>
      <c r="AB410" s="121" t="s">
        <v>1174</v>
      </c>
      <c r="AC410" s="361"/>
    </row>
    <row r="411" spans="1:29" ht="39.950000000000003" customHeight="1" x14ac:dyDescent="0.2">
      <c r="A411" s="66">
        <v>404</v>
      </c>
      <c r="B411" s="68">
        <v>45126</v>
      </c>
      <c r="C411" s="73">
        <v>0.52638888888888891</v>
      </c>
      <c r="D411" s="66" t="s">
        <v>1881</v>
      </c>
      <c r="E411" s="67" t="s">
        <v>2017</v>
      </c>
      <c r="F411" s="66">
        <v>2</v>
      </c>
      <c r="G411" s="66" t="s">
        <v>283</v>
      </c>
      <c r="H411" s="68">
        <v>45135</v>
      </c>
      <c r="I411" s="68" t="s">
        <v>73</v>
      </c>
      <c r="J411" s="68" t="s">
        <v>31</v>
      </c>
      <c r="K411" s="66">
        <f>IFERROR(VLOOKUP(J411,Jueces!$A$1:$B$11,2,FALSE),"")</f>
        <v>2</v>
      </c>
      <c r="L411" s="66" t="s">
        <v>813</v>
      </c>
      <c r="M411" s="66" t="s">
        <v>1838</v>
      </c>
      <c r="N411" s="66" t="s">
        <v>577</v>
      </c>
      <c r="O411" s="66" t="str">
        <f t="shared" ca="1" si="24"/>
        <v>SI</v>
      </c>
      <c r="P411" s="66" t="str">
        <f t="shared" si="25"/>
        <v>DIANOSOL</v>
      </c>
      <c r="Q411" s="66" t="s">
        <v>151</v>
      </c>
      <c r="R411" s="66" t="str">
        <f>VLOOKUP($Q411,Resultados!$A$1:$B$49,2,FALSE)</f>
        <v>Prisión Preventiva</v>
      </c>
      <c r="S411" s="73">
        <v>0.35902777777777778</v>
      </c>
      <c r="T411" s="75" t="str">
        <f t="shared" si="23"/>
        <v>NO</v>
      </c>
      <c r="U411" s="75"/>
      <c r="V411" s="66"/>
      <c r="W411" s="73">
        <v>0.37083333333333335</v>
      </c>
      <c r="X411" s="66" t="s">
        <v>2025</v>
      </c>
      <c r="Y411" s="66"/>
      <c r="Z411" s="121" t="s">
        <v>748</v>
      </c>
      <c r="AA411" s="121" t="s">
        <v>743</v>
      </c>
      <c r="AB411" s="121" t="s">
        <v>1175</v>
      </c>
      <c r="AC411" s="361"/>
    </row>
    <row r="412" spans="1:29" ht="39.950000000000003" customHeight="1" x14ac:dyDescent="0.2">
      <c r="A412" s="66">
        <v>414</v>
      </c>
      <c r="B412" s="68">
        <v>45128</v>
      </c>
      <c r="C412" s="73">
        <v>0.4465277777777778</v>
      </c>
      <c r="D412" s="66" t="s">
        <v>1927</v>
      </c>
      <c r="E412" s="67" t="s">
        <v>2018</v>
      </c>
      <c r="F412" s="66">
        <v>5</v>
      </c>
      <c r="G412" s="66" t="s">
        <v>43</v>
      </c>
      <c r="H412" s="68">
        <v>45135</v>
      </c>
      <c r="I412" s="68" t="s">
        <v>73</v>
      </c>
      <c r="J412" s="68" t="s">
        <v>1225</v>
      </c>
      <c r="K412" s="66">
        <f>IFERROR(VLOOKUP(J412,Jueces!$A$1:$B$11,2,FALSE),"")</f>
        <v>6</v>
      </c>
      <c r="L412" s="66" t="s">
        <v>789</v>
      </c>
      <c r="M412" s="66" t="s">
        <v>1875</v>
      </c>
      <c r="N412" s="66" t="s">
        <v>899</v>
      </c>
      <c r="O412" s="66" t="str">
        <f t="shared" ca="1" si="24"/>
        <v>SI</v>
      </c>
      <c r="P412" s="66" t="str">
        <f t="shared" si="25"/>
        <v>DIANOSOL</v>
      </c>
      <c r="Q412" s="66" t="s">
        <v>899</v>
      </c>
      <c r="R412" s="66" t="str">
        <f>VLOOKUP($Q412,Resultados!$A$1:$B$49,2,FALSE)</f>
        <v>Libertad</v>
      </c>
      <c r="S412" s="73">
        <v>0.3354166666666667</v>
      </c>
      <c r="T412" s="75" t="str">
        <f t="shared" si="23"/>
        <v>NO</v>
      </c>
      <c r="U412" s="75"/>
      <c r="V412" s="66"/>
      <c r="W412" s="73">
        <v>0.37986111111111115</v>
      </c>
      <c r="X412" s="66"/>
      <c r="Y412" s="66"/>
      <c r="Z412" s="121" t="s">
        <v>743</v>
      </c>
      <c r="AA412" s="121" t="s">
        <v>1169</v>
      </c>
      <c r="AB412" s="121" t="s">
        <v>1177</v>
      </c>
      <c r="AC412" s="361"/>
    </row>
    <row r="413" spans="1:29" ht="38.25" x14ac:dyDescent="0.2">
      <c r="A413" s="66">
        <v>410</v>
      </c>
      <c r="B413" s="68">
        <v>45127</v>
      </c>
      <c r="C413" s="73">
        <v>0.54166666666666663</v>
      </c>
      <c r="D413" s="66" t="s">
        <v>1906</v>
      </c>
      <c r="E413" s="67" t="s">
        <v>2073</v>
      </c>
      <c r="F413" s="66">
        <v>4</v>
      </c>
      <c r="G413" s="66" t="s">
        <v>1442</v>
      </c>
      <c r="H413" s="68">
        <v>45135</v>
      </c>
      <c r="I413" s="68" t="s">
        <v>1086</v>
      </c>
      <c r="J413" s="68" t="s">
        <v>1220</v>
      </c>
      <c r="K413" s="66" t="s">
        <v>1925</v>
      </c>
      <c r="L413" s="66" t="s">
        <v>812</v>
      </c>
      <c r="M413" s="66" t="s">
        <v>2022</v>
      </c>
      <c r="N413" s="66" t="s">
        <v>2023</v>
      </c>
      <c r="O413" s="66" t="str">
        <f t="shared" ca="1" si="24"/>
        <v>SI</v>
      </c>
      <c r="P413" s="66" t="str">
        <f t="shared" si="25"/>
        <v>DIANOSOL</v>
      </c>
      <c r="Q413" s="66" t="s">
        <v>1512</v>
      </c>
      <c r="R413" s="66" t="str">
        <f>VLOOKUP($Q413,Resultados!$A$1:$B$49,2,FALSE)</f>
        <v>Juicio Abreviado</v>
      </c>
      <c r="S413" s="73">
        <v>0.38125000000000003</v>
      </c>
      <c r="T413" s="75" t="str">
        <f t="shared" si="23"/>
        <v>SI</v>
      </c>
      <c r="U413" s="75"/>
      <c r="V413" s="66"/>
      <c r="W413" s="73">
        <v>0.3923611111111111</v>
      </c>
      <c r="X413" s="66" t="s">
        <v>2024</v>
      </c>
      <c r="Y413" s="66"/>
      <c r="Z413" s="121" t="s">
        <v>1041</v>
      </c>
      <c r="AA413" s="121" t="s">
        <v>743</v>
      </c>
      <c r="AB413" s="121" t="s">
        <v>1174</v>
      </c>
      <c r="AC413" s="361"/>
    </row>
    <row r="414" spans="1:29" ht="89.25" x14ac:dyDescent="0.2">
      <c r="A414" s="66">
        <v>412</v>
      </c>
      <c r="B414" s="68">
        <v>45127</v>
      </c>
      <c r="C414" s="73">
        <v>0.47500000000000003</v>
      </c>
      <c r="D414" s="66" t="s">
        <v>1908</v>
      </c>
      <c r="E414" s="67" t="s">
        <v>2072</v>
      </c>
      <c r="F414" s="66">
        <v>3</v>
      </c>
      <c r="G414" s="66" t="s">
        <v>568</v>
      </c>
      <c r="H414" s="68">
        <v>45135</v>
      </c>
      <c r="I414" s="68" t="s">
        <v>1086</v>
      </c>
      <c r="J414" s="68" t="s">
        <v>1221</v>
      </c>
      <c r="K414" s="66">
        <f>IFERROR(VLOOKUP(J414,Jueces!$A$1:$B$11,2,FALSE),"")</f>
        <v>7</v>
      </c>
      <c r="L414" s="66" t="s">
        <v>508</v>
      </c>
      <c r="M414" s="66" t="s">
        <v>1838</v>
      </c>
      <c r="N414" s="66" t="s">
        <v>577</v>
      </c>
      <c r="O414" s="66" t="str">
        <f t="shared" ca="1" si="24"/>
        <v>SI</v>
      </c>
      <c r="P414" s="66" t="str">
        <f t="shared" si="25"/>
        <v>DIANOSOL</v>
      </c>
      <c r="Q414" s="66" t="s">
        <v>151</v>
      </c>
      <c r="R414" s="66" t="str">
        <f>VLOOKUP($Q414,Resultados!$A$1:$B$49,2,FALSE)</f>
        <v>Prisión Preventiva</v>
      </c>
      <c r="S414" s="73">
        <v>0.39583333333333331</v>
      </c>
      <c r="T414" s="75" t="str">
        <f t="shared" si="23"/>
        <v>NO</v>
      </c>
      <c r="U414" s="75"/>
      <c r="V414" s="66"/>
      <c r="W414" s="73">
        <v>0.40833333333333338</v>
      </c>
      <c r="X414" s="66"/>
      <c r="Y414" s="66"/>
      <c r="Z414" s="121" t="s">
        <v>1042</v>
      </c>
      <c r="AA414" s="121" t="s">
        <v>1171</v>
      </c>
      <c r="AB414" s="121" t="s">
        <v>1176</v>
      </c>
      <c r="AC414" s="361"/>
    </row>
    <row r="415" spans="1:29" ht="51" x14ac:dyDescent="0.2">
      <c r="A415" s="66">
        <v>411</v>
      </c>
      <c r="B415" s="68">
        <v>45127</v>
      </c>
      <c r="C415" s="73">
        <v>0.52916666666666667</v>
      </c>
      <c r="D415" s="66" t="s">
        <v>1907</v>
      </c>
      <c r="E415" s="67" t="s">
        <v>1930</v>
      </c>
      <c r="F415" s="66">
        <v>5</v>
      </c>
      <c r="G415" s="66" t="s">
        <v>283</v>
      </c>
      <c r="H415" s="68">
        <v>45138</v>
      </c>
      <c r="I415" s="68" t="s">
        <v>73</v>
      </c>
      <c r="J415" s="68" t="s">
        <v>35</v>
      </c>
      <c r="K415" s="66">
        <f>IFERROR(VLOOKUP(J415,Jueces!$A$1:$B$11,2,FALSE),"")</f>
        <v>3</v>
      </c>
      <c r="L415" s="66" t="s">
        <v>809</v>
      </c>
      <c r="M415" s="66" t="s">
        <v>1875</v>
      </c>
      <c r="N415" s="66" t="s">
        <v>2063</v>
      </c>
      <c r="O415" s="66" t="str">
        <f t="shared" ca="1" si="24"/>
        <v>SI</v>
      </c>
      <c r="P415" s="66" t="str">
        <f t="shared" si="25"/>
        <v>DIANOSOL</v>
      </c>
      <c r="Q415" s="66" t="s">
        <v>904</v>
      </c>
      <c r="R415" s="66" t="str">
        <f>VLOOKUP($Q415,Resultados!$A$1:$B$49,2,FALSE)</f>
        <v>Juicio Abreviado</v>
      </c>
      <c r="S415" s="66" t="s">
        <v>686</v>
      </c>
      <c r="T415" s="75" t="str">
        <f t="shared" si="23"/>
        <v>NO</v>
      </c>
      <c r="U415" s="75"/>
      <c r="V415" s="66"/>
      <c r="W415" s="66" t="s">
        <v>1292</v>
      </c>
      <c r="X415" s="173" t="s">
        <v>2064</v>
      </c>
      <c r="Y415" s="66"/>
      <c r="Z415" s="121" t="s">
        <v>1041</v>
      </c>
      <c r="AA415" s="121" t="s">
        <v>1171</v>
      </c>
      <c r="AB415" s="121" t="s">
        <v>1174</v>
      </c>
      <c r="AC415" s="361"/>
    </row>
    <row r="416" spans="1:29" ht="51" x14ac:dyDescent="0.2">
      <c r="A416" s="66">
        <v>415</v>
      </c>
      <c r="B416" s="68">
        <v>45128</v>
      </c>
      <c r="C416" s="73">
        <v>0.33333333333333331</v>
      </c>
      <c r="D416" s="66" t="s">
        <v>1928</v>
      </c>
      <c r="E416" s="67" t="s">
        <v>2074</v>
      </c>
      <c r="F416" s="66">
        <v>4</v>
      </c>
      <c r="G416" s="66" t="s">
        <v>29</v>
      </c>
      <c r="H416" s="68">
        <v>45138</v>
      </c>
      <c r="I416" s="68" t="s">
        <v>73</v>
      </c>
      <c r="J416" s="68" t="s">
        <v>78</v>
      </c>
      <c r="K416" s="66">
        <f>IFERROR(VLOOKUP(J416,Jueces!$A$1:$B$11,2,FALSE),"")</f>
        <v>8</v>
      </c>
      <c r="L416" s="66" t="s">
        <v>793</v>
      </c>
      <c r="M416" s="66" t="s">
        <v>1838</v>
      </c>
      <c r="N416" s="66" t="s">
        <v>2061</v>
      </c>
      <c r="O416" s="66" t="str">
        <f t="shared" ca="1" si="24"/>
        <v>SI</v>
      </c>
      <c r="P416" s="66" t="str">
        <f t="shared" si="25"/>
        <v>DIANOSOL</v>
      </c>
      <c r="Q416" s="66" t="s">
        <v>905</v>
      </c>
      <c r="R416" s="66" t="str">
        <f>VLOOKUP($Q416,Resultados!$A$1:$B$49,2,FALSE)</f>
        <v>Juicio Abreviado</v>
      </c>
      <c r="S416" s="66" t="s">
        <v>2060</v>
      </c>
      <c r="T416" s="75" t="str">
        <f t="shared" si="23"/>
        <v>NO</v>
      </c>
      <c r="U416" s="75"/>
      <c r="V416" s="66"/>
      <c r="W416" s="66" t="s">
        <v>1279</v>
      </c>
      <c r="X416" s="66"/>
      <c r="Y416" s="66"/>
      <c r="Z416" s="121" t="s">
        <v>1042</v>
      </c>
      <c r="AA416" s="121" t="s">
        <v>1169</v>
      </c>
      <c r="AB416" s="121" t="s">
        <v>1176</v>
      </c>
      <c r="AC416" s="361"/>
    </row>
    <row r="417" spans="1:29" ht="51" x14ac:dyDescent="0.2">
      <c r="A417" s="66">
        <v>409</v>
      </c>
      <c r="B417" s="68">
        <v>45127</v>
      </c>
      <c r="C417" s="73">
        <v>0.4604166666666667</v>
      </c>
      <c r="D417" s="66" t="s">
        <v>1909</v>
      </c>
      <c r="E417" s="67" t="s">
        <v>1905</v>
      </c>
      <c r="F417" s="66">
        <v>2</v>
      </c>
      <c r="G417" s="66" t="s">
        <v>43</v>
      </c>
      <c r="H417" s="68">
        <v>45138</v>
      </c>
      <c r="I417" s="68" t="s">
        <v>1086</v>
      </c>
      <c r="J417" s="68" t="s">
        <v>1221</v>
      </c>
      <c r="K417" s="66">
        <f>IFERROR(VLOOKUP(J417,Jueces!$A$1:$B$11,2,FALSE),"")</f>
        <v>7</v>
      </c>
      <c r="L417" s="66" t="s">
        <v>801</v>
      </c>
      <c r="M417" s="197" t="s">
        <v>695</v>
      </c>
      <c r="N417" s="66" t="s">
        <v>1753</v>
      </c>
      <c r="O417" s="66" t="str">
        <f t="shared" ca="1" si="24"/>
        <v>SI</v>
      </c>
      <c r="P417" s="66" t="str">
        <f t="shared" si="25"/>
        <v>DIANOSOL</v>
      </c>
      <c r="Q417" s="66" t="s">
        <v>151</v>
      </c>
      <c r="R417" s="66" t="str">
        <f>VLOOKUP($Q417,Resultados!$A$1:$B$49,2,FALSE)</f>
        <v>Prisión Preventiva</v>
      </c>
      <c r="S417" s="73">
        <v>0.42499999999999999</v>
      </c>
      <c r="T417" s="75" t="str">
        <f t="shared" si="23"/>
        <v>NO</v>
      </c>
      <c r="U417" s="75"/>
      <c r="V417" s="66"/>
      <c r="W417" s="73">
        <v>0.48125000000000001</v>
      </c>
      <c r="X417" s="66"/>
      <c r="Y417" s="66"/>
      <c r="Z417" s="121" t="s">
        <v>748</v>
      </c>
      <c r="AA417" s="121" t="s">
        <v>1169</v>
      </c>
      <c r="AB417" s="121" t="s">
        <v>1175</v>
      </c>
      <c r="AC417" s="361"/>
    </row>
    <row r="418" spans="1:29" ht="39.950000000000003" customHeight="1" x14ac:dyDescent="0.2">
      <c r="A418" s="66">
        <v>419</v>
      </c>
      <c r="B418" s="68">
        <v>45131</v>
      </c>
      <c r="C418" s="73">
        <v>0.51736111111111105</v>
      </c>
      <c r="D418" s="66" t="s">
        <v>1936</v>
      </c>
      <c r="E418" s="67" t="s">
        <v>1937</v>
      </c>
      <c r="F418" s="66">
        <v>5</v>
      </c>
      <c r="G418" s="66" t="s">
        <v>1442</v>
      </c>
      <c r="H418" s="68">
        <v>45138</v>
      </c>
      <c r="I418" s="68" t="s">
        <v>1086</v>
      </c>
      <c r="J418" s="68" t="s">
        <v>1224</v>
      </c>
      <c r="K418" s="66" t="s">
        <v>1326</v>
      </c>
      <c r="L418" s="66" t="s">
        <v>791</v>
      </c>
      <c r="M418" s="66" t="s">
        <v>1875</v>
      </c>
      <c r="N418" s="66" t="s">
        <v>2041</v>
      </c>
      <c r="O418" s="66" t="str">
        <f t="shared" ca="1" si="24"/>
        <v>SI</v>
      </c>
      <c r="P418" s="66" t="str">
        <f t="shared" si="25"/>
        <v>DIANOSOL</v>
      </c>
      <c r="Q418" s="66" t="s">
        <v>904</v>
      </c>
      <c r="R418" s="66" t="str">
        <f>VLOOKUP($Q418,Resultados!$A$1:$B$49,2,FALSE)</f>
        <v>Juicio Abreviado</v>
      </c>
      <c r="S418" s="66" t="s">
        <v>1135</v>
      </c>
      <c r="T418" s="75" t="str">
        <f t="shared" si="23"/>
        <v>SI</v>
      </c>
      <c r="U418" s="75"/>
      <c r="V418" s="66"/>
      <c r="W418" s="66" t="s">
        <v>1747</v>
      </c>
      <c r="X418" s="66"/>
      <c r="Y418" s="66"/>
      <c r="Z418" s="121" t="s">
        <v>743</v>
      </c>
      <c r="AA418" s="121" t="s">
        <v>1171</v>
      </c>
      <c r="AB418" s="121" t="s">
        <v>1177</v>
      </c>
      <c r="AC418" s="361"/>
    </row>
    <row r="419" spans="1:29" ht="39.950000000000003" customHeight="1" x14ac:dyDescent="0.2">
      <c r="A419" s="66">
        <v>420</v>
      </c>
      <c r="B419" s="68">
        <v>45131</v>
      </c>
      <c r="C419" s="73">
        <v>0.53402777777777777</v>
      </c>
      <c r="D419" s="66" t="s">
        <v>1940</v>
      </c>
      <c r="E419" s="67" t="s">
        <v>2071</v>
      </c>
      <c r="F419" s="66">
        <v>4</v>
      </c>
      <c r="G419" s="66" t="s">
        <v>568</v>
      </c>
      <c r="H419" s="68">
        <v>45138</v>
      </c>
      <c r="I419" s="68" t="s">
        <v>1086</v>
      </c>
      <c r="J419" s="68" t="s">
        <v>35</v>
      </c>
      <c r="K419" s="66" t="s">
        <v>1520</v>
      </c>
      <c r="L419" s="66" t="s">
        <v>793</v>
      </c>
      <c r="M419" s="66" t="s">
        <v>1838</v>
      </c>
      <c r="N419" s="66" t="s">
        <v>2058</v>
      </c>
      <c r="O419" s="66" t="str">
        <f t="shared" ca="1" si="24"/>
        <v>SI</v>
      </c>
      <c r="P419" s="66" t="str">
        <f t="shared" si="25"/>
        <v>DIANOSOL</v>
      </c>
      <c r="Q419" s="66" t="s">
        <v>899</v>
      </c>
      <c r="R419" s="66" t="str">
        <f>VLOOKUP($Q419,Resultados!$A$1:$B$49,2,FALSE)</f>
        <v>Libertad</v>
      </c>
      <c r="S419" s="66" t="s">
        <v>1243</v>
      </c>
      <c r="T419" s="75" t="str">
        <f t="shared" si="23"/>
        <v>NO</v>
      </c>
      <c r="U419" s="75"/>
      <c r="V419" s="66"/>
      <c r="W419" s="66" t="s">
        <v>2057</v>
      </c>
      <c r="X419" s="66" t="s">
        <v>2059</v>
      </c>
      <c r="Y419" s="66"/>
      <c r="Z419" s="121" t="s">
        <v>770</v>
      </c>
      <c r="AA419" s="121" t="s">
        <v>743</v>
      </c>
      <c r="AB419" s="121" t="s">
        <v>1176</v>
      </c>
      <c r="AC419" s="361"/>
    </row>
    <row r="420" spans="1:29" ht="39.950000000000003" customHeight="1" x14ac:dyDescent="0.2">
      <c r="A420" s="66">
        <v>413</v>
      </c>
      <c r="B420" s="68">
        <v>45128</v>
      </c>
      <c r="C420" s="73">
        <v>0.33333333333333331</v>
      </c>
      <c r="D420" s="66" t="s">
        <v>1926</v>
      </c>
      <c r="E420" s="67" t="s">
        <v>2131</v>
      </c>
      <c r="F420" s="66">
        <v>4</v>
      </c>
      <c r="G420" s="66" t="s">
        <v>1442</v>
      </c>
      <c r="H420" s="68">
        <v>45139</v>
      </c>
      <c r="I420" s="68" t="s">
        <v>73</v>
      </c>
      <c r="J420" s="68" t="s">
        <v>31</v>
      </c>
      <c r="K420" s="66">
        <f>IFERROR(VLOOKUP(J420,Jueces!$A$1:$B$11,2,FALSE),"")</f>
        <v>2</v>
      </c>
      <c r="L420" s="66" t="s">
        <v>1702</v>
      </c>
      <c r="M420" s="66" t="s">
        <v>695</v>
      </c>
      <c r="N420" s="66" t="s">
        <v>2075</v>
      </c>
      <c r="O420" s="66" t="str">
        <f t="shared" ca="1" si="24"/>
        <v>SI</v>
      </c>
      <c r="P420" s="66" t="str">
        <f t="shared" si="25"/>
        <v>DIANOSOL</v>
      </c>
      <c r="Q420" s="66" t="s">
        <v>911</v>
      </c>
      <c r="R420" s="66" t="s">
        <v>949</v>
      </c>
      <c r="S420" s="66"/>
      <c r="T420" s="75" t="str">
        <f t="shared" si="23"/>
        <v>SI</v>
      </c>
      <c r="U420" s="75"/>
      <c r="V420" s="66"/>
      <c r="W420" s="66"/>
      <c r="X420" s="66"/>
      <c r="Y420" s="66"/>
      <c r="Z420" s="121" t="s">
        <v>1042</v>
      </c>
      <c r="AA420" s="121" t="s">
        <v>1171</v>
      </c>
      <c r="AB420" s="121" t="s">
        <v>1175</v>
      </c>
      <c r="AC420" s="361"/>
    </row>
    <row r="421" spans="1:29" ht="39.950000000000003" customHeight="1" x14ac:dyDescent="0.2">
      <c r="A421" s="66">
        <v>421</v>
      </c>
      <c r="B421" s="68">
        <v>45132</v>
      </c>
      <c r="C421" s="73">
        <v>0.52083333333333337</v>
      </c>
      <c r="D421" s="66" t="s">
        <v>1962</v>
      </c>
      <c r="E421" s="67" t="s">
        <v>2128</v>
      </c>
      <c r="F421" s="66">
        <v>4</v>
      </c>
      <c r="G421" s="66" t="s">
        <v>32</v>
      </c>
      <c r="H421" s="68">
        <v>45139</v>
      </c>
      <c r="I421" s="68" t="s">
        <v>1450</v>
      </c>
      <c r="J421" s="68" t="s">
        <v>1224</v>
      </c>
      <c r="K421" s="66" t="s">
        <v>1326</v>
      </c>
      <c r="L421" s="66" t="s">
        <v>811</v>
      </c>
      <c r="M421" s="66" t="s">
        <v>1838</v>
      </c>
      <c r="N421" s="66" t="s">
        <v>2096</v>
      </c>
      <c r="O421" s="66" t="str">
        <f t="shared" ca="1" si="24"/>
        <v>SI</v>
      </c>
      <c r="P421" s="66" t="str">
        <f t="shared" si="25"/>
        <v>DIANOSOL</v>
      </c>
      <c r="Q421" s="66" t="s">
        <v>1512</v>
      </c>
      <c r="R421" s="66" t="str">
        <f>VLOOKUP($Q421,Resultados!$A$1:$B$49,2,FALSE)</f>
        <v>Juicio Abreviado</v>
      </c>
      <c r="S421" s="73">
        <v>0.4284722222222222</v>
      </c>
      <c r="T421" s="75" t="str">
        <f t="shared" si="23"/>
        <v>NO</v>
      </c>
      <c r="U421" s="75"/>
      <c r="V421" s="66"/>
      <c r="W421" s="73">
        <v>0.44236111111111115</v>
      </c>
      <c r="X421" s="66"/>
      <c r="Y421" s="66"/>
      <c r="Z421" s="121" t="s">
        <v>770</v>
      </c>
      <c r="AA421" s="121" t="s">
        <v>1169</v>
      </c>
      <c r="AB421" s="121" t="s">
        <v>1175</v>
      </c>
      <c r="AC421" s="361"/>
    </row>
    <row r="422" spans="1:29" ht="39.950000000000003" customHeight="1" x14ac:dyDescent="0.2">
      <c r="A422" s="66">
        <v>422</v>
      </c>
      <c r="B422" s="68">
        <v>45131</v>
      </c>
      <c r="C422" s="73">
        <v>0.53749999999999998</v>
      </c>
      <c r="D422" s="66" t="s">
        <v>1939</v>
      </c>
      <c r="E422" s="67" t="s">
        <v>2127</v>
      </c>
      <c r="F422" s="66">
        <v>4</v>
      </c>
      <c r="G422" s="66" t="s">
        <v>568</v>
      </c>
      <c r="H422" s="68">
        <v>45140</v>
      </c>
      <c r="I422" s="68" t="s">
        <v>73</v>
      </c>
      <c r="J422" s="68" t="s">
        <v>1220</v>
      </c>
      <c r="K422" s="66">
        <f>IFERROR(VLOOKUP(J422,Jueces!$A$1:$B$11,2,FALSE),"")</f>
        <v>1</v>
      </c>
      <c r="L422" s="66" t="s">
        <v>789</v>
      </c>
      <c r="M422" s="66" t="s">
        <v>2121</v>
      </c>
      <c r="N422" s="66" t="s">
        <v>2120</v>
      </c>
      <c r="O422" s="66" t="str">
        <f t="shared" ca="1" si="24"/>
        <v>SI</v>
      </c>
      <c r="P422" s="66" t="str">
        <f t="shared" si="25"/>
        <v>DIANOSOL</v>
      </c>
      <c r="Q422" s="66" t="s">
        <v>899</v>
      </c>
      <c r="R422" s="66" t="str">
        <f>VLOOKUP($Q422,Resultados!$A$1:$B$49,2,FALSE)</f>
        <v>Libertad</v>
      </c>
      <c r="S422" s="73">
        <v>0.50208333333333333</v>
      </c>
      <c r="T422" s="75" t="str">
        <f t="shared" si="23"/>
        <v>NO</v>
      </c>
      <c r="U422" s="75"/>
      <c r="V422" s="66"/>
      <c r="W422" s="73">
        <v>0.52986111111111112</v>
      </c>
      <c r="X422" s="66" t="s">
        <v>2122</v>
      </c>
      <c r="Y422" s="66"/>
      <c r="Z422" s="121" t="s">
        <v>1042</v>
      </c>
      <c r="AA422" s="121" t="s">
        <v>1169</v>
      </c>
      <c r="AB422" s="121" t="s">
        <v>1173</v>
      </c>
      <c r="AC422" s="361"/>
    </row>
    <row r="423" spans="1:29" ht="39.950000000000003" customHeight="1" x14ac:dyDescent="0.2">
      <c r="A423" s="66">
        <v>423</v>
      </c>
      <c r="B423" s="68">
        <v>45132</v>
      </c>
      <c r="C423" s="73">
        <v>0.40763888888888888</v>
      </c>
      <c r="D423" s="66" t="s">
        <v>1959</v>
      </c>
      <c r="E423" s="67" t="s">
        <v>2126</v>
      </c>
      <c r="F423" s="66">
        <v>4</v>
      </c>
      <c r="G423" s="66" t="s">
        <v>29</v>
      </c>
      <c r="H423" s="68">
        <v>45140</v>
      </c>
      <c r="I423" s="68" t="s">
        <v>73</v>
      </c>
      <c r="J423" s="68" t="s">
        <v>33</v>
      </c>
      <c r="K423" s="66">
        <f>IFERROR(VLOOKUP(J423,Jueces!$A$1:$B$11,2,FALSE),"")</f>
        <v>4</v>
      </c>
      <c r="L423" s="66" t="s">
        <v>813</v>
      </c>
      <c r="M423" s="66" t="s">
        <v>695</v>
      </c>
      <c r="N423" s="66" t="s">
        <v>2116</v>
      </c>
      <c r="O423" s="66" t="str">
        <f t="shared" ca="1" si="24"/>
        <v>SI</v>
      </c>
      <c r="P423" s="66" t="str">
        <f t="shared" si="25"/>
        <v>DIANOSOL</v>
      </c>
      <c r="Q423" s="66" t="s">
        <v>899</v>
      </c>
      <c r="R423" s="66" t="s">
        <v>902</v>
      </c>
      <c r="S423" s="73">
        <v>0.33333333333333331</v>
      </c>
      <c r="T423" s="75" t="str">
        <f t="shared" si="23"/>
        <v>NO</v>
      </c>
      <c r="U423" s="75"/>
      <c r="V423" s="66"/>
      <c r="W423" s="73">
        <v>0.37986111111111115</v>
      </c>
      <c r="X423" s="66"/>
      <c r="Y423" s="66"/>
      <c r="Z423" s="121" t="s">
        <v>748</v>
      </c>
      <c r="AA423" s="121" t="s">
        <v>1171</v>
      </c>
      <c r="AB423" s="121" t="s">
        <v>1175</v>
      </c>
      <c r="AC423" s="361"/>
    </row>
    <row r="424" spans="1:29" ht="39.950000000000003" customHeight="1" x14ac:dyDescent="0.2">
      <c r="A424" s="66">
        <v>424</v>
      </c>
      <c r="B424" s="68">
        <v>45131</v>
      </c>
      <c r="C424" s="73">
        <v>0.52013888888888882</v>
      </c>
      <c r="D424" s="66" t="s">
        <v>1941</v>
      </c>
      <c r="E424" s="67" t="s">
        <v>1979</v>
      </c>
      <c r="F424" s="66">
        <v>4</v>
      </c>
      <c r="G424" s="66" t="s">
        <v>32</v>
      </c>
      <c r="H424" s="68">
        <v>45140</v>
      </c>
      <c r="I424" s="68" t="s">
        <v>73</v>
      </c>
      <c r="J424" s="68" t="s">
        <v>1222</v>
      </c>
      <c r="K424" s="66" t="s">
        <v>1520</v>
      </c>
      <c r="L424" s="66" t="s">
        <v>811</v>
      </c>
      <c r="M424" s="66" t="s">
        <v>1838</v>
      </c>
      <c r="N424" s="66" t="s">
        <v>2117</v>
      </c>
      <c r="O424" s="66" t="str">
        <f t="shared" ca="1" si="24"/>
        <v>SI</v>
      </c>
      <c r="P424" s="66" t="str">
        <f t="shared" si="25"/>
        <v>DIANOSOL</v>
      </c>
      <c r="Q424" s="66" t="s">
        <v>904</v>
      </c>
      <c r="R424" s="66" t="str">
        <f>VLOOKUP($Q424,Resultados!$A$1:$B$49,2,FALSE)</f>
        <v>Juicio Abreviado</v>
      </c>
      <c r="S424" s="73">
        <v>0.36527777777777781</v>
      </c>
      <c r="T424" s="75" t="str">
        <f t="shared" si="23"/>
        <v>NO</v>
      </c>
      <c r="U424" s="75"/>
      <c r="V424" s="66"/>
      <c r="W424" s="73">
        <v>0.37222222222222223</v>
      </c>
      <c r="X424" s="66"/>
      <c r="Y424" s="66"/>
      <c r="Z424" s="121" t="s">
        <v>743</v>
      </c>
      <c r="AA424" s="121" t="s">
        <v>743</v>
      </c>
      <c r="AB424" s="121" t="s">
        <v>1176</v>
      </c>
      <c r="AC424" s="361"/>
    </row>
    <row r="425" spans="1:29" ht="39.950000000000003" customHeight="1" x14ac:dyDescent="0.2">
      <c r="A425" s="66">
        <v>429</v>
      </c>
      <c r="B425" s="68">
        <v>45132</v>
      </c>
      <c r="C425" s="73">
        <v>0.51041666666666663</v>
      </c>
      <c r="D425" s="66" t="s">
        <v>1963</v>
      </c>
      <c r="E425" s="67" t="s">
        <v>1964</v>
      </c>
      <c r="F425" s="66">
        <v>5</v>
      </c>
      <c r="G425" s="66" t="s">
        <v>1443</v>
      </c>
      <c r="H425" s="68">
        <v>45140</v>
      </c>
      <c r="I425" s="68" t="s">
        <v>73</v>
      </c>
      <c r="J425" s="68" t="s">
        <v>78</v>
      </c>
      <c r="K425" s="66">
        <f>IFERROR(VLOOKUP(J425,Jueces!$A$1:$B$11,2,FALSE),"")</f>
        <v>8</v>
      </c>
      <c r="L425" s="66" t="s">
        <v>1522</v>
      </c>
      <c r="M425" s="66" t="s">
        <v>1965</v>
      </c>
      <c r="N425" s="66" t="s">
        <v>2118</v>
      </c>
      <c r="O425" s="66" t="str">
        <f t="shared" ca="1" si="24"/>
        <v>SI</v>
      </c>
      <c r="P425" s="66" t="str">
        <f t="shared" si="25"/>
        <v>DIANOSOL</v>
      </c>
      <c r="Q425" s="66" t="s">
        <v>151</v>
      </c>
      <c r="R425" s="66" t="str">
        <f>VLOOKUP($Q425,Resultados!$A$1:$B$49,2,FALSE)</f>
        <v>Prisión Preventiva</v>
      </c>
      <c r="S425" s="73">
        <v>0.3576388888888889</v>
      </c>
      <c r="T425" s="75" t="str">
        <f t="shared" si="23"/>
        <v>NO</v>
      </c>
      <c r="U425" s="75"/>
      <c r="V425" s="66"/>
      <c r="W425" s="73">
        <v>0.375</v>
      </c>
      <c r="X425" s="66"/>
      <c r="Y425" s="66"/>
      <c r="Z425" s="121" t="s">
        <v>770</v>
      </c>
      <c r="AA425" s="121" t="s">
        <v>743</v>
      </c>
      <c r="AB425" s="121" t="s">
        <v>1177</v>
      </c>
      <c r="AC425" s="361"/>
    </row>
    <row r="426" spans="1:29" ht="39.950000000000003" customHeight="1" x14ac:dyDescent="0.2">
      <c r="A426" s="66">
        <v>427</v>
      </c>
      <c r="B426" s="68">
        <v>45132</v>
      </c>
      <c r="C426" s="73">
        <v>0.33333333333333331</v>
      </c>
      <c r="D426" s="66" t="s">
        <v>1958</v>
      </c>
      <c r="E426" s="67" t="s">
        <v>2039</v>
      </c>
      <c r="F426" s="66">
        <v>4</v>
      </c>
      <c r="G426" s="66" t="s">
        <v>1442</v>
      </c>
      <c r="H426" s="68">
        <v>45140</v>
      </c>
      <c r="I426" s="68" t="s">
        <v>1086</v>
      </c>
      <c r="J426" s="68" t="s">
        <v>33</v>
      </c>
      <c r="K426" s="66">
        <f>IFERROR(VLOOKUP(J426,Jueces!$A$1:$B$11,2,FALSE),"")</f>
        <v>4</v>
      </c>
      <c r="L426" s="66" t="s">
        <v>806</v>
      </c>
      <c r="M426" s="66" t="s">
        <v>2035</v>
      </c>
      <c r="N426" s="66" t="s">
        <v>2115</v>
      </c>
      <c r="O426" s="66" t="str">
        <f t="shared" ca="1" si="24"/>
        <v>SI</v>
      </c>
      <c r="P426" s="66" t="str">
        <f t="shared" si="25"/>
        <v>DIANOSOL</v>
      </c>
      <c r="Q426" s="66" t="s">
        <v>913</v>
      </c>
      <c r="R426" s="66" t="str">
        <f>VLOOKUP($Q426,Resultados!$A$1:$B$49,2,FALSE)</f>
        <v>Prision domiciliaria</v>
      </c>
      <c r="S426" s="73">
        <v>0.39166666666666666</v>
      </c>
      <c r="T426" s="75" t="str">
        <f t="shared" ref="T426:T471" si="26">IF(G426=$J$1,"SI","NO")</f>
        <v>SI</v>
      </c>
      <c r="U426" s="75"/>
      <c r="V426" s="66"/>
      <c r="W426" s="73">
        <v>0.42430555555555555</v>
      </c>
      <c r="X426" s="66"/>
      <c r="Y426" s="66"/>
      <c r="Z426" s="121" t="s">
        <v>1042</v>
      </c>
      <c r="AA426" s="121" t="s">
        <v>1169</v>
      </c>
      <c r="AB426" s="121" t="s">
        <v>1175</v>
      </c>
      <c r="AC426" s="361"/>
    </row>
    <row r="427" spans="1:29" ht="39.950000000000003" customHeight="1" x14ac:dyDescent="0.2">
      <c r="A427" s="66">
        <v>432</v>
      </c>
      <c r="B427" s="68">
        <v>45132</v>
      </c>
      <c r="C427" s="73">
        <v>0.33333333333333331</v>
      </c>
      <c r="D427" s="66" t="s">
        <v>1752</v>
      </c>
      <c r="E427" s="67" t="s">
        <v>1989</v>
      </c>
      <c r="F427" s="66">
        <v>4</v>
      </c>
      <c r="G427" s="66" t="s">
        <v>283</v>
      </c>
      <c r="H427" s="68">
        <v>45140</v>
      </c>
      <c r="I427" s="68" t="s">
        <v>1086</v>
      </c>
      <c r="J427" s="68" t="s">
        <v>1223</v>
      </c>
      <c r="K427" s="66" t="s">
        <v>1346</v>
      </c>
      <c r="L427" s="66" t="s">
        <v>2110</v>
      </c>
      <c r="M427" s="66" t="s">
        <v>1990</v>
      </c>
      <c r="N427" s="66" t="s">
        <v>2119</v>
      </c>
      <c r="O427" s="66" t="str">
        <f t="shared" ca="1" si="24"/>
        <v>SI</v>
      </c>
      <c r="P427" s="66" t="str">
        <f t="shared" si="25"/>
        <v>DIANOSOL</v>
      </c>
      <c r="Q427" s="66" t="s">
        <v>904</v>
      </c>
      <c r="R427" s="66" t="str">
        <f>VLOOKUP($Q427,Resultados!$A$1:$B$49,2,FALSE)</f>
        <v>Juicio Abreviado</v>
      </c>
      <c r="S427" s="73">
        <v>0.37847222222222227</v>
      </c>
      <c r="T427" s="75" t="str">
        <f t="shared" si="26"/>
        <v>NO</v>
      </c>
      <c r="U427" s="75"/>
      <c r="V427" s="66"/>
      <c r="W427" s="73">
        <v>0.39930555555555558</v>
      </c>
      <c r="X427" s="66" t="s">
        <v>2109</v>
      </c>
      <c r="Y427" s="66"/>
      <c r="Z427" s="121" t="s">
        <v>1041</v>
      </c>
      <c r="AA427" s="121" t="s">
        <v>1171</v>
      </c>
      <c r="AB427" s="121" t="s">
        <v>1173</v>
      </c>
      <c r="AC427" s="361"/>
    </row>
    <row r="428" spans="1:29" ht="39.950000000000003" customHeight="1" x14ac:dyDescent="0.2">
      <c r="A428" s="66">
        <v>435</v>
      </c>
      <c r="B428" s="68">
        <v>45134</v>
      </c>
      <c r="C428" s="73">
        <v>0.50694444444444442</v>
      </c>
      <c r="D428" s="66" t="s">
        <v>2008</v>
      </c>
      <c r="E428" s="67" t="s">
        <v>2009</v>
      </c>
      <c r="F428" s="66">
        <v>5</v>
      </c>
      <c r="G428" s="66" t="s">
        <v>1442</v>
      </c>
      <c r="H428" s="68">
        <v>45141</v>
      </c>
      <c r="I428" s="68" t="s">
        <v>73</v>
      </c>
      <c r="J428" s="68" t="s">
        <v>1220</v>
      </c>
      <c r="K428" s="66" t="s">
        <v>1925</v>
      </c>
      <c r="L428" s="66" t="s">
        <v>813</v>
      </c>
      <c r="M428" s="66" t="s">
        <v>1965</v>
      </c>
      <c r="N428" s="66" t="s">
        <v>2134</v>
      </c>
      <c r="O428" s="66" t="str">
        <f t="shared" ref="O428:O491" ca="1" si="27">IF(H428&lt;&gt;"",IF(H428&lt;=TODAY(),"SI","NO"),"LIMBO")</f>
        <v>SI</v>
      </c>
      <c r="P428" s="66" t="str">
        <f t="shared" si="25"/>
        <v>DIANOSOL</v>
      </c>
      <c r="Q428" s="66" t="s">
        <v>904</v>
      </c>
      <c r="R428" s="66" t="str">
        <f>VLOOKUP($Q428,Resultados!$A$1:$B$49,2,FALSE)</f>
        <v>Juicio Abreviado</v>
      </c>
      <c r="S428" s="66"/>
      <c r="T428" s="75" t="str">
        <f t="shared" si="26"/>
        <v>SI</v>
      </c>
      <c r="U428" s="75"/>
      <c r="V428" s="66"/>
      <c r="W428" s="66"/>
      <c r="X428" s="66"/>
      <c r="Y428" s="66"/>
      <c r="Z428" s="121" t="s">
        <v>1042</v>
      </c>
      <c r="AA428" s="121" t="s">
        <v>1171</v>
      </c>
      <c r="AB428" s="121" t="s">
        <v>1174</v>
      </c>
      <c r="AC428" s="361"/>
    </row>
    <row r="429" spans="1:29" ht="39.950000000000003" customHeight="1" x14ac:dyDescent="0.2">
      <c r="A429" s="66">
        <v>425</v>
      </c>
      <c r="B429" s="68">
        <v>45132</v>
      </c>
      <c r="C429" s="73">
        <v>0.33333333333333331</v>
      </c>
      <c r="D429" s="66" t="s">
        <v>1957</v>
      </c>
      <c r="E429" s="67" t="s">
        <v>1980</v>
      </c>
      <c r="F429" s="66">
        <v>4</v>
      </c>
      <c r="G429" s="66" t="s">
        <v>283</v>
      </c>
      <c r="H429" s="68">
        <v>45141</v>
      </c>
      <c r="I429" s="68" t="s">
        <v>1086</v>
      </c>
      <c r="J429" s="68" t="s">
        <v>35</v>
      </c>
      <c r="K429" s="66">
        <f>IFERROR(VLOOKUP(J429,Jueces!$A$1:$B$11,2,FALSE),"")</f>
        <v>3</v>
      </c>
      <c r="L429" s="66" t="s">
        <v>807</v>
      </c>
      <c r="M429" s="66" t="s">
        <v>1838</v>
      </c>
      <c r="N429" s="66" t="s">
        <v>510</v>
      </c>
      <c r="O429" s="66" t="str">
        <f t="shared" ca="1" si="27"/>
        <v>SI</v>
      </c>
      <c r="P429" s="66" t="str">
        <f t="shared" si="25"/>
        <v>DIANOSOL</v>
      </c>
      <c r="Q429" s="66" t="s">
        <v>899</v>
      </c>
      <c r="R429" s="66" t="str">
        <f>VLOOKUP($Q429,Resultados!$A$1:$B$49,2,FALSE)</f>
        <v>Libertad</v>
      </c>
      <c r="S429" s="66"/>
      <c r="T429" s="75" t="str">
        <f t="shared" si="26"/>
        <v>NO</v>
      </c>
      <c r="U429" s="75"/>
      <c r="V429" s="66"/>
      <c r="W429" s="66"/>
      <c r="X429" s="66"/>
      <c r="Y429" s="66"/>
      <c r="Z429" s="121" t="s">
        <v>748</v>
      </c>
      <c r="AA429" s="121" t="s">
        <v>743</v>
      </c>
      <c r="AB429" s="121" t="s">
        <v>1173</v>
      </c>
      <c r="AC429" s="361"/>
    </row>
    <row r="430" spans="1:29" ht="39.950000000000003" customHeight="1" x14ac:dyDescent="0.2">
      <c r="A430" s="66">
        <v>439</v>
      </c>
      <c r="B430" s="68">
        <v>45135</v>
      </c>
      <c r="C430" s="73">
        <v>0.49861111111111112</v>
      </c>
      <c r="D430" s="66" t="s">
        <v>2038</v>
      </c>
      <c r="E430" s="67" t="s">
        <v>2085</v>
      </c>
      <c r="F430" s="66">
        <v>5</v>
      </c>
      <c r="G430" s="66" t="s">
        <v>43</v>
      </c>
      <c r="H430" s="68">
        <v>45141</v>
      </c>
      <c r="I430" s="68" t="s">
        <v>1086</v>
      </c>
      <c r="J430" s="68" t="s">
        <v>1221</v>
      </c>
      <c r="K430" s="66">
        <f>IFERROR(VLOOKUP(J430,Jueces!$A$1:$B$11,2,FALSE),"")</f>
        <v>7</v>
      </c>
      <c r="L430" s="66" t="s">
        <v>789</v>
      </c>
      <c r="M430" s="66" t="s">
        <v>1965</v>
      </c>
      <c r="N430" s="66" t="s">
        <v>1753</v>
      </c>
      <c r="O430" s="66" t="str">
        <f t="shared" ca="1" si="27"/>
        <v>SI</v>
      </c>
      <c r="P430" s="66" t="str">
        <f t="shared" si="25"/>
        <v>DIANOSOL</v>
      </c>
      <c r="Q430" s="66" t="s">
        <v>151</v>
      </c>
      <c r="R430" s="66" t="str">
        <f>VLOOKUP($Q430,Resultados!$A$1:$B$49,2,FALSE)</f>
        <v>Prisión Preventiva</v>
      </c>
      <c r="S430" s="66"/>
      <c r="T430" s="75" t="str">
        <f t="shared" si="26"/>
        <v>NO</v>
      </c>
      <c r="U430" s="75"/>
      <c r="V430" s="66"/>
      <c r="W430" s="66"/>
      <c r="X430" s="66"/>
      <c r="Y430" s="66"/>
      <c r="Z430" s="121" t="s">
        <v>770</v>
      </c>
      <c r="AA430" s="121" t="s">
        <v>1169</v>
      </c>
      <c r="AB430" s="121" t="s">
        <v>1175</v>
      </c>
      <c r="AC430" s="361"/>
    </row>
    <row r="431" spans="1:29" ht="39.950000000000003" customHeight="1" x14ac:dyDescent="0.2">
      <c r="A431" s="66">
        <v>438</v>
      </c>
      <c r="B431" s="68">
        <v>45135</v>
      </c>
      <c r="C431" s="73">
        <v>0.41736111111111113</v>
      </c>
      <c r="D431" s="66" t="s">
        <v>2028</v>
      </c>
      <c r="E431" s="67" t="s">
        <v>2029</v>
      </c>
      <c r="F431" s="66">
        <v>5</v>
      </c>
      <c r="G431" s="66" t="s">
        <v>1443</v>
      </c>
      <c r="H431" s="68">
        <v>45141</v>
      </c>
      <c r="I431" s="68" t="s">
        <v>1450</v>
      </c>
      <c r="J431" s="68" t="s">
        <v>31</v>
      </c>
      <c r="K431" s="66" t="s">
        <v>1925</v>
      </c>
      <c r="L431" s="66" t="s">
        <v>569</v>
      </c>
      <c r="M431" s="66" t="s">
        <v>1693</v>
      </c>
      <c r="N431" s="66" t="s">
        <v>2141</v>
      </c>
      <c r="O431" s="66" t="str">
        <f t="shared" ca="1" si="27"/>
        <v>SI</v>
      </c>
      <c r="P431" s="66" t="str">
        <f t="shared" si="25"/>
        <v>DIANOSOL</v>
      </c>
      <c r="Q431" s="66" t="s">
        <v>905</v>
      </c>
      <c r="R431" s="66" t="str">
        <f>VLOOKUP($Q431,Resultados!$A$1:$B$49,2,FALSE)</f>
        <v>Juicio Abreviado</v>
      </c>
      <c r="S431" s="66"/>
      <c r="T431" s="75" t="str">
        <f t="shared" si="26"/>
        <v>NO</v>
      </c>
      <c r="U431" s="75"/>
      <c r="V431" s="66"/>
      <c r="W431" s="66"/>
      <c r="X431" s="66"/>
      <c r="Y431" s="66"/>
      <c r="Z431" s="121" t="s">
        <v>1041</v>
      </c>
      <c r="AA431" s="121" t="s">
        <v>1171</v>
      </c>
      <c r="AB431" s="121" t="s">
        <v>1177</v>
      </c>
      <c r="AC431" s="361"/>
    </row>
    <row r="432" spans="1:29" ht="39.950000000000003" customHeight="1" x14ac:dyDescent="0.2">
      <c r="A432" s="66">
        <v>426</v>
      </c>
      <c r="B432" s="68">
        <v>45132</v>
      </c>
      <c r="C432" s="73">
        <v>0.44513888888888892</v>
      </c>
      <c r="D432" s="66" t="s">
        <v>1960</v>
      </c>
      <c r="E432" s="67" t="s">
        <v>2144</v>
      </c>
      <c r="F432" s="66">
        <v>4</v>
      </c>
      <c r="G432" s="66" t="s">
        <v>32</v>
      </c>
      <c r="H432" s="68">
        <v>45142</v>
      </c>
      <c r="I432" s="68" t="s">
        <v>73</v>
      </c>
      <c r="J432" s="68" t="s">
        <v>1223</v>
      </c>
      <c r="K432" s="66" t="s">
        <v>1346</v>
      </c>
      <c r="L432" s="66" t="s">
        <v>802</v>
      </c>
      <c r="M432" s="66" t="s">
        <v>1838</v>
      </c>
      <c r="N432" s="66" t="s">
        <v>577</v>
      </c>
      <c r="O432" s="66" t="str">
        <f t="shared" ca="1" si="27"/>
        <v>SI</v>
      </c>
      <c r="P432" s="66" t="str">
        <f t="shared" si="25"/>
        <v>DIANOSOL</v>
      </c>
      <c r="Q432" s="66" t="s">
        <v>151</v>
      </c>
      <c r="R432" s="66" t="str">
        <f>VLOOKUP($Q432,Resultados!$A$1:$B$49,2,FALSE)</f>
        <v>Prisión Preventiva</v>
      </c>
      <c r="S432" s="66"/>
      <c r="T432" s="75" t="str">
        <f t="shared" si="26"/>
        <v>NO</v>
      </c>
      <c r="U432" s="75"/>
      <c r="V432" s="66"/>
      <c r="W432" s="66"/>
      <c r="X432" s="66"/>
      <c r="Y432" s="66"/>
      <c r="Z432" s="121" t="s">
        <v>2151</v>
      </c>
      <c r="AA432" s="121" t="s">
        <v>1169</v>
      </c>
      <c r="AB432" s="121" t="s">
        <v>1174</v>
      </c>
      <c r="AC432" s="361"/>
    </row>
    <row r="433" spans="1:29" ht="39.950000000000003" customHeight="1" x14ac:dyDescent="0.2">
      <c r="A433" s="66">
        <v>434</v>
      </c>
      <c r="B433" s="68">
        <v>45134</v>
      </c>
      <c r="C433" s="73">
        <v>0.3611111111111111</v>
      </c>
      <c r="D433" s="66" t="s">
        <v>1996</v>
      </c>
      <c r="E433" s="67" t="s">
        <v>2145</v>
      </c>
      <c r="F433" s="66">
        <v>1</v>
      </c>
      <c r="G433" s="66" t="s">
        <v>29</v>
      </c>
      <c r="H433" s="68">
        <v>45142</v>
      </c>
      <c r="I433" s="68" t="s">
        <v>73</v>
      </c>
      <c r="J433" s="68" t="s">
        <v>1221</v>
      </c>
      <c r="K433" s="66">
        <f>IFERROR(VLOOKUP(J433,Jueces!$A$1:$B$11,2,FALSE),"")</f>
        <v>7</v>
      </c>
      <c r="L433" s="66" t="s">
        <v>582</v>
      </c>
      <c r="M433" s="66" t="s">
        <v>767</v>
      </c>
      <c r="N433" s="66" t="s">
        <v>2153</v>
      </c>
      <c r="O433" s="66" t="str">
        <f t="shared" ca="1" si="27"/>
        <v>SI</v>
      </c>
      <c r="P433" s="66" t="str">
        <f t="shared" si="25"/>
        <v>DIANOSOL</v>
      </c>
      <c r="Q433" s="66" t="s">
        <v>905</v>
      </c>
      <c r="R433" s="66" t="str">
        <f>VLOOKUP($Q433,Resultados!$A$1:$B$49,2,FALSE)</f>
        <v>Juicio Abreviado</v>
      </c>
      <c r="S433" s="73">
        <v>0.36249999999999999</v>
      </c>
      <c r="T433" s="75" t="str">
        <f t="shared" si="26"/>
        <v>NO</v>
      </c>
      <c r="U433" s="75"/>
      <c r="V433" s="66"/>
      <c r="W433" s="73">
        <v>0.37847222222222227</v>
      </c>
      <c r="X433" s="66" t="s">
        <v>2154</v>
      </c>
      <c r="Y433" s="66"/>
      <c r="Z433" s="121" t="s">
        <v>748</v>
      </c>
      <c r="AA433" s="121" t="s">
        <v>1169</v>
      </c>
      <c r="AB433" s="121" t="s">
        <v>1176</v>
      </c>
      <c r="AC433" s="361"/>
    </row>
    <row r="434" spans="1:29" ht="38.25" x14ac:dyDescent="0.2">
      <c r="A434" s="66">
        <v>436</v>
      </c>
      <c r="B434" s="68">
        <v>45135</v>
      </c>
      <c r="C434" s="73">
        <v>0.35416666666666669</v>
      </c>
      <c r="D434" s="66" t="s">
        <v>2032</v>
      </c>
      <c r="E434" s="67" t="s">
        <v>2146</v>
      </c>
      <c r="F434" s="66">
        <v>5</v>
      </c>
      <c r="G434" s="66" t="s">
        <v>1442</v>
      </c>
      <c r="H434" s="68">
        <v>45142</v>
      </c>
      <c r="I434" s="68" t="s">
        <v>73</v>
      </c>
      <c r="J434" s="68" t="s">
        <v>1222</v>
      </c>
      <c r="K434" s="66" t="s">
        <v>1326</v>
      </c>
      <c r="L434" s="66" t="s">
        <v>812</v>
      </c>
      <c r="M434" s="66" t="s">
        <v>1965</v>
      </c>
      <c r="N434" s="66" t="s">
        <v>151</v>
      </c>
      <c r="O434" s="66" t="str">
        <f t="shared" ca="1" si="27"/>
        <v>SI</v>
      </c>
      <c r="P434" s="66" t="str">
        <f t="shared" si="25"/>
        <v>DIANOSOL</v>
      </c>
      <c r="Q434" s="66" t="s">
        <v>151</v>
      </c>
      <c r="R434" s="66" t="str">
        <f>VLOOKUP($Q434,Resultados!$A$1:$B$49,2,FALSE)</f>
        <v>Prisión Preventiva</v>
      </c>
      <c r="S434" s="73">
        <v>0.3611111111111111</v>
      </c>
      <c r="T434" s="75" t="str">
        <f t="shared" si="26"/>
        <v>SI</v>
      </c>
      <c r="U434" s="75"/>
      <c r="V434" s="66"/>
      <c r="W434" s="73">
        <v>0.375</v>
      </c>
      <c r="X434" s="66" t="s">
        <v>2155</v>
      </c>
      <c r="Y434" s="66"/>
      <c r="Z434" s="121" t="s">
        <v>770</v>
      </c>
      <c r="AA434" s="121" t="s">
        <v>743</v>
      </c>
      <c r="AB434" s="121" t="s">
        <v>1173</v>
      </c>
      <c r="AC434" s="361"/>
    </row>
    <row r="435" spans="1:29" ht="39.950000000000003" customHeight="1" x14ac:dyDescent="0.2">
      <c r="A435" s="66">
        <v>437</v>
      </c>
      <c r="B435" s="68">
        <v>45135</v>
      </c>
      <c r="C435" s="73">
        <v>0.35416666666666669</v>
      </c>
      <c r="D435" s="66" t="s">
        <v>2051</v>
      </c>
      <c r="E435" s="67" t="s">
        <v>2147</v>
      </c>
      <c r="F435" s="66">
        <v>5</v>
      </c>
      <c r="G435" s="66" t="s">
        <v>43</v>
      </c>
      <c r="H435" s="68">
        <v>45142</v>
      </c>
      <c r="I435" s="68" t="s">
        <v>73</v>
      </c>
      <c r="J435" s="68" t="s">
        <v>35</v>
      </c>
      <c r="K435" s="66" t="s">
        <v>1520</v>
      </c>
      <c r="L435" s="66" t="s">
        <v>797</v>
      </c>
      <c r="M435" s="66" t="s">
        <v>1993</v>
      </c>
      <c r="N435" s="66" t="s">
        <v>577</v>
      </c>
      <c r="O435" s="66" t="str">
        <f t="shared" ca="1" si="27"/>
        <v>SI</v>
      </c>
      <c r="P435" s="66" t="str">
        <f t="shared" si="25"/>
        <v>DIANOSOL</v>
      </c>
      <c r="Q435" s="66" t="s">
        <v>151</v>
      </c>
      <c r="R435" s="66" t="str">
        <f>VLOOKUP($Q435,Resultados!$A$1:$B$49,2,FALSE)</f>
        <v>Prisión Preventiva</v>
      </c>
      <c r="S435" s="73">
        <v>0.34583333333333338</v>
      </c>
      <c r="T435" s="75" t="str">
        <f t="shared" si="26"/>
        <v>NO</v>
      </c>
      <c r="U435" s="75"/>
      <c r="V435" s="66"/>
      <c r="W435" s="73">
        <v>0.36041666666666666</v>
      </c>
      <c r="X435" s="66" t="s">
        <v>2156</v>
      </c>
      <c r="Y435" s="66"/>
      <c r="Z435" s="121" t="s">
        <v>1041</v>
      </c>
      <c r="AA435" s="121" t="s">
        <v>743</v>
      </c>
      <c r="AB435" s="121" t="s">
        <v>1175</v>
      </c>
      <c r="AC435" s="361"/>
    </row>
    <row r="436" spans="1:29" ht="39.950000000000003" customHeight="1" x14ac:dyDescent="0.2">
      <c r="A436" s="66">
        <v>430</v>
      </c>
      <c r="B436" s="68">
        <v>45133</v>
      </c>
      <c r="C436" s="73">
        <v>0.50624999999999998</v>
      </c>
      <c r="D436" s="66" t="s">
        <v>1987</v>
      </c>
      <c r="E436" s="67" t="s">
        <v>2148</v>
      </c>
      <c r="F436" s="66">
        <v>4</v>
      </c>
      <c r="G436" s="66" t="s">
        <v>1443</v>
      </c>
      <c r="H436" s="68">
        <v>45142</v>
      </c>
      <c r="I436" s="68" t="s">
        <v>1086</v>
      </c>
      <c r="J436" s="68" t="s">
        <v>1223</v>
      </c>
      <c r="K436" s="66" t="s">
        <v>1925</v>
      </c>
      <c r="L436" s="66" t="s">
        <v>1453</v>
      </c>
      <c r="M436" s="66" t="s">
        <v>2003</v>
      </c>
      <c r="N436" s="66" t="s">
        <v>2034</v>
      </c>
      <c r="O436" s="66" t="str">
        <f t="shared" ca="1" si="27"/>
        <v>SI</v>
      </c>
      <c r="P436" s="66" t="str">
        <f t="shared" si="25"/>
        <v>DIANOSOL</v>
      </c>
      <c r="Q436" s="66" t="s">
        <v>151</v>
      </c>
      <c r="R436" s="66" t="str">
        <f>VLOOKUP($Q436,Resultados!$A$1:$B$49,2,FALSE)</f>
        <v>Prisión Preventiva</v>
      </c>
      <c r="S436" s="73">
        <v>0.38680555555555557</v>
      </c>
      <c r="T436" s="75" t="str">
        <f t="shared" si="26"/>
        <v>NO</v>
      </c>
      <c r="U436" s="75"/>
      <c r="V436" s="66"/>
      <c r="W436" s="73">
        <v>0.40277777777777773</v>
      </c>
      <c r="X436" s="66" t="s">
        <v>2152</v>
      </c>
      <c r="Y436" s="66"/>
      <c r="Z436" s="121" t="s">
        <v>748</v>
      </c>
      <c r="AA436" s="121" t="s">
        <v>1169</v>
      </c>
      <c r="AB436" s="121" t="s">
        <v>1177</v>
      </c>
      <c r="AC436" s="361"/>
    </row>
    <row r="437" spans="1:29" ht="139.5" customHeight="1" x14ac:dyDescent="0.2">
      <c r="A437" s="6">
        <v>433</v>
      </c>
      <c r="B437" s="18">
        <v>45134</v>
      </c>
      <c r="C437" s="14">
        <v>0.33333333333333331</v>
      </c>
      <c r="D437" s="6" t="s">
        <v>2002</v>
      </c>
      <c r="E437" s="40" t="s">
        <v>2149</v>
      </c>
      <c r="F437" s="6">
        <v>4</v>
      </c>
      <c r="G437" s="6" t="s">
        <v>1441</v>
      </c>
      <c r="H437" s="18">
        <v>45142</v>
      </c>
      <c r="I437" s="18" t="s">
        <v>1086</v>
      </c>
      <c r="J437" s="18" t="s">
        <v>78</v>
      </c>
      <c r="K437" s="6">
        <f>IFERROR(VLOOKUP(J437,Jueces!$A$1:$B$11,2,FALSE),"")</f>
        <v>8</v>
      </c>
      <c r="L437" s="6" t="s">
        <v>797</v>
      </c>
      <c r="M437" s="6" t="s">
        <v>1969</v>
      </c>
      <c r="N437" s="6" t="s">
        <v>482</v>
      </c>
      <c r="O437" s="382" t="str">
        <f t="shared" ca="1" si="27"/>
        <v>SI</v>
      </c>
      <c r="P437" s="382" t="str">
        <f t="shared" si="25"/>
        <v>DIANOSOL</v>
      </c>
      <c r="Q437" s="6" t="s">
        <v>151</v>
      </c>
      <c r="R437" s="6" t="str">
        <f>VLOOKUP($Q437,Resultados!$A$1:$B$49,2,FALSE)</f>
        <v>Prisión Preventiva</v>
      </c>
      <c r="S437" s="14">
        <v>0.3923611111111111</v>
      </c>
      <c r="T437" s="383" t="str">
        <f t="shared" si="26"/>
        <v>NO</v>
      </c>
      <c r="U437" s="383"/>
      <c r="V437" s="382"/>
      <c r="W437" s="14">
        <v>0.41111111111111115</v>
      </c>
      <c r="X437" s="6" t="s">
        <v>2025</v>
      </c>
      <c r="Y437" s="6"/>
      <c r="Z437" s="121" t="s">
        <v>770</v>
      </c>
      <c r="AA437" s="279" t="s">
        <v>1171</v>
      </c>
      <c r="AB437" s="121" t="s">
        <v>1174</v>
      </c>
      <c r="AC437" s="361"/>
    </row>
    <row r="438" spans="1:29" ht="39.950000000000003" customHeight="1" x14ac:dyDescent="0.2">
      <c r="A438" s="66">
        <v>431</v>
      </c>
      <c r="B438" s="68">
        <v>45133</v>
      </c>
      <c r="C438" s="73">
        <v>0.51388888888888895</v>
      </c>
      <c r="D438" s="66" t="s">
        <v>1988</v>
      </c>
      <c r="E438" s="67" t="s">
        <v>2150</v>
      </c>
      <c r="F438" s="66">
        <v>4</v>
      </c>
      <c r="G438" s="66" t="s">
        <v>568</v>
      </c>
      <c r="H438" s="68">
        <v>45142</v>
      </c>
      <c r="I438" s="68" t="s">
        <v>2020</v>
      </c>
      <c r="J438" s="68" t="s">
        <v>33</v>
      </c>
      <c r="K438" s="66">
        <f>IFERROR(VLOOKUP(J438,Jueces!$A$1:$B$11,2,FALSE),"")</f>
        <v>4</v>
      </c>
      <c r="L438" s="66" t="s">
        <v>797</v>
      </c>
      <c r="M438" s="66" t="s">
        <v>1838</v>
      </c>
      <c r="N438" s="66" t="s">
        <v>1901</v>
      </c>
      <c r="O438" s="66" t="str">
        <f t="shared" ca="1" si="27"/>
        <v>SI</v>
      </c>
      <c r="P438" s="66" t="str">
        <f t="shared" si="25"/>
        <v>DIANOSOL</v>
      </c>
      <c r="Q438" s="66" t="s">
        <v>1901</v>
      </c>
      <c r="R438" s="66" t="str">
        <f>VLOOKUP($Q438,Resultados!$A$1:$B$49,2,FALSE)</f>
        <v>Sobreseimiento</v>
      </c>
      <c r="S438" s="73">
        <v>0.53749999999999998</v>
      </c>
      <c r="T438" s="75" t="str">
        <f t="shared" si="26"/>
        <v>NO</v>
      </c>
      <c r="U438" s="75"/>
      <c r="V438" s="66"/>
      <c r="W438" s="73">
        <v>0.54513888888888895</v>
      </c>
      <c r="X438" s="66"/>
      <c r="Y438" s="66"/>
      <c r="Z438" s="121" t="s">
        <v>1041</v>
      </c>
      <c r="AA438" s="121" t="s">
        <v>743</v>
      </c>
      <c r="AB438" s="121" t="s">
        <v>1176</v>
      </c>
      <c r="AC438" s="361"/>
    </row>
    <row r="439" spans="1:29" ht="39.950000000000003" customHeight="1" x14ac:dyDescent="0.2">
      <c r="A439" s="66">
        <v>428</v>
      </c>
      <c r="B439" s="68">
        <v>45132</v>
      </c>
      <c r="C439" s="73">
        <v>0.4916666666666667</v>
      </c>
      <c r="D439" s="66" t="s">
        <v>1995</v>
      </c>
      <c r="E439" s="67" t="s">
        <v>1961</v>
      </c>
      <c r="F439" s="66">
        <v>2</v>
      </c>
      <c r="G439" s="66" t="s">
        <v>29</v>
      </c>
      <c r="H439" s="68">
        <v>45145</v>
      </c>
      <c r="I439" s="68" t="s">
        <v>73</v>
      </c>
      <c r="J439" s="68" t="s">
        <v>33</v>
      </c>
      <c r="K439" s="66">
        <v>4</v>
      </c>
      <c r="L439" s="66" t="s">
        <v>1070</v>
      </c>
      <c r="M439" s="66" t="s">
        <v>1985</v>
      </c>
      <c r="N439" s="66" t="s">
        <v>2166</v>
      </c>
      <c r="O439" s="66" t="str">
        <f t="shared" ca="1" si="27"/>
        <v>SI</v>
      </c>
      <c r="P439" s="66" t="str">
        <f t="shared" si="25"/>
        <v>DIANOSOL</v>
      </c>
      <c r="Q439" s="66" t="s">
        <v>151</v>
      </c>
      <c r="R439" s="66" t="str">
        <f>VLOOKUP($Q439,Resultados!$A$1:$B$49,2,FALSE)</f>
        <v>Prisión Preventiva</v>
      </c>
      <c r="S439" s="73">
        <v>0.3444444444444445</v>
      </c>
      <c r="T439" s="75" t="str">
        <f t="shared" si="26"/>
        <v>NO</v>
      </c>
      <c r="U439" s="75"/>
      <c r="V439" s="66"/>
      <c r="W439" s="73">
        <v>0.3576388888888889</v>
      </c>
      <c r="X439" s="66" t="s">
        <v>2168</v>
      </c>
      <c r="Y439" s="66"/>
      <c r="Z439" s="121" t="s">
        <v>1042</v>
      </c>
      <c r="AA439" s="121" t="s">
        <v>1171</v>
      </c>
      <c r="AB439" s="121" t="s">
        <v>1173</v>
      </c>
      <c r="AC439" s="361"/>
    </row>
    <row r="440" spans="1:29" ht="39.950000000000003" customHeight="1" x14ac:dyDescent="0.2">
      <c r="A440" s="66">
        <v>440</v>
      </c>
      <c r="B440" s="68">
        <v>45135</v>
      </c>
      <c r="C440" s="73">
        <v>0.48888888888888887</v>
      </c>
      <c r="D440" s="66" t="s">
        <v>2036</v>
      </c>
      <c r="E440" s="67" t="s">
        <v>2037</v>
      </c>
      <c r="F440" s="66">
        <v>5</v>
      </c>
      <c r="G440" s="66" t="s">
        <v>43</v>
      </c>
      <c r="H440" s="68">
        <v>45145</v>
      </c>
      <c r="I440" s="68" t="s">
        <v>73</v>
      </c>
      <c r="J440" s="68" t="s">
        <v>1220</v>
      </c>
      <c r="K440" s="66">
        <f>IFERROR(VLOOKUP(J440,Jueces!$A$1:$B$11,2,FALSE),"")</f>
        <v>1</v>
      </c>
      <c r="L440" s="66" t="s">
        <v>813</v>
      </c>
      <c r="M440" s="66" t="s">
        <v>1965</v>
      </c>
      <c r="N440" s="66" t="s">
        <v>621</v>
      </c>
      <c r="O440" s="66" t="str">
        <f t="shared" ca="1" si="27"/>
        <v>SI</v>
      </c>
      <c r="P440" s="66" t="str">
        <f t="shared" si="25"/>
        <v>DIANOSOL</v>
      </c>
      <c r="Q440" s="66" t="s">
        <v>151</v>
      </c>
      <c r="R440" s="66" t="str">
        <f>VLOOKUP($Q440,Resultados!$A$1:$B$49,2,FALSE)</f>
        <v>Prisión Preventiva</v>
      </c>
      <c r="S440" s="73">
        <v>0.42083333333333334</v>
      </c>
      <c r="T440" s="75" t="str">
        <f t="shared" si="26"/>
        <v>NO</v>
      </c>
      <c r="U440" s="75"/>
      <c r="V440" s="66"/>
      <c r="W440" s="73">
        <v>0.43888888888888888</v>
      </c>
      <c r="X440" s="66"/>
      <c r="Y440" s="6"/>
      <c r="Z440" s="121" t="s">
        <v>748</v>
      </c>
      <c r="AA440" s="279" t="s">
        <v>743</v>
      </c>
      <c r="AB440" s="121" t="s">
        <v>1175</v>
      </c>
      <c r="AC440" s="361"/>
    </row>
    <row r="441" spans="1:29" ht="39.950000000000003" customHeight="1" x14ac:dyDescent="0.2">
      <c r="A441" s="66">
        <v>441</v>
      </c>
      <c r="B441" s="68">
        <v>45138</v>
      </c>
      <c r="C441" s="73">
        <v>0.33333333333333331</v>
      </c>
      <c r="D441" s="66" t="s">
        <v>2052</v>
      </c>
      <c r="E441" s="67" t="s">
        <v>2053</v>
      </c>
      <c r="F441" s="66">
        <v>5</v>
      </c>
      <c r="G441" s="66" t="s">
        <v>568</v>
      </c>
      <c r="H441" s="68">
        <v>45145</v>
      </c>
      <c r="I441" s="68" t="s">
        <v>73</v>
      </c>
      <c r="J441" s="68" t="s">
        <v>1222</v>
      </c>
      <c r="K441" s="66" t="s">
        <v>1326</v>
      </c>
      <c r="L441" s="66" t="s">
        <v>812</v>
      </c>
      <c r="M441" s="66" t="s">
        <v>1875</v>
      </c>
      <c r="N441" s="66" t="s">
        <v>2165</v>
      </c>
      <c r="O441" s="66" t="str">
        <f t="shared" ca="1" si="27"/>
        <v>SI</v>
      </c>
      <c r="P441" s="66" t="str">
        <f t="shared" si="25"/>
        <v>DIANOSOL</v>
      </c>
      <c r="Q441" s="66" t="s">
        <v>904</v>
      </c>
      <c r="R441" s="66" t="str">
        <f>VLOOKUP($Q441,Resultados!$A$1:$B$49,2,FALSE)</f>
        <v>Juicio Abreviado</v>
      </c>
      <c r="S441" s="73">
        <v>0.34722222222222227</v>
      </c>
      <c r="T441" s="75" t="str">
        <f t="shared" si="26"/>
        <v>NO</v>
      </c>
      <c r="U441" s="75"/>
      <c r="V441" s="66"/>
      <c r="W441" s="73">
        <v>0.3527777777777778</v>
      </c>
      <c r="X441" s="66" t="s">
        <v>2167</v>
      </c>
      <c r="Y441" s="382"/>
      <c r="Z441" s="121" t="s">
        <v>743</v>
      </c>
      <c r="AA441" s="121" t="s">
        <v>1169</v>
      </c>
      <c r="AB441" s="121" t="s">
        <v>1177</v>
      </c>
      <c r="AC441" s="361"/>
    </row>
    <row r="442" spans="1:29" ht="38.25" x14ac:dyDescent="0.2">
      <c r="A442" s="66">
        <v>445</v>
      </c>
      <c r="B442" s="68">
        <v>45139</v>
      </c>
      <c r="C442" s="73">
        <v>0.39097222222222222</v>
      </c>
      <c r="D442" s="66" t="s">
        <v>2078</v>
      </c>
      <c r="E442" s="67" t="s">
        <v>2079</v>
      </c>
      <c r="F442" s="66">
        <v>5</v>
      </c>
      <c r="G442" s="66" t="s">
        <v>283</v>
      </c>
      <c r="H442" s="68">
        <v>45145</v>
      </c>
      <c r="I442" s="68" t="s">
        <v>73</v>
      </c>
      <c r="J442" s="68" t="s">
        <v>31</v>
      </c>
      <c r="K442" s="66">
        <f>IFERROR(VLOOKUP(J442,Jueces!$A$1:$B$11,2,FALSE),"")</f>
        <v>2</v>
      </c>
      <c r="L442" s="66" t="s">
        <v>807</v>
      </c>
      <c r="M442" s="66" t="s">
        <v>2080</v>
      </c>
      <c r="N442" s="66" t="s">
        <v>899</v>
      </c>
      <c r="O442" s="66" t="str">
        <f t="shared" ca="1" si="27"/>
        <v>SI</v>
      </c>
      <c r="P442" s="66" t="str">
        <f t="shared" si="25"/>
        <v>DIANOSOL</v>
      </c>
      <c r="Q442" s="66" t="s">
        <v>899</v>
      </c>
      <c r="R442" s="66" t="str">
        <f>VLOOKUP($Q442,Resultados!$A$1:$B$49,2,FALSE)</f>
        <v>Libertad</v>
      </c>
      <c r="S442" s="73">
        <v>0.45555555555555555</v>
      </c>
      <c r="T442" s="75" t="str">
        <f t="shared" si="26"/>
        <v>NO</v>
      </c>
      <c r="U442" s="75"/>
      <c r="V442" s="66"/>
      <c r="W442" s="73">
        <v>0.47430555555555554</v>
      </c>
      <c r="X442" s="66" t="s">
        <v>2171</v>
      </c>
      <c r="Y442" s="66"/>
      <c r="Z442" s="121" t="s">
        <v>770</v>
      </c>
      <c r="AA442" s="121" t="s">
        <v>1171</v>
      </c>
      <c r="AB442" s="121" t="s">
        <v>1176</v>
      </c>
      <c r="AC442" s="361"/>
    </row>
    <row r="443" spans="1:29" ht="39.950000000000003" customHeight="1" x14ac:dyDescent="0.2">
      <c r="A443" s="66">
        <v>446</v>
      </c>
      <c r="B443" s="68">
        <v>45139</v>
      </c>
      <c r="C443" s="73">
        <v>0.43472222222222223</v>
      </c>
      <c r="D443" s="66" t="s">
        <v>2084</v>
      </c>
      <c r="E443" s="67" t="s">
        <v>2101</v>
      </c>
      <c r="F443" s="66">
        <v>5</v>
      </c>
      <c r="G443" s="66" t="s">
        <v>1441</v>
      </c>
      <c r="H443" s="68">
        <v>45145</v>
      </c>
      <c r="I443" s="68" t="s">
        <v>73</v>
      </c>
      <c r="J443" s="68" t="s">
        <v>78</v>
      </c>
      <c r="K443" s="66">
        <f>IFERROR(VLOOKUP(J443,Jueces!$A$1:$B$11,2,FALSE),"")</f>
        <v>8</v>
      </c>
      <c r="L443" s="66" t="s">
        <v>798</v>
      </c>
      <c r="M443" s="66" t="s">
        <v>2097</v>
      </c>
      <c r="N443" s="66" t="s">
        <v>2169</v>
      </c>
      <c r="O443" s="66" t="str">
        <f t="shared" ca="1" si="27"/>
        <v>SI</v>
      </c>
      <c r="P443" s="66" t="str">
        <f t="shared" si="25"/>
        <v>DIANOSOL</v>
      </c>
      <c r="Q443" s="66" t="s">
        <v>151</v>
      </c>
      <c r="R443" s="66" t="str">
        <f>VLOOKUP($Q443,Resultados!$A$1:$B$49,2,FALSE)</f>
        <v>Prisión Preventiva</v>
      </c>
      <c r="S443" s="73">
        <v>0.37847222222222227</v>
      </c>
      <c r="T443" s="75" t="str">
        <f t="shared" si="26"/>
        <v>NO</v>
      </c>
      <c r="U443" s="75"/>
      <c r="V443" s="66"/>
      <c r="W443" s="73">
        <v>0.39513888888888887</v>
      </c>
      <c r="X443" s="66" t="s">
        <v>2170</v>
      </c>
      <c r="Y443" s="66"/>
      <c r="Z443" s="121" t="s">
        <v>1041</v>
      </c>
      <c r="AA443" s="121" t="s">
        <v>1169</v>
      </c>
      <c r="AB443" s="121" t="s">
        <v>1173</v>
      </c>
      <c r="AC443" s="361"/>
    </row>
    <row r="444" spans="1:29" ht="39.950000000000003" customHeight="1" x14ac:dyDescent="0.2">
      <c r="A444" s="66">
        <v>443</v>
      </c>
      <c r="B444" s="68">
        <v>45138</v>
      </c>
      <c r="C444" s="73">
        <v>0.53055555555555556</v>
      </c>
      <c r="D444" s="66" t="s">
        <v>2067</v>
      </c>
      <c r="E444" s="67" t="s">
        <v>2068</v>
      </c>
      <c r="F444" s="66">
        <v>2</v>
      </c>
      <c r="G444" s="66" t="s">
        <v>32</v>
      </c>
      <c r="H444" s="68">
        <v>45145</v>
      </c>
      <c r="I444" s="68" t="s">
        <v>1086</v>
      </c>
      <c r="J444" s="68" t="s">
        <v>35</v>
      </c>
      <c r="K444" s="66">
        <v>1</v>
      </c>
      <c r="L444" s="66" t="s">
        <v>807</v>
      </c>
      <c r="M444" s="66" t="s">
        <v>1965</v>
      </c>
      <c r="N444" s="66" t="s">
        <v>899</v>
      </c>
      <c r="O444" s="66" t="str">
        <f t="shared" ca="1" si="27"/>
        <v>SI</v>
      </c>
      <c r="P444" s="66" t="str">
        <f t="shared" si="25"/>
        <v>DIANOSOL</v>
      </c>
      <c r="Q444" s="66" t="s">
        <v>899</v>
      </c>
      <c r="R444" s="66" t="str">
        <f>VLOOKUP($Q444,Resultados!$A$1:$B$49,2,FALSE)</f>
        <v>Libertad</v>
      </c>
      <c r="S444" s="73">
        <v>0.37708333333333338</v>
      </c>
      <c r="T444" s="75" t="str">
        <f t="shared" si="26"/>
        <v>NO</v>
      </c>
      <c r="U444" s="75"/>
      <c r="V444" s="66"/>
      <c r="W444" s="73">
        <v>0.39374999999999999</v>
      </c>
      <c r="X444" s="66"/>
      <c r="Y444" s="66"/>
      <c r="Z444" s="121" t="s">
        <v>1042</v>
      </c>
      <c r="AA444" s="121" t="s">
        <v>743</v>
      </c>
      <c r="AB444" s="121" t="s">
        <v>1174</v>
      </c>
      <c r="AC444" s="361"/>
    </row>
    <row r="445" spans="1:29" ht="39.950000000000003" customHeight="1" x14ac:dyDescent="0.2">
      <c r="A445" s="66">
        <v>444</v>
      </c>
      <c r="B445" s="68">
        <v>45138</v>
      </c>
      <c r="C445" s="73">
        <v>0.47152777777777777</v>
      </c>
      <c r="D445" s="66" t="s">
        <v>2070</v>
      </c>
      <c r="E445" s="67" t="s">
        <v>2069</v>
      </c>
      <c r="F445" s="66">
        <v>5</v>
      </c>
      <c r="G445" s="66" t="s">
        <v>32</v>
      </c>
      <c r="H445" s="68">
        <v>45146</v>
      </c>
      <c r="I445" s="68" t="s">
        <v>73</v>
      </c>
      <c r="J445" s="68" t="s">
        <v>1223</v>
      </c>
      <c r="K445" s="66" t="s">
        <v>1326</v>
      </c>
      <c r="L445" s="66" t="s">
        <v>811</v>
      </c>
      <c r="M445" s="66" t="s">
        <v>1875</v>
      </c>
      <c r="N445" s="66" t="s">
        <v>2195</v>
      </c>
      <c r="O445" s="66" t="str">
        <f t="shared" ca="1" si="27"/>
        <v>SI</v>
      </c>
      <c r="P445" s="66" t="str">
        <f t="shared" si="25"/>
        <v>DIANOSOL</v>
      </c>
      <c r="Q445" s="66" t="s">
        <v>904</v>
      </c>
      <c r="R445" s="66" t="str">
        <f>VLOOKUP($Q445,Resultados!$A$1:$B$49,2,FALSE)</f>
        <v>Juicio Abreviado</v>
      </c>
      <c r="S445" s="73">
        <v>0.36527777777777781</v>
      </c>
      <c r="T445" s="75" t="str">
        <f t="shared" si="26"/>
        <v>NO</v>
      </c>
      <c r="U445" s="75"/>
      <c r="V445" s="66"/>
      <c r="W445" s="73">
        <v>0.375</v>
      </c>
      <c r="X445" s="66" t="s">
        <v>2156</v>
      </c>
      <c r="Y445" s="66"/>
      <c r="Z445" s="121" t="s">
        <v>743</v>
      </c>
      <c r="AA445" s="121" t="s">
        <v>743</v>
      </c>
      <c r="AB445" s="121" t="s">
        <v>1177</v>
      </c>
      <c r="AC445" s="361"/>
    </row>
    <row r="446" spans="1:29" ht="39.950000000000003" customHeight="1" x14ac:dyDescent="0.2">
      <c r="A446" s="66">
        <v>448</v>
      </c>
      <c r="B446" s="68">
        <v>45139</v>
      </c>
      <c r="C446" s="73">
        <v>0.49861111111111112</v>
      </c>
      <c r="D446" s="66" t="s">
        <v>2099</v>
      </c>
      <c r="E446" s="67" t="s">
        <v>2100</v>
      </c>
      <c r="F446" s="66">
        <v>5</v>
      </c>
      <c r="G446" s="66" t="s">
        <v>43</v>
      </c>
      <c r="H446" s="68">
        <v>45146</v>
      </c>
      <c r="I446" s="68" t="s">
        <v>73</v>
      </c>
      <c r="J446" s="68" t="s">
        <v>1220</v>
      </c>
      <c r="K446" s="66" t="s">
        <v>1520</v>
      </c>
      <c r="L446" s="66" t="s">
        <v>809</v>
      </c>
      <c r="M446" s="66" t="s">
        <v>1965</v>
      </c>
      <c r="N446" s="66" t="s">
        <v>2198</v>
      </c>
      <c r="O446" s="66" t="str">
        <f t="shared" ca="1" si="27"/>
        <v>SI</v>
      </c>
      <c r="P446" s="66" t="str">
        <f t="shared" si="25"/>
        <v>DIANOSOL</v>
      </c>
      <c r="Q446" s="66" t="s">
        <v>904</v>
      </c>
      <c r="R446" s="66" t="str">
        <f>VLOOKUP($Q446,Resultados!$A$1:$B$49,2,FALSE)</f>
        <v>Juicio Abreviado</v>
      </c>
      <c r="S446" s="73">
        <v>0.36805555555555558</v>
      </c>
      <c r="T446" s="75" t="str">
        <f t="shared" si="26"/>
        <v>NO</v>
      </c>
      <c r="U446" s="75"/>
      <c r="V446" s="66"/>
      <c r="W446" s="73">
        <v>0.38125000000000003</v>
      </c>
      <c r="X446" s="66"/>
      <c r="Y446" s="66"/>
      <c r="Z446" s="121" t="s">
        <v>770</v>
      </c>
      <c r="AA446" s="121" t="s">
        <v>1171</v>
      </c>
      <c r="AB446" s="121" t="s">
        <v>1176</v>
      </c>
      <c r="AC446" s="361"/>
    </row>
    <row r="447" spans="1:29" ht="39.950000000000003" customHeight="1" x14ac:dyDescent="0.2">
      <c r="A447" s="66">
        <v>449</v>
      </c>
      <c r="B447" s="68">
        <v>45139</v>
      </c>
      <c r="C447" s="73">
        <v>0.50347222222222221</v>
      </c>
      <c r="D447" s="66" t="s">
        <v>2106</v>
      </c>
      <c r="E447" s="67" t="s">
        <v>2102</v>
      </c>
      <c r="F447" s="66">
        <v>7</v>
      </c>
      <c r="G447" s="66" t="s">
        <v>1442</v>
      </c>
      <c r="H447" s="68">
        <v>45146</v>
      </c>
      <c r="I447" s="68" t="s">
        <v>73</v>
      </c>
      <c r="J447" s="68" t="s">
        <v>78</v>
      </c>
      <c r="K447" s="66">
        <f>IFERROR(VLOOKUP(J447,Jueces!$A$1:$B$11,2,FALSE),"")</f>
        <v>8</v>
      </c>
      <c r="L447" s="66" t="s">
        <v>1306</v>
      </c>
      <c r="M447" s="66" t="s">
        <v>2103</v>
      </c>
      <c r="N447" s="66" t="s">
        <v>2196</v>
      </c>
      <c r="O447" s="66" t="str">
        <f t="shared" ca="1" si="27"/>
        <v>SI</v>
      </c>
      <c r="P447" s="66" t="str">
        <f t="shared" si="25"/>
        <v>DIANOSOL</v>
      </c>
      <c r="Q447" s="66" t="s">
        <v>904</v>
      </c>
      <c r="R447" s="66" t="str">
        <f>VLOOKUP($Q447,Resultados!$A$1:$B$49,2,FALSE)</f>
        <v>Juicio Abreviado</v>
      </c>
      <c r="S447" s="73">
        <v>0.36319444444444443</v>
      </c>
      <c r="T447" s="75" t="str">
        <f t="shared" si="26"/>
        <v>SI</v>
      </c>
      <c r="U447" s="75"/>
      <c r="V447" s="66"/>
      <c r="W447" s="73">
        <v>0.38055555555555554</v>
      </c>
      <c r="X447" s="66" t="s">
        <v>2197</v>
      </c>
      <c r="Y447" s="66"/>
      <c r="Z447" s="121" t="s">
        <v>1041</v>
      </c>
      <c r="AA447" s="121" t="s">
        <v>1169</v>
      </c>
      <c r="AB447" s="121" t="s">
        <v>1173</v>
      </c>
      <c r="AC447" s="361"/>
    </row>
    <row r="448" spans="1:29" ht="39.950000000000003" customHeight="1" x14ac:dyDescent="0.2">
      <c r="A448" s="66">
        <v>450</v>
      </c>
      <c r="B448" s="68">
        <v>45139</v>
      </c>
      <c r="C448" s="73">
        <v>0.51180555555555551</v>
      </c>
      <c r="D448" s="66" t="s">
        <v>2104</v>
      </c>
      <c r="E448" s="67" t="s">
        <v>2105</v>
      </c>
      <c r="F448" s="66">
        <v>5</v>
      </c>
      <c r="G448" s="66" t="s">
        <v>1443</v>
      </c>
      <c r="H448" s="68">
        <v>45146</v>
      </c>
      <c r="I448" s="68" t="s">
        <v>73</v>
      </c>
      <c r="J448" s="68" t="s">
        <v>1221</v>
      </c>
      <c r="K448" s="66">
        <f>IFERROR(VLOOKUP(J448,Jueces!$A$1:$B$11,2,FALSE),"")</f>
        <v>7</v>
      </c>
      <c r="L448" s="66" t="s">
        <v>813</v>
      </c>
      <c r="M448" s="66" t="s">
        <v>2125</v>
      </c>
      <c r="N448" s="66" t="s">
        <v>235</v>
      </c>
      <c r="O448" s="66" t="str">
        <f t="shared" ca="1" si="27"/>
        <v>SI</v>
      </c>
      <c r="P448" s="66" t="str">
        <f t="shared" si="25"/>
        <v>DIANOSOL</v>
      </c>
      <c r="Q448" s="66" t="s">
        <v>151</v>
      </c>
      <c r="R448" s="66" t="str">
        <f>VLOOKUP($Q448,Resultados!$A$1:$B$49,2,FALSE)</f>
        <v>Prisión Preventiva</v>
      </c>
      <c r="S448" s="66" t="s">
        <v>76</v>
      </c>
      <c r="T448" s="75" t="str">
        <f t="shared" si="26"/>
        <v>NO</v>
      </c>
      <c r="U448" s="75"/>
      <c r="V448" s="66"/>
      <c r="W448" s="73">
        <v>0.39652777777777781</v>
      </c>
      <c r="X448" s="66" t="s">
        <v>2204</v>
      </c>
      <c r="Y448" s="66"/>
      <c r="Z448" s="121" t="s">
        <v>1042</v>
      </c>
      <c r="AA448" s="121" t="s">
        <v>743</v>
      </c>
      <c r="AB448" s="121" t="s">
        <v>1174</v>
      </c>
      <c r="AC448" s="361"/>
    </row>
    <row r="449" spans="1:29" ht="39.950000000000003" customHeight="1" x14ac:dyDescent="0.2">
      <c r="A449" s="66">
        <v>458</v>
      </c>
      <c r="B449" s="68">
        <v>45141</v>
      </c>
      <c r="C449" s="66" t="s">
        <v>1562</v>
      </c>
      <c r="D449" s="66" t="s">
        <v>2065</v>
      </c>
      <c r="E449" s="67" t="s">
        <v>2137</v>
      </c>
      <c r="F449" s="66">
        <v>4</v>
      </c>
      <c r="G449" s="66" t="s">
        <v>568</v>
      </c>
      <c r="H449" s="68">
        <v>45146</v>
      </c>
      <c r="I449" s="68" t="s">
        <v>73</v>
      </c>
      <c r="J449" s="68" t="s">
        <v>33</v>
      </c>
      <c r="K449" s="66">
        <f>IFERROR(VLOOKUP(J449,Jueces!$A$1:$B$11,2,FALSE),"")</f>
        <v>4</v>
      </c>
      <c r="L449" s="66" t="s">
        <v>802</v>
      </c>
      <c r="M449" s="66" t="s">
        <v>1838</v>
      </c>
      <c r="N449" s="66" t="s">
        <v>151</v>
      </c>
      <c r="O449" s="66" t="str">
        <f t="shared" ca="1" si="27"/>
        <v>SI</v>
      </c>
      <c r="P449" s="66" t="str">
        <f t="shared" si="25"/>
        <v>DIANOSOL</v>
      </c>
      <c r="Q449" s="66" t="s">
        <v>151</v>
      </c>
      <c r="R449" s="66" t="str">
        <f>VLOOKUP($Q449,Resultados!$A$1:$B$49,2,FALSE)</f>
        <v>Prisión Preventiva</v>
      </c>
      <c r="S449" s="73">
        <v>0.35416666666666669</v>
      </c>
      <c r="T449" s="75" t="str">
        <f t="shared" si="26"/>
        <v>NO</v>
      </c>
      <c r="U449" s="75"/>
      <c r="V449" s="66"/>
      <c r="W449" s="73">
        <v>0.37291666666666662</v>
      </c>
      <c r="X449" s="66"/>
      <c r="Y449" s="66"/>
      <c r="Z449" s="121" t="s">
        <v>748</v>
      </c>
      <c r="AA449" s="121" t="s">
        <v>1169</v>
      </c>
      <c r="AB449" s="121" t="s">
        <v>1175</v>
      </c>
      <c r="AC449" s="361"/>
    </row>
    <row r="450" spans="1:29" ht="39.950000000000003" customHeight="1" x14ac:dyDescent="0.2">
      <c r="A450" s="66">
        <v>418</v>
      </c>
      <c r="B450" s="68">
        <v>45131</v>
      </c>
      <c r="C450" s="73">
        <v>0.50208333333333333</v>
      </c>
      <c r="D450" s="66" t="s">
        <v>1935</v>
      </c>
      <c r="E450" s="67" t="s">
        <v>2222</v>
      </c>
      <c r="F450" s="66">
        <v>4</v>
      </c>
      <c r="G450" s="66" t="s">
        <v>1441</v>
      </c>
      <c r="H450" s="68">
        <v>45146</v>
      </c>
      <c r="I450" s="68" t="s">
        <v>1086</v>
      </c>
      <c r="J450" s="68" t="s">
        <v>1221</v>
      </c>
      <c r="K450" s="66">
        <f>IFERROR(VLOOKUP(J450,Jueces!$A$1:$B$11,2,FALSE),"")</f>
        <v>7</v>
      </c>
      <c r="L450" s="66" t="s">
        <v>796</v>
      </c>
      <c r="M450" s="66" t="s">
        <v>1997</v>
      </c>
      <c r="N450" s="66" t="s">
        <v>2205</v>
      </c>
      <c r="O450" s="66" t="str">
        <f t="shared" ca="1" si="27"/>
        <v>SI</v>
      </c>
      <c r="P450" s="66" t="str">
        <f t="shared" si="25"/>
        <v>DIANOSOL</v>
      </c>
      <c r="Q450" s="66" t="s">
        <v>905</v>
      </c>
      <c r="R450" s="66" t="str">
        <f>VLOOKUP($Q450,Resultados!$A$1:$B$49,2,FALSE)</f>
        <v>Juicio Abreviado</v>
      </c>
      <c r="S450" s="73">
        <v>0.41944444444444445</v>
      </c>
      <c r="T450" s="75" t="str">
        <f t="shared" si="26"/>
        <v>NO</v>
      </c>
      <c r="U450" s="75"/>
      <c r="V450" s="66"/>
      <c r="W450" s="73">
        <v>0.4375</v>
      </c>
      <c r="X450" s="66" t="s">
        <v>2206</v>
      </c>
      <c r="Y450" s="66"/>
      <c r="Z450" s="121" t="s">
        <v>743</v>
      </c>
      <c r="AA450" s="121" t="s">
        <v>1169</v>
      </c>
      <c r="AB450" s="121" t="s">
        <v>1177</v>
      </c>
      <c r="AC450" s="361"/>
    </row>
    <row r="451" spans="1:29" ht="39.950000000000003" customHeight="1" x14ac:dyDescent="0.2">
      <c r="A451" s="66">
        <v>442</v>
      </c>
      <c r="B451" s="68">
        <v>45138</v>
      </c>
      <c r="C451" s="73">
        <v>0.40486111111111112</v>
      </c>
      <c r="D451" s="213" t="s">
        <v>2054</v>
      </c>
      <c r="E451" s="67" t="s">
        <v>2098</v>
      </c>
      <c r="F451" s="66">
        <v>1</v>
      </c>
      <c r="G451" s="66" t="s">
        <v>43</v>
      </c>
      <c r="H451" s="68">
        <v>45147</v>
      </c>
      <c r="I451" s="68" t="s">
        <v>73</v>
      </c>
      <c r="J451" s="68" t="s">
        <v>1220</v>
      </c>
      <c r="K451" s="66">
        <f>IFERROR(VLOOKUP(J451,Jueces!$A$1:$B$11,2,FALSE),"")</f>
        <v>1</v>
      </c>
      <c r="L451" s="66" t="s">
        <v>791</v>
      </c>
      <c r="M451" s="66" t="s">
        <v>694</v>
      </c>
      <c r="N451" s="66" t="s">
        <v>2242</v>
      </c>
      <c r="O451" s="66" t="str">
        <f t="shared" ca="1" si="27"/>
        <v>SI</v>
      </c>
      <c r="P451" s="66" t="str">
        <f t="shared" ref="P451:P514" si="28">IF($P$1=H451,"DIASOL", "DIANOSOL")</f>
        <v>DIANOSOL</v>
      </c>
      <c r="Q451" s="66" t="s">
        <v>151</v>
      </c>
      <c r="R451" s="66" t="str">
        <f>VLOOKUP($Q451,Resultados!$A$1:$B$49,2,FALSE)</f>
        <v>Prisión Preventiva</v>
      </c>
      <c r="S451" s="73">
        <v>0.37222222222222223</v>
      </c>
      <c r="T451" s="75" t="str">
        <f t="shared" si="26"/>
        <v>NO</v>
      </c>
      <c r="U451" s="75"/>
      <c r="V451" s="66"/>
      <c r="W451" s="73">
        <v>0.39444444444444443</v>
      </c>
      <c r="X451" s="66"/>
      <c r="Y451" s="66"/>
      <c r="Z451" s="121" t="s">
        <v>1041</v>
      </c>
      <c r="AA451" s="121" t="s">
        <v>743</v>
      </c>
      <c r="AB451" s="121" t="s">
        <v>1174</v>
      </c>
      <c r="AC451" s="361"/>
    </row>
    <row r="452" spans="1:29" ht="39.950000000000003" customHeight="1" x14ac:dyDescent="0.2">
      <c r="A452" s="66">
        <v>451</v>
      </c>
      <c r="B452" s="68">
        <v>45140</v>
      </c>
      <c r="C452" s="73">
        <v>0.35416666666666669</v>
      </c>
      <c r="D452" s="66" t="s">
        <v>2113</v>
      </c>
      <c r="E452" s="67" t="s">
        <v>2309</v>
      </c>
      <c r="F452" s="66">
        <v>5</v>
      </c>
      <c r="G452" s="66" t="s">
        <v>32</v>
      </c>
      <c r="H452" s="68">
        <v>45147</v>
      </c>
      <c r="I452" s="68" t="s">
        <v>73</v>
      </c>
      <c r="J452" s="68" t="s">
        <v>35</v>
      </c>
      <c r="K452" s="66">
        <v>3</v>
      </c>
      <c r="L452" s="66" t="s">
        <v>809</v>
      </c>
      <c r="M452" s="66" t="s">
        <v>1965</v>
      </c>
      <c r="N452" s="66" t="s">
        <v>2420</v>
      </c>
      <c r="O452" s="66" t="str">
        <f t="shared" ca="1" si="27"/>
        <v>SI</v>
      </c>
      <c r="P452" s="66" t="str">
        <f t="shared" si="28"/>
        <v>DIANOSOL</v>
      </c>
      <c r="Q452" s="66" t="s">
        <v>911</v>
      </c>
      <c r="R452" s="66" t="str">
        <f>VLOOKUP($Q452,Resultados!$A$1:$B$49,2,FALSE)</f>
        <v>Suspendida</v>
      </c>
      <c r="S452" s="66" t="s">
        <v>2421</v>
      </c>
      <c r="T452" s="75" t="str">
        <f t="shared" si="26"/>
        <v>NO</v>
      </c>
      <c r="U452" s="75"/>
      <c r="V452" s="66"/>
      <c r="W452" s="66" t="s">
        <v>1391</v>
      </c>
      <c r="X452" s="173" t="s">
        <v>2422</v>
      </c>
      <c r="Y452" s="66"/>
      <c r="Z452" s="121" t="s">
        <v>1042</v>
      </c>
      <c r="AA452" s="121" t="s">
        <v>1169</v>
      </c>
      <c r="AB452" s="121" t="s">
        <v>1173</v>
      </c>
      <c r="AC452" s="361"/>
    </row>
    <row r="453" spans="1:29" ht="39.950000000000003" customHeight="1" x14ac:dyDescent="0.2">
      <c r="A453" s="66">
        <v>455</v>
      </c>
      <c r="B453" s="68">
        <v>45141</v>
      </c>
      <c r="C453" s="73">
        <v>0.33333333333333331</v>
      </c>
      <c r="D453" s="66" t="s">
        <v>1109</v>
      </c>
      <c r="E453" s="67" t="s">
        <v>2133</v>
      </c>
      <c r="F453" s="66">
        <v>2</v>
      </c>
      <c r="G453" s="66" t="s">
        <v>1443</v>
      </c>
      <c r="H453" s="68">
        <v>45147</v>
      </c>
      <c r="I453" s="68" t="s">
        <v>73</v>
      </c>
      <c r="J453" s="68" t="s">
        <v>31</v>
      </c>
      <c r="K453" s="66">
        <v>8</v>
      </c>
      <c r="L453" s="66" t="s">
        <v>811</v>
      </c>
      <c r="M453" s="66" t="s">
        <v>711</v>
      </c>
      <c r="N453" s="66" t="s">
        <v>2246</v>
      </c>
      <c r="O453" s="66" t="str">
        <f t="shared" ca="1" si="27"/>
        <v>SI</v>
      </c>
      <c r="P453" s="66" t="str">
        <f t="shared" si="28"/>
        <v>DIANOSOL</v>
      </c>
      <c r="Q453" s="66" t="s">
        <v>904</v>
      </c>
      <c r="R453" s="66" t="str">
        <f>VLOOKUP($Q453,Resultados!$A$1:$B$49,2,FALSE)</f>
        <v>Juicio Abreviado</v>
      </c>
      <c r="S453" s="66" t="s">
        <v>73</v>
      </c>
      <c r="T453" s="75" t="str">
        <f t="shared" si="26"/>
        <v>NO</v>
      </c>
      <c r="U453" s="75"/>
      <c r="V453" s="66"/>
      <c r="W453" s="66" t="s">
        <v>1130</v>
      </c>
      <c r="X453" s="66"/>
      <c r="Y453" s="66"/>
      <c r="Z453" s="121" t="s">
        <v>748</v>
      </c>
      <c r="AA453" s="121" t="s">
        <v>1171</v>
      </c>
      <c r="AB453" s="121" t="s">
        <v>1175</v>
      </c>
      <c r="AC453" s="361"/>
    </row>
    <row r="454" spans="1:29" ht="39.950000000000003" customHeight="1" x14ac:dyDescent="0.2">
      <c r="A454" s="66">
        <v>453</v>
      </c>
      <c r="B454" s="68">
        <v>45140</v>
      </c>
      <c r="C454" s="73">
        <v>0.52222222222222225</v>
      </c>
      <c r="D454" s="66" t="s">
        <v>2123</v>
      </c>
      <c r="E454" s="67" t="s">
        <v>2124</v>
      </c>
      <c r="F454" s="66">
        <v>5</v>
      </c>
      <c r="G454" s="66" t="s">
        <v>1442</v>
      </c>
      <c r="H454" s="68">
        <v>45147</v>
      </c>
      <c r="I454" s="68" t="s">
        <v>1086</v>
      </c>
      <c r="J454" s="68" t="s">
        <v>1224</v>
      </c>
      <c r="K454" s="66" t="s">
        <v>1346</v>
      </c>
      <c r="L454" s="66" t="s">
        <v>807</v>
      </c>
      <c r="M454" s="66" t="s">
        <v>2142</v>
      </c>
      <c r="N454" s="66" t="s">
        <v>2240</v>
      </c>
      <c r="O454" s="66" t="str">
        <f t="shared" ca="1" si="27"/>
        <v>SI</v>
      </c>
      <c r="P454" s="66" t="str">
        <f t="shared" si="28"/>
        <v>DIANOSOL</v>
      </c>
      <c r="Q454" s="66" t="s">
        <v>904</v>
      </c>
      <c r="R454" s="66" t="str">
        <f>VLOOKUP($Q454,Resultados!$A$1:$B$49,2,FALSE)</f>
        <v>Juicio Abreviado</v>
      </c>
      <c r="S454" s="73">
        <v>0.3840277777777778</v>
      </c>
      <c r="T454" s="75" t="str">
        <f t="shared" si="26"/>
        <v>SI</v>
      </c>
      <c r="U454" s="75"/>
      <c r="V454" s="66"/>
      <c r="W454" s="73">
        <v>0.3979166666666667</v>
      </c>
      <c r="X454" s="66" t="s">
        <v>2241</v>
      </c>
      <c r="Y454" s="66"/>
      <c r="Z454" s="121" t="s">
        <v>743</v>
      </c>
      <c r="AA454" s="121" t="s">
        <v>1171</v>
      </c>
      <c r="AB454" s="121" t="s">
        <v>1177</v>
      </c>
      <c r="AC454" s="361"/>
    </row>
    <row r="455" spans="1:29" ht="39.950000000000003" customHeight="1" x14ac:dyDescent="0.2">
      <c r="A455" s="66">
        <v>456</v>
      </c>
      <c r="B455" s="68">
        <v>45141</v>
      </c>
      <c r="C455" s="73">
        <v>0.44375000000000003</v>
      </c>
      <c r="D455" s="66" t="s">
        <v>2135</v>
      </c>
      <c r="E455" s="67" t="s">
        <v>2136</v>
      </c>
      <c r="F455" s="66">
        <v>6</v>
      </c>
      <c r="G455" s="66" t="s">
        <v>29</v>
      </c>
      <c r="H455" s="68">
        <v>45147</v>
      </c>
      <c r="I455" s="68" t="s">
        <v>1210</v>
      </c>
      <c r="J455" s="68" t="s">
        <v>1224</v>
      </c>
      <c r="K455" s="66">
        <v>2</v>
      </c>
      <c r="L455" s="66" t="s">
        <v>807</v>
      </c>
      <c r="M455" s="66" t="s">
        <v>2125</v>
      </c>
      <c r="N455" s="66" t="s">
        <v>2243</v>
      </c>
      <c r="O455" s="66" t="str">
        <f t="shared" ca="1" si="27"/>
        <v>SI</v>
      </c>
      <c r="P455" s="66" t="str">
        <f t="shared" si="28"/>
        <v>DIANOSOL</v>
      </c>
      <c r="Q455" s="66" t="s">
        <v>909</v>
      </c>
      <c r="R455" s="66" t="str">
        <f>VLOOKUP($Q455,Resultados!$A$1:$B$49,2,FALSE)</f>
        <v>Suspensión de juicio a prueba</v>
      </c>
      <c r="S455" s="73">
        <v>0.39999999999999997</v>
      </c>
      <c r="T455" s="75" t="str">
        <f t="shared" si="26"/>
        <v>NO</v>
      </c>
      <c r="U455" s="75"/>
      <c r="V455" s="66"/>
      <c r="W455" s="73">
        <v>0.4375</v>
      </c>
      <c r="X455" s="66"/>
      <c r="Y455" s="66"/>
      <c r="Z455" s="121" t="s">
        <v>770</v>
      </c>
      <c r="AA455" s="121" t="s">
        <v>1169</v>
      </c>
      <c r="AB455" s="121" t="s">
        <v>1176</v>
      </c>
      <c r="AC455" s="361"/>
    </row>
    <row r="456" spans="1:29" ht="25.5" x14ac:dyDescent="0.2">
      <c r="A456" s="66">
        <v>452</v>
      </c>
      <c r="B456" s="68">
        <v>45140</v>
      </c>
      <c r="C456" s="73">
        <v>0.34861111111111115</v>
      </c>
      <c r="D456" s="66" t="s">
        <v>2114</v>
      </c>
      <c r="E456" s="67" t="s">
        <v>2247</v>
      </c>
      <c r="F456" s="66">
        <v>5</v>
      </c>
      <c r="G456" s="66" t="s">
        <v>1443</v>
      </c>
      <c r="H456" s="68">
        <v>45148</v>
      </c>
      <c r="I456" s="68" t="s">
        <v>73</v>
      </c>
      <c r="J456" s="68" t="s">
        <v>31</v>
      </c>
      <c r="K456" s="66">
        <f>IFERROR(VLOOKUP(J456,Jueces!$A$1:$B$11,2,FALSE),"")</f>
        <v>2</v>
      </c>
      <c r="L456" s="66" t="s">
        <v>809</v>
      </c>
      <c r="M456" s="66" t="s">
        <v>2254</v>
      </c>
      <c r="N456" s="66" t="s">
        <v>2252</v>
      </c>
      <c r="O456" s="66" t="str">
        <f t="shared" ca="1" si="27"/>
        <v>SI</v>
      </c>
      <c r="P456" s="66" t="str">
        <f t="shared" si="28"/>
        <v>DIANOSOL</v>
      </c>
      <c r="Q456" s="66" t="s">
        <v>904</v>
      </c>
      <c r="R456" s="66" t="str">
        <f>VLOOKUP($Q456,Resultados!$A$1:$B$49,2,FALSE)</f>
        <v>Juicio Abreviado</v>
      </c>
      <c r="S456" s="66" t="s">
        <v>1017</v>
      </c>
      <c r="T456" s="75" t="str">
        <f t="shared" si="26"/>
        <v>NO</v>
      </c>
      <c r="U456" s="75"/>
      <c r="V456" s="66"/>
      <c r="W456" s="66" t="s">
        <v>1065</v>
      </c>
      <c r="X456" s="66" t="s">
        <v>2253</v>
      </c>
      <c r="Y456" s="66"/>
      <c r="Z456" s="121" t="s">
        <v>1041</v>
      </c>
      <c r="AA456" s="121" t="s">
        <v>1169</v>
      </c>
      <c r="AB456" s="121" t="s">
        <v>1174</v>
      </c>
      <c r="AC456" s="361"/>
    </row>
    <row r="457" spans="1:29" ht="39.950000000000003" customHeight="1" x14ac:dyDescent="0.2">
      <c r="A457" s="66">
        <v>457</v>
      </c>
      <c r="B457" s="68">
        <v>45142</v>
      </c>
      <c r="C457" s="73">
        <v>0.4284722222222222</v>
      </c>
      <c r="D457" s="66" t="s">
        <v>2157</v>
      </c>
      <c r="E457" s="67" t="s">
        <v>2248</v>
      </c>
      <c r="F457" s="66">
        <v>7</v>
      </c>
      <c r="G457" s="66" t="s">
        <v>1441</v>
      </c>
      <c r="H457" s="68">
        <v>45148</v>
      </c>
      <c r="I457" s="68" t="s">
        <v>73</v>
      </c>
      <c r="J457" s="68" t="s">
        <v>35</v>
      </c>
      <c r="K457" s="66">
        <f>IFERROR(VLOOKUP(J457,Jueces!$A$1:$B$11,2,FALSE),"")</f>
        <v>3</v>
      </c>
      <c r="L457" s="66" t="s">
        <v>807</v>
      </c>
      <c r="M457" s="66" t="s">
        <v>2048</v>
      </c>
      <c r="N457" s="66" t="s">
        <v>2261</v>
      </c>
      <c r="O457" s="66" t="str">
        <f t="shared" ca="1" si="27"/>
        <v>SI</v>
      </c>
      <c r="P457" s="66" t="str">
        <f t="shared" si="28"/>
        <v>DIANOSOL</v>
      </c>
      <c r="Q457" s="66" t="s">
        <v>899</v>
      </c>
      <c r="R457" s="66" t="str">
        <f>VLOOKUP($Q457,Resultados!$A$1:$B$49,2,FALSE)</f>
        <v>Libertad</v>
      </c>
      <c r="S457" s="66" t="s">
        <v>73</v>
      </c>
      <c r="T457" s="75" t="str">
        <f t="shared" si="26"/>
        <v>NO</v>
      </c>
      <c r="U457" s="75"/>
      <c r="V457" s="66"/>
      <c r="W457" s="66" t="s">
        <v>1538</v>
      </c>
      <c r="X457" s="66"/>
      <c r="Y457" s="66"/>
      <c r="Z457" s="121" t="s">
        <v>748</v>
      </c>
      <c r="AA457" s="121" t="s">
        <v>1171</v>
      </c>
      <c r="AB457" s="121" t="s">
        <v>1175</v>
      </c>
      <c r="AC457" s="361"/>
    </row>
    <row r="458" spans="1:29" ht="39.950000000000003" customHeight="1" x14ac:dyDescent="0.2">
      <c r="A458" s="66">
        <v>467</v>
      </c>
      <c r="B458" s="68">
        <v>45145</v>
      </c>
      <c r="C458" s="73">
        <v>0.41805555555555557</v>
      </c>
      <c r="D458" s="66" t="s">
        <v>2178</v>
      </c>
      <c r="E458" s="67" t="s">
        <v>2249</v>
      </c>
      <c r="F458" s="66">
        <v>5</v>
      </c>
      <c r="G458" s="66" t="s">
        <v>29</v>
      </c>
      <c r="H458" s="68">
        <v>45148</v>
      </c>
      <c r="I458" s="68" t="s">
        <v>73</v>
      </c>
      <c r="J458" s="68" t="s">
        <v>1222</v>
      </c>
      <c r="K458" s="66" t="s">
        <v>2182</v>
      </c>
      <c r="L458" s="66" t="s">
        <v>812</v>
      </c>
      <c r="M458" s="66" t="s">
        <v>1965</v>
      </c>
      <c r="N458" s="66" t="s">
        <v>2255</v>
      </c>
      <c r="O458" s="66" t="str">
        <f t="shared" ca="1" si="27"/>
        <v>SI</v>
      </c>
      <c r="P458" s="66" t="str">
        <f t="shared" si="28"/>
        <v>DIANOSOL</v>
      </c>
      <c r="Q458" s="66" t="s">
        <v>909</v>
      </c>
      <c r="R458" s="66" t="str">
        <f>VLOOKUP($Q458,Resultados!$A$1:$B$49,2,FALSE)</f>
        <v>Suspensión de juicio a prueba</v>
      </c>
      <c r="S458" s="66" t="s">
        <v>2256</v>
      </c>
      <c r="T458" s="75" t="str">
        <f t="shared" si="26"/>
        <v>NO</v>
      </c>
      <c r="U458" s="75"/>
      <c r="V458" s="66"/>
      <c r="W458" s="66" t="s">
        <v>1587</v>
      </c>
      <c r="X458" s="66" t="s">
        <v>2155</v>
      </c>
      <c r="Y458" s="66"/>
      <c r="Z458" s="121" t="s">
        <v>743</v>
      </c>
      <c r="AA458" s="121" t="s">
        <v>1169</v>
      </c>
      <c r="AB458" s="121" t="s">
        <v>1177</v>
      </c>
      <c r="AC458" s="361"/>
    </row>
    <row r="459" spans="1:29" ht="39.950000000000003" customHeight="1" x14ac:dyDescent="0.2">
      <c r="A459" s="66">
        <v>465</v>
      </c>
      <c r="B459" s="68">
        <v>45145</v>
      </c>
      <c r="C459" s="73">
        <v>0.50069444444444444</v>
      </c>
      <c r="D459" s="66" t="s">
        <v>2174</v>
      </c>
      <c r="E459" s="67" t="s">
        <v>2250</v>
      </c>
      <c r="F459" s="66">
        <v>5</v>
      </c>
      <c r="G459" s="66" t="s">
        <v>1442</v>
      </c>
      <c r="H459" s="68">
        <v>45148</v>
      </c>
      <c r="I459" s="73" t="s">
        <v>1086</v>
      </c>
      <c r="J459" s="68" t="s">
        <v>1220</v>
      </c>
      <c r="K459" s="66">
        <f>IFERROR(VLOOKUP(J459,Jueces!$A$1:$B$11,2,FALSE),"")</f>
        <v>1</v>
      </c>
      <c r="L459" s="66" t="s">
        <v>813</v>
      </c>
      <c r="M459" s="66" t="s">
        <v>2260</v>
      </c>
      <c r="N459" s="66" t="s">
        <v>1753</v>
      </c>
      <c r="O459" s="66" t="str">
        <f t="shared" ca="1" si="27"/>
        <v>SI</v>
      </c>
      <c r="P459" s="66" t="str">
        <f t="shared" si="28"/>
        <v>DIANOSOL</v>
      </c>
      <c r="Q459" s="66" t="s">
        <v>151</v>
      </c>
      <c r="R459" s="66" t="str">
        <f>VLOOKUP($Q459,Resultados!$A$1:$B$49,2,FALSE)</f>
        <v>Prisión Preventiva</v>
      </c>
      <c r="S459" s="73">
        <v>0.39861111111111108</v>
      </c>
      <c r="T459" s="75" t="str">
        <f t="shared" si="26"/>
        <v>SI</v>
      </c>
      <c r="U459" s="75"/>
      <c r="V459" s="66"/>
      <c r="W459" s="73">
        <v>0.40763888888888888</v>
      </c>
      <c r="X459" s="66"/>
      <c r="Y459" s="66"/>
      <c r="Z459" s="121" t="s">
        <v>770</v>
      </c>
      <c r="AA459" s="121" t="s">
        <v>1171</v>
      </c>
      <c r="AB459" s="121" t="s">
        <v>1176</v>
      </c>
      <c r="AC459" s="361"/>
    </row>
    <row r="460" spans="1:29" ht="39.950000000000003" customHeight="1" x14ac:dyDescent="0.2">
      <c r="A460" s="66">
        <v>447</v>
      </c>
      <c r="B460" s="68">
        <v>45139</v>
      </c>
      <c r="C460" s="73">
        <v>0.43888888888888888</v>
      </c>
      <c r="D460" s="66" t="s">
        <v>2086</v>
      </c>
      <c r="E460" s="67" t="s">
        <v>2087</v>
      </c>
      <c r="F460" s="66">
        <v>4</v>
      </c>
      <c r="G460" s="66" t="s">
        <v>568</v>
      </c>
      <c r="H460" s="68">
        <v>45149</v>
      </c>
      <c r="I460" s="68" t="s">
        <v>73</v>
      </c>
      <c r="J460" s="68" t="s">
        <v>35</v>
      </c>
      <c r="K460" s="66">
        <f>IFERROR(VLOOKUP(J460,Jueces!$A$1:$B$11,2,FALSE),"")</f>
        <v>3</v>
      </c>
      <c r="L460" s="66" t="s">
        <v>801</v>
      </c>
      <c r="M460" s="66" t="s">
        <v>1875</v>
      </c>
      <c r="N460" s="66" t="s">
        <v>577</v>
      </c>
      <c r="O460" s="66" t="str">
        <f t="shared" ca="1" si="27"/>
        <v>SI</v>
      </c>
      <c r="P460" s="66" t="str">
        <f t="shared" si="28"/>
        <v>DIANOSOL</v>
      </c>
      <c r="Q460" s="66" t="s">
        <v>151</v>
      </c>
      <c r="R460" s="66" t="str">
        <f>VLOOKUP($Q460,Resultados!$A$1:$B$49,2,FALSE)</f>
        <v>Prisión Preventiva</v>
      </c>
      <c r="S460" s="73">
        <v>0.34861111111111115</v>
      </c>
      <c r="T460" s="75" t="str">
        <f t="shared" si="26"/>
        <v>NO</v>
      </c>
      <c r="U460" s="75"/>
      <c r="V460" s="66"/>
      <c r="W460" s="73">
        <v>0.38958333333333334</v>
      </c>
      <c r="X460" s="66"/>
      <c r="Y460" s="66"/>
      <c r="Z460" s="121" t="s">
        <v>1041</v>
      </c>
      <c r="AA460" s="121" t="s">
        <v>1169</v>
      </c>
      <c r="AB460" s="121" t="s">
        <v>1175</v>
      </c>
      <c r="AC460" s="361"/>
    </row>
    <row r="461" spans="1:29" ht="39.950000000000003" customHeight="1" x14ac:dyDescent="0.2">
      <c r="A461" s="66">
        <v>459</v>
      </c>
      <c r="B461" s="68">
        <v>45142</v>
      </c>
      <c r="C461" s="73">
        <v>0.53611111111111109</v>
      </c>
      <c r="D461" s="66" t="s">
        <v>2158</v>
      </c>
      <c r="E461" s="67" t="s">
        <v>2239</v>
      </c>
      <c r="F461" s="66">
        <v>4</v>
      </c>
      <c r="G461" s="66" t="s">
        <v>32</v>
      </c>
      <c r="H461" s="68">
        <v>45149</v>
      </c>
      <c r="I461" s="68" t="s">
        <v>73</v>
      </c>
      <c r="J461" s="68" t="s">
        <v>1220</v>
      </c>
      <c r="K461" s="66">
        <f>IFERROR(VLOOKUP(J461,Jueces!$A$1:$B$11,2,FALSE),"")</f>
        <v>1</v>
      </c>
      <c r="L461" s="66" t="s">
        <v>789</v>
      </c>
      <c r="M461" s="66" t="s">
        <v>1838</v>
      </c>
      <c r="N461" s="66" t="s">
        <v>899</v>
      </c>
      <c r="O461" s="66" t="str">
        <f t="shared" ca="1" si="27"/>
        <v>SI</v>
      </c>
      <c r="P461" s="66" t="str">
        <f t="shared" si="28"/>
        <v>DIANOSOL</v>
      </c>
      <c r="Q461" s="66" t="s">
        <v>899</v>
      </c>
      <c r="R461" s="66" t="str">
        <f>VLOOKUP($Q461,Resultados!$A$1:$B$49,2,FALSE)</f>
        <v>Libertad</v>
      </c>
      <c r="S461" s="73">
        <v>0.36527777777777781</v>
      </c>
      <c r="T461" s="75" t="str">
        <f t="shared" si="26"/>
        <v>NO</v>
      </c>
      <c r="U461" s="75"/>
      <c r="V461" s="66"/>
      <c r="W461" s="66"/>
      <c r="X461" s="66"/>
      <c r="Y461" s="66"/>
      <c r="Z461" s="121" t="s">
        <v>1042</v>
      </c>
      <c r="AA461" s="121" t="s">
        <v>1171</v>
      </c>
      <c r="AB461" s="121" t="s">
        <v>1177</v>
      </c>
      <c r="AC461" s="361"/>
    </row>
    <row r="462" spans="1:29" ht="39.950000000000003" customHeight="1" x14ac:dyDescent="0.2">
      <c r="A462" s="66">
        <v>462</v>
      </c>
      <c r="B462" s="68">
        <v>45145</v>
      </c>
      <c r="C462" s="73">
        <v>0.38055555555555554</v>
      </c>
      <c r="D462" s="66" t="s">
        <v>2162</v>
      </c>
      <c r="E462" s="67" t="s">
        <v>2188</v>
      </c>
      <c r="F462" s="66">
        <v>6</v>
      </c>
      <c r="G462" s="66" t="s">
        <v>29</v>
      </c>
      <c r="H462" s="68">
        <v>45149</v>
      </c>
      <c r="I462" s="68" t="s">
        <v>73</v>
      </c>
      <c r="J462" s="68" t="s">
        <v>31</v>
      </c>
      <c r="K462" s="66">
        <f>IFERROR(VLOOKUP(J462,Jueces!$A$1:$B$11,2,FALSE),"")</f>
        <v>2</v>
      </c>
      <c r="L462" s="66" t="s">
        <v>812</v>
      </c>
      <c r="M462" s="66" t="s">
        <v>2125</v>
      </c>
      <c r="N462" s="66" t="s">
        <v>2270</v>
      </c>
      <c r="O462" s="66" t="str">
        <f t="shared" ca="1" si="27"/>
        <v>SI</v>
      </c>
      <c r="P462" s="66" t="str">
        <f t="shared" si="28"/>
        <v>DIANOSOL</v>
      </c>
      <c r="Q462" s="66" t="s">
        <v>909</v>
      </c>
      <c r="R462" s="66" t="str">
        <f>VLOOKUP($Q462,Resultados!$A$1:$B$49,2,FALSE)</f>
        <v>Suspensión de juicio a prueba</v>
      </c>
      <c r="S462" s="73">
        <v>0.36944444444444446</v>
      </c>
      <c r="T462" s="75" t="str">
        <f t="shared" si="26"/>
        <v>NO</v>
      </c>
      <c r="U462" s="75"/>
      <c r="V462" s="66"/>
      <c r="W462" s="73">
        <v>0.37847222222222227</v>
      </c>
      <c r="X462" s="66"/>
      <c r="Y462" s="66"/>
      <c r="Z462" s="121" t="s">
        <v>748</v>
      </c>
      <c r="AA462" s="121" t="s">
        <v>743</v>
      </c>
      <c r="AB462" s="121" t="s">
        <v>1176</v>
      </c>
      <c r="AC462" s="361"/>
    </row>
    <row r="463" spans="1:29" ht="39.950000000000003" customHeight="1" x14ac:dyDescent="0.2">
      <c r="A463" s="66">
        <v>464</v>
      </c>
      <c r="B463" s="68">
        <v>45145</v>
      </c>
      <c r="C463" s="73">
        <v>0.48472222222222222</v>
      </c>
      <c r="D463" s="66" t="s">
        <v>2172</v>
      </c>
      <c r="E463" s="67" t="s">
        <v>2173</v>
      </c>
      <c r="F463" s="66">
        <v>5</v>
      </c>
      <c r="G463" s="66" t="s">
        <v>43</v>
      </c>
      <c r="H463" s="68">
        <v>45149</v>
      </c>
      <c r="I463" s="68" t="s">
        <v>73</v>
      </c>
      <c r="J463" s="68" t="s">
        <v>1221</v>
      </c>
      <c r="K463" s="66">
        <f>IFERROR(VLOOKUP(J463,Jueces!$A$1:$B$11,2,FALSE),"")</f>
        <v>7</v>
      </c>
      <c r="L463" s="66" t="s">
        <v>811</v>
      </c>
      <c r="M463" s="66" t="s">
        <v>1965</v>
      </c>
      <c r="N463" s="66" t="s">
        <v>2272</v>
      </c>
      <c r="O463" s="66" t="str">
        <f t="shared" ca="1" si="27"/>
        <v>SI</v>
      </c>
      <c r="P463" s="66" t="str">
        <f t="shared" si="28"/>
        <v>DIANOSOL</v>
      </c>
      <c r="Q463" s="66" t="s">
        <v>904</v>
      </c>
      <c r="R463" s="66" t="str">
        <f>VLOOKUP($Q463,Resultados!$A$1:$B$49,2,FALSE)</f>
        <v>Juicio Abreviado</v>
      </c>
      <c r="S463" s="73">
        <v>0.35833333333333334</v>
      </c>
      <c r="T463" s="75" t="str">
        <f t="shared" si="26"/>
        <v>NO</v>
      </c>
      <c r="U463" s="75"/>
      <c r="V463" s="66"/>
      <c r="W463" s="73">
        <v>0.36249999999999999</v>
      </c>
      <c r="X463" s="66"/>
      <c r="Y463" s="66"/>
      <c r="Z463" s="121" t="s">
        <v>743</v>
      </c>
      <c r="AA463" s="121" t="s">
        <v>743</v>
      </c>
      <c r="AB463" s="121" t="s">
        <v>1173</v>
      </c>
      <c r="AC463" s="361"/>
    </row>
    <row r="464" spans="1:29" ht="39.950000000000003" customHeight="1" x14ac:dyDescent="0.2">
      <c r="A464" s="66">
        <v>479</v>
      </c>
      <c r="B464" s="68">
        <v>45146</v>
      </c>
      <c r="C464" s="73">
        <v>0.45277777777777778</v>
      </c>
      <c r="D464" s="66" t="s">
        <v>2208</v>
      </c>
      <c r="E464" s="67" t="s">
        <v>2209</v>
      </c>
      <c r="F464" s="66">
        <v>6</v>
      </c>
      <c r="G464" s="66" t="s">
        <v>1443</v>
      </c>
      <c r="H464" s="68">
        <v>45149</v>
      </c>
      <c r="I464" s="73" t="s">
        <v>73</v>
      </c>
      <c r="J464" s="68" t="s">
        <v>1223</v>
      </c>
      <c r="K464" s="66" t="s">
        <v>2266</v>
      </c>
      <c r="L464" s="66" t="s">
        <v>508</v>
      </c>
      <c r="M464" s="66" t="s">
        <v>2125</v>
      </c>
      <c r="N464" s="66" t="s">
        <v>2273</v>
      </c>
      <c r="O464" s="66" t="str">
        <f t="shared" ca="1" si="27"/>
        <v>SI</v>
      </c>
      <c r="P464" s="66" t="str">
        <f t="shared" si="28"/>
        <v>DIANOSOL</v>
      </c>
      <c r="Q464" s="66" t="s">
        <v>151</v>
      </c>
      <c r="R464" s="66" t="str">
        <f>VLOOKUP($Q464,Resultados!$A$1:$B$49,2,FALSE)</f>
        <v>Prisión Preventiva</v>
      </c>
      <c r="S464" s="73">
        <v>0.34861111111111115</v>
      </c>
      <c r="T464" s="75" t="str">
        <f t="shared" si="26"/>
        <v>NO</v>
      </c>
      <c r="U464" s="75"/>
      <c r="V464" s="66"/>
      <c r="W464" s="73">
        <v>0.4145833333333333</v>
      </c>
      <c r="X464" s="66"/>
      <c r="Y464" s="66"/>
      <c r="Z464" s="121" t="s">
        <v>770</v>
      </c>
      <c r="AA464" s="121" t="s">
        <v>1169</v>
      </c>
      <c r="AB464" s="121" t="s">
        <v>1174</v>
      </c>
      <c r="AC464" s="361"/>
    </row>
    <row r="465" spans="1:29" ht="63.75" x14ac:dyDescent="0.2">
      <c r="A465" s="66">
        <v>463</v>
      </c>
      <c r="B465" s="68">
        <v>45145</v>
      </c>
      <c r="C465" s="73">
        <v>0.37847222222222227</v>
      </c>
      <c r="D465" s="66" t="s">
        <v>2163</v>
      </c>
      <c r="E465" s="67" t="s">
        <v>2251</v>
      </c>
      <c r="F465" s="66">
        <v>6</v>
      </c>
      <c r="G465" s="66" t="s">
        <v>283</v>
      </c>
      <c r="H465" s="68">
        <v>45149</v>
      </c>
      <c r="I465" s="68" t="s">
        <v>1086</v>
      </c>
      <c r="J465" s="68" t="s">
        <v>1223</v>
      </c>
      <c r="K465" s="66" t="s">
        <v>1520</v>
      </c>
      <c r="L465" s="66" t="s">
        <v>788</v>
      </c>
      <c r="M465" s="66" t="s">
        <v>2125</v>
      </c>
      <c r="N465" s="66" t="s">
        <v>2274</v>
      </c>
      <c r="O465" s="66" t="str">
        <f t="shared" ca="1" si="27"/>
        <v>SI</v>
      </c>
      <c r="P465" s="66" t="str">
        <f t="shared" si="28"/>
        <v>DIANOSOL</v>
      </c>
      <c r="Q465" s="66" t="s">
        <v>904</v>
      </c>
      <c r="R465" s="66" t="str">
        <f>VLOOKUP($Q465,Resultados!$A$1:$B$49,2,FALSE)</f>
        <v>Juicio Abreviado</v>
      </c>
      <c r="S465" s="73">
        <v>0.4597222222222222</v>
      </c>
      <c r="T465" s="75" t="str">
        <f t="shared" si="26"/>
        <v>NO</v>
      </c>
      <c r="U465" s="75"/>
      <c r="V465" s="66"/>
      <c r="W465" s="73">
        <v>0.47361111111111115</v>
      </c>
      <c r="X465" s="66"/>
      <c r="Y465" s="66"/>
      <c r="Z465" s="121" t="s">
        <v>1041</v>
      </c>
      <c r="AA465" s="121" t="s">
        <v>1169</v>
      </c>
      <c r="AB465" s="121" t="s">
        <v>1174</v>
      </c>
      <c r="AC465" s="361"/>
    </row>
    <row r="466" spans="1:29" ht="39.950000000000003" customHeight="1" x14ac:dyDescent="0.2">
      <c r="A466" s="66">
        <v>466</v>
      </c>
      <c r="B466" s="68">
        <v>45145</v>
      </c>
      <c r="C466" s="66" t="s">
        <v>2175</v>
      </c>
      <c r="D466" s="66" t="s">
        <v>2176</v>
      </c>
      <c r="E466" s="67" t="s">
        <v>2177</v>
      </c>
      <c r="F466" s="66">
        <v>5</v>
      </c>
      <c r="G466" s="66" t="s">
        <v>1441</v>
      </c>
      <c r="H466" s="68">
        <v>45149</v>
      </c>
      <c r="I466" s="68" t="s">
        <v>1086</v>
      </c>
      <c r="J466" s="68" t="s">
        <v>33</v>
      </c>
      <c r="K466" s="66">
        <f>IFERROR(VLOOKUP(J466,Jueces!$A$1:$B$11,2,FALSE),"")</f>
        <v>4</v>
      </c>
      <c r="L466" s="66" t="s">
        <v>811</v>
      </c>
      <c r="M466" s="66" t="s">
        <v>1965</v>
      </c>
      <c r="N466" s="66" t="s">
        <v>2271</v>
      </c>
      <c r="O466" s="66" t="str">
        <f t="shared" ca="1" si="27"/>
        <v>SI</v>
      </c>
      <c r="P466" s="66" t="str">
        <f t="shared" si="28"/>
        <v>DIANOSOL</v>
      </c>
      <c r="Q466" s="66" t="s">
        <v>904</v>
      </c>
      <c r="R466" s="66" t="str">
        <f>VLOOKUP($Q466,Resultados!$A$1:$B$49,2,FALSE)</f>
        <v>Juicio Abreviado</v>
      </c>
      <c r="S466" s="73">
        <v>0.37986111111111115</v>
      </c>
      <c r="T466" s="75" t="str">
        <f t="shared" si="26"/>
        <v>NO</v>
      </c>
      <c r="U466" s="75"/>
      <c r="V466" s="66"/>
      <c r="W466" s="73">
        <v>0.38750000000000001</v>
      </c>
      <c r="X466" s="66"/>
      <c r="Y466" s="66"/>
      <c r="Z466" s="121" t="s">
        <v>1042</v>
      </c>
      <c r="AA466" s="121" t="s">
        <v>1171</v>
      </c>
      <c r="AB466" s="121" t="s">
        <v>1173</v>
      </c>
      <c r="AC466" s="361"/>
    </row>
    <row r="467" spans="1:29" ht="39.950000000000003" customHeight="1" x14ac:dyDescent="0.2">
      <c r="A467" s="66">
        <v>461</v>
      </c>
      <c r="B467" s="68">
        <v>45145</v>
      </c>
      <c r="C467" s="73">
        <v>0.37708333333333338</v>
      </c>
      <c r="D467" s="66" t="s">
        <v>2160</v>
      </c>
      <c r="E467" s="67" t="s">
        <v>2161</v>
      </c>
      <c r="F467" s="66">
        <v>6</v>
      </c>
      <c r="G467" s="66" t="s">
        <v>1441</v>
      </c>
      <c r="H467" s="68">
        <v>45152</v>
      </c>
      <c r="I467" s="68" t="s">
        <v>73</v>
      </c>
      <c r="J467" s="68" t="s">
        <v>35</v>
      </c>
      <c r="K467" s="66">
        <f>IFERROR(VLOOKUP(J467,Jueces!$A$1:$B$11,2,FALSE),"")</f>
        <v>3</v>
      </c>
      <c r="L467" s="66" t="s">
        <v>811</v>
      </c>
      <c r="M467" s="66" t="s">
        <v>2125</v>
      </c>
      <c r="N467" s="66" t="s">
        <v>2293</v>
      </c>
      <c r="O467" s="66" t="str">
        <f t="shared" ca="1" si="27"/>
        <v>SI</v>
      </c>
      <c r="P467" s="66" t="str">
        <f t="shared" si="28"/>
        <v>DIANOSOL</v>
      </c>
      <c r="Q467" s="66" t="s">
        <v>904</v>
      </c>
      <c r="R467" s="66" t="str">
        <f>VLOOKUP($Q467,Resultados!$A$1:$B$49,2,FALSE)</f>
        <v>Juicio Abreviado</v>
      </c>
      <c r="S467" s="73">
        <v>0.35486111111111113</v>
      </c>
      <c r="T467" s="75" t="str">
        <f t="shared" si="26"/>
        <v>NO</v>
      </c>
      <c r="U467" s="75"/>
      <c r="V467" s="66"/>
      <c r="W467" s="73">
        <v>0.35902777777777778</v>
      </c>
      <c r="X467" s="66"/>
      <c r="Y467" s="66"/>
      <c r="Z467" s="121" t="s">
        <v>748</v>
      </c>
      <c r="AA467" s="121" t="s">
        <v>743</v>
      </c>
      <c r="AB467" s="121" t="s">
        <v>1175</v>
      </c>
      <c r="AC467" s="361"/>
    </row>
    <row r="468" spans="1:29" ht="39.950000000000003" customHeight="1" x14ac:dyDescent="0.2">
      <c r="A468" s="66">
        <v>468</v>
      </c>
      <c r="B468" s="68">
        <v>45145</v>
      </c>
      <c r="C468" s="73">
        <v>0.51111111111111118</v>
      </c>
      <c r="D468" s="66" t="s">
        <v>2180</v>
      </c>
      <c r="E468" s="67" t="s">
        <v>2181</v>
      </c>
      <c r="F468" s="66">
        <v>5</v>
      </c>
      <c r="G468" s="66" t="s">
        <v>1443</v>
      </c>
      <c r="H468" s="68">
        <v>45152</v>
      </c>
      <c r="I468" s="68" t="s">
        <v>73</v>
      </c>
      <c r="J468" s="68" t="s">
        <v>78</v>
      </c>
      <c r="K468" s="66">
        <v>8</v>
      </c>
      <c r="L468" s="66" t="s">
        <v>1702</v>
      </c>
      <c r="M468" s="66" t="s">
        <v>1028</v>
      </c>
      <c r="N468" s="66" t="s">
        <v>2229</v>
      </c>
      <c r="O468" s="66" t="str">
        <f t="shared" ca="1" si="27"/>
        <v>SI</v>
      </c>
      <c r="P468" s="66" t="str">
        <f t="shared" si="28"/>
        <v>DIANOSOL</v>
      </c>
      <c r="Q468" s="66" t="s">
        <v>151</v>
      </c>
      <c r="R468" s="66" t="str">
        <f>VLOOKUP($Q468,Resultados!$A$1:$B$49,2,FALSE)</f>
        <v>Prisión Preventiva</v>
      </c>
      <c r="S468" s="73">
        <v>0.36319444444444443</v>
      </c>
      <c r="T468" s="75" t="str">
        <f t="shared" si="26"/>
        <v>NO</v>
      </c>
      <c r="U468" s="75"/>
      <c r="V468" s="66"/>
      <c r="W468" s="73">
        <v>0.39305555555555555</v>
      </c>
      <c r="X468" s="66" t="s">
        <v>2295</v>
      </c>
      <c r="Y468" s="66"/>
      <c r="Z468" s="121" t="s">
        <v>743</v>
      </c>
      <c r="AA468" s="121" t="s">
        <v>743</v>
      </c>
      <c r="AB468" s="121" t="s">
        <v>1177</v>
      </c>
      <c r="AC468" s="361"/>
    </row>
    <row r="469" spans="1:29" ht="39.950000000000003" customHeight="1" x14ac:dyDescent="0.2">
      <c r="A469" s="66">
        <v>476</v>
      </c>
      <c r="B469" s="68">
        <v>45146</v>
      </c>
      <c r="C469" s="73">
        <v>0.33333333333333331</v>
      </c>
      <c r="D469" s="66" t="s">
        <v>2200</v>
      </c>
      <c r="E469" s="67" t="s">
        <v>2220</v>
      </c>
      <c r="F469" s="66">
        <v>6</v>
      </c>
      <c r="G469" s="66" t="s">
        <v>32</v>
      </c>
      <c r="H469" s="68">
        <v>45152</v>
      </c>
      <c r="I469" s="68" t="s">
        <v>73</v>
      </c>
      <c r="J469" s="68" t="s">
        <v>1222</v>
      </c>
      <c r="K469" s="66">
        <v>5</v>
      </c>
      <c r="L469" s="66" t="s">
        <v>809</v>
      </c>
      <c r="M469" s="66" t="s">
        <v>2219</v>
      </c>
      <c r="N469" s="66" t="s">
        <v>2320</v>
      </c>
      <c r="O469" s="66" t="str">
        <f t="shared" ca="1" si="27"/>
        <v>SI</v>
      </c>
      <c r="P469" s="66" t="str">
        <f t="shared" si="28"/>
        <v>DIANOSOL</v>
      </c>
      <c r="Q469" s="66" t="s">
        <v>904</v>
      </c>
      <c r="R469" s="66" t="str">
        <f>VLOOKUP($Q469,Resultados!$A$1:$B$49,2,FALSE)</f>
        <v>Juicio Abreviado</v>
      </c>
      <c r="S469" s="73">
        <v>0.35069444444444442</v>
      </c>
      <c r="T469" s="75" t="str">
        <f t="shared" si="26"/>
        <v>NO</v>
      </c>
      <c r="U469" s="75"/>
      <c r="V469" s="66"/>
      <c r="W469" s="73">
        <v>0.35416666666666669</v>
      </c>
      <c r="X469" s="66" t="s">
        <v>2294</v>
      </c>
      <c r="Y469" s="66"/>
      <c r="Z469" s="121" t="s">
        <v>770</v>
      </c>
      <c r="AA469" s="121" t="s">
        <v>1169</v>
      </c>
      <c r="AB469" s="121" t="s">
        <v>1176</v>
      </c>
      <c r="AC469" s="361"/>
    </row>
    <row r="470" spans="1:29" ht="39.950000000000003" customHeight="1" x14ac:dyDescent="0.2">
      <c r="A470" s="66">
        <v>417</v>
      </c>
      <c r="B470" s="68">
        <v>45131</v>
      </c>
      <c r="C470" s="73">
        <v>0.40625</v>
      </c>
      <c r="D470" s="66" t="s">
        <v>1931</v>
      </c>
      <c r="E470" s="67" t="s">
        <v>2164</v>
      </c>
      <c r="F470" s="66">
        <v>4</v>
      </c>
      <c r="G470" s="66" t="s">
        <v>568</v>
      </c>
      <c r="H470" s="68">
        <v>45152</v>
      </c>
      <c r="I470" s="68" t="s">
        <v>1086</v>
      </c>
      <c r="J470" s="68" t="s">
        <v>33</v>
      </c>
      <c r="K470" s="66">
        <f>IFERROR(VLOOKUP(J470,Jueces!$A$1:$B$11,2,FALSE),"")</f>
        <v>4</v>
      </c>
      <c r="L470" s="66" t="s">
        <v>811</v>
      </c>
      <c r="M470" s="66" t="s">
        <v>1838</v>
      </c>
      <c r="N470" s="66" t="s">
        <v>2332</v>
      </c>
      <c r="O470" s="66" t="str">
        <f t="shared" ca="1" si="27"/>
        <v>SI</v>
      </c>
      <c r="P470" s="66" t="str">
        <f t="shared" si="28"/>
        <v>DIANOSOL</v>
      </c>
      <c r="Q470" s="66" t="s">
        <v>1512</v>
      </c>
      <c r="R470" s="66" t="str">
        <f>VLOOKUP($Q470,Resultados!$A$1:$B$49,2,FALSE)</f>
        <v>Juicio Abreviado</v>
      </c>
      <c r="S470" s="73">
        <v>0.39999999999999997</v>
      </c>
      <c r="T470" s="75" t="str">
        <f t="shared" si="26"/>
        <v>NO</v>
      </c>
      <c r="U470" s="75"/>
      <c r="V470" s="66"/>
      <c r="W470" s="73">
        <v>0.41319444444444442</v>
      </c>
      <c r="X470" s="66" t="s">
        <v>2296</v>
      </c>
      <c r="Y470" s="66"/>
      <c r="Z470" s="121" t="s">
        <v>1041</v>
      </c>
      <c r="AA470" s="121" t="s">
        <v>1171</v>
      </c>
      <c r="AB470" s="121" t="s">
        <v>1174</v>
      </c>
      <c r="AC470" s="361"/>
    </row>
    <row r="471" spans="1:29" ht="39.950000000000003" customHeight="1" x14ac:dyDescent="0.2">
      <c r="A471" s="66">
        <v>469</v>
      </c>
      <c r="B471" s="68">
        <v>45145</v>
      </c>
      <c r="C471" s="73">
        <v>0.50624999999999998</v>
      </c>
      <c r="D471" s="66" t="s">
        <v>2185</v>
      </c>
      <c r="E471" s="67" t="s">
        <v>2184</v>
      </c>
      <c r="F471" s="66">
        <v>5</v>
      </c>
      <c r="G471" s="66" t="s">
        <v>43</v>
      </c>
      <c r="H471" s="68">
        <v>45152</v>
      </c>
      <c r="I471" s="68" t="s">
        <v>1086</v>
      </c>
      <c r="J471" s="68" t="s">
        <v>1224</v>
      </c>
      <c r="K471" s="66">
        <v>2</v>
      </c>
      <c r="L471" s="66" t="s">
        <v>2090</v>
      </c>
      <c r="M471" s="66" t="s">
        <v>783</v>
      </c>
      <c r="N471" s="66" t="s">
        <v>2333</v>
      </c>
      <c r="O471" s="66" t="str">
        <f t="shared" ca="1" si="27"/>
        <v>SI</v>
      </c>
      <c r="P471" s="66" t="str">
        <f t="shared" si="28"/>
        <v>DIANOSOL</v>
      </c>
      <c r="Q471" s="66" t="s">
        <v>1512</v>
      </c>
      <c r="R471" s="66" t="str">
        <f>VLOOKUP($Q471,Resultados!$A$1:$B$49,2,FALSE)</f>
        <v>Juicio Abreviado</v>
      </c>
      <c r="S471" s="66"/>
      <c r="T471" s="75" t="str">
        <f t="shared" si="26"/>
        <v>NO</v>
      </c>
      <c r="U471" s="75"/>
      <c r="V471" s="66"/>
      <c r="W471" s="66"/>
      <c r="X471" s="66" t="s">
        <v>2297</v>
      </c>
      <c r="Y471" s="66"/>
      <c r="Z471" s="121" t="s">
        <v>1042</v>
      </c>
      <c r="AA471" s="121" t="s">
        <v>743</v>
      </c>
      <c r="AB471" s="121" t="s">
        <v>1173</v>
      </c>
      <c r="AC471" s="361"/>
    </row>
    <row r="472" spans="1:29" ht="39.950000000000003" customHeight="1" x14ac:dyDescent="0.2">
      <c r="A472" s="66">
        <v>472</v>
      </c>
      <c r="B472" s="68">
        <v>45145</v>
      </c>
      <c r="C472" s="73">
        <v>0.52777777777777779</v>
      </c>
      <c r="D472" s="66" t="s">
        <v>2192</v>
      </c>
      <c r="E472" s="67" t="s">
        <v>2193</v>
      </c>
      <c r="F472" s="66">
        <v>6</v>
      </c>
      <c r="G472" s="66" t="s">
        <v>1442</v>
      </c>
      <c r="H472" s="68">
        <v>45152</v>
      </c>
      <c r="I472" s="68" t="s">
        <v>1086</v>
      </c>
      <c r="J472" s="68" t="s">
        <v>1223</v>
      </c>
      <c r="K472" s="66" t="s">
        <v>1925</v>
      </c>
      <c r="L472" s="66" t="s">
        <v>2090</v>
      </c>
      <c r="M472" s="66" t="s">
        <v>2125</v>
      </c>
      <c r="N472" s="66" t="s">
        <v>621</v>
      </c>
      <c r="O472" s="66" t="str">
        <f t="shared" ca="1" si="27"/>
        <v>SI</v>
      </c>
      <c r="P472" s="66" t="str">
        <f t="shared" si="28"/>
        <v>DIANOSOL</v>
      </c>
      <c r="Q472" s="66" t="s">
        <v>151</v>
      </c>
      <c r="R472" s="66" t="str">
        <f>VLOOKUP($Q472,Resultados!$A$1:$B$49,2,FALSE)</f>
        <v>Prisión Preventiva</v>
      </c>
      <c r="S472" s="73">
        <v>0.38194444444444442</v>
      </c>
      <c r="T472" s="75"/>
      <c r="U472" s="75"/>
      <c r="V472" s="66"/>
      <c r="W472" s="73">
        <v>0.3923611111111111</v>
      </c>
      <c r="X472" s="66"/>
      <c r="Y472" s="66"/>
      <c r="Z472" s="121" t="s">
        <v>748</v>
      </c>
      <c r="AA472" s="121" t="s">
        <v>1169</v>
      </c>
      <c r="AB472" s="121" t="s">
        <v>1175</v>
      </c>
      <c r="AC472" s="361"/>
    </row>
    <row r="473" spans="1:29" ht="39.950000000000003" customHeight="1" x14ac:dyDescent="0.2">
      <c r="A473" s="66">
        <v>470</v>
      </c>
      <c r="B473" s="68">
        <v>45145</v>
      </c>
      <c r="C473" s="73">
        <v>0.44305555555555554</v>
      </c>
      <c r="D473" s="66" t="s">
        <v>2186</v>
      </c>
      <c r="E473" s="67" t="s">
        <v>2187</v>
      </c>
      <c r="F473" s="66">
        <v>4</v>
      </c>
      <c r="G473" s="66" t="s">
        <v>29</v>
      </c>
      <c r="H473" s="68">
        <v>45153</v>
      </c>
      <c r="I473" s="68" t="s">
        <v>73</v>
      </c>
      <c r="J473" s="68" t="s">
        <v>31</v>
      </c>
      <c r="K473" s="66">
        <f>IFERROR(VLOOKUP(J473,Jueces!$A$1:$B$11,2,FALSE),"")</f>
        <v>2</v>
      </c>
      <c r="L473" s="66" t="s">
        <v>798</v>
      </c>
      <c r="M473" s="66" t="s">
        <v>695</v>
      </c>
      <c r="N473" s="66" t="s">
        <v>2310</v>
      </c>
      <c r="O473" s="66" t="str">
        <f t="shared" ca="1" si="27"/>
        <v>SI</v>
      </c>
      <c r="P473" s="66" t="str">
        <f t="shared" si="28"/>
        <v>DIANOSOL</v>
      </c>
      <c r="Q473" s="66" t="s">
        <v>902</v>
      </c>
      <c r="R473" s="66" t="str">
        <f>VLOOKUP($Q473,Resultados!$A$1:$B$49,2,FALSE)</f>
        <v>Libertad</v>
      </c>
      <c r="S473" s="73">
        <v>0.3527777777777778</v>
      </c>
      <c r="T473" s="75" t="str">
        <f t="shared" ref="T473:T504" si="29">IF(G473=$J$1,"SI","NO")</f>
        <v>NO</v>
      </c>
      <c r="U473" s="75"/>
      <c r="V473" s="66"/>
      <c r="W473" s="73">
        <v>0.38194444444444442</v>
      </c>
      <c r="X473" s="66" t="s">
        <v>2312</v>
      </c>
      <c r="Y473" s="66"/>
      <c r="Z473" s="121" t="s">
        <v>743</v>
      </c>
      <c r="AA473" s="121" t="s">
        <v>1171</v>
      </c>
      <c r="AB473" s="121" t="s">
        <v>1177</v>
      </c>
      <c r="AC473" s="361"/>
    </row>
    <row r="474" spans="1:29" ht="39.950000000000003" customHeight="1" x14ac:dyDescent="0.2">
      <c r="A474" s="66">
        <v>474</v>
      </c>
      <c r="B474" s="68">
        <v>45146</v>
      </c>
      <c r="C474" s="73">
        <v>0.3354166666666667</v>
      </c>
      <c r="D474" s="66" t="s">
        <v>2218</v>
      </c>
      <c r="E474" s="67" t="s">
        <v>2199</v>
      </c>
      <c r="F474" s="66">
        <v>6</v>
      </c>
      <c r="G474" s="66" t="s">
        <v>283</v>
      </c>
      <c r="H474" s="68">
        <v>45153</v>
      </c>
      <c r="I474" s="68" t="s">
        <v>73</v>
      </c>
      <c r="J474" s="68" t="s">
        <v>1221</v>
      </c>
      <c r="K474" s="66" t="s">
        <v>2304</v>
      </c>
      <c r="L474" s="66" t="s">
        <v>1070</v>
      </c>
      <c r="M474" s="66" t="s">
        <v>2125</v>
      </c>
      <c r="N474" s="66" t="s">
        <v>2331</v>
      </c>
      <c r="O474" s="66" t="str">
        <f t="shared" ca="1" si="27"/>
        <v>SI</v>
      </c>
      <c r="P474" s="66" t="str">
        <f t="shared" si="28"/>
        <v>DIANOSOL</v>
      </c>
      <c r="Q474" s="66" t="s">
        <v>151</v>
      </c>
      <c r="R474" s="66" t="str">
        <f>VLOOKUP($Q474,Resultados!$A$1:$B$49,2,FALSE)</f>
        <v>Prisión Preventiva</v>
      </c>
      <c r="S474" s="73">
        <v>0.3666666666666667</v>
      </c>
      <c r="T474" s="75" t="str">
        <f t="shared" si="29"/>
        <v>NO</v>
      </c>
      <c r="U474" s="75"/>
      <c r="V474" s="66"/>
      <c r="W474" s="73">
        <v>0.38263888888888892</v>
      </c>
      <c r="X474" s="66" t="s">
        <v>2311</v>
      </c>
      <c r="Y474" s="66"/>
      <c r="Z474" s="121" t="s">
        <v>1041</v>
      </c>
      <c r="AA474" s="121" t="s">
        <v>1169</v>
      </c>
      <c r="AB474" s="121" t="s">
        <v>1174</v>
      </c>
      <c r="AC474" s="361"/>
    </row>
    <row r="475" spans="1:29" ht="39.950000000000003" customHeight="1" x14ac:dyDescent="0.2">
      <c r="A475" s="66">
        <v>480</v>
      </c>
      <c r="B475" s="68">
        <v>45146</v>
      </c>
      <c r="C475" s="66" t="s">
        <v>2210</v>
      </c>
      <c r="D475" s="66" t="s">
        <v>2211</v>
      </c>
      <c r="E475" s="67" t="s">
        <v>2212</v>
      </c>
      <c r="F475" s="66">
        <v>2</v>
      </c>
      <c r="G475" s="66" t="s">
        <v>43</v>
      </c>
      <c r="H475" s="68">
        <v>45153</v>
      </c>
      <c r="I475" s="68" t="s">
        <v>73</v>
      </c>
      <c r="J475" s="68" t="s">
        <v>1222</v>
      </c>
      <c r="K475" s="66" t="s">
        <v>1925</v>
      </c>
      <c r="L475" s="66" t="s">
        <v>809</v>
      </c>
      <c r="M475" s="66" t="s">
        <v>1965</v>
      </c>
      <c r="N475" s="66" t="s">
        <v>621</v>
      </c>
      <c r="O475" s="66" t="str">
        <f t="shared" ca="1" si="27"/>
        <v>SI</v>
      </c>
      <c r="P475" s="66" t="str">
        <f t="shared" si="28"/>
        <v>DIANOSOL</v>
      </c>
      <c r="Q475" s="66" t="s">
        <v>151</v>
      </c>
      <c r="R475" s="66" t="str">
        <f>VLOOKUP($Q475,Resultados!$A$1:$B$49,2,FALSE)</f>
        <v>Prisión Preventiva</v>
      </c>
      <c r="S475" s="73">
        <v>0.35069444444444442</v>
      </c>
      <c r="T475" s="75" t="str">
        <f t="shared" si="29"/>
        <v>NO</v>
      </c>
      <c r="U475" s="75"/>
      <c r="V475" s="66"/>
      <c r="W475" s="73">
        <v>0.3576388888888889</v>
      </c>
      <c r="X475" s="66"/>
      <c r="Y475" s="66"/>
      <c r="Z475" s="121" t="s">
        <v>1042</v>
      </c>
      <c r="AA475" s="121" t="s">
        <v>1171</v>
      </c>
      <c r="AB475" s="121" t="s">
        <v>1173</v>
      </c>
      <c r="AC475" s="361"/>
    </row>
    <row r="476" spans="1:29" ht="39.950000000000003" customHeight="1" x14ac:dyDescent="0.2">
      <c r="A476" s="66">
        <v>483</v>
      </c>
      <c r="B476" s="68">
        <v>45147</v>
      </c>
      <c r="C476" s="73">
        <v>0.33333333333333331</v>
      </c>
      <c r="D476" s="66" t="s">
        <v>2226</v>
      </c>
      <c r="E476" s="67" t="s">
        <v>2223</v>
      </c>
      <c r="F476" s="66">
        <v>5</v>
      </c>
      <c r="G476" s="66" t="s">
        <v>568</v>
      </c>
      <c r="H476" s="68">
        <v>45153</v>
      </c>
      <c r="I476" s="68" t="s">
        <v>73</v>
      </c>
      <c r="J476" s="68" t="s">
        <v>35</v>
      </c>
      <c r="K476" s="66">
        <f>IFERROR(VLOOKUP(J476,Jueces!$A$1:$B$11,2,FALSE),"")</f>
        <v>3</v>
      </c>
      <c r="L476" s="66" t="s">
        <v>806</v>
      </c>
      <c r="M476" s="66" t="s">
        <v>1875</v>
      </c>
      <c r="N476" s="66" t="s">
        <v>2330</v>
      </c>
      <c r="O476" s="66" t="str">
        <f t="shared" ca="1" si="27"/>
        <v>SI</v>
      </c>
      <c r="P476" s="66" t="str">
        <f t="shared" si="28"/>
        <v>DIANOSOL</v>
      </c>
      <c r="Q476" s="66" t="s">
        <v>151</v>
      </c>
      <c r="R476" s="66" t="str">
        <f>VLOOKUP($Q476,Resultados!$A$1:$B$49,2,FALSE)</f>
        <v>Prisión Preventiva</v>
      </c>
      <c r="S476" s="73">
        <v>0.3611111111111111</v>
      </c>
      <c r="T476" s="75" t="str">
        <f t="shared" si="29"/>
        <v>NO</v>
      </c>
      <c r="U476" s="75"/>
      <c r="V476" s="66"/>
      <c r="W476" s="73">
        <v>0.42777777777777781</v>
      </c>
      <c r="X476" s="66" t="s">
        <v>2318</v>
      </c>
      <c r="Y476" s="66"/>
      <c r="Z476" s="121" t="s">
        <v>748</v>
      </c>
      <c r="AA476" s="121" t="s">
        <v>743</v>
      </c>
      <c r="AB476" s="121" t="s">
        <v>1175</v>
      </c>
      <c r="AC476" s="361"/>
    </row>
    <row r="477" spans="1:29" ht="39.950000000000003" customHeight="1" x14ac:dyDescent="0.2">
      <c r="A477" s="66">
        <v>481</v>
      </c>
      <c r="B477" s="68">
        <v>45146</v>
      </c>
      <c r="C477" s="73">
        <v>0.51458333333333328</v>
      </c>
      <c r="D477" s="66" t="s">
        <v>2213</v>
      </c>
      <c r="E477" s="67" t="s">
        <v>2214</v>
      </c>
      <c r="F477" s="66">
        <v>6</v>
      </c>
      <c r="G477" s="66" t="s">
        <v>32</v>
      </c>
      <c r="H477" s="68">
        <v>45153</v>
      </c>
      <c r="I477" s="68" t="s">
        <v>547</v>
      </c>
      <c r="J477" s="68" t="s">
        <v>1220</v>
      </c>
      <c r="K477" s="66">
        <f>IFERROR(VLOOKUP(J477,Jueces!$A$1:$B$11,2,FALSE),"")</f>
        <v>1</v>
      </c>
      <c r="L477" s="66" t="s">
        <v>809</v>
      </c>
      <c r="M477" s="66" t="s">
        <v>2125</v>
      </c>
      <c r="N477" s="66" t="s">
        <v>2319</v>
      </c>
      <c r="O477" s="66" t="str">
        <f t="shared" ca="1" si="27"/>
        <v>SI</v>
      </c>
      <c r="P477" s="66" t="str">
        <f t="shared" si="28"/>
        <v>DIANOSOL</v>
      </c>
      <c r="Q477" s="66" t="s">
        <v>904</v>
      </c>
      <c r="R477" s="66" t="str">
        <f>VLOOKUP($Q477,Resultados!$A$1:$B$49,2,FALSE)</f>
        <v>Juicio Abreviado</v>
      </c>
      <c r="S477" s="73">
        <v>0.47152777777777777</v>
      </c>
      <c r="T477" s="75" t="str">
        <f t="shared" si="29"/>
        <v>NO</v>
      </c>
      <c r="U477" s="75"/>
      <c r="V477" s="66"/>
      <c r="W477" s="73">
        <v>0.47430555555555554</v>
      </c>
      <c r="X477" s="66"/>
      <c r="Y477" s="66"/>
      <c r="Z477" s="121" t="s">
        <v>770</v>
      </c>
      <c r="AA477" s="121" t="s">
        <v>1169</v>
      </c>
      <c r="AB477" s="121" t="s">
        <v>1176</v>
      </c>
      <c r="AC477" s="361"/>
    </row>
    <row r="478" spans="1:29" ht="51" x14ac:dyDescent="0.2">
      <c r="A478" s="66">
        <v>460</v>
      </c>
      <c r="B478" s="68">
        <v>45145</v>
      </c>
      <c r="C478" s="73">
        <v>0.375</v>
      </c>
      <c r="D478" s="66" t="s">
        <v>2159</v>
      </c>
      <c r="E478" s="67" t="s">
        <v>2217</v>
      </c>
      <c r="F478" s="66">
        <v>6</v>
      </c>
      <c r="G478" s="66" t="s">
        <v>29</v>
      </c>
      <c r="H478" s="68">
        <v>45154</v>
      </c>
      <c r="I478" s="68" t="s">
        <v>73</v>
      </c>
      <c r="J478" s="68" t="s">
        <v>1220</v>
      </c>
      <c r="K478" s="66">
        <f>IFERROR(VLOOKUP(J478,Jueces!$A$1:$B$11,2,FALSE),"")</f>
        <v>1</v>
      </c>
      <c r="L478" s="66" t="s">
        <v>812</v>
      </c>
      <c r="M478" s="66" t="s">
        <v>2125</v>
      </c>
      <c r="N478" s="66" t="s">
        <v>2340</v>
      </c>
      <c r="O478" s="66" t="str">
        <f t="shared" ca="1" si="27"/>
        <v>SI</v>
      </c>
      <c r="P478" s="66" t="str">
        <f t="shared" si="28"/>
        <v>DIANOSOL</v>
      </c>
      <c r="Q478" s="66" t="s">
        <v>904</v>
      </c>
      <c r="R478" s="66" t="str">
        <f>VLOOKUP($Q478,Resultados!$A$1:$B$49,2,FALSE)</f>
        <v>Juicio Abreviado</v>
      </c>
      <c r="S478" s="66" t="s">
        <v>1065</v>
      </c>
      <c r="T478" s="75" t="str">
        <f t="shared" si="29"/>
        <v>NO</v>
      </c>
      <c r="U478" s="75"/>
      <c r="V478" s="66"/>
      <c r="W478" s="66" t="s">
        <v>1458</v>
      </c>
      <c r="X478" s="66" t="s">
        <v>2341</v>
      </c>
      <c r="Y478" s="66"/>
      <c r="Z478" s="121" t="s">
        <v>1041</v>
      </c>
      <c r="AA478" s="121" t="s">
        <v>1171</v>
      </c>
      <c r="AB478" s="121" t="s">
        <v>1174</v>
      </c>
      <c r="AC478" s="361"/>
    </row>
    <row r="479" spans="1:29" ht="63.75" x14ac:dyDescent="0.2">
      <c r="A479" s="66">
        <v>484</v>
      </c>
      <c r="B479" s="68">
        <v>45147</v>
      </c>
      <c r="C479" s="73">
        <v>0.33333333333333331</v>
      </c>
      <c r="D479" s="66" t="s">
        <v>2227</v>
      </c>
      <c r="E479" s="67" t="s">
        <v>2224</v>
      </c>
      <c r="F479" s="66">
        <v>5</v>
      </c>
      <c r="G479" s="66" t="s">
        <v>1442</v>
      </c>
      <c r="H479" s="68">
        <v>45154</v>
      </c>
      <c r="I479" s="68" t="s">
        <v>73</v>
      </c>
      <c r="J479" s="68" t="s">
        <v>78</v>
      </c>
      <c r="K479" s="66">
        <f>IFERROR(VLOOKUP(J479,Jueces!$A$1:$B$11,2,FALSE),"")</f>
        <v>8</v>
      </c>
      <c r="L479" s="66" t="s">
        <v>813</v>
      </c>
      <c r="M479" s="66" t="s">
        <v>1965</v>
      </c>
      <c r="N479" s="66" t="s">
        <v>2334</v>
      </c>
      <c r="O479" s="66" t="str">
        <f t="shared" ca="1" si="27"/>
        <v>SI</v>
      </c>
      <c r="P479" s="66" t="str">
        <f t="shared" si="28"/>
        <v>DIANOSOL</v>
      </c>
      <c r="Q479" s="66" t="s">
        <v>904</v>
      </c>
      <c r="R479" s="66" t="str">
        <f>VLOOKUP($Q479,Resultados!$A$1:$B$49,2,FALSE)</f>
        <v>Juicio Abreviado</v>
      </c>
      <c r="S479" s="73">
        <v>0.3756944444444445</v>
      </c>
      <c r="T479" s="75" t="str">
        <f t="shared" si="29"/>
        <v>SI</v>
      </c>
      <c r="U479" s="75"/>
      <c r="V479" s="66"/>
      <c r="W479" s="73">
        <v>0.38541666666666669</v>
      </c>
      <c r="X479" s="6" t="s">
        <v>2335</v>
      </c>
      <c r="Y479" s="66"/>
      <c r="Z479" s="121" t="s">
        <v>1042</v>
      </c>
      <c r="AA479" s="121" t="s">
        <v>743</v>
      </c>
      <c r="AB479" s="121" t="s">
        <v>1173</v>
      </c>
      <c r="AC479" s="361"/>
    </row>
    <row r="480" spans="1:29" ht="39.950000000000003" customHeight="1" x14ac:dyDescent="0.2">
      <c r="A480" s="66">
        <v>489</v>
      </c>
      <c r="B480" s="68">
        <v>45147</v>
      </c>
      <c r="C480" s="73">
        <v>0.47013888888888888</v>
      </c>
      <c r="D480" s="66" t="s">
        <v>2236</v>
      </c>
      <c r="E480" s="67" t="s">
        <v>2361</v>
      </c>
      <c r="F480" s="66">
        <v>6</v>
      </c>
      <c r="G480" s="66" t="s">
        <v>283</v>
      </c>
      <c r="H480" s="68">
        <v>45154</v>
      </c>
      <c r="I480" s="68" t="s">
        <v>73</v>
      </c>
      <c r="J480" s="68" t="s">
        <v>31</v>
      </c>
      <c r="K480" s="66">
        <f>IFERROR(VLOOKUP(J480,Jueces!$A$1:$B$11,2,FALSE),"")</f>
        <v>2</v>
      </c>
      <c r="L480" s="66" t="s">
        <v>1414</v>
      </c>
      <c r="M480" s="66" t="s">
        <v>2219</v>
      </c>
      <c r="N480" s="66" t="s">
        <v>2336</v>
      </c>
      <c r="O480" s="66" t="str">
        <f t="shared" ca="1" si="27"/>
        <v>SI</v>
      </c>
      <c r="P480" s="66" t="str">
        <f t="shared" si="28"/>
        <v>DIANOSOL</v>
      </c>
      <c r="Q480" s="66" t="s">
        <v>904</v>
      </c>
      <c r="R480" s="66" t="str">
        <f>VLOOKUP($Q480,Resultados!$A$1:$B$49,2,FALSE)</f>
        <v>Juicio Abreviado</v>
      </c>
      <c r="S480" s="73">
        <v>0.37152777777777773</v>
      </c>
      <c r="T480" s="75" t="str">
        <f t="shared" si="29"/>
        <v>NO</v>
      </c>
      <c r="U480" s="75"/>
      <c r="V480" s="66"/>
      <c r="W480" s="73">
        <v>0.38125000000000003</v>
      </c>
      <c r="X480" s="173" t="s">
        <v>2337</v>
      </c>
      <c r="Y480" s="66"/>
      <c r="Z480" s="121" t="s">
        <v>748</v>
      </c>
      <c r="AA480" s="121" t="s">
        <v>743</v>
      </c>
      <c r="AB480" s="121" t="s">
        <v>1175</v>
      </c>
      <c r="AC480" s="361"/>
    </row>
    <row r="481" spans="1:29" ht="38.25" x14ac:dyDescent="0.2">
      <c r="A481" s="66">
        <v>475</v>
      </c>
      <c r="B481" s="68">
        <v>45146</v>
      </c>
      <c r="C481" s="73">
        <v>0.3347222222222222</v>
      </c>
      <c r="D481" s="66" t="s">
        <v>2234</v>
      </c>
      <c r="E481" s="67" t="s">
        <v>2216</v>
      </c>
      <c r="F481" s="66">
        <v>6</v>
      </c>
      <c r="G481" s="66" t="s">
        <v>32</v>
      </c>
      <c r="H481" s="68">
        <v>45154</v>
      </c>
      <c r="I481" s="68" t="s">
        <v>1086</v>
      </c>
      <c r="J481" s="68" t="s">
        <v>1222</v>
      </c>
      <c r="K481" s="66" t="s">
        <v>1346</v>
      </c>
      <c r="L481" s="66" t="s">
        <v>812</v>
      </c>
      <c r="M481" s="66" t="s">
        <v>2125</v>
      </c>
      <c r="N481" s="66" t="s">
        <v>2338</v>
      </c>
      <c r="O481" s="66" t="str">
        <f t="shared" ca="1" si="27"/>
        <v>SI</v>
      </c>
      <c r="P481" s="66" t="str">
        <f t="shared" si="28"/>
        <v>DIANOSOL</v>
      </c>
      <c r="Q481" s="66" t="s">
        <v>904</v>
      </c>
      <c r="R481" s="66" t="str">
        <f>VLOOKUP($Q481,Resultados!$A$1:$B$49,2,FALSE)</f>
        <v>Juicio Abreviado</v>
      </c>
      <c r="S481" s="73">
        <v>0.4055555555555555</v>
      </c>
      <c r="T481" s="75" t="str">
        <f t="shared" si="29"/>
        <v>NO</v>
      </c>
      <c r="U481" s="75"/>
      <c r="V481" s="66"/>
      <c r="W481" s="73">
        <v>0.4069444444444445</v>
      </c>
      <c r="X481" s="66" t="s">
        <v>2339</v>
      </c>
      <c r="Y481" s="66"/>
      <c r="Z481" s="121" t="s">
        <v>743</v>
      </c>
      <c r="AA481" s="121" t="s">
        <v>1169</v>
      </c>
      <c r="AB481" s="121" t="s">
        <v>1176</v>
      </c>
      <c r="AC481" s="361"/>
    </row>
    <row r="482" spans="1:29" ht="39.950000000000003" customHeight="1" x14ac:dyDescent="0.2">
      <c r="A482" s="66">
        <v>477</v>
      </c>
      <c r="B482" s="68">
        <v>45146</v>
      </c>
      <c r="C482" s="73">
        <v>0.4145833333333333</v>
      </c>
      <c r="D482" s="66" t="s">
        <v>2201</v>
      </c>
      <c r="E482" s="67" t="s">
        <v>2202</v>
      </c>
      <c r="F482" s="66">
        <v>2</v>
      </c>
      <c r="G482" s="66" t="s">
        <v>568</v>
      </c>
      <c r="H482" s="68">
        <v>45154</v>
      </c>
      <c r="I482" s="68" t="s">
        <v>1086</v>
      </c>
      <c r="J482" s="68" t="s">
        <v>33</v>
      </c>
      <c r="K482" s="66">
        <f>IFERROR(VLOOKUP(J482,Jueces!$A$1:$B$11,2,FALSE),"")</f>
        <v>4</v>
      </c>
      <c r="L482" s="66" t="s">
        <v>803</v>
      </c>
      <c r="M482" s="66" t="s">
        <v>2265</v>
      </c>
      <c r="N482" s="66" t="s">
        <v>2345</v>
      </c>
      <c r="O482" s="66" t="str">
        <f t="shared" ca="1" si="27"/>
        <v>SI</v>
      </c>
      <c r="P482" s="66" t="str">
        <f t="shared" si="28"/>
        <v>DIANOSOL</v>
      </c>
      <c r="Q482" s="66" t="s">
        <v>151</v>
      </c>
      <c r="R482" s="66" t="str">
        <f>VLOOKUP($Q482,Resultados!$A$1:$B$49,2,FALSE)</f>
        <v>Prisión Preventiva</v>
      </c>
      <c r="S482" s="73">
        <v>0.37708333333333338</v>
      </c>
      <c r="T482" s="75" t="str">
        <f t="shared" si="29"/>
        <v>NO</v>
      </c>
      <c r="U482" s="75"/>
      <c r="V482" s="66"/>
      <c r="W482" s="73">
        <v>0.39097222222222222</v>
      </c>
      <c r="X482" s="66"/>
      <c r="Y482" s="66"/>
      <c r="Z482" s="121" t="s">
        <v>770</v>
      </c>
      <c r="AA482" s="121" t="s">
        <v>1171</v>
      </c>
      <c r="AB482" s="121" t="s">
        <v>1174</v>
      </c>
      <c r="AC482" s="361"/>
    </row>
    <row r="483" spans="1:29" ht="51" x14ac:dyDescent="0.2">
      <c r="A483" s="66">
        <v>490</v>
      </c>
      <c r="B483" s="68">
        <v>45148</v>
      </c>
      <c r="C483" s="73">
        <v>0.38125000000000003</v>
      </c>
      <c r="D483" s="66" t="s">
        <v>2263</v>
      </c>
      <c r="E483" s="67" t="s">
        <v>2362</v>
      </c>
      <c r="F483" s="66">
        <v>6</v>
      </c>
      <c r="G483" s="66" t="s">
        <v>1441</v>
      </c>
      <c r="H483" s="68">
        <v>45154</v>
      </c>
      <c r="I483" s="68" t="s">
        <v>1086</v>
      </c>
      <c r="J483" s="68" t="s">
        <v>1224</v>
      </c>
      <c r="K483" s="66" t="s">
        <v>1925</v>
      </c>
      <c r="L483" s="66" t="s">
        <v>813</v>
      </c>
      <c r="M483" s="66" t="s">
        <v>2219</v>
      </c>
      <c r="N483" s="66" t="s">
        <v>577</v>
      </c>
      <c r="O483" s="66" t="str">
        <f t="shared" ca="1" si="27"/>
        <v>SI</v>
      </c>
      <c r="P483" s="66" t="str">
        <f t="shared" si="28"/>
        <v>DIANOSOL</v>
      </c>
      <c r="Q483" s="66" t="s">
        <v>151</v>
      </c>
      <c r="R483" s="66" t="str">
        <f>VLOOKUP($Q483,Resultados!$A$1:$B$49,2,FALSE)</f>
        <v>Prisión Preventiva</v>
      </c>
      <c r="S483" s="73">
        <v>0.39305555555555555</v>
      </c>
      <c r="T483" s="75" t="str">
        <f t="shared" si="29"/>
        <v>NO</v>
      </c>
      <c r="U483" s="75"/>
      <c r="V483" s="66"/>
      <c r="W483" s="73">
        <v>0.42777777777777781</v>
      </c>
      <c r="X483" s="66" t="s">
        <v>2344</v>
      </c>
      <c r="Y483" s="66"/>
      <c r="Z483" s="121" t="s">
        <v>1041</v>
      </c>
      <c r="AA483" s="121" t="s">
        <v>743</v>
      </c>
      <c r="AB483" s="121" t="s">
        <v>1173</v>
      </c>
      <c r="AC483" s="361"/>
    </row>
    <row r="484" spans="1:29" ht="39.950000000000003" customHeight="1" x14ac:dyDescent="0.2">
      <c r="A484" s="66">
        <v>454</v>
      </c>
      <c r="B484" s="68">
        <v>45140</v>
      </c>
      <c r="C484" s="73">
        <v>0.41041666666666665</v>
      </c>
      <c r="D484" s="66" t="s">
        <v>2111</v>
      </c>
      <c r="E484" s="67" t="s">
        <v>2138</v>
      </c>
      <c r="F484" s="66">
        <v>1</v>
      </c>
      <c r="G484" s="66" t="s">
        <v>1441</v>
      </c>
      <c r="H484" s="68">
        <v>45154</v>
      </c>
      <c r="I484" s="68" t="s">
        <v>547</v>
      </c>
      <c r="J484" s="68" t="s">
        <v>1220</v>
      </c>
      <c r="K484" s="66">
        <f>IFERROR(VLOOKUP(J484,Jueces!$A$1:$B$11,2,FALSE),"")</f>
        <v>1</v>
      </c>
      <c r="L484" s="66" t="s">
        <v>192</v>
      </c>
      <c r="M484" s="66" t="s">
        <v>1286</v>
      </c>
      <c r="N484" s="66" t="s">
        <v>2349</v>
      </c>
      <c r="O484" s="66" t="str">
        <f t="shared" ca="1" si="27"/>
        <v>SI</v>
      </c>
      <c r="P484" s="66" t="str">
        <f t="shared" si="28"/>
        <v>DIANOSOL</v>
      </c>
      <c r="Q484" s="66" t="s">
        <v>151</v>
      </c>
      <c r="R484" s="66" t="str">
        <f>VLOOKUP($Q484,Resultados!$A$1:$B$49,2,FALSE)</f>
        <v>Prisión Preventiva</v>
      </c>
      <c r="S484" s="73">
        <v>0.46111111111111108</v>
      </c>
      <c r="T484" s="75" t="str">
        <f t="shared" si="29"/>
        <v>NO</v>
      </c>
      <c r="U484" s="75"/>
      <c r="V484" s="66"/>
      <c r="W484" s="73">
        <v>0.4777777777777778</v>
      </c>
      <c r="X484" s="66" t="s">
        <v>2259</v>
      </c>
      <c r="Y484" s="66"/>
      <c r="Z484" s="121" t="s">
        <v>1042</v>
      </c>
      <c r="AA484" s="121" t="s">
        <v>743</v>
      </c>
      <c r="AB484" s="121" t="s">
        <v>1175</v>
      </c>
      <c r="AC484" s="361"/>
    </row>
    <row r="485" spans="1:29" ht="39.950000000000003" customHeight="1" x14ac:dyDescent="0.2">
      <c r="A485" s="66">
        <v>482</v>
      </c>
      <c r="B485" s="68">
        <v>45146</v>
      </c>
      <c r="C485" s="73">
        <v>0.5229166666666667</v>
      </c>
      <c r="D485" s="66" t="s">
        <v>2215</v>
      </c>
      <c r="E485" s="67" t="s">
        <v>2376</v>
      </c>
      <c r="F485" s="66">
        <v>6</v>
      </c>
      <c r="G485" s="66" t="s">
        <v>283</v>
      </c>
      <c r="H485" s="68">
        <v>45155</v>
      </c>
      <c r="I485" s="68" t="s">
        <v>73</v>
      </c>
      <c r="J485" s="68" t="s">
        <v>78</v>
      </c>
      <c r="K485" s="66">
        <v>8</v>
      </c>
      <c r="L485" s="66" t="s">
        <v>802</v>
      </c>
      <c r="M485" s="66" t="s">
        <v>2125</v>
      </c>
      <c r="N485" s="66" t="s">
        <v>2365</v>
      </c>
      <c r="O485" s="66" t="str">
        <f t="shared" ca="1" si="27"/>
        <v>SI</v>
      </c>
      <c r="P485" s="66" t="str">
        <f t="shared" si="28"/>
        <v>DIANOSOL</v>
      </c>
      <c r="Q485" s="66" t="s">
        <v>904</v>
      </c>
      <c r="R485" s="66" t="str">
        <f>VLOOKUP($Q485,Resultados!$A$1:$B$49,2,FALSE)</f>
        <v>Juicio Abreviado</v>
      </c>
      <c r="S485" s="73">
        <v>0.35833333333333334</v>
      </c>
      <c r="T485" s="75" t="str">
        <f t="shared" si="29"/>
        <v>NO</v>
      </c>
      <c r="U485" s="75"/>
      <c r="V485" s="66"/>
      <c r="W485" s="73">
        <v>0.36874999999999997</v>
      </c>
      <c r="X485" s="66"/>
      <c r="Y485" s="66"/>
      <c r="Z485" s="121" t="s">
        <v>748</v>
      </c>
      <c r="AA485" s="121" t="s">
        <v>1171</v>
      </c>
      <c r="AB485" s="121" t="s">
        <v>1173</v>
      </c>
      <c r="AC485" s="361"/>
    </row>
    <row r="486" spans="1:29" ht="39.950000000000003" customHeight="1" x14ac:dyDescent="0.2">
      <c r="A486" s="66">
        <v>492</v>
      </c>
      <c r="B486" s="68">
        <v>45148</v>
      </c>
      <c r="C486" s="73">
        <v>0.40416666666666662</v>
      </c>
      <c r="D486" s="66" t="s">
        <v>2257</v>
      </c>
      <c r="E486" s="67" t="s">
        <v>2377</v>
      </c>
      <c r="F486" s="66">
        <v>5</v>
      </c>
      <c r="G486" s="66" t="s">
        <v>1441</v>
      </c>
      <c r="H486" s="68">
        <v>45155</v>
      </c>
      <c r="I486" s="68" t="s">
        <v>73</v>
      </c>
      <c r="J486" s="68" t="s">
        <v>33</v>
      </c>
      <c r="K486" s="66">
        <f>IFERROR(VLOOKUP(J486,Jueces!$A$1:$B$11,2,FALSE),"")</f>
        <v>4</v>
      </c>
      <c r="L486" s="66" t="s">
        <v>812</v>
      </c>
      <c r="M486" s="66" t="s">
        <v>1965</v>
      </c>
      <c r="N486" s="66" t="s">
        <v>2363</v>
      </c>
      <c r="O486" s="66" t="str">
        <f t="shared" ca="1" si="27"/>
        <v>SI</v>
      </c>
      <c r="P486" s="66" t="str">
        <f t="shared" si="28"/>
        <v>DIANOSOL</v>
      </c>
      <c r="Q486" s="66" t="s">
        <v>904</v>
      </c>
      <c r="R486" s="66" t="str">
        <f>VLOOKUP($Q486,Resultados!$A$1:$B$49,2,FALSE)</f>
        <v>Juicio Abreviado</v>
      </c>
      <c r="S486" s="73">
        <v>0.35416666666666669</v>
      </c>
      <c r="T486" s="75" t="str">
        <f t="shared" si="29"/>
        <v>NO</v>
      </c>
      <c r="U486" s="75"/>
      <c r="V486" s="66"/>
      <c r="W486" s="73">
        <v>0.36249999999999999</v>
      </c>
      <c r="X486" s="66" t="s">
        <v>2364</v>
      </c>
      <c r="Y486" s="66"/>
      <c r="Z486" s="121" t="s">
        <v>743</v>
      </c>
      <c r="AA486" s="121" t="s">
        <v>2367</v>
      </c>
      <c r="AB486" s="121" t="s">
        <v>1176</v>
      </c>
      <c r="AC486" s="361"/>
    </row>
    <row r="487" spans="1:29" ht="39.950000000000003" customHeight="1" x14ac:dyDescent="0.2">
      <c r="A487" s="66">
        <v>494</v>
      </c>
      <c r="B487" s="68">
        <v>45145</v>
      </c>
      <c r="C487" s="73">
        <v>0.41388888888888892</v>
      </c>
      <c r="D487" s="66" t="s">
        <v>2264</v>
      </c>
      <c r="E487" s="67" t="s">
        <v>2378</v>
      </c>
      <c r="F487" s="66">
        <v>1</v>
      </c>
      <c r="G487" s="66" t="s">
        <v>29</v>
      </c>
      <c r="H487" s="68">
        <v>45155</v>
      </c>
      <c r="I487" s="68" t="s">
        <v>73</v>
      </c>
      <c r="J487" s="68" t="s">
        <v>1223</v>
      </c>
      <c r="K487" s="66" t="s">
        <v>1346</v>
      </c>
      <c r="L487" s="66" t="s">
        <v>813</v>
      </c>
      <c r="M487" s="66" t="s">
        <v>767</v>
      </c>
      <c r="N487" s="66" t="s">
        <v>2375</v>
      </c>
      <c r="O487" s="66" t="str">
        <f t="shared" ca="1" si="27"/>
        <v>SI</v>
      </c>
      <c r="P487" s="66" t="str">
        <f t="shared" si="28"/>
        <v>DIANOSOL</v>
      </c>
      <c r="Q487" s="66" t="s">
        <v>904</v>
      </c>
      <c r="R487" s="66" t="str">
        <f>VLOOKUP($Q487,Resultados!$A$1:$B$49,2,FALSE)</f>
        <v>Juicio Abreviado</v>
      </c>
      <c r="S487" s="73">
        <v>0.37152777777777773</v>
      </c>
      <c r="T487" s="75" t="str">
        <f t="shared" si="29"/>
        <v>NO</v>
      </c>
      <c r="U487" s="75"/>
      <c r="V487" s="66"/>
      <c r="W487" s="73">
        <v>0.38541666666666669</v>
      </c>
      <c r="X487" s="66"/>
      <c r="Y487" s="66"/>
      <c r="Z487" s="121" t="s">
        <v>770</v>
      </c>
      <c r="AA487" s="121" t="s">
        <v>743</v>
      </c>
      <c r="AB487" s="121" t="s">
        <v>1174</v>
      </c>
      <c r="AC487" s="361"/>
    </row>
    <row r="488" spans="1:29" ht="38.25" x14ac:dyDescent="0.2">
      <c r="A488" s="66">
        <v>486</v>
      </c>
      <c r="B488" s="68">
        <v>45147</v>
      </c>
      <c r="C488" s="73">
        <v>0.33333333333333331</v>
      </c>
      <c r="D488" s="66" t="s">
        <v>2228</v>
      </c>
      <c r="E488" s="67" t="s">
        <v>2379</v>
      </c>
      <c r="F488" s="66">
        <v>5</v>
      </c>
      <c r="G488" s="66" t="s">
        <v>43</v>
      </c>
      <c r="H488" s="68">
        <v>45155</v>
      </c>
      <c r="I488" s="68" t="s">
        <v>1086</v>
      </c>
      <c r="J488" s="68" t="s">
        <v>31</v>
      </c>
      <c r="K488" s="66">
        <f>IFERROR(VLOOKUP(J488,Jueces!$A$1:$B$11,2,FALSE),"")</f>
        <v>2</v>
      </c>
      <c r="L488" s="66" t="s">
        <v>812</v>
      </c>
      <c r="M488" s="66" t="s">
        <v>700</v>
      </c>
      <c r="N488" s="66" t="s">
        <v>2374</v>
      </c>
      <c r="O488" s="66" t="str">
        <f t="shared" ca="1" si="27"/>
        <v>SI</v>
      </c>
      <c r="P488" s="66" t="str">
        <f t="shared" si="28"/>
        <v>DIANOSOL</v>
      </c>
      <c r="Q488" s="66" t="s">
        <v>151</v>
      </c>
      <c r="R488" s="66" t="str">
        <f>VLOOKUP($Q488,Resultados!$A$1:$B$49,2,FALSE)</f>
        <v>Prisión Preventiva</v>
      </c>
      <c r="S488" s="73">
        <v>0.39374999999999999</v>
      </c>
      <c r="T488" s="75" t="str">
        <f t="shared" si="29"/>
        <v>NO</v>
      </c>
      <c r="U488" s="75"/>
      <c r="V488" s="66"/>
      <c r="W488" s="73">
        <v>0.42222222222222222</v>
      </c>
      <c r="X488" s="66"/>
      <c r="Y488" s="66"/>
      <c r="Z488" s="121" t="s">
        <v>1041</v>
      </c>
      <c r="AA488" s="121" t="s">
        <v>1169</v>
      </c>
      <c r="AB488" s="121" t="s">
        <v>1173</v>
      </c>
      <c r="AC488" s="361"/>
    </row>
    <row r="489" spans="1:29" ht="39.950000000000003" customHeight="1" x14ac:dyDescent="0.2">
      <c r="A489" s="6">
        <v>491</v>
      </c>
      <c r="B489" s="18">
        <v>45148</v>
      </c>
      <c r="C489" s="6" t="s">
        <v>1578</v>
      </c>
      <c r="D489" s="6" t="s">
        <v>2262</v>
      </c>
      <c r="E489" s="40" t="s">
        <v>2380</v>
      </c>
      <c r="F489" s="6">
        <v>5</v>
      </c>
      <c r="G489" s="6" t="s">
        <v>1443</v>
      </c>
      <c r="H489" s="18">
        <v>45155</v>
      </c>
      <c r="I489" s="18" t="s">
        <v>1086</v>
      </c>
      <c r="J489" s="18" t="s">
        <v>1220</v>
      </c>
      <c r="K489" s="6">
        <f>IFERROR(VLOOKUP(J489,Jueces!$A$1:$B$11,2,FALSE),"")</f>
        <v>1</v>
      </c>
      <c r="L489" s="6" t="s">
        <v>811</v>
      </c>
      <c r="M489" s="6" t="s">
        <v>2372</v>
      </c>
      <c r="N489" s="6" t="s">
        <v>2371</v>
      </c>
      <c r="O489" s="6" t="str">
        <f t="shared" ca="1" si="27"/>
        <v>SI</v>
      </c>
      <c r="P489" s="6" t="str">
        <f t="shared" si="28"/>
        <v>DIANOSOL</v>
      </c>
      <c r="Q489" s="6" t="s">
        <v>904</v>
      </c>
      <c r="R489" s="6" t="str">
        <f>VLOOKUP($Q489,Resultados!$A$1:$B$49,2,FALSE)</f>
        <v>Juicio Abreviado</v>
      </c>
      <c r="S489" s="14">
        <v>0.40625</v>
      </c>
      <c r="T489" s="71" t="str">
        <f t="shared" si="29"/>
        <v>NO</v>
      </c>
      <c r="U489" s="71"/>
      <c r="V489" s="6"/>
      <c r="W489" s="14">
        <v>0.41041666666666665</v>
      </c>
      <c r="X489" s="6" t="s">
        <v>2373</v>
      </c>
      <c r="Y489" s="6"/>
      <c r="Z489" s="121" t="s">
        <v>1042</v>
      </c>
      <c r="AA489" s="121" t="s">
        <v>1171</v>
      </c>
      <c r="AB489" s="121" t="s">
        <v>1175</v>
      </c>
      <c r="AC489" s="361"/>
    </row>
    <row r="490" spans="1:29" ht="39.950000000000003" customHeight="1" x14ac:dyDescent="0.2">
      <c r="A490" s="66">
        <v>478</v>
      </c>
      <c r="B490" s="68">
        <v>45146</v>
      </c>
      <c r="C490" s="73">
        <v>0.41805555555555557</v>
      </c>
      <c r="D490" s="66" t="s">
        <v>2203</v>
      </c>
      <c r="E490" s="67" t="s">
        <v>2393</v>
      </c>
      <c r="F490" s="66">
        <v>8</v>
      </c>
      <c r="G490" s="66" t="s">
        <v>1442</v>
      </c>
      <c r="H490" s="68">
        <v>45156</v>
      </c>
      <c r="I490" s="68" t="s">
        <v>73</v>
      </c>
      <c r="J490" s="68" t="s">
        <v>35</v>
      </c>
      <c r="K490" s="66">
        <f>IFERROR(VLOOKUP(J490,Jueces!$A$1:$B$11,2,FALSE),"")</f>
        <v>3</v>
      </c>
      <c r="L490" s="66" t="s">
        <v>1070</v>
      </c>
      <c r="M490" s="66" t="s">
        <v>2230</v>
      </c>
      <c r="N490" s="66" t="s">
        <v>2276</v>
      </c>
      <c r="O490" s="66" t="str">
        <f t="shared" ca="1" si="27"/>
        <v>SI</v>
      </c>
      <c r="P490" s="66" t="str">
        <f t="shared" si="28"/>
        <v>DIANOSOL</v>
      </c>
      <c r="Q490" s="66" t="s">
        <v>151</v>
      </c>
      <c r="R490" s="66" t="str">
        <f>VLOOKUP($Q490,Resultados!$A$1:$B$49,2,FALSE)</f>
        <v>Prisión Preventiva</v>
      </c>
      <c r="S490" s="66" t="s">
        <v>1134</v>
      </c>
      <c r="T490" s="75" t="str">
        <f t="shared" si="29"/>
        <v>SI</v>
      </c>
      <c r="U490" s="75"/>
      <c r="V490" s="66"/>
      <c r="W490" s="66" t="s">
        <v>1497</v>
      </c>
      <c r="X490" s="66" t="s">
        <v>2155</v>
      </c>
      <c r="Y490" s="66"/>
      <c r="Z490" s="121" t="s">
        <v>748</v>
      </c>
      <c r="AA490" s="121" t="s">
        <v>1169</v>
      </c>
      <c r="AB490" s="121" t="s">
        <v>1176</v>
      </c>
      <c r="AC490" s="361"/>
    </row>
    <row r="491" spans="1:29" ht="39.950000000000003" customHeight="1" x14ac:dyDescent="0.2">
      <c r="A491" s="66">
        <v>485</v>
      </c>
      <c r="B491" s="68">
        <v>45147</v>
      </c>
      <c r="C491" s="73">
        <v>0.33333333333333331</v>
      </c>
      <c r="D491" s="66" t="s">
        <v>2245</v>
      </c>
      <c r="E491" s="67" t="s">
        <v>2225</v>
      </c>
      <c r="F491" s="66">
        <v>5</v>
      </c>
      <c r="G491" s="66" t="s">
        <v>568</v>
      </c>
      <c r="H491" s="68">
        <v>45156</v>
      </c>
      <c r="I491" s="68" t="s">
        <v>73</v>
      </c>
      <c r="J491" s="68" t="s">
        <v>78</v>
      </c>
      <c r="K491" s="66">
        <f>IFERROR(VLOOKUP(J491,Jueces!$A$1:$B$11,2,FALSE),"")</f>
        <v>8</v>
      </c>
      <c r="L491" s="66" t="s">
        <v>508</v>
      </c>
      <c r="M491" s="66" t="s">
        <v>2372</v>
      </c>
      <c r="N491" s="66" t="s">
        <v>235</v>
      </c>
      <c r="O491" s="66" t="str">
        <f t="shared" ca="1" si="27"/>
        <v>SI</v>
      </c>
      <c r="P491" s="66" t="str">
        <f t="shared" si="28"/>
        <v>DIANOSOL</v>
      </c>
      <c r="Q491" s="66" t="s">
        <v>151</v>
      </c>
      <c r="R491" s="66" t="str">
        <f>VLOOKUP($Q491,Resultados!$A$1:$B$49,2,FALSE)</f>
        <v>Prisión Preventiva</v>
      </c>
      <c r="S491" s="66" t="s">
        <v>679</v>
      </c>
      <c r="T491" s="75" t="str">
        <f t="shared" si="29"/>
        <v>NO</v>
      </c>
      <c r="U491" s="75"/>
      <c r="V491" s="66"/>
      <c r="W491" s="66" t="s">
        <v>1236</v>
      </c>
      <c r="X491" s="66" t="s">
        <v>2382</v>
      </c>
      <c r="Y491" s="66"/>
      <c r="Z491" s="121" t="s">
        <v>743</v>
      </c>
      <c r="AA491" s="121" t="s">
        <v>1171</v>
      </c>
      <c r="AB491" s="121" t="s">
        <v>1174</v>
      </c>
      <c r="AC491" s="361"/>
    </row>
    <row r="492" spans="1:29" ht="39.950000000000003" customHeight="1" x14ac:dyDescent="0.2">
      <c r="A492" s="66">
        <v>487</v>
      </c>
      <c r="B492" s="68">
        <v>45147</v>
      </c>
      <c r="C492" s="73">
        <v>0.39930555555555558</v>
      </c>
      <c r="D492" s="66" t="s">
        <v>2231</v>
      </c>
      <c r="E492" s="67" t="s">
        <v>2232</v>
      </c>
      <c r="F492" s="66">
        <v>5</v>
      </c>
      <c r="G492" s="66" t="s">
        <v>1441</v>
      </c>
      <c r="H492" s="68">
        <v>45156</v>
      </c>
      <c r="I492" s="68" t="s">
        <v>73</v>
      </c>
      <c r="J492" s="68" t="s">
        <v>31</v>
      </c>
      <c r="K492" s="66">
        <f>IFERROR(VLOOKUP(J492,Jueces!$A$1:$B$11,2,FALSE),"")</f>
        <v>2</v>
      </c>
      <c r="L492" s="66" t="s">
        <v>2094</v>
      </c>
      <c r="M492" s="66" t="s">
        <v>1571</v>
      </c>
      <c r="N492" s="66" t="s">
        <v>2329</v>
      </c>
      <c r="O492" s="66" t="str">
        <f t="shared" ref="O492:O555" ca="1" si="30">IF(H492&lt;&gt;"",IF(H492&lt;=TODAY(),"SI","NO"),"LIMBO")</f>
        <v>SI</v>
      </c>
      <c r="P492" s="66" t="str">
        <f t="shared" si="28"/>
        <v>DIANOSOL</v>
      </c>
      <c r="Q492" s="66" t="s">
        <v>151</v>
      </c>
      <c r="R492" s="66" t="str">
        <f>VLOOKUP($Q492,Resultados!$A$1:$B$49,2,FALSE)</f>
        <v>Prisión Preventiva</v>
      </c>
      <c r="S492" s="66" t="s">
        <v>1292</v>
      </c>
      <c r="T492" s="75" t="str">
        <f t="shared" si="29"/>
        <v>NO</v>
      </c>
      <c r="U492" s="75"/>
      <c r="V492" s="66"/>
      <c r="W492" s="66" t="s">
        <v>1609</v>
      </c>
      <c r="X492" s="66" t="s">
        <v>2386</v>
      </c>
      <c r="Y492" s="66"/>
      <c r="Z492" s="121" t="s">
        <v>770</v>
      </c>
      <c r="AA492" s="121" t="s">
        <v>1171</v>
      </c>
      <c r="AB492" s="121" t="s">
        <v>1173</v>
      </c>
      <c r="AC492" s="361"/>
    </row>
    <row r="493" spans="1:29" ht="39.950000000000003" customHeight="1" x14ac:dyDescent="0.2">
      <c r="A493" s="66">
        <v>495</v>
      </c>
      <c r="B493" s="68">
        <v>45148</v>
      </c>
      <c r="C493" s="73">
        <v>0.48402777777777778</v>
      </c>
      <c r="D493" s="66" t="s">
        <v>2267</v>
      </c>
      <c r="E493" s="67" t="s">
        <v>2269</v>
      </c>
      <c r="F493" s="66">
        <v>5</v>
      </c>
      <c r="G493" s="66" t="s">
        <v>43</v>
      </c>
      <c r="H493" s="68">
        <v>45156</v>
      </c>
      <c r="I493" s="68" t="s">
        <v>73</v>
      </c>
      <c r="J493" s="68" t="s">
        <v>33</v>
      </c>
      <c r="K493" s="66">
        <f>IFERROR(VLOOKUP(J493,Jueces!$A$1:$B$11,2,FALSE),"")</f>
        <v>4</v>
      </c>
      <c r="L493" s="66" t="s">
        <v>812</v>
      </c>
      <c r="M493" s="66" t="s">
        <v>2268</v>
      </c>
      <c r="N493" s="66" t="s">
        <v>2384</v>
      </c>
      <c r="O493" s="66" t="str">
        <f t="shared" ca="1" si="30"/>
        <v>SI</v>
      </c>
      <c r="P493" s="66" t="str">
        <f t="shared" si="28"/>
        <v>DIANOSOL</v>
      </c>
      <c r="Q493" s="66" t="s">
        <v>899</v>
      </c>
      <c r="R493" s="66" t="str">
        <f>VLOOKUP($Q493,Resultados!$A$1:$B$49,2,FALSE)</f>
        <v>Libertad</v>
      </c>
      <c r="S493" s="66" t="s">
        <v>1296</v>
      </c>
      <c r="T493" s="75" t="str">
        <f t="shared" si="29"/>
        <v>NO</v>
      </c>
      <c r="U493" s="75"/>
      <c r="V493" s="66"/>
      <c r="W493" s="66" t="s">
        <v>1243</v>
      </c>
      <c r="X493" s="66" t="s">
        <v>2383</v>
      </c>
      <c r="Y493" s="66"/>
      <c r="Z493" s="121" t="s">
        <v>1041</v>
      </c>
      <c r="AA493" s="121" t="s">
        <v>743</v>
      </c>
      <c r="AB493" s="121" t="s">
        <v>1176</v>
      </c>
      <c r="AC493" s="361"/>
    </row>
    <row r="494" spans="1:29" ht="39.950000000000003" customHeight="1" x14ac:dyDescent="0.2">
      <c r="A494" s="66">
        <v>497</v>
      </c>
      <c r="B494" s="68">
        <v>45152</v>
      </c>
      <c r="C494" s="73">
        <v>0.33333333333333331</v>
      </c>
      <c r="D494" s="66" t="s">
        <v>2280</v>
      </c>
      <c r="E494" s="67" t="s">
        <v>2298</v>
      </c>
      <c r="F494" s="66">
        <v>6</v>
      </c>
      <c r="G494" s="66" t="s">
        <v>29</v>
      </c>
      <c r="H494" s="68">
        <v>45156</v>
      </c>
      <c r="I494" s="68" t="s">
        <v>73</v>
      </c>
      <c r="J494" s="68" t="s">
        <v>1223</v>
      </c>
      <c r="K494" s="66" t="s">
        <v>1346</v>
      </c>
      <c r="L494" s="66" t="s">
        <v>806</v>
      </c>
      <c r="M494" s="66" t="s">
        <v>2387</v>
      </c>
      <c r="N494" s="66" t="s">
        <v>2392</v>
      </c>
      <c r="O494" s="66" t="str">
        <f t="shared" ca="1" si="30"/>
        <v>SI</v>
      </c>
      <c r="P494" s="66" t="str">
        <f t="shared" si="28"/>
        <v>DIANOSOL</v>
      </c>
      <c r="Q494" s="66" t="s">
        <v>151</v>
      </c>
      <c r="R494" s="66" t="str">
        <f>VLOOKUP($Q494,Resultados!$A$1:$B$49,2,FALSE)</f>
        <v>Prisión Preventiva</v>
      </c>
      <c r="S494" s="73">
        <v>0.35138888888888892</v>
      </c>
      <c r="T494" s="75" t="str">
        <f t="shared" si="29"/>
        <v>NO</v>
      </c>
      <c r="U494" s="75"/>
      <c r="V494" s="66"/>
      <c r="W494" s="66" t="s">
        <v>1124</v>
      </c>
      <c r="X494" s="66"/>
      <c r="Y494" s="66"/>
      <c r="Z494" s="121" t="s">
        <v>1042</v>
      </c>
      <c r="AA494" s="121" t="s">
        <v>743</v>
      </c>
      <c r="AB494" s="121" t="s">
        <v>1174</v>
      </c>
      <c r="AC494" s="361"/>
    </row>
    <row r="495" spans="1:29" ht="38.25" x14ac:dyDescent="0.2">
      <c r="A495" s="66">
        <v>488</v>
      </c>
      <c r="B495" s="68">
        <v>45147</v>
      </c>
      <c r="C495" s="73">
        <v>0.4375</v>
      </c>
      <c r="D495" s="66" t="s">
        <v>2233</v>
      </c>
      <c r="E495" s="67" t="s">
        <v>2235</v>
      </c>
      <c r="F495" s="66">
        <v>5</v>
      </c>
      <c r="G495" s="66" t="s">
        <v>1443</v>
      </c>
      <c r="H495" s="68">
        <v>45156</v>
      </c>
      <c r="I495" s="68" t="s">
        <v>1086</v>
      </c>
      <c r="J495" s="68" t="s">
        <v>1222</v>
      </c>
      <c r="K495" s="66">
        <v>3</v>
      </c>
      <c r="L495" s="66" t="s">
        <v>793</v>
      </c>
      <c r="M495" s="66" t="s">
        <v>1875</v>
      </c>
      <c r="N495" s="66" t="s">
        <v>2275</v>
      </c>
      <c r="O495" s="66" t="str">
        <f t="shared" ca="1" si="30"/>
        <v>SI</v>
      </c>
      <c r="P495" s="66" t="str">
        <f t="shared" si="28"/>
        <v>DIANOSOL</v>
      </c>
      <c r="Q495" s="66" t="s">
        <v>151</v>
      </c>
      <c r="R495" s="66" t="str">
        <f>VLOOKUP($Q495,Resultados!$A$1:$B$49,2,FALSE)</f>
        <v>Prisión Preventiva</v>
      </c>
      <c r="S495" s="66" t="s">
        <v>1193</v>
      </c>
      <c r="T495" s="75" t="str">
        <f t="shared" si="29"/>
        <v>NO</v>
      </c>
      <c r="U495" s="75"/>
      <c r="V495" s="66"/>
      <c r="W495" s="66" t="s">
        <v>2385</v>
      </c>
      <c r="X495" s="382"/>
      <c r="Y495" s="66"/>
      <c r="Z495" s="121" t="s">
        <v>748</v>
      </c>
      <c r="AA495" s="121" t="s">
        <v>743</v>
      </c>
      <c r="AB495" s="121" t="s">
        <v>1173</v>
      </c>
      <c r="AC495" s="361"/>
    </row>
    <row r="496" spans="1:29" ht="63.75" x14ac:dyDescent="0.2">
      <c r="A496" s="66">
        <v>496</v>
      </c>
      <c r="B496" s="68">
        <v>45149</v>
      </c>
      <c r="C496" s="66" t="s">
        <v>2277</v>
      </c>
      <c r="D496" s="66" t="s">
        <v>2278</v>
      </c>
      <c r="E496" s="67" t="s">
        <v>2279</v>
      </c>
      <c r="F496" s="66">
        <v>6</v>
      </c>
      <c r="G496" s="66" t="s">
        <v>32</v>
      </c>
      <c r="H496" s="68">
        <v>45156</v>
      </c>
      <c r="I496" s="68" t="s">
        <v>1086</v>
      </c>
      <c r="J496" s="68" t="s">
        <v>1220</v>
      </c>
      <c r="K496" s="66">
        <f>IFERROR(VLOOKUP(J496,Jueces!$A$1:$B$11,2,FALSE),"")</f>
        <v>1</v>
      </c>
      <c r="L496" s="66" t="s">
        <v>812</v>
      </c>
      <c r="M496" s="66" t="s">
        <v>2387</v>
      </c>
      <c r="N496" s="66" t="s">
        <v>2388</v>
      </c>
      <c r="O496" s="66" t="str">
        <f t="shared" ca="1" si="30"/>
        <v>SI</v>
      </c>
      <c r="P496" s="66" t="str">
        <f t="shared" si="28"/>
        <v>DIANOSOL</v>
      </c>
      <c r="Q496" s="66" t="s">
        <v>904</v>
      </c>
      <c r="R496" s="66" t="str">
        <f>VLOOKUP($Q496,Resultados!$A$1:$B$49,2,FALSE)</f>
        <v>Juicio Abreviado</v>
      </c>
      <c r="S496" s="73">
        <v>0.40347222222222223</v>
      </c>
      <c r="T496" s="75" t="str">
        <f t="shared" si="29"/>
        <v>NO</v>
      </c>
      <c r="U496" s="75"/>
      <c r="V496" s="66"/>
      <c r="W496" s="73">
        <v>0.41666666666666669</v>
      </c>
      <c r="X496" s="389" t="s">
        <v>2389</v>
      </c>
      <c r="Y496" s="66"/>
      <c r="Z496" s="121" t="s">
        <v>743</v>
      </c>
      <c r="AA496" s="121" t="s">
        <v>1169</v>
      </c>
      <c r="AB496" s="121" t="s">
        <v>1176</v>
      </c>
      <c r="AC496" s="361"/>
    </row>
    <row r="497" spans="1:29" ht="39.950000000000003" customHeight="1" x14ac:dyDescent="0.2">
      <c r="A497" s="66">
        <v>513</v>
      </c>
      <c r="B497" s="68">
        <v>45153</v>
      </c>
      <c r="C497" s="73">
        <v>0.48749999999999999</v>
      </c>
      <c r="D497" s="66" t="s">
        <v>2325</v>
      </c>
      <c r="E497" s="67" t="s">
        <v>2323</v>
      </c>
      <c r="F497" s="66">
        <v>5</v>
      </c>
      <c r="G497" s="66" t="s">
        <v>283</v>
      </c>
      <c r="H497" s="68">
        <v>45156</v>
      </c>
      <c r="I497" s="68" t="s">
        <v>1086</v>
      </c>
      <c r="J497" s="68" t="s">
        <v>1224</v>
      </c>
      <c r="K497" s="66" t="s">
        <v>1520</v>
      </c>
      <c r="L497" s="66" t="s">
        <v>2090</v>
      </c>
      <c r="M497" s="66" t="s">
        <v>2372</v>
      </c>
      <c r="N497" s="66" t="s">
        <v>2390</v>
      </c>
      <c r="O497" s="66" t="str">
        <f t="shared" ca="1" si="30"/>
        <v>SI</v>
      </c>
      <c r="P497" s="66" t="str">
        <f t="shared" si="28"/>
        <v>DIANOSOL</v>
      </c>
      <c r="Q497" s="66" t="s">
        <v>899</v>
      </c>
      <c r="R497" s="66" t="str">
        <f>VLOOKUP($Q497,Resultados!$A$1:$B$49,2,FALSE)</f>
        <v>Libertad</v>
      </c>
      <c r="S497" s="73">
        <v>0.39861111111111108</v>
      </c>
      <c r="T497" s="75" t="str">
        <f t="shared" si="29"/>
        <v>NO</v>
      </c>
      <c r="U497" s="75"/>
      <c r="V497" s="66"/>
      <c r="W497" s="73">
        <v>0.41180555555555554</v>
      </c>
      <c r="X497" s="389" t="s">
        <v>2391</v>
      </c>
      <c r="Y497" s="66"/>
      <c r="Z497" s="121" t="s">
        <v>770</v>
      </c>
      <c r="AA497" s="121" t="s">
        <v>1171</v>
      </c>
      <c r="AB497" s="121" t="s">
        <v>1174</v>
      </c>
      <c r="AC497" s="361"/>
    </row>
    <row r="498" spans="1:29" ht="39.950000000000003" customHeight="1" x14ac:dyDescent="0.2">
      <c r="A498" s="66">
        <v>473</v>
      </c>
      <c r="B498" s="68">
        <v>45146</v>
      </c>
      <c r="C498" s="73">
        <v>0.33333333333333331</v>
      </c>
      <c r="D498" s="66" t="s">
        <v>2191</v>
      </c>
      <c r="E498" s="67" t="s">
        <v>2221</v>
      </c>
      <c r="F498" s="66">
        <v>6</v>
      </c>
      <c r="G498" s="66" t="s">
        <v>1442</v>
      </c>
      <c r="H498" s="68">
        <v>45160</v>
      </c>
      <c r="I498" s="68" t="s">
        <v>73</v>
      </c>
      <c r="J498" s="68" t="s">
        <v>31</v>
      </c>
      <c r="K498" s="66" t="s">
        <v>2343</v>
      </c>
      <c r="L498" s="66" t="s">
        <v>809</v>
      </c>
      <c r="M498" s="66" t="s">
        <v>2125</v>
      </c>
      <c r="N498" s="66" t="s">
        <v>2408</v>
      </c>
      <c r="O498" s="66" t="str">
        <f t="shared" ca="1" si="30"/>
        <v>SI</v>
      </c>
      <c r="P498" s="66" t="str">
        <f t="shared" si="28"/>
        <v>DIANOSOL</v>
      </c>
      <c r="Q498" s="66" t="s">
        <v>151</v>
      </c>
      <c r="R498" s="66" t="str">
        <f>VLOOKUP($Q498,Resultados!$A$1:$B$49,2,FALSE)</f>
        <v>Prisión Preventiva</v>
      </c>
      <c r="S498" s="73">
        <v>0.36527777777777781</v>
      </c>
      <c r="T498" s="75" t="str">
        <f t="shared" si="29"/>
        <v>SI</v>
      </c>
      <c r="U498" s="75"/>
      <c r="V498" s="66"/>
      <c r="W498" s="73">
        <v>0.38194444444444442</v>
      </c>
      <c r="X498" s="253" t="s">
        <v>2409</v>
      </c>
      <c r="Y498" s="66"/>
      <c r="Z498" s="121" t="s">
        <v>1041</v>
      </c>
      <c r="AA498" s="121" t="s">
        <v>743</v>
      </c>
      <c r="AB498" s="121" t="s">
        <v>1173</v>
      </c>
      <c r="AC498" s="361"/>
    </row>
    <row r="499" spans="1:29" ht="39.950000000000003" customHeight="1" x14ac:dyDescent="0.2">
      <c r="A499" s="66">
        <v>500</v>
      </c>
      <c r="B499" s="68">
        <v>45149</v>
      </c>
      <c r="C499" s="73">
        <v>0.3347222222222222</v>
      </c>
      <c r="D499" s="66" t="s">
        <v>2285</v>
      </c>
      <c r="E499" s="67" t="s">
        <v>2287</v>
      </c>
      <c r="F499" s="66">
        <v>4</v>
      </c>
      <c r="G499" s="66" t="s">
        <v>283</v>
      </c>
      <c r="H499" s="68">
        <v>45160</v>
      </c>
      <c r="I499" s="68" t="s">
        <v>73</v>
      </c>
      <c r="J499" s="68" t="s">
        <v>35</v>
      </c>
      <c r="K499" s="66">
        <f>IFERROR(VLOOKUP(J499,Jueces!$A$1:$B$11,2,FALSE),"")</f>
        <v>3</v>
      </c>
      <c r="L499" s="66" t="s">
        <v>814</v>
      </c>
      <c r="M499" s="66" t="s">
        <v>2286</v>
      </c>
      <c r="N499" s="66" t="s">
        <v>2405</v>
      </c>
      <c r="O499" s="66" t="str">
        <f t="shared" ca="1" si="30"/>
        <v>SI</v>
      </c>
      <c r="P499" s="66" t="str">
        <f t="shared" si="28"/>
        <v>DIANOSOL</v>
      </c>
      <c r="Q499" s="66" t="s">
        <v>151</v>
      </c>
      <c r="R499" s="66" t="str">
        <f>VLOOKUP($Q499,Resultados!$A$1:$B$49,2,FALSE)</f>
        <v>Prisión Preventiva</v>
      </c>
      <c r="S499" s="73">
        <v>0.41250000000000003</v>
      </c>
      <c r="T499" s="75" t="str">
        <f t="shared" si="29"/>
        <v>NO</v>
      </c>
      <c r="U499" s="75"/>
      <c r="V499" s="66"/>
      <c r="W499" s="73">
        <v>0.46666666666666662</v>
      </c>
      <c r="X499" s="66" t="s">
        <v>2406</v>
      </c>
      <c r="Y499" s="66"/>
      <c r="Z499" s="121" t="s">
        <v>1042</v>
      </c>
      <c r="AA499" s="121" t="s">
        <v>1169</v>
      </c>
      <c r="AB499" s="121" t="s">
        <v>1175</v>
      </c>
      <c r="AC499" s="361"/>
    </row>
    <row r="500" spans="1:29" ht="39.950000000000003" customHeight="1" x14ac:dyDescent="0.2">
      <c r="A500" s="66">
        <v>508</v>
      </c>
      <c r="B500" s="68">
        <v>45153</v>
      </c>
      <c r="C500" s="73">
        <v>0.33333333333333331</v>
      </c>
      <c r="D500" s="66" t="s">
        <v>2307</v>
      </c>
      <c r="E500" s="67" t="s">
        <v>2313</v>
      </c>
      <c r="F500" s="66">
        <v>4</v>
      </c>
      <c r="G500" s="66" t="s">
        <v>568</v>
      </c>
      <c r="H500" s="68">
        <v>45160</v>
      </c>
      <c r="I500" s="68" t="s">
        <v>73</v>
      </c>
      <c r="J500" s="68" t="s">
        <v>33</v>
      </c>
      <c r="K500" s="66">
        <f>IFERROR(VLOOKUP(J500,Jueces!$A$1:$B$11,2,FALSE),"")</f>
        <v>4</v>
      </c>
      <c r="L500" s="66" t="s">
        <v>800</v>
      </c>
      <c r="M500" s="66" t="s">
        <v>2219</v>
      </c>
      <c r="N500" s="66" t="s">
        <v>2411</v>
      </c>
      <c r="O500" s="66" t="str">
        <f t="shared" ca="1" si="30"/>
        <v>SI</v>
      </c>
      <c r="P500" s="66" t="str">
        <f t="shared" si="28"/>
        <v>DIANOSOL</v>
      </c>
      <c r="Q500" s="66" t="s">
        <v>904</v>
      </c>
      <c r="R500" s="66" t="str">
        <f>VLOOKUP($Q500,Resultados!$A$1:$B$49,2,FALSE)</f>
        <v>Juicio Abreviado</v>
      </c>
      <c r="S500" s="73">
        <v>0.37083333333333335</v>
      </c>
      <c r="T500" s="75" t="str">
        <f t="shared" si="29"/>
        <v>NO</v>
      </c>
      <c r="U500" s="75"/>
      <c r="V500" s="66"/>
      <c r="W500" s="73">
        <v>0.39166666666666666</v>
      </c>
      <c r="X500" s="382"/>
      <c r="Y500" s="66"/>
      <c r="Z500" s="121" t="s">
        <v>743</v>
      </c>
      <c r="AA500" s="121" t="s">
        <v>1171</v>
      </c>
      <c r="AB500" s="121" t="s">
        <v>1177</v>
      </c>
      <c r="AC500" s="361"/>
    </row>
    <row r="501" spans="1:29" ht="39.950000000000003" customHeight="1" x14ac:dyDescent="0.2">
      <c r="A501" s="66">
        <v>498</v>
      </c>
      <c r="B501" s="68">
        <v>45152</v>
      </c>
      <c r="C501" s="73">
        <v>0.33333333333333331</v>
      </c>
      <c r="D501" s="66" t="s">
        <v>2281</v>
      </c>
      <c r="E501" s="67" t="s">
        <v>2328</v>
      </c>
      <c r="F501" s="66">
        <v>6</v>
      </c>
      <c r="G501" s="66" t="s">
        <v>1441</v>
      </c>
      <c r="H501" s="68">
        <v>45160</v>
      </c>
      <c r="I501" s="68" t="s">
        <v>749</v>
      </c>
      <c r="J501" s="68" t="s">
        <v>1222</v>
      </c>
      <c r="K501" s="66" t="s">
        <v>2394</v>
      </c>
      <c r="L501" s="66" t="s">
        <v>791</v>
      </c>
      <c r="M501" s="66" t="s">
        <v>2305</v>
      </c>
      <c r="N501" s="66" t="s">
        <v>2261</v>
      </c>
      <c r="O501" s="66" t="str">
        <f t="shared" ca="1" si="30"/>
        <v>SI</v>
      </c>
      <c r="P501" s="66" t="str">
        <f t="shared" si="28"/>
        <v>DIANOSOL</v>
      </c>
      <c r="Q501" s="66" t="s">
        <v>899</v>
      </c>
      <c r="R501" s="66" t="str">
        <f>VLOOKUP($Q501,Resultados!$A$1:$B$49,2,FALSE)</f>
        <v>Libertad</v>
      </c>
      <c r="S501" s="66" t="s">
        <v>1246</v>
      </c>
      <c r="T501" s="75" t="str">
        <f t="shared" si="29"/>
        <v>NO</v>
      </c>
      <c r="U501" s="75"/>
      <c r="V501" s="66"/>
      <c r="W501" s="66" t="s">
        <v>1292</v>
      </c>
      <c r="X501" s="225" t="s">
        <v>2412</v>
      </c>
      <c r="Y501" s="66"/>
      <c r="Z501" s="121" t="s">
        <v>770</v>
      </c>
      <c r="AA501" s="121" t="s">
        <v>1169</v>
      </c>
      <c r="AB501" s="121" t="s">
        <v>1174</v>
      </c>
      <c r="AC501" s="361"/>
    </row>
    <row r="502" spans="1:29" ht="39.950000000000003" customHeight="1" x14ac:dyDescent="0.2">
      <c r="A502" s="66">
        <v>506</v>
      </c>
      <c r="B502" s="68">
        <v>45152</v>
      </c>
      <c r="C502" s="73">
        <v>0.4604166666666667</v>
      </c>
      <c r="D502" s="66" t="s">
        <v>2303</v>
      </c>
      <c r="E502" s="67" t="s">
        <v>2308</v>
      </c>
      <c r="F502" s="66">
        <v>5</v>
      </c>
      <c r="G502" s="66" t="s">
        <v>29</v>
      </c>
      <c r="H502" s="68">
        <v>45160</v>
      </c>
      <c r="I502" s="68" t="s">
        <v>1086</v>
      </c>
      <c r="J502" s="68" t="s">
        <v>1220</v>
      </c>
      <c r="K502" s="66">
        <f>IFERROR(VLOOKUP(J502,Jueces!$A$1:$B$11,2,FALSE),"")</f>
        <v>1</v>
      </c>
      <c r="L502" s="66" t="s">
        <v>811</v>
      </c>
      <c r="M502" s="66" t="s">
        <v>2125</v>
      </c>
      <c r="N502" s="66" t="s">
        <v>2398</v>
      </c>
      <c r="O502" s="66" t="str">
        <f t="shared" ca="1" si="30"/>
        <v>SI</v>
      </c>
      <c r="P502" s="66" t="str">
        <f t="shared" si="28"/>
        <v>DIANOSOL</v>
      </c>
      <c r="Q502" s="66" t="s">
        <v>904</v>
      </c>
      <c r="R502" s="66" t="str">
        <f>VLOOKUP($Q502,Resultados!$A$1:$B$49,2,FALSE)</f>
        <v>Juicio Abreviado</v>
      </c>
      <c r="S502" s="73">
        <v>0.40277777777777773</v>
      </c>
      <c r="T502" s="75" t="str">
        <f t="shared" si="29"/>
        <v>NO</v>
      </c>
      <c r="U502" s="75"/>
      <c r="V502" s="66"/>
      <c r="W502" s="73">
        <v>0.41041666666666665</v>
      </c>
      <c r="X502" s="253" t="s">
        <v>2410</v>
      </c>
      <c r="Y502" s="66"/>
      <c r="Z502" s="121" t="s">
        <v>1041</v>
      </c>
      <c r="AA502" s="121" t="s">
        <v>743</v>
      </c>
      <c r="AB502" s="121" t="s">
        <v>1173</v>
      </c>
      <c r="AC502" s="361"/>
    </row>
    <row r="503" spans="1:29" ht="39.950000000000003" customHeight="1" x14ac:dyDescent="0.2">
      <c r="A503" s="66">
        <v>499</v>
      </c>
      <c r="B503" s="68">
        <v>45152</v>
      </c>
      <c r="C503" s="73">
        <v>0.33333333333333331</v>
      </c>
      <c r="D503" s="66" t="s">
        <v>2282</v>
      </c>
      <c r="E503" s="67" t="s">
        <v>2413</v>
      </c>
      <c r="F503" s="66">
        <v>4</v>
      </c>
      <c r="G503" s="66" t="s">
        <v>283</v>
      </c>
      <c r="H503" s="68">
        <v>45161</v>
      </c>
      <c r="I503" s="68" t="s">
        <v>73</v>
      </c>
      <c r="J503" s="68" t="s">
        <v>1223</v>
      </c>
      <c r="K503" s="66" t="s">
        <v>1326</v>
      </c>
      <c r="L503" s="66" t="s">
        <v>807</v>
      </c>
      <c r="M503" s="66" t="s">
        <v>2284</v>
      </c>
      <c r="N503" s="66" t="s">
        <v>2426</v>
      </c>
      <c r="O503" s="66" t="str">
        <f t="shared" ca="1" si="30"/>
        <v>SI</v>
      </c>
      <c r="P503" s="66" t="str">
        <f t="shared" si="28"/>
        <v>DIANOSOL</v>
      </c>
      <c r="Q503" s="66" t="s">
        <v>905</v>
      </c>
      <c r="R503" s="66" t="str">
        <f>VLOOKUP($Q503,Resultados!$A$1:$B$49,2,FALSE)</f>
        <v>Juicio Abreviado</v>
      </c>
      <c r="S503" s="73">
        <v>0.37708333333333338</v>
      </c>
      <c r="T503" s="75" t="str">
        <f t="shared" si="29"/>
        <v>NO</v>
      </c>
      <c r="U503" s="75"/>
      <c r="V503" s="66"/>
      <c r="W503" s="73">
        <v>0.39999999999999997</v>
      </c>
      <c r="X503" s="226" t="s">
        <v>2427</v>
      </c>
      <c r="Y503" s="66"/>
      <c r="Z503" s="121" t="s">
        <v>1042</v>
      </c>
      <c r="AA503" s="121" t="s">
        <v>1169</v>
      </c>
      <c r="AB503" s="121" t="s">
        <v>1175</v>
      </c>
      <c r="AC503" s="361"/>
    </row>
    <row r="504" spans="1:29" ht="39.950000000000003" customHeight="1" x14ac:dyDescent="0.2">
      <c r="A504" s="66">
        <v>504</v>
      </c>
      <c r="B504" s="68">
        <v>45152</v>
      </c>
      <c r="C504" s="73">
        <v>0.43958333333333338</v>
      </c>
      <c r="D504" s="66" t="s">
        <v>2301</v>
      </c>
      <c r="E504" s="67" t="s">
        <v>2414</v>
      </c>
      <c r="F504" s="66">
        <v>7</v>
      </c>
      <c r="G504" s="66" t="s">
        <v>1443</v>
      </c>
      <c r="H504" s="68">
        <v>45161</v>
      </c>
      <c r="I504" s="68" t="s">
        <v>73</v>
      </c>
      <c r="J504" s="68" t="s">
        <v>1222</v>
      </c>
      <c r="K504" s="66" t="s">
        <v>1346</v>
      </c>
      <c r="L504" s="67" t="s">
        <v>192</v>
      </c>
      <c r="M504" s="66" t="s">
        <v>2125</v>
      </c>
      <c r="N504" s="402" t="s">
        <v>2428</v>
      </c>
      <c r="O504" s="66" t="str">
        <f t="shared" ca="1" si="30"/>
        <v>SI</v>
      </c>
      <c r="P504" s="67" t="str">
        <f t="shared" si="28"/>
        <v>DIANOSOL</v>
      </c>
      <c r="Q504" s="66" t="s">
        <v>909</v>
      </c>
      <c r="R504" s="66" t="str">
        <f>VLOOKUP($Q504,Resultados!$A$1:$B$49,2,FALSE)</f>
        <v>Suspensión de juicio a prueba</v>
      </c>
      <c r="S504" s="73">
        <v>0.35694444444444445</v>
      </c>
      <c r="T504" s="227" t="str">
        <f t="shared" si="29"/>
        <v>NO</v>
      </c>
      <c r="U504" s="67"/>
      <c r="V504" s="67"/>
      <c r="W504" s="73">
        <v>0.36944444444444446</v>
      </c>
      <c r="X504" s="402" t="s">
        <v>2429</v>
      </c>
      <c r="Y504" s="67"/>
      <c r="Z504" s="331" t="s">
        <v>748</v>
      </c>
      <c r="AA504" s="121" t="s">
        <v>1171</v>
      </c>
      <c r="AB504" s="121" t="s">
        <v>1177</v>
      </c>
      <c r="AC504" s="361"/>
    </row>
    <row r="505" spans="1:29" ht="39.950000000000003" customHeight="1" x14ac:dyDescent="0.2">
      <c r="A505" s="66">
        <v>509</v>
      </c>
      <c r="B505" s="68">
        <v>45154</v>
      </c>
      <c r="C505" s="73">
        <v>0.33333333333333331</v>
      </c>
      <c r="D505" s="66" t="s">
        <v>2315</v>
      </c>
      <c r="E505" s="67" t="s">
        <v>2415</v>
      </c>
      <c r="F505" s="66">
        <v>5</v>
      </c>
      <c r="G505" s="66" t="s">
        <v>568</v>
      </c>
      <c r="H505" s="68">
        <v>45161</v>
      </c>
      <c r="I505" s="68" t="s">
        <v>73</v>
      </c>
      <c r="J505" s="68" t="s">
        <v>1220</v>
      </c>
      <c r="K505" s="66" t="s">
        <v>1520</v>
      </c>
      <c r="L505" s="66" t="s">
        <v>2431</v>
      </c>
      <c r="M505" s="6" t="s">
        <v>2430</v>
      </c>
      <c r="N505" s="66" t="s">
        <v>1608</v>
      </c>
      <c r="O505" s="66" t="str">
        <f t="shared" ca="1" si="30"/>
        <v>SI</v>
      </c>
      <c r="P505" s="66" t="str">
        <f t="shared" si="28"/>
        <v>DIANOSOL</v>
      </c>
      <c r="Q505" s="66" t="s">
        <v>905</v>
      </c>
      <c r="R505" s="66" t="str">
        <f>VLOOKUP($Q505,Resultados!$A$1:$B$49,2,FALSE)</f>
        <v>Juicio Abreviado</v>
      </c>
      <c r="S505" s="73">
        <v>0.3659722222222222</v>
      </c>
      <c r="T505" s="75" t="str">
        <f t="shared" ref="T505:T530" si="31">IF(G505=$J$1,"SI","NO")</f>
        <v>NO</v>
      </c>
      <c r="U505" s="75"/>
      <c r="V505" s="66"/>
      <c r="W505" s="73">
        <v>0.40763888888888888</v>
      </c>
      <c r="X505" s="385" t="s">
        <v>2432</v>
      </c>
      <c r="Y505" s="66"/>
      <c r="Z505" s="121" t="s">
        <v>743</v>
      </c>
      <c r="AA505" s="121" t="s">
        <v>1169</v>
      </c>
      <c r="AB505" s="121" t="s">
        <v>1173</v>
      </c>
      <c r="AC505" s="361"/>
    </row>
    <row r="506" spans="1:29" ht="39.950000000000003" customHeight="1" x14ac:dyDescent="0.2">
      <c r="A506" s="66">
        <v>512</v>
      </c>
      <c r="B506" s="68">
        <v>45153</v>
      </c>
      <c r="C506" s="73">
        <v>0.47291666666666665</v>
      </c>
      <c r="D506" s="66" t="s">
        <v>2322</v>
      </c>
      <c r="E506" s="67" t="s">
        <v>2416</v>
      </c>
      <c r="F506" s="66">
        <v>6</v>
      </c>
      <c r="G506" s="66" t="s">
        <v>43</v>
      </c>
      <c r="H506" s="68">
        <v>45161</v>
      </c>
      <c r="I506" s="68" t="s">
        <v>73</v>
      </c>
      <c r="J506" s="68" t="s">
        <v>1224</v>
      </c>
      <c r="K506" s="66" t="s">
        <v>2394</v>
      </c>
      <c r="L506" s="66" t="s">
        <v>829</v>
      </c>
      <c r="M506" s="6" t="s">
        <v>2219</v>
      </c>
      <c r="N506" s="66" t="s">
        <v>2438</v>
      </c>
      <c r="O506" s="66" t="str">
        <f t="shared" ca="1" si="30"/>
        <v>SI</v>
      </c>
      <c r="P506" s="66" t="str">
        <f t="shared" si="28"/>
        <v>DIANOSOL</v>
      </c>
      <c r="Q506" s="66" t="s">
        <v>904</v>
      </c>
      <c r="R506" s="66" t="str">
        <f>VLOOKUP($Q506,Resultados!$A$1:$B$49,2,FALSE)</f>
        <v>Juicio Abreviado</v>
      </c>
      <c r="S506" s="66"/>
      <c r="T506" s="75" t="str">
        <f t="shared" si="31"/>
        <v>NO</v>
      </c>
      <c r="U506" s="75"/>
      <c r="V506" s="66"/>
      <c r="W506" s="66"/>
      <c r="X506" s="66"/>
      <c r="Y506" s="66"/>
      <c r="Z506" s="121" t="s">
        <v>770</v>
      </c>
      <c r="AA506" s="121" t="s">
        <v>743</v>
      </c>
      <c r="AB506" s="121" t="s">
        <v>1174</v>
      </c>
      <c r="AC506" s="361"/>
    </row>
    <row r="507" spans="1:29" ht="39.950000000000003" customHeight="1" x14ac:dyDescent="0.2">
      <c r="A507" s="66">
        <v>493</v>
      </c>
      <c r="B507" s="68">
        <v>45148</v>
      </c>
      <c r="C507" s="73">
        <v>0.40069444444444446</v>
      </c>
      <c r="D507" s="66" t="s">
        <v>2258</v>
      </c>
      <c r="E507" s="67" t="s">
        <v>2417</v>
      </c>
      <c r="F507" s="66">
        <v>5</v>
      </c>
      <c r="G507" s="66" t="s">
        <v>1442</v>
      </c>
      <c r="H507" s="68">
        <v>45161</v>
      </c>
      <c r="I507" s="68" t="s">
        <v>1086</v>
      </c>
      <c r="J507" s="68" t="s">
        <v>31</v>
      </c>
      <c r="K507" s="66" t="s">
        <v>1346</v>
      </c>
      <c r="L507" s="66" t="s">
        <v>813</v>
      </c>
      <c r="M507" s="6" t="s">
        <v>2125</v>
      </c>
      <c r="N507" s="6" t="s">
        <v>2435</v>
      </c>
      <c r="O507" s="66" t="str">
        <f t="shared" ca="1" si="30"/>
        <v>SI</v>
      </c>
      <c r="P507" s="66" t="str">
        <f t="shared" si="28"/>
        <v>DIANOSOL</v>
      </c>
      <c r="Q507" s="66" t="s">
        <v>904</v>
      </c>
      <c r="R507" s="66" t="str">
        <f>VLOOKUP($Q507,Resultados!$A$1:$B$49,2,FALSE)</f>
        <v>Juicio Abreviado</v>
      </c>
      <c r="S507" s="73">
        <v>0.4201388888888889</v>
      </c>
      <c r="T507" s="75" t="str">
        <f t="shared" si="31"/>
        <v>SI</v>
      </c>
      <c r="U507" s="75"/>
      <c r="V507" s="66"/>
      <c r="W507" s="73">
        <v>0.4375</v>
      </c>
      <c r="X507" s="226" t="s">
        <v>2436</v>
      </c>
      <c r="Y507" s="66"/>
      <c r="Z507" s="121" t="s">
        <v>1041</v>
      </c>
      <c r="AA507" s="121" t="s">
        <v>743</v>
      </c>
      <c r="AB507" s="121" t="s">
        <v>1173</v>
      </c>
      <c r="AC507" s="361"/>
    </row>
    <row r="508" spans="1:29" ht="39.950000000000003" customHeight="1" x14ac:dyDescent="0.2">
      <c r="A508" s="66">
        <v>522</v>
      </c>
      <c r="B508" s="68">
        <v>45154</v>
      </c>
      <c r="C508" s="73">
        <v>0.43402777777777773</v>
      </c>
      <c r="D508" s="66" t="s">
        <v>2360</v>
      </c>
      <c r="E508" s="67" t="s">
        <v>2418</v>
      </c>
      <c r="F508" s="66">
        <v>5</v>
      </c>
      <c r="G508" s="66" t="s">
        <v>32</v>
      </c>
      <c r="H508" s="68">
        <v>45161</v>
      </c>
      <c r="I508" s="68" t="s">
        <v>1086</v>
      </c>
      <c r="J508" s="68" t="s">
        <v>33</v>
      </c>
      <c r="K508" s="66">
        <f>IFERROR(VLOOKUP(J508,Jueces!$A$1:$B$11,2,FALSE),"")</f>
        <v>4</v>
      </c>
      <c r="L508" s="66" t="s">
        <v>801</v>
      </c>
      <c r="M508" s="6" t="s">
        <v>1965</v>
      </c>
      <c r="N508" s="402" t="s">
        <v>2433</v>
      </c>
      <c r="O508" s="66" t="str">
        <f t="shared" ca="1" si="30"/>
        <v>SI</v>
      </c>
      <c r="P508" s="66" t="str">
        <f t="shared" si="28"/>
        <v>DIANOSOL</v>
      </c>
      <c r="Q508" s="66" t="s">
        <v>899</v>
      </c>
      <c r="R508" s="66" t="str">
        <f>VLOOKUP($Q508,Resultados!$A$1:$B$49,2,FALSE)</f>
        <v>Libertad</v>
      </c>
      <c r="S508" s="73">
        <v>0.37986111111111115</v>
      </c>
      <c r="T508" s="75" t="str">
        <f t="shared" si="31"/>
        <v>NO</v>
      </c>
      <c r="U508" s="75"/>
      <c r="V508" s="66"/>
      <c r="W508" s="73">
        <v>0.39999999999999997</v>
      </c>
      <c r="X508" s="226" t="s">
        <v>2434</v>
      </c>
      <c r="Y508" s="66"/>
      <c r="Z508" s="121" t="s">
        <v>1042</v>
      </c>
      <c r="AA508" s="121" t="s">
        <v>1171</v>
      </c>
      <c r="AB508" s="121" t="s">
        <v>1175</v>
      </c>
      <c r="AC508" s="361"/>
    </row>
    <row r="509" spans="1:29" ht="63.75" x14ac:dyDescent="0.2">
      <c r="A509" s="66">
        <v>507</v>
      </c>
      <c r="B509" s="68">
        <v>45152</v>
      </c>
      <c r="C509" s="73">
        <v>0.51111111111111118</v>
      </c>
      <c r="D509" s="66" t="s">
        <v>2306</v>
      </c>
      <c r="E509" s="67" t="s">
        <v>2419</v>
      </c>
      <c r="F509" s="66">
        <v>6</v>
      </c>
      <c r="G509" s="66" t="s">
        <v>29</v>
      </c>
      <c r="H509" s="68">
        <v>45161</v>
      </c>
      <c r="I509" s="68" t="s">
        <v>77</v>
      </c>
      <c r="J509" s="68" t="s">
        <v>31</v>
      </c>
      <c r="K509" s="66" t="s">
        <v>1491</v>
      </c>
      <c r="L509" s="66" t="s">
        <v>811</v>
      </c>
      <c r="M509" s="6" t="s">
        <v>2125</v>
      </c>
      <c r="N509" s="66" t="s">
        <v>235</v>
      </c>
      <c r="O509" s="66" t="str">
        <f t="shared" ca="1" si="30"/>
        <v>SI</v>
      </c>
      <c r="P509" s="66" t="str">
        <f t="shared" si="28"/>
        <v>DIANOSOL</v>
      </c>
      <c r="Q509" s="66" t="s">
        <v>151</v>
      </c>
      <c r="R509" s="66" t="str">
        <f>VLOOKUP($Q509,Resultados!$A$1:$B$49,2,FALSE)</f>
        <v>Prisión Preventiva</v>
      </c>
      <c r="S509" s="73">
        <v>0.50069444444444444</v>
      </c>
      <c r="T509" s="75" t="str">
        <f t="shared" si="31"/>
        <v>NO</v>
      </c>
      <c r="U509" s="75"/>
      <c r="V509" s="66"/>
      <c r="W509" s="73">
        <v>0.5131944444444444</v>
      </c>
      <c r="X509" s="230" t="s">
        <v>2446</v>
      </c>
      <c r="Y509" s="66"/>
      <c r="Z509" s="121" t="s">
        <v>748</v>
      </c>
      <c r="AA509" s="121" t="s">
        <v>1171</v>
      </c>
      <c r="AB509" s="121" t="s">
        <v>1177</v>
      </c>
      <c r="AC509" s="361"/>
    </row>
    <row r="510" spans="1:29" ht="63.75" x14ac:dyDescent="0.2">
      <c r="A510" s="66">
        <v>501</v>
      </c>
      <c r="B510" s="68">
        <v>45152</v>
      </c>
      <c r="C510" s="73">
        <v>0.39097222222222222</v>
      </c>
      <c r="D510" s="66" t="s">
        <v>2283</v>
      </c>
      <c r="E510" s="67" t="s">
        <v>2453</v>
      </c>
      <c r="F510" s="66">
        <v>7</v>
      </c>
      <c r="G510" s="66" t="s">
        <v>1443</v>
      </c>
      <c r="H510" s="68">
        <v>45162</v>
      </c>
      <c r="I510" s="68" t="s">
        <v>73</v>
      </c>
      <c r="J510" s="68" t="s">
        <v>1222</v>
      </c>
      <c r="K510" s="66" t="s">
        <v>1346</v>
      </c>
      <c r="L510" s="66" t="s">
        <v>2094</v>
      </c>
      <c r="M510" s="66" t="s">
        <v>2324</v>
      </c>
      <c r="N510" s="66" t="s">
        <v>2488</v>
      </c>
      <c r="O510" s="66" t="str">
        <f t="shared" ca="1" si="30"/>
        <v>SI</v>
      </c>
      <c r="P510" s="66" t="str">
        <f t="shared" si="28"/>
        <v>DIANOSOL</v>
      </c>
      <c r="Q510" s="66" t="s">
        <v>151</v>
      </c>
      <c r="R510" s="66" t="str">
        <f>VLOOKUP($Q510,Resultados!$A$1:$B$49,2,FALSE)</f>
        <v>Prisión Preventiva</v>
      </c>
      <c r="S510" s="73">
        <v>0.35902777777777778</v>
      </c>
      <c r="T510" s="75" t="str">
        <f t="shared" si="31"/>
        <v>NO</v>
      </c>
      <c r="U510" s="75"/>
      <c r="V510" s="66"/>
      <c r="W510" s="73">
        <v>0.37986111111111115</v>
      </c>
      <c r="X510" s="66" t="s">
        <v>2456</v>
      </c>
      <c r="Y510" s="66"/>
      <c r="Z510" s="121" t="s">
        <v>743</v>
      </c>
      <c r="AA510" s="121" t="s">
        <v>1169</v>
      </c>
      <c r="AB510" s="121" t="s">
        <v>1176</v>
      </c>
      <c r="AC510" s="361"/>
    </row>
    <row r="511" spans="1:29" ht="89.25" x14ac:dyDescent="0.2">
      <c r="A511" s="66">
        <v>503</v>
      </c>
      <c r="B511" s="68">
        <v>45152</v>
      </c>
      <c r="C511" s="73">
        <v>0.49583333333333335</v>
      </c>
      <c r="D511" s="66" t="s">
        <v>2300</v>
      </c>
      <c r="E511" s="67" t="s">
        <v>2447</v>
      </c>
      <c r="F511" s="66">
        <v>8</v>
      </c>
      <c r="G511" s="66" t="s">
        <v>43</v>
      </c>
      <c r="H511" s="68">
        <v>45162</v>
      </c>
      <c r="I511" s="68" t="s">
        <v>73</v>
      </c>
      <c r="J511" s="68" t="s">
        <v>33</v>
      </c>
      <c r="K511" s="66">
        <f>IFERROR(VLOOKUP(J511,Jueces!$A$1:$B$11,2,FALSE),"")</f>
        <v>4</v>
      </c>
      <c r="L511" s="66" t="s">
        <v>1070</v>
      </c>
      <c r="M511" s="66" t="s">
        <v>2314</v>
      </c>
      <c r="N511" s="66" t="s">
        <v>2457</v>
      </c>
      <c r="O511" s="66" t="str">
        <f t="shared" ca="1" si="30"/>
        <v>SI</v>
      </c>
      <c r="P511" s="66" t="str">
        <f t="shared" si="28"/>
        <v>DIANOSOL</v>
      </c>
      <c r="Q511" s="66" t="s">
        <v>974</v>
      </c>
      <c r="R511" s="66" t="str">
        <f>VLOOKUP($Q511,Resultados!$A$1:$B$49,2,FALSE)</f>
        <v>Prision domiciliaria</v>
      </c>
      <c r="S511" s="73">
        <v>0.34722222222222227</v>
      </c>
      <c r="T511" s="75" t="str">
        <f t="shared" si="31"/>
        <v>NO</v>
      </c>
      <c r="U511" s="75"/>
      <c r="V511" s="66"/>
      <c r="W511" s="73">
        <v>0.37847222222222227</v>
      </c>
      <c r="X511" s="66"/>
      <c r="Y511" s="66"/>
      <c r="Z511" s="121" t="s">
        <v>770</v>
      </c>
      <c r="AA511" s="121" t="s">
        <v>743</v>
      </c>
      <c r="AB511" s="121" t="s">
        <v>1174</v>
      </c>
      <c r="AC511" s="361"/>
    </row>
    <row r="512" spans="1:29" ht="102" x14ac:dyDescent="0.2">
      <c r="A512" s="66">
        <v>510</v>
      </c>
      <c r="B512" s="68">
        <v>45153</v>
      </c>
      <c r="C512" s="73">
        <v>0.48402777777777778</v>
      </c>
      <c r="D512" s="66" t="s">
        <v>2316</v>
      </c>
      <c r="E512" s="67" t="s">
        <v>2469</v>
      </c>
      <c r="F512" s="66">
        <v>5</v>
      </c>
      <c r="G512" s="66" t="s">
        <v>29</v>
      </c>
      <c r="H512" s="68">
        <v>45162</v>
      </c>
      <c r="I512" s="68" t="s">
        <v>73</v>
      </c>
      <c r="J512" s="68" t="s">
        <v>78</v>
      </c>
      <c r="K512" s="66">
        <f>IFERROR(VLOOKUP(J512,Jueces!$A$1:$B$11,2,FALSE),"")</f>
        <v>8</v>
      </c>
      <c r="L512" s="66" t="s">
        <v>796</v>
      </c>
      <c r="M512" s="66" t="s">
        <v>2317</v>
      </c>
      <c r="N512" s="66" t="s">
        <v>2452</v>
      </c>
      <c r="O512" s="66" t="str">
        <f t="shared" ca="1" si="30"/>
        <v>SI</v>
      </c>
      <c r="P512" s="66" t="str">
        <f t="shared" si="28"/>
        <v>DIANOSOL</v>
      </c>
      <c r="Q512" s="66" t="s">
        <v>911</v>
      </c>
      <c r="R512" s="66" t="str">
        <f>VLOOKUP($Q512,Resultados!$A$1:$B$49,2,FALSE)</f>
        <v>Suspendida</v>
      </c>
      <c r="S512" s="66"/>
      <c r="T512" s="75" t="str">
        <f t="shared" si="31"/>
        <v>NO</v>
      </c>
      <c r="U512" s="75"/>
      <c r="V512" s="66"/>
      <c r="W512" s="66"/>
      <c r="X512" s="66"/>
      <c r="Y512" s="66"/>
      <c r="Z512" s="121" t="s">
        <v>2449</v>
      </c>
      <c r="AA512" s="121" t="s">
        <v>743</v>
      </c>
      <c r="AB512" s="121" t="s">
        <v>1173</v>
      </c>
      <c r="AC512" s="361"/>
    </row>
    <row r="513" spans="1:29" ht="63.75" x14ac:dyDescent="0.2">
      <c r="A513" s="66">
        <v>511</v>
      </c>
      <c r="B513" s="68">
        <v>45153</v>
      </c>
      <c r="C513" s="73">
        <v>0.47013888888888888</v>
      </c>
      <c r="D513" s="66" t="s">
        <v>2321</v>
      </c>
      <c r="E513" s="67" t="s">
        <v>2342</v>
      </c>
      <c r="F513" s="66">
        <v>6</v>
      </c>
      <c r="G513" s="66" t="s">
        <v>1442</v>
      </c>
      <c r="H513" s="68">
        <v>45162</v>
      </c>
      <c r="I513" s="68" t="s">
        <v>73</v>
      </c>
      <c r="J513" s="68" t="s">
        <v>1223</v>
      </c>
      <c r="K513" s="66" t="s">
        <v>1925</v>
      </c>
      <c r="L513" s="66" t="s">
        <v>806</v>
      </c>
      <c r="M513" s="66" t="s">
        <v>725</v>
      </c>
      <c r="N513" s="66" t="s">
        <v>2454</v>
      </c>
      <c r="O513" s="66" t="str">
        <f t="shared" ca="1" si="30"/>
        <v>SI</v>
      </c>
      <c r="P513" s="66" t="str">
        <f t="shared" si="28"/>
        <v>DIANOSOL</v>
      </c>
      <c r="Q513" s="66" t="s">
        <v>904</v>
      </c>
      <c r="R513" s="66" t="str">
        <f>VLOOKUP($Q513,Resultados!$A$1:$B$49,2,FALSE)</f>
        <v>Juicio Abreviado</v>
      </c>
      <c r="S513" s="73">
        <v>0.38263888888888892</v>
      </c>
      <c r="T513" s="75" t="str">
        <f t="shared" si="31"/>
        <v>SI</v>
      </c>
      <c r="U513" s="75"/>
      <c r="V513" s="66"/>
      <c r="W513" s="73">
        <v>0.39374999999999999</v>
      </c>
      <c r="X513" s="66"/>
      <c r="Y513" s="66"/>
      <c r="Z513" s="121" t="s">
        <v>748</v>
      </c>
      <c r="AA513" s="121" t="s">
        <v>1171</v>
      </c>
      <c r="AB513" s="121" t="s">
        <v>1176</v>
      </c>
      <c r="AC513" s="361"/>
    </row>
    <row r="514" spans="1:29" ht="51" x14ac:dyDescent="0.2">
      <c r="A514" s="66">
        <v>514</v>
      </c>
      <c r="B514" s="68">
        <v>45153</v>
      </c>
      <c r="C514" s="73">
        <v>0.49722222222222223</v>
      </c>
      <c r="D514" s="66" t="s">
        <v>2326</v>
      </c>
      <c r="E514" s="67" t="s">
        <v>2353</v>
      </c>
      <c r="F514" s="66">
        <v>5</v>
      </c>
      <c r="G514" s="66" t="s">
        <v>1441</v>
      </c>
      <c r="H514" s="68">
        <v>45162</v>
      </c>
      <c r="I514" s="68" t="s">
        <v>73</v>
      </c>
      <c r="J514" s="68" t="s">
        <v>1223</v>
      </c>
      <c r="K514" s="66" t="s">
        <v>1925</v>
      </c>
      <c r="L514" s="66" t="s">
        <v>812</v>
      </c>
      <c r="M514" s="66" t="s">
        <v>1965</v>
      </c>
      <c r="N514" s="66" t="s">
        <v>2462</v>
      </c>
      <c r="O514" s="66" t="str">
        <f t="shared" ca="1" si="30"/>
        <v>SI</v>
      </c>
      <c r="P514" s="66" t="str">
        <f t="shared" si="28"/>
        <v>DIANOSOL</v>
      </c>
      <c r="Q514" s="66" t="s">
        <v>905</v>
      </c>
      <c r="R514" s="66" t="str">
        <f>VLOOKUP($Q514,Resultados!$A$1:$B$49,2,FALSE)</f>
        <v>Juicio Abreviado</v>
      </c>
      <c r="S514" s="73">
        <v>0.45</v>
      </c>
      <c r="T514" s="75" t="str">
        <f t="shared" si="31"/>
        <v>NO</v>
      </c>
      <c r="U514" s="75"/>
      <c r="V514" s="66"/>
      <c r="W514" s="73">
        <v>0.46527777777777773</v>
      </c>
      <c r="X514" s="67" t="s">
        <v>2695</v>
      </c>
      <c r="Y514" s="66"/>
      <c r="Z514" s="121" t="s">
        <v>1041</v>
      </c>
      <c r="AA514" s="121" t="s">
        <v>1171</v>
      </c>
      <c r="AB514" s="121" t="s">
        <v>1175</v>
      </c>
      <c r="AC514" s="361"/>
    </row>
    <row r="515" spans="1:29" ht="63.75" x14ac:dyDescent="0.2">
      <c r="A515" s="66">
        <v>518</v>
      </c>
      <c r="B515" s="68">
        <v>45154</v>
      </c>
      <c r="C515" s="73">
        <v>0.48819444444444443</v>
      </c>
      <c r="D515" s="66" t="s">
        <v>2350</v>
      </c>
      <c r="E515" s="67" t="s">
        <v>2351</v>
      </c>
      <c r="F515" s="66">
        <v>6</v>
      </c>
      <c r="G515" s="66" t="s">
        <v>568</v>
      </c>
      <c r="H515" s="68">
        <v>45162</v>
      </c>
      <c r="I515" s="68" t="s">
        <v>73</v>
      </c>
      <c r="J515" s="68" t="s">
        <v>1220</v>
      </c>
      <c r="K515" s="66" t="s">
        <v>1520</v>
      </c>
      <c r="L515" s="66" t="s">
        <v>829</v>
      </c>
      <c r="M515" s="66" t="s">
        <v>2125</v>
      </c>
      <c r="N515" s="66" t="s">
        <v>2471</v>
      </c>
      <c r="O515" s="66" t="str">
        <f t="shared" ca="1" si="30"/>
        <v>SI</v>
      </c>
      <c r="P515" s="66" t="str">
        <f t="shared" ref="P515:P578" si="32">IF($P$1=H515,"DIASOL", "DIANOSOL")</f>
        <v>DIANOSOL</v>
      </c>
      <c r="Q515" s="66" t="s">
        <v>1512</v>
      </c>
      <c r="R515" s="66" t="str">
        <f>VLOOKUP($Q515,Resultados!$A$1:$B$49,2,FALSE)</f>
        <v>Juicio Abreviado</v>
      </c>
      <c r="S515" s="66"/>
      <c r="T515" s="75" t="str">
        <f t="shared" si="31"/>
        <v>NO</v>
      </c>
      <c r="U515" s="75"/>
      <c r="V515" s="66"/>
      <c r="W515" s="66"/>
      <c r="X515" s="66"/>
      <c r="Y515" s="66"/>
      <c r="Z515" s="121" t="s">
        <v>1042</v>
      </c>
      <c r="AA515" s="121" t="s">
        <v>1169</v>
      </c>
      <c r="AB515" s="121" t="s">
        <v>1177</v>
      </c>
      <c r="AC515" s="361"/>
    </row>
    <row r="516" spans="1:29" ht="39.950000000000003" customHeight="1" x14ac:dyDescent="0.2">
      <c r="A516" s="66">
        <v>517</v>
      </c>
      <c r="B516" s="68">
        <v>45154</v>
      </c>
      <c r="C516" s="73">
        <v>0.4694444444444445</v>
      </c>
      <c r="D516" s="66" t="s">
        <v>2348</v>
      </c>
      <c r="E516" s="67" t="s">
        <v>2359</v>
      </c>
      <c r="F516" s="66">
        <v>5</v>
      </c>
      <c r="G516" s="66" t="s">
        <v>283</v>
      </c>
      <c r="H516" s="68">
        <v>45162</v>
      </c>
      <c r="I516" s="68" t="s">
        <v>1086</v>
      </c>
      <c r="J516" s="68" t="s">
        <v>1224</v>
      </c>
      <c r="K516" s="66" t="s">
        <v>1520</v>
      </c>
      <c r="L516" s="66" t="s">
        <v>2090</v>
      </c>
      <c r="M516" s="66" t="s">
        <v>2125</v>
      </c>
      <c r="N516" s="66" t="s">
        <v>2454</v>
      </c>
      <c r="O516" s="66" t="str">
        <f t="shared" ca="1" si="30"/>
        <v>SI</v>
      </c>
      <c r="P516" s="66" t="str">
        <f t="shared" si="32"/>
        <v>DIANOSOL</v>
      </c>
      <c r="Q516" s="66" t="s">
        <v>904</v>
      </c>
      <c r="R516" s="66" t="str">
        <f>VLOOKUP($Q516,Resultados!$A$1:$B$49,2,FALSE)</f>
        <v>Juicio Abreviado</v>
      </c>
      <c r="S516" s="73">
        <v>0.3923611111111111</v>
      </c>
      <c r="T516" s="75" t="str">
        <f t="shared" si="31"/>
        <v>NO</v>
      </c>
      <c r="U516" s="75"/>
      <c r="V516" s="66"/>
      <c r="W516" s="73">
        <v>0.41597222222222219</v>
      </c>
      <c r="X516" s="66" t="s">
        <v>2455</v>
      </c>
      <c r="Y516" s="66"/>
      <c r="Z516" s="121" t="s">
        <v>743</v>
      </c>
      <c r="AA516" s="121" t="s">
        <v>743</v>
      </c>
      <c r="AB516" s="121" t="s">
        <v>1174</v>
      </c>
      <c r="AC516" s="361"/>
    </row>
    <row r="517" spans="1:29" ht="39.950000000000003" customHeight="1" x14ac:dyDescent="0.2">
      <c r="A517" s="66">
        <v>505</v>
      </c>
      <c r="B517" s="68">
        <v>45152</v>
      </c>
      <c r="C517" s="73">
        <v>0.44791666666666669</v>
      </c>
      <c r="D517" s="66" t="s">
        <v>2302</v>
      </c>
      <c r="E517" s="67" t="s">
        <v>2397</v>
      </c>
      <c r="F517" s="66">
        <v>6</v>
      </c>
      <c r="G517" s="66" t="s">
        <v>1443</v>
      </c>
      <c r="H517" s="68">
        <v>45163</v>
      </c>
      <c r="I517" s="68" t="s">
        <v>73</v>
      </c>
      <c r="J517" s="68" t="s">
        <v>1223</v>
      </c>
      <c r="K517" s="66" t="s">
        <v>1925</v>
      </c>
      <c r="L517" s="66" t="s">
        <v>1070</v>
      </c>
      <c r="M517" s="66" t="s">
        <v>1416</v>
      </c>
      <c r="N517" s="66" t="s">
        <v>2480</v>
      </c>
      <c r="O517" s="66" t="str">
        <f t="shared" ca="1" si="30"/>
        <v>SI</v>
      </c>
      <c r="P517" s="66" t="str">
        <f t="shared" si="32"/>
        <v>DIANOSOL</v>
      </c>
      <c r="Q517" s="66" t="s">
        <v>899</v>
      </c>
      <c r="R517" s="66" t="str">
        <f>VLOOKUP($Q517,Resultados!$A$1:$B$49,2,FALSE)</f>
        <v>Libertad</v>
      </c>
      <c r="S517" s="73">
        <v>0.3756944444444445</v>
      </c>
      <c r="T517" s="75" t="str">
        <f t="shared" si="31"/>
        <v>NO</v>
      </c>
      <c r="U517" s="75"/>
      <c r="V517" s="66"/>
      <c r="W517" s="73">
        <v>0.4145833333333333</v>
      </c>
      <c r="X517" s="66" t="s">
        <v>2481</v>
      </c>
      <c r="Y517" s="66"/>
      <c r="Z517" s="121" t="s">
        <v>770</v>
      </c>
      <c r="AA517" s="121" t="s">
        <v>743</v>
      </c>
      <c r="AB517" s="121" t="s">
        <v>1173</v>
      </c>
      <c r="AC517" s="361"/>
    </row>
    <row r="518" spans="1:29" ht="39.950000000000003" customHeight="1" x14ac:dyDescent="0.2">
      <c r="A518" s="66">
        <v>520</v>
      </c>
      <c r="B518" s="68">
        <v>45154</v>
      </c>
      <c r="C518" s="73">
        <v>0.53125</v>
      </c>
      <c r="D518" s="66" t="s">
        <v>2356</v>
      </c>
      <c r="E518" s="67" t="s">
        <v>2472</v>
      </c>
      <c r="F518" s="66">
        <v>6</v>
      </c>
      <c r="G518" s="66" t="s">
        <v>568</v>
      </c>
      <c r="H518" s="68">
        <v>45163</v>
      </c>
      <c r="I518" s="68" t="s">
        <v>73</v>
      </c>
      <c r="J518" s="68" t="s">
        <v>1220</v>
      </c>
      <c r="K518" s="66" t="s">
        <v>1520</v>
      </c>
      <c r="L518" s="66" t="s">
        <v>812</v>
      </c>
      <c r="M518" s="66" t="s">
        <v>725</v>
      </c>
      <c r="N518" s="66" t="s">
        <v>2482</v>
      </c>
      <c r="O518" s="66" t="str">
        <f t="shared" ca="1" si="30"/>
        <v>SI</v>
      </c>
      <c r="P518" s="66" t="str">
        <f t="shared" si="32"/>
        <v>DIANOSOL</v>
      </c>
      <c r="Q518" s="66" t="s">
        <v>904</v>
      </c>
      <c r="R518" s="66" t="str">
        <f>VLOOKUP($Q518,Resultados!$A$1:$B$49,2,FALSE)</f>
        <v>Juicio Abreviado</v>
      </c>
      <c r="S518" s="73">
        <v>0.40277777777777773</v>
      </c>
      <c r="T518" s="75" t="str">
        <f t="shared" si="31"/>
        <v>NO</v>
      </c>
      <c r="U518" s="75"/>
      <c r="V518" s="66"/>
      <c r="W518" s="73">
        <v>0.41875000000000001</v>
      </c>
      <c r="X518" s="66" t="s">
        <v>2483</v>
      </c>
      <c r="Y518" s="66"/>
      <c r="Z518" s="121" t="s">
        <v>1041</v>
      </c>
      <c r="AA518" s="121" t="s">
        <v>1169</v>
      </c>
      <c r="AB518" s="121" t="s">
        <v>1175</v>
      </c>
      <c r="AC518" s="361"/>
    </row>
    <row r="519" spans="1:29" ht="39.950000000000003" customHeight="1" x14ac:dyDescent="0.2">
      <c r="A519" s="66">
        <v>524</v>
      </c>
      <c r="B519" s="68">
        <v>45155</v>
      </c>
      <c r="C519" s="73">
        <v>0.4680555555555555</v>
      </c>
      <c r="D519" s="66" t="s">
        <v>2368</v>
      </c>
      <c r="E519" s="67" t="s">
        <v>2473</v>
      </c>
      <c r="F519" s="66">
        <v>6</v>
      </c>
      <c r="G519" s="66" t="s">
        <v>43</v>
      </c>
      <c r="H519" s="68">
        <v>45163</v>
      </c>
      <c r="I519" s="68" t="s">
        <v>73</v>
      </c>
      <c r="J519" s="68" t="s">
        <v>1222</v>
      </c>
      <c r="K519" s="66" t="s">
        <v>1346</v>
      </c>
      <c r="L519" s="66" t="s">
        <v>798</v>
      </c>
      <c r="M519" s="66" t="s">
        <v>2125</v>
      </c>
      <c r="N519" s="66" t="s">
        <v>2478</v>
      </c>
      <c r="O519" s="66" t="str">
        <f t="shared" ca="1" si="30"/>
        <v>SI</v>
      </c>
      <c r="P519" s="66" t="str">
        <f t="shared" si="32"/>
        <v>DIANOSOL</v>
      </c>
      <c r="Q519" s="66" t="s">
        <v>905</v>
      </c>
      <c r="R519" s="66" t="str">
        <f>VLOOKUP($Q519,Resultados!$A$1:$B$49,2,FALSE)</f>
        <v>Juicio Abreviado</v>
      </c>
      <c r="S519" s="73">
        <v>0.34166666666666662</v>
      </c>
      <c r="T519" s="75" t="str">
        <f t="shared" si="31"/>
        <v>NO</v>
      </c>
      <c r="U519" s="75"/>
      <c r="V519" s="66"/>
      <c r="W519" s="73">
        <v>0.34722222222222227</v>
      </c>
      <c r="X519" s="66"/>
      <c r="Y519" s="66"/>
      <c r="Z519" s="121" t="s">
        <v>1042</v>
      </c>
      <c r="AA519" s="121" t="s">
        <v>1169</v>
      </c>
      <c r="AB519" s="121" t="s">
        <v>1176</v>
      </c>
      <c r="AC519" s="361"/>
    </row>
    <row r="520" spans="1:29" ht="39.950000000000003" customHeight="1" x14ac:dyDescent="0.2">
      <c r="A520" s="66">
        <v>527</v>
      </c>
      <c r="B520" s="68">
        <v>45156</v>
      </c>
      <c r="C520" s="73">
        <v>0.48055555555555557</v>
      </c>
      <c r="D520" s="66" t="s">
        <v>2396</v>
      </c>
      <c r="E520" s="67" t="s">
        <v>2474</v>
      </c>
      <c r="F520" s="66">
        <v>6</v>
      </c>
      <c r="G520" s="66" t="s">
        <v>32</v>
      </c>
      <c r="H520" s="68">
        <v>45163</v>
      </c>
      <c r="I520" s="68" t="s">
        <v>73</v>
      </c>
      <c r="J520" s="68" t="s">
        <v>78</v>
      </c>
      <c r="K520" s="66" t="s">
        <v>1491</v>
      </c>
      <c r="L520" s="66" t="s">
        <v>811</v>
      </c>
      <c r="M520" s="66" t="s">
        <v>2219</v>
      </c>
      <c r="N520" s="66" t="s">
        <v>621</v>
      </c>
      <c r="O520" s="66" t="str">
        <f t="shared" ca="1" si="30"/>
        <v>SI</v>
      </c>
      <c r="P520" s="66" t="str">
        <f t="shared" si="32"/>
        <v>DIANOSOL</v>
      </c>
      <c r="Q520" s="66" t="s">
        <v>151</v>
      </c>
      <c r="R520" s="66" t="str">
        <f>VLOOKUP($Q520,Resultados!$A$1:$B$49,2,FALSE)</f>
        <v>Prisión Preventiva</v>
      </c>
      <c r="S520" s="73">
        <v>0.35625000000000001</v>
      </c>
      <c r="T520" s="75" t="str">
        <f t="shared" si="31"/>
        <v>NO</v>
      </c>
      <c r="U520" s="75"/>
      <c r="V520" s="66"/>
      <c r="W520" s="73">
        <v>0.37361111111111112</v>
      </c>
      <c r="X520" s="66"/>
      <c r="Y520" s="66"/>
      <c r="Z520" s="121" t="s">
        <v>748</v>
      </c>
      <c r="AA520" s="121" t="s">
        <v>743</v>
      </c>
      <c r="AB520" s="121" t="s">
        <v>1174</v>
      </c>
      <c r="AC520" s="361"/>
    </row>
    <row r="521" spans="1:29" ht="39.950000000000003" customHeight="1" x14ac:dyDescent="0.2">
      <c r="A521" s="66">
        <v>523</v>
      </c>
      <c r="B521" s="68">
        <v>45155</v>
      </c>
      <c r="C521" s="73">
        <v>0.34236111111111112</v>
      </c>
      <c r="D521" s="66" t="s">
        <v>2366</v>
      </c>
      <c r="E521" s="67" t="s">
        <v>2475</v>
      </c>
      <c r="F521" s="66">
        <v>4</v>
      </c>
      <c r="G521" s="66" t="s">
        <v>29</v>
      </c>
      <c r="H521" s="68">
        <v>45163</v>
      </c>
      <c r="I521" s="68" t="s">
        <v>1086</v>
      </c>
      <c r="J521" s="68" t="s">
        <v>1224</v>
      </c>
      <c r="K521" s="66" t="s">
        <v>1326</v>
      </c>
      <c r="L521" s="66" t="s">
        <v>796</v>
      </c>
      <c r="M521" s="66" t="s">
        <v>2370</v>
      </c>
      <c r="N521" s="66" t="s">
        <v>621</v>
      </c>
      <c r="O521" s="66" t="str">
        <f t="shared" ca="1" si="30"/>
        <v>SI</v>
      </c>
      <c r="P521" s="66" t="str">
        <f t="shared" si="32"/>
        <v>DIANOSOL</v>
      </c>
      <c r="Q521" s="66" t="s">
        <v>151</v>
      </c>
      <c r="R521" s="66" t="str">
        <f>VLOOKUP($Q521,Resultados!$A$1:$B$49,2,FALSE)</f>
        <v>Prisión Preventiva</v>
      </c>
      <c r="S521" s="73">
        <v>0.38194444444444442</v>
      </c>
      <c r="T521" s="75" t="str">
        <f t="shared" si="31"/>
        <v>NO</v>
      </c>
      <c r="U521" s="75"/>
      <c r="V521" s="66"/>
      <c r="W521" s="73">
        <v>0.3923611111111111</v>
      </c>
      <c r="X521" s="66"/>
      <c r="Y521" s="66"/>
      <c r="Z521" s="121" t="s">
        <v>743</v>
      </c>
      <c r="AA521" s="121" t="s">
        <v>1171</v>
      </c>
      <c r="AB521" s="121" t="s">
        <v>1177</v>
      </c>
      <c r="AC521" s="361"/>
    </row>
    <row r="522" spans="1:29" ht="39.950000000000003" customHeight="1" x14ac:dyDescent="0.2">
      <c r="A522" s="66">
        <v>525</v>
      </c>
      <c r="B522" s="68">
        <v>45155</v>
      </c>
      <c r="C522" s="73">
        <v>0.47500000000000003</v>
      </c>
      <c r="D522" s="66" t="s">
        <v>2369</v>
      </c>
      <c r="E522" s="67" t="s">
        <v>2476</v>
      </c>
      <c r="F522" s="66">
        <v>5</v>
      </c>
      <c r="G522" s="66" t="s">
        <v>1442</v>
      </c>
      <c r="H522" s="68">
        <v>45163</v>
      </c>
      <c r="I522" s="68" t="s">
        <v>1086</v>
      </c>
      <c r="J522" s="68" t="s">
        <v>33</v>
      </c>
      <c r="K522" s="66" t="s">
        <v>1520</v>
      </c>
      <c r="L522" s="66" t="s">
        <v>798</v>
      </c>
      <c r="M522" s="66" t="s">
        <v>1965</v>
      </c>
      <c r="N522" s="66" t="s">
        <v>2479</v>
      </c>
      <c r="O522" s="66" t="str">
        <f t="shared" ca="1" si="30"/>
        <v>SI</v>
      </c>
      <c r="P522" s="66" t="str">
        <f t="shared" si="32"/>
        <v>DIANOSOL</v>
      </c>
      <c r="Q522" s="66" t="s">
        <v>151</v>
      </c>
      <c r="R522" s="66" t="str">
        <f>VLOOKUP($Q522,Resultados!$A$1:$B$49,2,FALSE)</f>
        <v>Prisión Preventiva</v>
      </c>
      <c r="S522" s="73">
        <v>0.38125000000000003</v>
      </c>
      <c r="T522" s="75" t="str">
        <f t="shared" si="31"/>
        <v>SI</v>
      </c>
      <c r="U522" s="75"/>
      <c r="V522" s="66"/>
      <c r="W522" s="73">
        <v>0.39861111111111108</v>
      </c>
      <c r="X522" s="66"/>
      <c r="Y522" s="66"/>
      <c r="Z522" s="121" t="s">
        <v>770</v>
      </c>
      <c r="AA522" s="121" t="s">
        <v>1171</v>
      </c>
      <c r="AB522" s="121" t="s">
        <v>1173</v>
      </c>
      <c r="AC522" s="361"/>
    </row>
    <row r="523" spans="1:29" ht="39.950000000000003" customHeight="1" x14ac:dyDescent="0.2">
      <c r="A523" s="66">
        <v>502</v>
      </c>
      <c r="B523" s="68">
        <v>45152</v>
      </c>
      <c r="C523" s="73">
        <v>0.45347222222222222</v>
      </c>
      <c r="D523" s="66" t="s">
        <v>2299</v>
      </c>
      <c r="E523" s="67" t="s">
        <v>2501</v>
      </c>
      <c r="F523" s="66">
        <v>7</v>
      </c>
      <c r="G523" s="66" t="s">
        <v>32</v>
      </c>
      <c r="H523" s="68">
        <v>45167</v>
      </c>
      <c r="I523" s="68" t="s">
        <v>73</v>
      </c>
      <c r="J523" s="68" t="s">
        <v>1224</v>
      </c>
      <c r="K523" s="66" t="s">
        <v>1326</v>
      </c>
      <c r="L523" s="66" t="s">
        <v>796</v>
      </c>
      <c r="M523" s="66"/>
      <c r="N523" s="66" t="s">
        <v>2581</v>
      </c>
      <c r="O523" s="66" t="str">
        <f t="shared" ca="1" si="30"/>
        <v>SI</v>
      </c>
      <c r="P523" s="66" t="str">
        <f t="shared" si="32"/>
        <v>DIANOSOL</v>
      </c>
      <c r="Q523" s="66" t="s">
        <v>151</v>
      </c>
      <c r="R523" s="66" t="str">
        <f>VLOOKUP($Q523,Resultados!$A$1:$B$49,2,FALSE)</f>
        <v>Prisión Preventiva</v>
      </c>
      <c r="S523" s="66"/>
      <c r="T523" s="75" t="str">
        <f t="shared" si="31"/>
        <v>NO</v>
      </c>
      <c r="U523" s="75"/>
      <c r="V523" s="66"/>
      <c r="W523" s="66"/>
      <c r="X523" s="66"/>
      <c r="Y523" s="66"/>
      <c r="Z523" s="121" t="s">
        <v>1041</v>
      </c>
      <c r="AA523" s="121" t="s">
        <v>743</v>
      </c>
      <c r="AB523" s="121" t="s">
        <v>1175</v>
      </c>
      <c r="AC523" s="361"/>
    </row>
    <row r="524" spans="1:29" ht="39.950000000000003" customHeight="1" x14ac:dyDescent="0.2">
      <c r="A524" s="66">
        <v>515</v>
      </c>
      <c r="B524" s="68">
        <v>45153</v>
      </c>
      <c r="C524" s="73">
        <v>0.51458333333333328</v>
      </c>
      <c r="D524" s="66" t="s">
        <v>2327</v>
      </c>
      <c r="E524" s="67" t="s">
        <v>2504</v>
      </c>
      <c r="F524" s="66">
        <v>6</v>
      </c>
      <c r="G524" s="66" t="s">
        <v>43</v>
      </c>
      <c r="H524" s="68">
        <v>45167</v>
      </c>
      <c r="I524" s="68" t="s">
        <v>73</v>
      </c>
      <c r="J524" s="68" t="s">
        <v>31</v>
      </c>
      <c r="K524" s="66">
        <f>IFERROR(VLOOKUP(J524,Jueces!$A$1:$B$11,2,FALSE),"")</f>
        <v>2</v>
      </c>
      <c r="L524" s="66" t="s">
        <v>812</v>
      </c>
      <c r="M524" s="66" t="s">
        <v>2219</v>
      </c>
      <c r="N524" s="66" t="s">
        <v>577</v>
      </c>
      <c r="O524" s="66" t="str">
        <f t="shared" ca="1" si="30"/>
        <v>SI</v>
      </c>
      <c r="P524" s="66" t="str">
        <f t="shared" si="32"/>
        <v>DIANOSOL</v>
      </c>
      <c r="Q524" s="66" t="s">
        <v>151</v>
      </c>
      <c r="R524" s="66" t="str">
        <f>VLOOKUP($Q524,Resultados!$A$1:$B$49,2,FALSE)</f>
        <v>Prisión Preventiva</v>
      </c>
      <c r="S524" s="73">
        <v>0.3611111111111111</v>
      </c>
      <c r="T524" s="75" t="str">
        <f t="shared" si="31"/>
        <v>NO</v>
      </c>
      <c r="U524" s="75"/>
      <c r="V524" s="66"/>
      <c r="W524" s="73">
        <v>0.38750000000000001</v>
      </c>
      <c r="X524" s="382"/>
      <c r="Y524" s="66"/>
      <c r="Z524" s="121" t="s">
        <v>1042</v>
      </c>
      <c r="AA524" s="121" t="s">
        <v>1169</v>
      </c>
      <c r="AB524" s="121" t="s">
        <v>1177</v>
      </c>
      <c r="AC524" s="361"/>
    </row>
    <row r="525" spans="1:29" ht="39.950000000000003" customHeight="1" x14ac:dyDescent="0.2">
      <c r="A525" s="66">
        <v>516</v>
      </c>
      <c r="B525" s="68">
        <v>45154</v>
      </c>
      <c r="C525" s="66" t="s">
        <v>2346</v>
      </c>
      <c r="D525" s="66" t="s">
        <v>2347</v>
      </c>
      <c r="E525" s="67" t="s">
        <v>2503</v>
      </c>
      <c r="F525" s="66">
        <v>5</v>
      </c>
      <c r="G525" s="66" t="s">
        <v>29</v>
      </c>
      <c r="H525" s="68">
        <v>45167</v>
      </c>
      <c r="I525" s="68" t="s">
        <v>73</v>
      </c>
      <c r="J525" s="68" t="s">
        <v>1223</v>
      </c>
      <c r="K525" s="66" t="s">
        <v>1346</v>
      </c>
      <c r="L525" s="66" t="s">
        <v>569</v>
      </c>
      <c r="M525" s="66"/>
      <c r="N525" s="66" t="s">
        <v>2550</v>
      </c>
      <c r="O525" s="66" t="str">
        <f t="shared" ca="1" si="30"/>
        <v>SI</v>
      </c>
      <c r="P525" s="66" t="str">
        <f t="shared" si="32"/>
        <v>DIANOSOL</v>
      </c>
      <c r="Q525" s="66" t="s">
        <v>151</v>
      </c>
      <c r="R525" s="66" t="str">
        <f>VLOOKUP($Q525,Resultados!$A$1:$B$49,2,FALSE)</f>
        <v>Prisión Preventiva</v>
      </c>
      <c r="S525" s="73">
        <v>0.40833333333333338</v>
      </c>
      <c r="T525" s="75" t="str">
        <f t="shared" si="31"/>
        <v>NO</v>
      </c>
      <c r="U525" s="75"/>
      <c r="V525" s="66"/>
      <c r="W525" s="73">
        <v>0.47291666666666665</v>
      </c>
      <c r="X525" s="253" t="s">
        <v>2549</v>
      </c>
      <c r="Y525" s="66"/>
      <c r="Z525" s="121" t="s">
        <v>748</v>
      </c>
      <c r="AA525" s="121"/>
      <c r="AB525" s="121" t="s">
        <v>1176</v>
      </c>
      <c r="AC525" s="361"/>
    </row>
    <row r="526" spans="1:29" ht="39.950000000000003" customHeight="1" x14ac:dyDescent="0.2">
      <c r="A526" s="66">
        <v>519</v>
      </c>
      <c r="B526" s="68">
        <v>45154</v>
      </c>
      <c r="C526" s="73">
        <v>0.50069444444444444</v>
      </c>
      <c r="D526" s="66" t="s">
        <v>2352</v>
      </c>
      <c r="E526" s="67" t="s">
        <v>2502</v>
      </c>
      <c r="F526" s="66">
        <v>5</v>
      </c>
      <c r="G526" s="66" t="s">
        <v>1441</v>
      </c>
      <c r="H526" s="68">
        <v>45167</v>
      </c>
      <c r="I526" s="68" t="s">
        <v>73</v>
      </c>
      <c r="J526" s="68" t="s">
        <v>1222</v>
      </c>
      <c r="K526" s="66" t="s">
        <v>1925</v>
      </c>
      <c r="L526" s="66" t="s">
        <v>791</v>
      </c>
      <c r="M526" s="66" t="s">
        <v>2125</v>
      </c>
      <c r="N526" s="66" t="s">
        <v>621</v>
      </c>
      <c r="O526" s="66" t="str">
        <f t="shared" ca="1" si="30"/>
        <v>SI</v>
      </c>
      <c r="P526" s="66" t="str">
        <f t="shared" si="32"/>
        <v>DIANOSOL</v>
      </c>
      <c r="Q526" s="66" t="s">
        <v>151</v>
      </c>
      <c r="R526" s="66" t="str">
        <f>VLOOKUP($Q526,Resultados!$A$1:$B$49,2,FALSE)</f>
        <v>Prisión Preventiva</v>
      </c>
      <c r="S526" s="73">
        <v>0.36180555555555555</v>
      </c>
      <c r="T526" s="75" t="str">
        <f t="shared" si="31"/>
        <v>NO</v>
      </c>
      <c r="U526" s="75"/>
      <c r="V526" s="66"/>
      <c r="W526" s="73">
        <v>0.3666666666666667</v>
      </c>
      <c r="X526" s="66" t="s">
        <v>2515</v>
      </c>
      <c r="Y526" s="66"/>
      <c r="Z526" s="121" t="s">
        <v>743</v>
      </c>
      <c r="AA526" s="121" t="s">
        <v>1169</v>
      </c>
      <c r="AB526" s="121" t="s">
        <v>1174</v>
      </c>
      <c r="AC526" s="361"/>
    </row>
    <row r="527" spans="1:29" ht="39.950000000000003" customHeight="1" x14ac:dyDescent="0.2">
      <c r="A527" s="66">
        <v>531</v>
      </c>
      <c r="B527" s="68">
        <v>45160</v>
      </c>
      <c r="C527" s="73">
        <v>0.47430555555555554</v>
      </c>
      <c r="D527" s="66" t="s">
        <v>2403</v>
      </c>
      <c r="E527" s="67" t="s">
        <v>2505</v>
      </c>
      <c r="F527" s="66">
        <v>6</v>
      </c>
      <c r="G527" s="66" t="s">
        <v>568</v>
      </c>
      <c r="H527" s="68">
        <v>45167</v>
      </c>
      <c r="I527" s="68" t="s">
        <v>73</v>
      </c>
      <c r="J527" s="68" t="s">
        <v>78</v>
      </c>
      <c r="K527" s="66">
        <f>IFERROR(VLOOKUP(J527,Jueces!$A$1:$B$11,2,FALSE),"")</f>
        <v>8</v>
      </c>
      <c r="L527" s="66" t="s">
        <v>811</v>
      </c>
      <c r="M527" s="66" t="s">
        <v>725</v>
      </c>
      <c r="N527" s="66" t="s">
        <v>2516</v>
      </c>
      <c r="O527" s="66" t="str">
        <f t="shared" ca="1" si="30"/>
        <v>SI</v>
      </c>
      <c r="P527" s="66" t="str">
        <f t="shared" si="32"/>
        <v>DIANOSOL</v>
      </c>
      <c r="Q527" s="66" t="s">
        <v>904</v>
      </c>
      <c r="R527" s="66" t="str">
        <f>VLOOKUP($Q527,Resultados!$A$1:$B$49,2,FALSE)</f>
        <v>Juicio Abreviado</v>
      </c>
      <c r="S527" s="73">
        <v>0.36041666666666666</v>
      </c>
      <c r="T527" s="75" t="str">
        <f t="shared" si="31"/>
        <v>NO</v>
      </c>
      <c r="U527" s="75"/>
      <c r="V527" s="66"/>
      <c r="W527" s="73">
        <v>0.3666666666666667</v>
      </c>
      <c r="X527" s="66"/>
      <c r="Y527" s="66"/>
      <c r="Z527" s="121" t="s">
        <v>770</v>
      </c>
      <c r="AA527" s="121" t="s">
        <v>743</v>
      </c>
      <c r="AB527" s="121" t="s">
        <v>1173</v>
      </c>
      <c r="AC527" s="361"/>
    </row>
    <row r="528" spans="1:29" ht="39.950000000000003" customHeight="1" x14ac:dyDescent="0.2">
      <c r="A528" s="66">
        <v>530</v>
      </c>
      <c r="B528" s="68">
        <v>45160</v>
      </c>
      <c r="C528" s="73">
        <v>0.47083333333333338</v>
      </c>
      <c r="D528" s="66" t="s">
        <v>2401</v>
      </c>
      <c r="E528" s="67" t="s">
        <v>2507</v>
      </c>
      <c r="F528" s="66">
        <v>6</v>
      </c>
      <c r="G528" s="66" t="s">
        <v>283</v>
      </c>
      <c r="H528" s="68">
        <v>45167</v>
      </c>
      <c r="I528" s="68" t="s">
        <v>1086</v>
      </c>
      <c r="J528" s="68" t="s">
        <v>1223</v>
      </c>
      <c r="K528" s="66" t="s">
        <v>2423</v>
      </c>
      <c r="L528" s="66" t="s">
        <v>798</v>
      </c>
      <c r="M528" s="66" t="s">
        <v>2125</v>
      </c>
      <c r="N528" s="66" t="s">
        <v>2514</v>
      </c>
      <c r="O528" s="66" t="str">
        <f t="shared" ca="1" si="30"/>
        <v>SI</v>
      </c>
      <c r="P528" s="66" t="str">
        <f t="shared" si="32"/>
        <v>DIANOSOL</v>
      </c>
      <c r="Q528" s="66" t="s">
        <v>905</v>
      </c>
      <c r="R528" s="66" t="str">
        <f>VLOOKUP($Q528,Resultados!$A$1:$B$49,2,FALSE)</f>
        <v>Juicio Abreviado</v>
      </c>
      <c r="S528" s="73">
        <v>0.49652777777777773</v>
      </c>
      <c r="T528" s="75" t="str">
        <f t="shared" si="31"/>
        <v>NO</v>
      </c>
      <c r="U528" s="75"/>
      <c r="V528" s="66"/>
      <c r="W528" s="73">
        <v>0.51388888888888895</v>
      </c>
      <c r="X528" s="382"/>
      <c r="Y528" s="66"/>
      <c r="Z528" s="121" t="s">
        <v>1041</v>
      </c>
      <c r="AA528" s="121" t="s">
        <v>1171</v>
      </c>
      <c r="AB528" s="121" t="s">
        <v>1175</v>
      </c>
      <c r="AC528" s="361"/>
    </row>
    <row r="529" spans="1:29" ht="39.950000000000003" customHeight="1" x14ac:dyDescent="0.2">
      <c r="A529" s="66">
        <v>521</v>
      </c>
      <c r="B529" s="68">
        <v>45154</v>
      </c>
      <c r="C529" s="73">
        <v>0.53194444444444444</v>
      </c>
      <c r="D529" s="66" t="s">
        <v>2357</v>
      </c>
      <c r="E529" s="67" t="s">
        <v>2358</v>
      </c>
      <c r="F529" s="66">
        <v>6</v>
      </c>
      <c r="G529" s="66" t="s">
        <v>32</v>
      </c>
      <c r="H529" s="68">
        <v>45168</v>
      </c>
      <c r="I529" s="68" t="s">
        <v>73</v>
      </c>
      <c r="J529" s="68" t="s">
        <v>78</v>
      </c>
      <c r="K529" s="66">
        <v>1</v>
      </c>
      <c r="L529" s="66" t="s">
        <v>813</v>
      </c>
      <c r="M529" s="66" t="s">
        <v>725</v>
      </c>
      <c r="N529" s="6" t="s">
        <v>235</v>
      </c>
      <c r="O529" s="66" t="str">
        <f t="shared" ca="1" si="30"/>
        <v>SI</v>
      </c>
      <c r="P529" s="66" t="str">
        <f t="shared" si="32"/>
        <v>DIANOSOL</v>
      </c>
      <c r="Q529" s="66" t="s">
        <v>151</v>
      </c>
      <c r="R529" s="66" t="str">
        <f>VLOOKUP($Q529,Resultados!$A$1:$B$49,2,FALSE)</f>
        <v>Prisión Preventiva</v>
      </c>
      <c r="S529" s="73">
        <v>0.35694444444444445</v>
      </c>
      <c r="T529" s="75" t="str">
        <f t="shared" si="31"/>
        <v>NO</v>
      </c>
      <c r="U529" s="75"/>
      <c r="V529" s="66"/>
      <c r="W529" s="73">
        <v>0.375</v>
      </c>
      <c r="X529" s="230" t="s">
        <v>2539</v>
      </c>
      <c r="Y529" s="66"/>
      <c r="Z529" s="121" t="s">
        <v>748</v>
      </c>
      <c r="AA529" s="121" t="s">
        <v>743</v>
      </c>
      <c r="AB529" s="121" t="s">
        <v>1174</v>
      </c>
      <c r="AC529" s="361"/>
    </row>
    <row r="530" spans="1:29" ht="39.950000000000003" customHeight="1" x14ac:dyDescent="0.2">
      <c r="A530" s="66">
        <v>526</v>
      </c>
      <c r="B530" s="68">
        <v>45156</v>
      </c>
      <c r="C530" s="73">
        <v>0.47569444444444442</v>
      </c>
      <c r="D530" s="66" t="s">
        <v>2395</v>
      </c>
      <c r="E530" s="67" t="s">
        <v>2470</v>
      </c>
      <c r="F530" s="66">
        <v>6</v>
      </c>
      <c r="G530" s="66" t="s">
        <v>1442</v>
      </c>
      <c r="H530" s="68">
        <v>45168</v>
      </c>
      <c r="I530" s="68" t="s">
        <v>73</v>
      </c>
      <c r="J530" s="68" t="s">
        <v>33</v>
      </c>
      <c r="K530" s="66">
        <f>IFERROR(VLOOKUP(J530,Jueces!$A$1:$B$11,2,FALSE),"")</f>
        <v>4</v>
      </c>
      <c r="L530" s="66" t="s">
        <v>791</v>
      </c>
      <c r="M530" s="66" t="s">
        <v>2219</v>
      </c>
      <c r="N530" s="253" t="s">
        <v>2540</v>
      </c>
      <c r="O530" s="66" t="str">
        <f t="shared" ca="1" si="30"/>
        <v>SI</v>
      </c>
      <c r="P530" s="66" t="str">
        <f t="shared" si="32"/>
        <v>DIANOSOL</v>
      </c>
      <c r="Q530" s="66" t="s">
        <v>905</v>
      </c>
      <c r="R530" s="66" t="str">
        <f>VLOOKUP($Q530,Resultados!$A$1:$B$49,2,FALSE)</f>
        <v>Juicio Abreviado</v>
      </c>
      <c r="S530" s="73">
        <v>0.3527777777777778</v>
      </c>
      <c r="T530" s="75" t="str">
        <f t="shared" si="31"/>
        <v>SI</v>
      </c>
      <c r="U530" s="75"/>
      <c r="V530" s="66"/>
      <c r="W530" s="73">
        <v>0.36805555555555558</v>
      </c>
      <c r="X530" s="153"/>
      <c r="Y530" s="66"/>
      <c r="Z530" s="121" t="s">
        <v>743</v>
      </c>
      <c r="AA530" s="121" t="s">
        <v>1171</v>
      </c>
      <c r="AB530" s="121" t="s">
        <v>1173</v>
      </c>
      <c r="AC530" s="361"/>
    </row>
    <row r="531" spans="1:29" ht="39.950000000000003" customHeight="1" x14ac:dyDescent="0.2">
      <c r="A531" s="66">
        <v>471</v>
      </c>
      <c r="B531" s="68">
        <v>45145</v>
      </c>
      <c r="C531" s="73">
        <v>0.53749999999999998</v>
      </c>
      <c r="D531" s="66" t="s">
        <v>2189</v>
      </c>
      <c r="E531" s="67" t="s">
        <v>2190</v>
      </c>
      <c r="F531" s="66">
        <v>5</v>
      </c>
      <c r="G531" s="66" t="s">
        <v>1443</v>
      </c>
      <c r="H531" s="68">
        <v>45168</v>
      </c>
      <c r="I531" s="68" t="s">
        <v>1086</v>
      </c>
      <c r="J531" s="68" t="s">
        <v>1224</v>
      </c>
      <c r="K531" s="66" t="s">
        <v>1925</v>
      </c>
      <c r="L531" s="66" t="s">
        <v>796</v>
      </c>
      <c r="M531" s="66" t="s">
        <v>2207</v>
      </c>
      <c r="N531" s="66" t="s">
        <v>2538</v>
      </c>
      <c r="O531" s="66" t="str">
        <f t="shared" ca="1" si="30"/>
        <v>SI</v>
      </c>
      <c r="P531" s="66" t="str">
        <f t="shared" si="32"/>
        <v>DIANOSOL</v>
      </c>
      <c r="Q531" s="66" t="s">
        <v>909</v>
      </c>
      <c r="R531" s="66" t="str">
        <f>VLOOKUP($Q531,Resultados!$A$1:$B$49,2,FALSE)</f>
        <v>Suspensión de juicio a prueba</v>
      </c>
      <c r="S531" s="73">
        <v>0.375</v>
      </c>
      <c r="T531" s="75"/>
      <c r="U531" s="75"/>
      <c r="V531" s="66"/>
      <c r="W531" s="66" t="s">
        <v>1229</v>
      </c>
      <c r="X531" s="230" t="s">
        <v>2537</v>
      </c>
      <c r="Y531" s="66"/>
      <c r="Z531" s="121" t="s">
        <v>770</v>
      </c>
      <c r="AA531" s="121" t="s">
        <v>1169</v>
      </c>
      <c r="AB531" s="121" t="s">
        <v>1175</v>
      </c>
      <c r="AC531" s="361"/>
    </row>
    <row r="532" spans="1:29" ht="39.950000000000003" customHeight="1" x14ac:dyDescent="0.2">
      <c r="A532" s="66">
        <v>535</v>
      </c>
      <c r="B532" s="68">
        <v>45161</v>
      </c>
      <c r="C532" s="66" t="s">
        <v>73</v>
      </c>
      <c r="D532" s="66" t="s">
        <v>2424</v>
      </c>
      <c r="E532" s="67" t="s">
        <v>2487</v>
      </c>
      <c r="F532" s="66">
        <v>7</v>
      </c>
      <c r="G532" s="66" t="s">
        <v>43</v>
      </c>
      <c r="H532" s="68">
        <v>45168</v>
      </c>
      <c r="I532" s="68" t="s">
        <v>1086</v>
      </c>
      <c r="J532" s="68" t="s">
        <v>35</v>
      </c>
      <c r="K532" s="66" t="s">
        <v>1520</v>
      </c>
      <c r="L532" s="66" t="s">
        <v>813</v>
      </c>
      <c r="M532" s="66" t="s">
        <v>723</v>
      </c>
      <c r="N532" s="66" t="s">
        <v>1856</v>
      </c>
      <c r="O532" s="66" t="str">
        <f t="shared" ca="1" si="30"/>
        <v>SI</v>
      </c>
      <c r="P532" s="66" t="str">
        <f t="shared" si="32"/>
        <v>DIANOSOL</v>
      </c>
      <c r="Q532" s="66" t="s">
        <v>899</v>
      </c>
      <c r="R532" s="66" t="str">
        <f>VLOOKUP($Q532,Resultados!$A$1:$B$49,2,FALSE)</f>
        <v>Libertad</v>
      </c>
      <c r="S532" s="73">
        <v>0.38194444444444442</v>
      </c>
      <c r="T532" s="75" t="str">
        <f t="shared" ref="T532:T563" si="33">IF(G532=$J$1,"SI","NO")</f>
        <v>NO</v>
      </c>
      <c r="U532" s="75"/>
      <c r="V532" s="66"/>
      <c r="W532" s="73">
        <v>0.39652777777777781</v>
      </c>
      <c r="X532" s="66" t="s">
        <v>2522</v>
      </c>
      <c r="Y532" s="66"/>
      <c r="Z532" s="121" t="s">
        <v>1042</v>
      </c>
      <c r="AA532" s="121" t="s">
        <v>1171</v>
      </c>
      <c r="AB532" s="121" t="s">
        <v>1174</v>
      </c>
      <c r="AC532" s="361"/>
    </row>
    <row r="533" spans="1:29" ht="39.950000000000003" customHeight="1" x14ac:dyDescent="0.2">
      <c r="A533" s="66">
        <v>536</v>
      </c>
      <c r="B533" s="68">
        <v>45161</v>
      </c>
      <c r="C533" s="73">
        <v>0.33333333333333331</v>
      </c>
      <c r="D533" s="66" t="s">
        <v>2425</v>
      </c>
      <c r="E533" s="67" t="s">
        <v>2460</v>
      </c>
      <c r="F533" s="66">
        <v>7</v>
      </c>
      <c r="G533" s="66" t="s">
        <v>1441</v>
      </c>
      <c r="H533" s="68">
        <v>45168</v>
      </c>
      <c r="I533" s="68" t="s">
        <v>1086</v>
      </c>
      <c r="J533" s="68" t="s">
        <v>1220</v>
      </c>
      <c r="K533" s="66">
        <f>IFERROR(VLOOKUP(J533,Jueces!$A$1:$B$11,2,FALSE),"")</f>
        <v>1</v>
      </c>
      <c r="L533" s="66" t="s">
        <v>802</v>
      </c>
      <c r="M533" s="66" t="s">
        <v>725</v>
      </c>
      <c r="N533" s="66" t="s">
        <v>2541</v>
      </c>
      <c r="O533" s="66" t="str">
        <f t="shared" ca="1" si="30"/>
        <v>SI</v>
      </c>
      <c r="P533" s="66" t="str">
        <f t="shared" si="32"/>
        <v>DIANOSOL</v>
      </c>
      <c r="Q533" s="66" t="s">
        <v>899</v>
      </c>
      <c r="R533" s="66" t="str">
        <f>VLOOKUP($Q533,Resultados!$A$1:$B$49,2,FALSE)</f>
        <v>Libertad</v>
      </c>
      <c r="S533" s="73">
        <v>0.4916666666666667</v>
      </c>
      <c r="T533" s="75" t="str">
        <f t="shared" si="33"/>
        <v>NO</v>
      </c>
      <c r="U533" s="75"/>
      <c r="V533" s="66"/>
      <c r="W533" s="73">
        <v>0.51041666666666663</v>
      </c>
      <c r="X533" s="66"/>
      <c r="Y533" s="66"/>
      <c r="Z533" s="121" t="s">
        <v>1041</v>
      </c>
      <c r="AA533" s="121" t="s">
        <v>743</v>
      </c>
      <c r="AB533" s="121" t="s">
        <v>1177</v>
      </c>
      <c r="AC533" s="361"/>
    </row>
    <row r="534" spans="1:29" ht="39.950000000000003" customHeight="1" x14ac:dyDescent="0.2">
      <c r="A534" s="66">
        <v>529</v>
      </c>
      <c r="B534" s="68">
        <v>45156</v>
      </c>
      <c r="C534" s="73">
        <v>0.53263888888888888</v>
      </c>
      <c r="D534" s="66" t="s">
        <v>2400</v>
      </c>
      <c r="E534" s="67" t="s">
        <v>2542</v>
      </c>
      <c r="F534" s="66">
        <v>6</v>
      </c>
      <c r="G534" s="66" t="s">
        <v>283</v>
      </c>
      <c r="H534" s="68">
        <v>45169</v>
      </c>
      <c r="I534" s="68" t="s">
        <v>73</v>
      </c>
      <c r="J534" s="68" t="s">
        <v>31</v>
      </c>
      <c r="K534" s="66" t="s">
        <v>1346</v>
      </c>
      <c r="L534" s="66" t="s">
        <v>810</v>
      </c>
      <c r="M534" s="66" t="s">
        <v>725</v>
      </c>
      <c r="N534" s="66" t="s">
        <v>2569</v>
      </c>
      <c r="O534" s="66" t="str">
        <f t="shared" ca="1" si="30"/>
        <v>SI</v>
      </c>
      <c r="P534" s="66" t="str">
        <f t="shared" si="32"/>
        <v>DIANOSOL</v>
      </c>
      <c r="Q534" s="66" t="s">
        <v>899</v>
      </c>
      <c r="R534" s="66" t="str">
        <f>VLOOKUP($Q534,Resultados!$A$1:$B$49,2,FALSE)</f>
        <v>Libertad</v>
      </c>
      <c r="S534" s="66" t="s">
        <v>1916</v>
      </c>
      <c r="T534" s="75" t="str">
        <f t="shared" si="33"/>
        <v>NO</v>
      </c>
      <c r="U534" s="75"/>
      <c r="V534" s="66"/>
      <c r="W534" s="66" t="s">
        <v>2567</v>
      </c>
      <c r="X534" s="66"/>
      <c r="Y534" s="66"/>
      <c r="Z534" s="121" t="s">
        <v>748</v>
      </c>
      <c r="AA534" s="121" t="s">
        <v>743</v>
      </c>
      <c r="AB534" s="121" t="s">
        <v>1173</v>
      </c>
      <c r="AC534" s="361"/>
    </row>
    <row r="535" spans="1:29" ht="39.950000000000003" customHeight="1" x14ac:dyDescent="0.2">
      <c r="A535" s="66">
        <v>542</v>
      </c>
      <c r="B535" s="68">
        <v>45161</v>
      </c>
      <c r="C535" s="73">
        <v>0.50902777777777775</v>
      </c>
      <c r="D535" s="66" t="s">
        <v>2448</v>
      </c>
      <c r="E535" s="67" t="s">
        <v>2543</v>
      </c>
      <c r="F535" s="66">
        <v>7</v>
      </c>
      <c r="G535" s="66" t="s">
        <v>1442</v>
      </c>
      <c r="H535" s="68">
        <v>45169</v>
      </c>
      <c r="I535" s="68" t="s">
        <v>73</v>
      </c>
      <c r="J535" s="68" t="s">
        <v>35</v>
      </c>
      <c r="K535" s="66" t="s">
        <v>1520</v>
      </c>
      <c r="L535" s="66" t="s">
        <v>2088</v>
      </c>
      <c r="M535" s="66" t="s">
        <v>783</v>
      </c>
      <c r="N535" s="66" t="s">
        <v>2556</v>
      </c>
      <c r="O535" s="66" t="str">
        <f t="shared" ca="1" si="30"/>
        <v>SI</v>
      </c>
      <c r="P535" s="66" t="str">
        <f t="shared" si="32"/>
        <v>DIANOSOL</v>
      </c>
      <c r="Q535" s="66" t="s">
        <v>151</v>
      </c>
      <c r="R535" s="66" t="str">
        <f>VLOOKUP($Q535,Resultados!$A$1:$B$49,2,FALSE)</f>
        <v>Prisión Preventiva</v>
      </c>
      <c r="S535" s="66" t="s">
        <v>2555</v>
      </c>
      <c r="T535" s="75" t="str">
        <f t="shared" si="33"/>
        <v>SI</v>
      </c>
      <c r="U535" s="75"/>
      <c r="V535" s="66"/>
      <c r="W535" s="73">
        <v>0.35694444444444445</v>
      </c>
      <c r="X535" s="382"/>
      <c r="Y535" s="66"/>
      <c r="Z535" s="121" t="s">
        <v>743</v>
      </c>
      <c r="AA535" s="121" t="s">
        <v>1169</v>
      </c>
      <c r="AB535" s="121" t="s">
        <v>1175</v>
      </c>
      <c r="AC535" s="361"/>
    </row>
    <row r="536" spans="1:29" ht="39.950000000000003" customHeight="1" x14ac:dyDescent="0.2">
      <c r="A536" s="66">
        <v>545</v>
      </c>
      <c r="B536" s="68">
        <v>45162</v>
      </c>
      <c r="C536" s="73">
        <v>0.45208333333333334</v>
      </c>
      <c r="D536" s="66" t="s">
        <v>2463</v>
      </c>
      <c r="E536" s="67" t="s">
        <v>2544</v>
      </c>
      <c r="F536" s="66">
        <v>7</v>
      </c>
      <c r="G536" s="66" t="s">
        <v>43</v>
      </c>
      <c r="H536" s="68">
        <v>45169</v>
      </c>
      <c r="I536" s="68" t="s">
        <v>73</v>
      </c>
      <c r="J536" s="68" t="s">
        <v>78</v>
      </c>
      <c r="K536" s="66">
        <f>IFERROR(VLOOKUP(J536,Jueces!$A$1:$B$11,2,FALSE),"")</f>
        <v>8</v>
      </c>
      <c r="L536" s="66" t="s">
        <v>811</v>
      </c>
      <c r="M536" s="66" t="s">
        <v>723</v>
      </c>
      <c r="N536" s="382" t="s">
        <v>510</v>
      </c>
      <c r="O536" s="66" t="str">
        <f t="shared" ca="1" si="30"/>
        <v>SI</v>
      </c>
      <c r="P536" s="66" t="str">
        <f t="shared" si="32"/>
        <v>DIANOSOL</v>
      </c>
      <c r="Q536" s="66" t="s">
        <v>899</v>
      </c>
      <c r="R536" s="66" t="str">
        <f>VLOOKUP($Q536,Resultados!$A$1:$B$49,2,FALSE)</f>
        <v>Libertad</v>
      </c>
      <c r="S536" s="73">
        <v>0.35416666666666669</v>
      </c>
      <c r="T536" s="75" t="str">
        <f t="shared" si="33"/>
        <v>NO</v>
      </c>
      <c r="U536" s="75"/>
      <c r="V536" s="66"/>
      <c r="W536" s="73">
        <v>0.35902777777777778</v>
      </c>
      <c r="X536" s="230" t="s">
        <v>2557</v>
      </c>
      <c r="Y536" s="66"/>
      <c r="Z536" s="121" t="s">
        <v>770</v>
      </c>
      <c r="AA536" s="121" t="s">
        <v>743</v>
      </c>
      <c r="AB536" s="121" t="s">
        <v>1174</v>
      </c>
      <c r="AC536" s="361"/>
    </row>
    <row r="537" spans="1:29" ht="76.5" x14ac:dyDescent="0.2">
      <c r="A537" s="66">
        <v>537</v>
      </c>
      <c r="B537" s="68">
        <v>45161</v>
      </c>
      <c r="C537" s="73">
        <v>0.45277777777777778</v>
      </c>
      <c r="D537" s="66" t="s">
        <v>2437</v>
      </c>
      <c r="E537" s="67" t="s">
        <v>2545</v>
      </c>
      <c r="F537" s="66">
        <v>7</v>
      </c>
      <c r="G537" s="66" t="s">
        <v>1441</v>
      </c>
      <c r="H537" s="68">
        <v>45169</v>
      </c>
      <c r="I537" s="68" t="s">
        <v>1086</v>
      </c>
      <c r="J537" s="68" t="s">
        <v>1225</v>
      </c>
      <c r="K537" s="66">
        <f>IFERROR(VLOOKUP(J537,Jueces!$A$1:$B$11,2,FALSE),"")</f>
        <v>6</v>
      </c>
      <c r="L537" s="66" t="s">
        <v>812</v>
      </c>
      <c r="M537" s="66" t="s">
        <v>725</v>
      </c>
      <c r="N537" s="230" t="s">
        <v>2561</v>
      </c>
      <c r="O537" s="66" t="str">
        <f t="shared" ca="1" si="30"/>
        <v>SI</v>
      </c>
      <c r="P537" s="66" t="str">
        <f t="shared" si="32"/>
        <v>DIANOSOL</v>
      </c>
      <c r="Q537" s="66" t="s">
        <v>151</v>
      </c>
      <c r="R537" s="66" t="str">
        <f>VLOOKUP($Q537,Resultados!$A$1:$B$49,2,FALSE)</f>
        <v>Prisión Preventiva</v>
      </c>
      <c r="S537" s="73">
        <v>0.3756944444444445</v>
      </c>
      <c r="T537" s="75" t="str">
        <f t="shared" si="33"/>
        <v>NO</v>
      </c>
      <c r="U537" s="75"/>
      <c r="V537" s="66"/>
      <c r="W537" s="73">
        <v>0.40416666666666662</v>
      </c>
      <c r="X537" s="66"/>
      <c r="Y537" s="66"/>
      <c r="Z537" s="121" t="s">
        <v>1041</v>
      </c>
      <c r="AA537" s="121" t="s">
        <v>1171</v>
      </c>
      <c r="AB537" s="121" t="s">
        <v>1173</v>
      </c>
      <c r="AC537" s="361"/>
    </row>
    <row r="538" spans="1:29" ht="39.950000000000003" customHeight="1" x14ac:dyDescent="0.2">
      <c r="A538" s="66">
        <v>544</v>
      </c>
      <c r="B538" s="68">
        <v>45161</v>
      </c>
      <c r="C538" s="73">
        <v>0.52500000000000002</v>
      </c>
      <c r="D538" s="66" t="s">
        <v>2451</v>
      </c>
      <c r="E538" s="67" t="s">
        <v>2546</v>
      </c>
      <c r="F538" s="66">
        <v>6</v>
      </c>
      <c r="G538" s="66" t="s">
        <v>32</v>
      </c>
      <c r="H538" s="68">
        <v>45169</v>
      </c>
      <c r="I538" s="68" t="s">
        <v>1086</v>
      </c>
      <c r="J538" s="68" t="s">
        <v>1224</v>
      </c>
      <c r="K538" s="66" t="s">
        <v>2343</v>
      </c>
      <c r="L538" s="66" t="s">
        <v>789</v>
      </c>
      <c r="M538" s="66" t="s">
        <v>725</v>
      </c>
      <c r="N538" s="66" t="s">
        <v>2563</v>
      </c>
      <c r="O538" s="66" t="str">
        <f t="shared" ca="1" si="30"/>
        <v>SI</v>
      </c>
      <c r="P538" s="66" t="str">
        <f t="shared" si="32"/>
        <v>DIANOSOL</v>
      </c>
      <c r="Q538" s="66" t="s">
        <v>904</v>
      </c>
      <c r="R538" s="66" t="str">
        <f>VLOOKUP($Q538,Resultados!$A$1:$B$49,2,FALSE)</f>
        <v>Juicio Abreviado</v>
      </c>
      <c r="S538" s="73">
        <v>0.51944444444444449</v>
      </c>
      <c r="T538" s="75" t="str">
        <f t="shared" si="33"/>
        <v>NO</v>
      </c>
      <c r="U538" s="75"/>
      <c r="V538" s="66"/>
      <c r="W538" s="73">
        <v>0.53125</v>
      </c>
      <c r="X538" s="6"/>
      <c r="Y538" s="66"/>
      <c r="Z538" s="121" t="s">
        <v>1042</v>
      </c>
      <c r="AA538" s="121" t="s">
        <v>1169</v>
      </c>
      <c r="AB538" s="121" t="s">
        <v>1175</v>
      </c>
      <c r="AC538" s="361"/>
    </row>
    <row r="539" spans="1:29" ht="114.75" x14ac:dyDescent="0.2">
      <c r="A539" s="66">
        <v>546</v>
      </c>
      <c r="B539" s="68">
        <v>45162</v>
      </c>
      <c r="C539" s="73">
        <v>0.33333333333333331</v>
      </c>
      <c r="D539" s="66" t="s">
        <v>2464</v>
      </c>
      <c r="E539" s="67" t="s">
        <v>2547</v>
      </c>
      <c r="F539" s="66">
        <v>7</v>
      </c>
      <c r="G539" s="66" t="s">
        <v>29</v>
      </c>
      <c r="H539" s="68">
        <v>45169</v>
      </c>
      <c r="I539" s="68" t="s">
        <v>1086</v>
      </c>
      <c r="J539" s="68" t="s">
        <v>1222</v>
      </c>
      <c r="K539" s="66" t="s">
        <v>1925</v>
      </c>
      <c r="L539" s="66" t="s">
        <v>809</v>
      </c>
      <c r="M539" s="66" t="s">
        <v>723</v>
      </c>
      <c r="N539" s="382" t="s">
        <v>2559</v>
      </c>
      <c r="O539" s="66" t="str">
        <f t="shared" ca="1" si="30"/>
        <v>SI</v>
      </c>
      <c r="P539" s="66" t="str">
        <f t="shared" si="32"/>
        <v>DIANOSOL</v>
      </c>
      <c r="Q539" s="66" t="s">
        <v>904</v>
      </c>
      <c r="R539" s="66" t="str">
        <f>VLOOKUP($Q539,Resultados!$A$1:$B$49,2,FALSE)</f>
        <v>Juicio Abreviado</v>
      </c>
      <c r="S539" s="73">
        <v>0.39027777777777778</v>
      </c>
      <c r="T539" s="75" t="str">
        <f t="shared" si="33"/>
        <v>NO</v>
      </c>
      <c r="U539" s="75"/>
      <c r="V539" s="66"/>
      <c r="W539" s="73">
        <v>0.3972222222222222</v>
      </c>
      <c r="X539" s="67" t="s">
        <v>2560</v>
      </c>
      <c r="Y539" s="66"/>
      <c r="Z539" s="121" t="s">
        <v>748</v>
      </c>
      <c r="AA539" s="121" t="s">
        <v>743</v>
      </c>
      <c r="AB539" s="121" t="s">
        <v>1174</v>
      </c>
      <c r="AC539" s="361"/>
    </row>
    <row r="540" spans="1:29" ht="39.950000000000003" customHeight="1" x14ac:dyDescent="0.2">
      <c r="A540" s="66">
        <v>548</v>
      </c>
      <c r="B540" s="68">
        <v>45162</v>
      </c>
      <c r="C540" s="73">
        <v>0.45833333333333331</v>
      </c>
      <c r="D540" s="66" t="s">
        <v>2466</v>
      </c>
      <c r="E540" s="67" t="s">
        <v>2548</v>
      </c>
      <c r="F540" s="66">
        <v>7</v>
      </c>
      <c r="G540" s="66" t="s">
        <v>568</v>
      </c>
      <c r="H540" s="68">
        <v>45169</v>
      </c>
      <c r="I540" s="68" t="s">
        <v>989</v>
      </c>
      <c r="J540" s="68" t="s">
        <v>31</v>
      </c>
      <c r="K540" s="66" t="s">
        <v>1925</v>
      </c>
      <c r="L540" s="66" t="s">
        <v>811</v>
      </c>
      <c r="M540" s="66" t="s">
        <v>725</v>
      </c>
      <c r="N540" s="230" t="s">
        <v>2562</v>
      </c>
      <c r="O540" s="66" t="str">
        <f t="shared" ca="1" si="30"/>
        <v>SI</v>
      </c>
      <c r="P540" s="66" t="str">
        <f t="shared" si="32"/>
        <v>DIANOSOL</v>
      </c>
      <c r="Q540" s="66" t="s">
        <v>904</v>
      </c>
      <c r="R540" s="66" t="str">
        <f>VLOOKUP($Q540,Resultados!$A$1:$B$49,2,FALSE)</f>
        <v>Juicio Abreviado</v>
      </c>
      <c r="S540" s="73">
        <v>0.49722222222222223</v>
      </c>
      <c r="T540" s="75" t="str">
        <f t="shared" si="33"/>
        <v>NO</v>
      </c>
      <c r="U540" s="75"/>
      <c r="V540" s="66"/>
      <c r="W540" s="73">
        <v>0.50624999999999998</v>
      </c>
      <c r="X540" s="66"/>
      <c r="Y540" s="66"/>
      <c r="Z540" s="121" t="s">
        <v>743</v>
      </c>
      <c r="AA540" s="121" t="s">
        <v>1171</v>
      </c>
      <c r="AB540" s="121" t="s">
        <v>1176</v>
      </c>
      <c r="AC540" s="361"/>
    </row>
    <row r="541" spans="1:29" ht="39.950000000000003" customHeight="1" x14ac:dyDescent="0.2">
      <c r="A541" s="66">
        <v>534</v>
      </c>
      <c r="B541" s="68">
        <v>45160</v>
      </c>
      <c r="C541" s="73">
        <v>0.4284722222222222</v>
      </c>
      <c r="D541" s="66" t="s">
        <v>2402</v>
      </c>
      <c r="E541" s="67" t="s">
        <v>2461</v>
      </c>
      <c r="F541" s="66">
        <v>7</v>
      </c>
      <c r="G541" s="66" t="s">
        <v>1441</v>
      </c>
      <c r="H541" s="68">
        <v>45170</v>
      </c>
      <c r="I541" s="68" t="s">
        <v>73</v>
      </c>
      <c r="J541" s="68" t="s">
        <v>31</v>
      </c>
      <c r="K541" s="66">
        <f>IFERROR(VLOOKUP(J541,Jueces!$A$1:$B$11,2,FALSE),"")</f>
        <v>2</v>
      </c>
      <c r="L541" s="66" t="s">
        <v>812</v>
      </c>
      <c r="M541" s="66" t="s">
        <v>2568</v>
      </c>
      <c r="N541" s="66" t="s">
        <v>2569</v>
      </c>
      <c r="O541" s="66" t="str">
        <f t="shared" ca="1" si="30"/>
        <v>SI</v>
      </c>
      <c r="P541" s="66" t="str">
        <f t="shared" si="32"/>
        <v>DIANOSOL</v>
      </c>
      <c r="Q541" s="66" t="s">
        <v>899</v>
      </c>
      <c r="R541" s="66" t="str">
        <f>VLOOKUP($Q541,Resultados!$A$1:$B$49,2,FALSE)</f>
        <v>Libertad</v>
      </c>
      <c r="S541" s="73">
        <v>0.3611111111111111</v>
      </c>
      <c r="T541" s="75" t="str">
        <f t="shared" si="33"/>
        <v>NO</v>
      </c>
      <c r="U541" s="75"/>
      <c r="V541" s="66"/>
      <c r="W541" s="73">
        <v>0.36736111111111108</v>
      </c>
      <c r="X541" s="66" t="s">
        <v>2570</v>
      </c>
      <c r="Y541" s="66"/>
      <c r="Z541" s="121" t="s">
        <v>1041</v>
      </c>
      <c r="AA541" s="121" t="s">
        <v>1169</v>
      </c>
      <c r="AB541" s="121" t="s">
        <v>1174</v>
      </c>
      <c r="AC541" s="361"/>
    </row>
    <row r="542" spans="1:29" ht="39.950000000000003" customHeight="1" x14ac:dyDescent="0.2">
      <c r="A542" s="66">
        <v>552</v>
      </c>
      <c r="B542" s="68">
        <v>45163</v>
      </c>
      <c r="C542" s="73">
        <v>0.41319444444444442</v>
      </c>
      <c r="D542" s="66" t="s">
        <v>2489</v>
      </c>
      <c r="E542" s="67" t="s">
        <v>2490</v>
      </c>
      <c r="F542" s="66">
        <v>6</v>
      </c>
      <c r="G542" s="66" t="s">
        <v>1443</v>
      </c>
      <c r="H542" s="68">
        <v>45170</v>
      </c>
      <c r="I542" s="68" t="s">
        <v>73</v>
      </c>
      <c r="J542" s="68" t="s">
        <v>1221</v>
      </c>
      <c r="K542" s="66" t="s">
        <v>1346</v>
      </c>
      <c r="L542" s="66" t="s">
        <v>806</v>
      </c>
      <c r="M542" s="66" t="s">
        <v>2219</v>
      </c>
      <c r="N542" s="66" t="s">
        <v>2579</v>
      </c>
      <c r="O542" s="66" t="str">
        <f t="shared" ca="1" si="30"/>
        <v>SI</v>
      </c>
      <c r="P542" s="66" t="str">
        <f t="shared" si="32"/>
        <v>DIANOSOL</v>
      </c>
      <c r="Q542" s="66" t="s">
        <v>151</v>
      </c>
      <c r="R542" s="66" t="str">
        <f>VLOOKUP($Q542,Resultados!$A$1:$B$49,2,FALSE)</f>
        <v>Prisión Preventiva</v>
      </c>
      <c r="S542" s="73">
        <v>0.37222222222222223</v>
      </c>
      <c r="T542" s="75" t="str">
        <f t="shared" si="33"/>
        <v>NO</v>
      </c>
      <c r="U542" s="75"/>
      <c r="V542" s="66"/>
      <c r="W542" s="73">
        <v>0.39999999999999997</v>
      </c>
      <c r="X542" s="66" t="s">
        <v>2571</v>
      </c>
      <c r="Y542" s="66"/>
      <c r="Z542" s="121" t="s">
        <v>1042</v>
      </c>
      <c r="AA542" s="121" t="s">
        <v>1171</v>
      </c>
      <c r="AB542" s="121" t="s">
        <v>1173</v>
      </c>
      <c r="AC542" s="361"/>
    </row>
    <row r="543" spans="1:29" ht="39.950000000000003" customHeight="1" x14ac:dyDescent="0.2">
      <c r="A543" s="66">
        <v>554</v>
      </c>
      <c r="B543" s="68">
        <v>45163</v>
      </c>
      <c r="C543" s="73">
        <v>0.34722222222222227</v>
      </c>
      <c r="D543" s="66" t="s">
        <v>2492</v>
      </c>
      <c r="E543" s="67" t="s">
        <v>2493</v>
      </c>
      <c r="F543" s="66">
        <v>6</v>
      </c>
      <c r="G543" s="66" t="s">
        <v>568</v>
      </c>
      <c r="H543" s="68">
        <v>45170</v>
      </c>
      <c r="I543" s="68" t="s">
        <v>73</v>
      </c>
      <c r="J543" s="68" t="s">
        <v>35</v>
      </c>
      <c r="K543" s="66">
        <f>IFERROR(VLOOKUP(J543,Jueces!$A$1:$B$11,2,FALSE),"")</f>
        <v>3</v>
      </c>
      <c r="L543" s="66" t="s">
        <v>798</v>
      </c>
      <c r="M543" s="66" t="s">
        <v>696</v>
      </c>
      <c r="N543" s="66" t="s">
        <v>2580</v>
      </c>
      <c r="O543" s="66" t="str">
        <f t="shared" ca="1" si="30"/>
        <v>SI</v>
      </c>
      <c r="P543" s="66" t="str">
        <f t="shared" si="32"/>
        <v>DIANOSOL</v>
      </c>
      <c r="Q543" s="66" t="s">
        <v>899</v>
      </c>
      <c r="R543" s="66" t="str">
        <f>VLOOKUP($Q543,Resultados!$A$1:$B$49,2,FALSE)</f>
        <v>Libertad</v>
      </c>
      <c r="S543" s="73">
        <v>0.34652777777777777</v>
      </c>
      <c r="T543" s="75" t="str">
        <f t="shared" si="33"/>
        <v>NO</v>
      </c>
      <c r="U543" s="75"/>
      <c r="V543" s="66"/>
      <c r="W543" s="73">
        <v>0.36944444444444446</v>
      </c>
      <c r="X543" s="66"/>
      <c r="Y543" s="66"/>
      <c r="Z543" s="121" t="s">
        <v>748</v>
      </c>
      <c r="AA543" s="121" t="s">
        <v>1169</v>
      </c>
      <c r="AB543" s="121" t="s">
        <v>1175</v>
      </c>
      <c r="AC543" s="361"/>
    </row>
    <row r="544" spans="1:29" ht="39.950000000000003" customHeight="1" x14ac:dyDescent="0.2">
      <c r="A544" s="66">
        <v>539</v>
      </c>
      <c r="B544" s="68">
        <v>45161</v>
      </c>
      <c r="C544" s="73">
        <v>0.47500000000000003</v>
      </c>
      <c r="D544" s="66" t="s">
        <v>2441</v>
      </c>
      <c r="E544" s="67" t="s">
        <v>2459</v>
      </c>
      <c r="F544" s="66">
        <v>7</v>
      </c>
      <c r="G544" s="66" t="s">
        <v>283</v>
      </c>
      <c r="H544" s="68">
        <v>45170</v>
      </c>
      <c r="I544" s="68" t="s">
        <v>749</v>
      </c>
      <c r="J544" s="68" t="s">
        <v>1225</v>
      </c>
      <c r="K544" s="66">
        <f>IFERROR(VLOOKUP(J544,Jueces!$A$1:$B$11,2,FALSE),"")</f>
        <v>6</v>
      </c>
      <c r="L544" s="66" t="s">
        <v>802</v>
      </c>
      <c r="M544" s="66" t="s">
        <v>723</v>
      </c>
      <c r="N544" s="66" t="s">
        <v>577</v>
      </c>
      <c r="O544" s="66" t="str">
        <f t="shared" ca="1" si="30"/>
        <v>SI</v>
      </c>
      <c r="P544" s="66" t="str">
        <f t="shared" si="32"/>
        <v>DIANOSOL</v>
      </c>
      <c r="Q544" s="66" t="s">
        <v>151</v>
      </c>
      <c r="R544" s="66" t="str">
        <f>VLOOKUP($Q544,Resultados!$A$1:$B$49,2,FALSE)</f>
        <v>Prisión Preventiva</v>
      </c>
      <c r="S544" s="73">
        <v>0.34930555555555554</v>
      </c>
      <c r="T544" s="75" t="str">
        <f t="shared" si="33"/>
        <v>NO</v>
      </c>
      <c r="U544" s="75"/>
      <c r="V544" s="66"/>
      <c r="W544" s="73">
        <v>0.38125000000000003</v>
      </c>
      <c r="X544" s="66"/>
      <c r="Y544" s="66"/>
      <c r="Z544" s="121" t="s">
        <v>743</v>
      </c>
      <c r="AA544" s="121" t="s">
        <v>743</v>
      </c>
      <c r="AB544" s="121" t="s">
        <v>1177</v>
      </c>
      <c r="AC544" s="361"/>
    </row>
    <row r="545" spans="1:29" ht="39.950000000000003" customHeight="1" x14ac:dyDescent="0.2">
      <c r="A545" s="66">
        <v>532</v>
      </c>
      <c r="B545" s="68">
        <v>45160</v>
      </c>
      <c r="C545" s="73">
        <v>0.48055555555555557</v>
      </c>
      <c r="D545" s="66" t="s">
        <v>2404</v>
      </c>
      <c r="E545" s="67" t="s">
        <v>2458</v>
      </c>
      <c r="F545" s="66">
        <v>7</v>
      </c>
      <c r="G545" s="66" t="s">
        <v>43</v>
      </c>
      <c r="H545" s="68">
        <v>45170</v>
      </c>
      <c r="I545" s="68" t="s">
        <v>1086</v>
      </c>
      <c r="J545" s="68" t="s">
        <v>1222</v>
      </c>
      <c r="K545" s="66" t="s">
        <v>1520</v>
      </c>
      <c r="L545" s="66" t="s">
        <v>791</v>
      </c>
      <c r="M545" s="66" t="s">
        <v>2568</v>
      </c>
      <c r="N545" s="66" t="s">
        <v>577</v>
      </c>
      <c r="O545" s="66" t="str">
        <f t="shared" ca="1" si="30"/>
        <v>SI</v>
      </c>
      <c r="P545" s="66" t="str">
        <f t="shared" si="32"/>
        <v>DIANOSOL</v>
      </c>
      <c r="Q545" s="66" t="s">
        <v>151</v>
      </c>
      <c r="R545" s="66" t="str">
        <f>VLOOKUP($Q545,Resultados!$A$1:$B$49,2,FALSE)</f>
        <v>Prisión Preventiva</v>
      </c>
      <c r="S545" s="73">
        <v>0.375</v>
      </c>
      <c r="T545" s="75" t="str">
        <f t="shared" si="33"/>
        <v>NO</v>
      </c>
      <c r="U545" s="75"/>
      <c r="V545" s="66"/>
      <c r="W545" s="73">
        <v>0.38194444444444442</v>
      </c>
      <c r="X545" s="66"/>
      <c r="Y545" s="66"/>
      <c r="Z545" s="121" t="s">
        <v>1041</v>
      </c>
      <c r="AA545" s="121" t="s">
        <v>1171</v>
      </c>
      <c r="AB545" s="121" t="s">
        <v>1176</v>
      </c>
      <c r="AC545" s="361"/>
    </row>
    <row r="546" spans="1:29" ht="39.950000000000003" customHeight="1" x14ac:dyDescent="0.2">
      <c r="A546" s="66">
        <v>541</v>
      </c>
      <c r="B546" s="68">
        <v>45161</v>
      </c>
      <c r="C546" s="73">
        <v>0.50347222222222221</v>
      </c>
      <c r="D546" s="66" t="s">
        <v>2445</v>
      </c>
      <c r="E546" s="67" t="s">
        <v>2486</v>
      </c>
      <c r="F546" s="66">
        <v>7</v>
      </c>
      <c r="G546" s="66" t="s">
        <v>1442</v>
      </c>
      <c r="H546" s="68">
        <v>45170</v>
      </c>
      <c r="I546" s="68" t="s">
        <v>1086</v>
      </c>
      <c r="J546" s="68" t="s">
        <v>1224</v>
      </c>
      <c r="K546" s="66" t="s">
        <v>1925</v>
      </c>
      <c r="L546" s="66" t="s">
        <v>809</v>
      </c>
      <c r="M546" s="66" t="s">
        <v>723</v>
      </c>
      <c r="N546" s="66" t="s">
        <v>2586</v>
      </c>
      <c r="O546" s="66" t="str">
        <f t="shared" ca="1" si="30"/>
        <v>SI</v>
      </c>
      <c r="P546" s="66" t="str">
        <f t="shared" si="32"/>
        <v>DIANOSOL</v>
      </c>
      <c r="Q546" s="66" t="s">
        <v>904</v>
      </c>
      <c r="R546" s="66" t="str">
        <f>VLOOKUP($Q546,Resultados!$A$1:$B$49,2,FALSE)</f>
        <v>Juicio Abreviado</v>
      </c>
      <c r="S546" s="73">
        <v>0.38680555555555557</v>
      </c>
      <c r="T546" s="75" t="str">
        <f t="shared" si="33"/>
        <v>SI</v>
      </c>
      <c r="U546" s="75"/>
      <c r="V546" s="66"/>
      <c r="W546" s="73">
        <v>0.39444444444444443</v>
      </c>
      <c r="X546" s="66"/>
      <c r="Y546" s="66"/>
      <c r="Z546" s="121" t="s">
        <v>1042</v>
      </c>
      <c r="AA546" s="121" t="s">
        <v>1169</v>
      </c>
      <c r="AB546" s="121" t="s">
        <v>1174</v>
      </c>
      <c r="AC546" s="361"/>
    </row>
    <row r="547" spans="1:29" ht="39.950000000000003" customHeight="1" x14ac:dyDescent="0.2">
      <c r="A547" s="66">
        <v>559</v>
      </c>
      <c r="B547" s="68">
        <v>45163</v>
      </c>
      <c r="C547" s="73">
        <v>0.48402777777777778</v>
      </c>
      <c r="D547" s="66" t="s">
        <v>2499</v>
      </c>
      <c r="E547" s="67" t="s">
        <v>2500</v>
      </c>
      <c r="F547" s="66">
        <v>5</v>
      </c>
      <c r="G547" s="66" t="s">
        <v>32</v>
      </c>
      <c r="H547" s="68">
        <v>45170</v>
      </c>
      <c r="I547" s="68" t="s">
        <v>1086</v>
      </c>
      <c r="J547" s="68" t="s">
        <v>35</v>
      </c>
      <c r="K547" s="66">
        <v>4</v>
      </c>
      <c r="L547" s="66" t="s">
        <v>830</v>
      </c>
      <c r="M547" s="66" t="s">
        <v>1875</v>
      </c>
      <c r="N547" s="66" t="s">
        <v>2589</v>
      </c>
      <c r="O547" s="66" t="str">
        <f t="shared" ca="1" si="30"/>
        <v>SI</v>
      </c>
      <c r="P547" s="66" t="str">
        <f t="shared" si="32"/>
        <v>DIANOSOL</v>
      </c>
      <c r="Q547" s="66" t="s">
        <v>151</v>
      </c>
      <c r="R547" s="66" t="str">
        <f>VLOOKUP($Q547,Resultados!$A$1:$B$49,2,FALSE)</f>
        <v>Prisión Preventiva</v>
      </c>
      <c r="S547" s="73">
        <v>0.55902777777777779</v>
      </c>
      <c r="T547" s="75" t="str">
        <f t="shared" si="33"/>
        <v>NO</v>
      </c>
      <c r="U547" s="75"/>
      <c r="V547" s="66"/>
      <c r="W547" s="73">
        <v>0.56597222222222221</v>
      </c>
      <c r="X547" s="66"/>
      <c r="Y547" s="66"/>
      <c r="Z547" s="121" t="s">
        <v>748</v>
      </c>
      <c r="AA547" s="121" t="s">
        <v>1171</v>
      </c>
      <c r="AB547" s="121" t="s">
        <v>1173</v>
      </c>
      <c r="AC547" s="361"/>
    </row>
    <row r="548" spans="1:29" ht="39.950000000000003" customHeight="1" x14ac:dyDescent="0.2">
      <c r="A548" s="66">
        <v>549</v>
      </c>
      <c r="B548" s="68">
        <v>45162</v>
      </c>
      <c r="C548" s="73">
        <v>0.49513888888888885</v>
      </c>
      <c r="D548" s="66" t="s">
        <v>2467</v>
      </c>
      <c r="E548" s="67" t="s">
        <v>2618</v>
      </c>
      <c r="F548" s="66">
        <v>7</v>
      </c>
      <c r="G548" s="66" t="s">
        <v>568</v>
      </c>
      <c r="H548" s="68">
        <v>45173</v>
      </c>
      <c r="I548" s="68" t="s">
        <v>73</v>
      </c>
      <c r="J548" s="68" t="s">
        <v>35</v>
      </c>
      <c r="K548" s="66">
        <f>IFERROR(VLOOKUP(J548,Jueces!$A$1:$B$11,2,FALSE),"")</f>
        <v>3</v>
      </c>
      <c r="L548" s="66" t="s">
        <v>809</v>
      </c>
      <c r="M548" s="66" t="s">
        <v>723</v>
      </c>
      <c r="N548" s="66" t="s">
        <v>2590</v>
      </c>
      <c r="O548" s="66" t="str">
        <f t="shared" ca="1" si="30"/>
        <v>SI</v>
      </c>
      <c r="P548" s="66" t="str">
        <f t="shared" si="32"/>
        <v>DIANOSOL</v>
      </c>
      <c r="Q548" s="66" t="s">
        <v>904</v>
      </c>
      <c r="R548" s="66" t="str">
        <f>VLOOKUP($Q548,Resultados!$A$1:$B$49,2,FALSE)</f>
        <v>Juicio Abreviado</v>
      </c>
      <c r="S548" s="73" t="s">
        <v>2591</v>
      </c>
      <c r="T548" s="75" t="str">
        <f t="shared" si="33"/>
        <v>NO</v>
      </c>
      <c r="U548" s="75"/>
      <c r="V548" s="66"/>
      <c r="W548" s="66" t="s">
        <v>1134</v>
      </c>
      <c r="X548" s="66"/>
      <c r="Y548" s="66"/>
      <c r="Z548" s="121" t="s">
        <v>770</v>
      </c>
      <c r="AA548" s="121" t="s">
        <v>1171</v>
      </c>
      <c r="AB548" s="121" t="s">
        <v>1177</v>
      </c>
      <c r="AC548" s="361"/>
    </row>
    <row r="549" spans="1:29" ht="39.950000000000003" customHeight="1" x14ac:dyDescent="0.2">
      <c r="A549" s="66">
        <v>561</v>
      </c>
      <c r="B549" s="68">
        <v>45167</v>
      </c>
      <c r="C549" s="73">
        <v>0.4055555555555555</v>
      </c>
      <c r="D549" s="66" t="s">
        <v>2510</v>
      </c>
      <c r="E549" s="67" t="s">
        <v>2619</v>
      </c>
      <c r="F549" s="66">
        <v>7</v>
      </c>
      <c r="G549" s="66" t="s">
        <v>1442</v>
      </c>
      <c r="H549" s="68">
        <v>45173</v>
      </c>
      <c r="I549" s="68" t="s">
        <v>73</v>
      </c>
      <c r="J549" s="68" t="s">
        <v>1221</v>
      </c>
      <c r="K549" s="66">
        <f>IFERROR(VLOOKUP(J549,Jueces!$A$1:$B$11,2,FALSE),"")</f>
        <v>7</v>
      </c>
      <c r="L549" s="66" t="s">
        <v>569</v>
      </c>
      <c r="M549" s="66" t="s">
        <v>782</v>
      </c>
      <c r="N549" s="66" t="s">
        <v>2592</v>
      </c>
      <c r="O549" s="66" t="str">
        <f t="shared" ca="1" si="30"/>
        <v>SI</v>
      </c>
      <c r="P549" s="66" t="str">
        <f t="shared" si="32"/>
        <v>DIANOSOL</v>
      </c>
      <c r="Q549" s="66" t="s">
        <v>904</v>
      </c>
      <c r="R549" s="66" t="str">
        <f>VLOOKUP($Q549,Resultados!$A$1:$B$49,2,FALSE)</f>
        <v>Juicio Abreviado</v>
      </c>
      <c r="S549" s="66" t="s">
        <v>2421</v>
      </c>
      <c r="T549" s="75" t="str">
        <f t="shared" si="33"/>
        <v>SI</v>
      </c>
      <c r="U549" s="75"/>
      <c r="V549" s="66"/>
      <c r="W549" s="66" t="s">
        <v>1292</v>
      </c>
      <c r="X549" s="66" t="s">
        <v>2571</v>
      </c>
      <c r="Y549" s="66"/>
      <c r="Z549" s="121" t="s">
        <v>1041</v>
      </c>
      <c r="AA549" s="121" t="s">
        <v>743</v>
      </c>
      <c r="AB549" s="121" t="s">
        <v>1176</v>
      </c>
      <c r="AC549" s="361"/>
    </row>
    <row r="550" spans="1:29" ht="39.950000000000003" customHeight="1" x14ac:dyDescent="0.2">
      <c r="A550" s="66">
        <v>564</v>
      </c>
      <c r="B550" s="68">
        <v>45167</v>
      </c>
      <c r="C550" s="73">
        <v>0.4909722222222222</v>
      </c>
      <c r="D550" s="66" t="s">
        <v>1383</v>
      </c>
      <c r="E550" s="67" t="s">
        <v>2620</v>
      </c>
      <c r="F550" s="66">
        <v>2</v>
      </c>
      <c r="G550" s="66" t="s">
        <v>43</v>
      </c>
      <c r="H550" s="68">
        <v>45173</v>
      </c>
      <c r="I550" s="68" t="s">
        <v>73</v>
      </c>
      <c r="J550" s="68" t="s">
        <v>1220</v>
      </c>
      <c r="K550" s="66" t="s">
        <v>1925</v>
      </c>
      <c r="L550" s="66" t="s">
        <v>791</v>
      </c>
      <c r="M550" s="66" t="s">
        <v>712</v>
      </c>
      <c r="N550" s="66" t="s">
        <v>2534</v>
      </c>
      <c r="O550" s="66" t="str">
        <f t="shared" ca="1" si="30"/>
        <v>SI</v>
      </c>
      <c r="P550" s="66" t="str">
        <f t="shared" si="32"/>
        <v>DIANOSOL</v>
      </c>
      <c r="Q550" s="66" t="s">
        <v>899</v>
      </c>
      <c r="R550" s="66" t="str">
        <f>VLOOKUP($Q550,Resultados!$A$1:$B$49,2,FALSE)</f>
        <v>Libertad</v>
      </c>
      <c r="S550" s="66" t="s">
        <v>2060</v>
      </c>
      <c r="T550" s="75" t="str">
        <f t="shared" si="33"/>
        <v>NO</v>
      </c>
      <c r="U550" s="75"/>
      <c r="V550" s="66"/>
      <c r="W550" s="66" t="s">
        <v>1746</v>
      </c>
      <c r="X550" s="66" t="s">
        <v>2571</v>
      </c>
      <c r="Y550" s="66"/>
      <c r="Z550" s="121" t="s">
        <v>1042</v>
      </c>
      <c r="AA550" s="121" t="s">
        <v>743</v>
      </c>
      <c r="AB550" s="121" t="s">
        <v>1174</v>
      </c>
      <c r="AC550" s="361"/>
    </row>
    <row r="551" spans="1:29" ht="39.950000000000003" customHeight="1" x14ac:dyDescent="0.2">
      <c r="A551" s="66">
        <v>550</v>
      </c>
      <c r="B551" s="68">
        <v>45162</v>
      </c>
      <c r="C551" s="73">
        <v>0.4861111111111111</v>
      </c>
      <c r="D551" s="66" t="s">
        <v>2468</v>
      </c>
      <c r="E551" s="67" t="s">
        <v>2621</v>
      </c>
      <c r="F551" s="66">
        <v>7</v>
      </c>
      <c r="G551" s="66" t="s">
        <v>32</v>
      </c>
      <c r="H551" s="68">
        <v>45173</v>
      </c>
      <c r="I551" s="68" t="s">
        <v>1086</v>
      </c>
      <c r="J551" s="68" t="s">
        <v>1224</v>
      </c>
      <c r="K551" s="66" t="s">
        <v>1520</v>
      </c>
      <c r="L551" s="66" t="s">
        <v>801</v>
      </c>
      <c r="M551" s="66" t="s">
        <v>723</v>
      </c>
      <c r="N551" s="66" t="s">
        <v>2593</v>
      </c>
      <c r="O551" s="66" t="str">
        <f t="shared" ca="1" si="30"/>
        <v>SI</v>
      </c>
      <c r="P551" s="66" t="str">
        <f t="shared" si="32"/>
        <v>DIANOSOL</v>
      </c>
      <c r="Q551" s="66" t="s">
        <v>904</v>
      </c>
      <c r="R551" s="66" t="str">
        <f>VLOOKUP($Q551,Resultados!$A$1:$B$49,2,FALSE)</f>
        <v>Juicio Abreviado</v>
      </c>
      <c r="S551" s="66"/>
      <c r="T551" s="75" t="str">
        <f t="shared" si="33"/>
        <v>NO</v>
      </c>
      <c r="U551" s="75"/>
      <c r="V551" s="66"/>
      <c r="W551" s="66"/>
      <c r="X551" s="66"/>
      <c r="Y551" s="66"/>
      <c r="Z551" s="121" t="s">
        <v>748</v>
      </c>
      <c r="AA551" s="121" t="s">
        <v>1169</v>
      </c>
      <c r="AB551" s="121" t="s">
        <v>1173</v>
      </c>
      <c r="AC551" s="361"/>
    </row>
    <row r="552" spans="1:29" ht="39.950000000000003" customHeight="1" x14ac:dyDescent="0.2">
      <c r="A552" s="66">
        <v>566</v>
      </c>
      <c r="B552" s="68">
        <v>45167</v>
      </c>
      <c r="C552" s="66" t="s">
        <v>2518</v>
      </c>
      <c r="D552" s="66" t="s">
        <v>2519</v>
      </c>
      <c r="E552" s="67" t="s">
        <v>2622</v>
      </c>
      <c r="F552" s="66">
        <v>6</v>
      </c>
      <c r="G552" s="66" t="s">
        <v>283</v>
      </c>
      <c r="H552" s="68">
        <v>45173</v>
      </c>
      <c r="I552" s="68" t="s">
        <v>1086</v>
      </c>
      <c r="J552" s="68" t="s">
        <v>1222</v>
      </c>
      <c r="K552" s="66" t="s">
        <v>1925</v>
      </c>
      <c r="L552" s="66" t="s">
        <v>2088</v>
      </c>
      <c r="M552" s="66" t="s">
        <v>2387</v>
      </c>
      <c r="N552" s="66" t="s">
        <v>577</v>
      </c>
      <c r="O552" s="66" t="str">
        <f t="shared" ca="1" si="30"/>
        <v>SI</v>
      </c>
      <c r="P552" s="66" t="str">
        <f t="shared" si="32"/>
        <v>DIANOSOL</v>
      </c>
      <c r="Q552" s="66" t="s">
        <v>151</v>
      </c>
      <c r="R552" s="66" t="str">
        <f>VLOOKUP($Q552,Resultados!$A$1:$B$49,2,FALSE)</f>
        <v>Prisión Preventiva</v>
      </c>
      <c r="S552" s="66" t="s">
        <v>76</v>
      </c>
      <c r="T552" s="75" t="str">
        <f t="shared" si="33"/>
        <v>NO</v>
      </c>
      <c r="U552" s="75"/>
      <c r="V552" s="66"/>
      <c r="W552" s="66" t="s">
        <v>1243</v>
      </c>
      <c r="X552" s="66"/>
      <c r="Y552" s="66"/>
      <c r="Z552" s="121" t="s">
        <v>743</v>
      </c>
      <c r="AA552" s="121" t="s">
        <v>1171</v>
      </c>
      <c r="AB552" s="121" t="s">
        <v>1175</v>
      </c>
      <c r="AC552" s="361"/>
    </row>
    <row r="553" spans="1:29" ht="39.950000000000003" customHeight="1" x14ac:dyDescent="0.2">
      <c r="A553" s="66">
        <v>547</v>
      </c>
      <c r="B553" s="68">
        <v>45162</v>
      </c>
      <c r="C553" s="73">
        <v>0.45833333333333331</v>
      </c>
      <c r="D553" s="66" t="s">
        <v>2465</v>
      </c>
      <c r="E553" s="67" t="s">
        <v>2605</v>
      </c>
      <c r="F553" s="66">
        <v>7</v>
      </c>
      <c r="G553" s="66" t="s">
        <v>32</v>
      </c>
      <c r="H553" s="68">
        <v>45174</v>
      </c>
      <c r="I553" s="68" t="s">
        <v>73</v>
      </c>
      <c r="J553" s="68" t="s">
        <v>33</v>
      </c>
      <c r="K553" s="66">
        <f>IFERROR(VLOOKUP(J553,Jueces!$A$1:$B$11,2,FALSE),"")</f>
        <v>4</v>
      </c>
      <c r="L553" s="66" t="s">
        <v>789</v>
      </c>
      <c r="M553" s="66" t="s">
        <v>723</v>
      </c>
      <c r="N553" s="66" t="s">
        <v>2678</v>
      </c>
      <c r="O553" s="66" t="str">
        <f t="shared" ca="1" si="30"/>
        <v>SI</v>
      </c>
      <c r="P553" s="66" t="str">
        <f t="shared" si="32"/>
        <v>DIANOSOL</v>
      </c>
      <c r="Q553" s="66" t="s">
        <v>899</v>
      </c>
      <c r="R553" s="66" t="str">
        <f>VLOOKUP($Q553,Resultados!$A$1:$B$49,2,FALSE)</f>
        <v>Libertad</v>
      </c>
      <c r="S553" s="66" t="s">
        <v>2679</v>
      </c>
      <c r="T553" s="75" t="str">
        <f t="shared" si="33"/>
        <v>NO</v>
      </c>
      <c r="U553" s="75"/>
      <c r="V553" s="66"/>
      <c r="W553" s="66" t="s">
        <v>1786</v>
      </c>
      <c r="X553" s="66"/>
      <c r="Y553" s="66"/>
      <c r="Z553" s="121" t="s">
        <v>770</v>
      </c>
      <c r="AA553" s="121" t="s">
        <v>743</v>
      </c>
      <c r="AB553" s="121" t="s">
        <v>1177</v>
      </c>
      <c r="AC553" s="361"/>
    </row>
    <row r="554" spans="1:29" ht="39.950000000000003" customHeight="1" x14ac:dyDescent="0.2">
      <c r="A554" s="66">
        <v>555</v>
      </c>
      <c r="B554" s="68">
        <v>45163</v>
      </c>
      <c r="C554" s="73">
        <v>0.33333333333333331</v>
      </c>
      <c r="D554" s="66" t="s">
        <v>2494</v>
      </c>
      <c r="E554" s="67" t="s">
        <v>2627</v>
      </c>
      <c r="F554" s="66">
        <v>6</v>
      </c>
      <c r="G554" s="66" t="s">
        <v>1442</v>
      </c>
      <c r="H554" s="68">
        <v>45174</v>
      </c>
      <c r="I554" s="68" t="s">
        <v>73</v>
      </c>
      <c r="J554" s="68" t="s">
        <v>35</v>
      </c>
      <c r="K554" s="66">
        <f>IFERROR(VLOOKUP(J554,Jueces!$A$1:$B$11,2,FALSE),"")</f>
        <v>3</v>
      </c>
      <c r="L554" s="66" t="s">
        <v>793</v>
      </c>
      <c r="M554" s="66" t="s">
        <v>2219</v>
      </c>
      <c r="N554" s="66" t="s">
        <v>2606</v>
      </c>
      <c r="O554" s="66" t="str">
        <f t="shared" ca="1" si="30"/>
        <v>SI</v>
      </c>
      <c r="P554" s="66" t="str">
        <f t="shared" si="32"/>
        <v>DIANOSOL</v>
      </c>
      <c r="Q554" s="66" t="s">
        <v>904</v>
      </c>
      <c r="R554" s="66" t="str">
        <f>VLOOKUP($Q554,Resultados!$A$1:$B$49,2,FALSE)</f>
        <v>Juicio Abreviado</v>
      </c>
      <c r="S554" s="66" t="s">
        <v>1123</v>
      </c>
      <c r="T554" s="75" t="str">
        <f t="shared" si="33"/>
        <v>SI</v>
      </c>
      <c r="U554" s="75"/>
      <c r="V554" s="66"/>
      <c r="W554" s="73">
        <v>0.37291666666666662</v>
      </c>
      <c r="X554" s="66" t="s">
        <v>2607</v>
      </c>
      <c r="Y554" s="66"/>
      <c r="Z554" s="121" t="s">
        <v>1041</v>
      </c>
      <c r="AA554" s="121" t="s">
        <v>1171</v>
      </c>
      <c r="AB554" s="121" t="s">
        <v>1176</v>
      </c>
      <c r="AC554" s="361"/>
    </row>
    <row r="555" spans="1:29" ht="39.950000000000003" customHeight="1" x14ac:dyDescent="0.2">
      <c r="A555" s="66">
        <v>558</v>
      </c>
      <c r="B555" s="68">
        <v>45163</v>
      </c>
      <c r="C555" s="73">
        <v>0.4861111111111111</v>
      </c>
      <c r="D555" s="66" t="s">
        <v>2497</v>
      </c>
      <c r="E555" s="67" t="s">
        <v>2623</v>
      </c>
      <c r="F555" s="66">
        <v>7</v>
      </c>
      <c r="G555" s="66" t="s">
        <v>29</v>
      </c>
      <c r="H555" s="68">
        <v>45174</v>
      </c>
      <c r="I555" s="68" t="s">
        <v>73</v>
      </c>
      <c r="J555" s="68" t="s">
        <v>1221</v>
      </c>
      <c r="K555" s="66">
        <f>IFERROR(VLOOKUP(J555,Jueces!$A$1:$B$11,2,FALSE),"")</f>
        <v>7</v>
      </c>
      <c r="L555" s="66" t="s">
        <v>569</v>
      </c>
      <c r="M555" s="66" t="s">
        <v>782</v>
      </c>
      <c r="N555" s="66" t="s">
        <v>2498</v>
      </c>
      <c r="O555" s="66" t="str">
        <f t="shared" ca="1" si="30"/>
        <v>SI</v>
      </c>
      <c r="P555" s="66" t="str">
        <f t="shared" si="32"/>
        <v>DIANOSOL</v>
      </c>
      <c r="Q555" s="66" t="s">
        <v>151</v>
      </c>
      <c r="R555" s="66" t="str">
        <f>VLOOKUP($Q555,Resultados!$A$1:$B$49,2,FALSE)</f>
        <v>Prisión Preventiva</v>
      </c>
      <c r="S555" s="66" t="s">
        <v>1235</v>
      </c>
      <c r="T555" s="75" t="str">
        <f t="shared" si="33"/>
        <v>NO</v>
      </c>
      <c r="U555" s="75"/>
      <c r="V555" s="66"/>
      <c r="W555" s="66" t="s">
        <v>1065</v>
      </c>
      <c r="X555" s="66" t="s">
        <v>2382</v>
      </c>
      <c r="Y555" s="66"/>
      <c r="Z555" s="121" t="s">
        <v>1042</v>
      </c>
      <c r="AA555" s="121" t="s">
        <v>1169</v>
      </c>
      <c r="AB555" s="121" t="s">
        <v>1174</v>
      </c>
      <c r="AC555" s="361"/>
    </row>
    <row r="556" spans="1:29" ht="39.950000000000003" customHeight="1" x14ac:dyDescent="0.2">
      <c r="A556" s="66">
        <v>567</v>
      </c>
      <c r="B556" s="68">
        <v>45167</v>
      </c>
      <c r="C556" s="66" t="s">
        <v>989</v>
      </c>
      <c r="D556" s="66" t="s">
        <v>2520</v>
      </c>
      <c r="E556" s="67" t="s">
        <v>2624</v>
      </c>
      <c r="F556" s="66">
        <v>5</v>
      </c>
      <c r="G556" s="66" t="s">
        <v>568</v>
      </c>
      <c r="H556" s="68">
        <v>45174</v>
      </c>
      <c r="I556" s="68" t="s">
        <v>73</v>
      </c>
      <c r="J556" s="68" t="s">
        <v>1222</v>
      </c>
      <c r="K556" s="66" t="s">
        <v>1520</v>
      </c>
      <c r="L556" s="66" t="s">
        <v>569</v>
      </c>
      <c r="M556" s="66" t="s">
        <v>2125</v>
      </c>
      <c r="N556" s="66" t="s">
        <v>2521</v>
      </c>
      <c r="O556" s="66" t="str">
        <f t="shared" ref="O556:O619" ca="1" si="34">IF(H556&lt;&gt;"",IF(H556&lt;=TODAY(),"SI","NO"),"LIMBO")</f>
        <v>SI</v>
      </c>
      <c r="P556" s="66" t="str">
        <f t="shared" si="32"/>
        <v>DIANOSOL</v>
      </c>
      <c r="Q556" s="66" t="s">
        <v>151</v>
      </c>
      <c r="R556" s="66" t="str">
        <f>VLOOKUP($Q556,Resultados!$A$1:$B$49,2,FALSE)</f>
        <v>Prisión Preventiva</v>
      </c>
      <c r="S556" s="66" t="s">
        <v>1008</v>
      </c>
      <c r="T556" s="75" t="str">
        <f t="shared" si="33"/>
        <v>NO</v>
      </c>
      <c r="U556" s="75"/>
      <c r="V556" s="66"/>
      <c r="W556" s="66" t="s">
        <v>1238</v>
      </c>
      <c r="X556" s="66"/>
      <c r="Y556" s="66"/>
      <c r="Z556" s="121" t="s">
        <v>748</v>
      </c>
      <c r="AA556" s="121" t="s">
        <v>1169</v>
      </c>
      <c r="AB556" s="121" t="s">
        <v>1173</v>
      </c>
      <c r="AC556" s="361"/>
    </row>
    <row r="557" spans="1:29" ht="39.950000000000003" customHeight="1" x14ac:dyDescent="0.2">
      <c r="A557" s="66">
        <v>551</v>
      </c>
      <c r="B557" s="68">
        <v>45168</v>
      </c>
      <c r="C557" s="73">
        <v>0.4597222222222222</v>
      </c>
      <c r="D557" s="66" t="s">
        <v>2477</v>
      </c>
      <c r="E557" s="67" t="s">
        <v>2625</v>
      </c>
      <c r="F557" s="66">
        <v>7</v>
      </c>
      <c r="G557" s="66" t="s">
        <v>1441</v>
      </c>
      <c r="H557" s="68">
        <v>45174</v>
      </c>
      <c r="I557" s="68" t="s">
        <v>1086</v>
      </c>
      <c r="J557" s="68" t="s">
        <v>1222</v>
      </c>
      <c r="K557" s="66" t="s">
        <v>1520</v>
      </c>
      <c r="L557" s="66" t="s">
        <v>800</v>
      </c>
      <c r="M557" s="66" t="s">
        <v>725</v>
      </c>
      <c r="N557" s="66" t="s">
        <v>577</v>
      </c>
      <c r="O557" s="66" t="str">
        <f t="shared" ca="1" si="34"/>
        <v>SI</v>
      </c>
      <c r="P557" s="66" t="str">
        <f t="shared" si="32"/>
        <v>DIANOSOL</v>
      </c>
      <c r="Q557" s="66" t="s">
        <v>151</v>
      </c>
      <c r="R557" s="66" t="str">
        <f>VLOOKUP($Q557,Resultados!$A$1:$B$49,2,FALSE)</f>
        <v>Prisión Preventiva</v>
      </c>
      <c r="S557" s="66" t="s">
        <v>2617</v>
      </c>
      <c r="T557" s="75" t="str">
        <f t="shared" si="33"/>
        <v>NO</v>
      </c>
      <c r="U557" s="75"/>
      <c r="V557" s="66"/>
      <c r="W557" s="66" t="s">
        <v>1372</v>
      </c>
      <c r="X557" s="66"/>
      <c r="Y557" s="66"/>
      <c r="Z557" s="121" t="s">
        <v>743</v>
      </c>
      <c r="AA557" s="121" t="s">
        <v>1169</v>
      </c>
      <c r="AB557" s="121" t="s">
        <v>1175</v>
      </c>
      <c r="AC557" s="361"/>
    </row>
    <row r="558" spans="1:29" ht="173.25" customHeight="1" x14ac:dyDescent="0.2">
      <c r="A558" s="66">
        <v>557</v>
      </c>
      <c r="B558" s="68">
        <v>45163</v>
      </c>
      <c r="C558" s="73">
        <v>0.49444444444444446</v>
      </c>
      <c r="D558" s="66" t="s">
        <v>2496</v>
      </c>
      <c r="E558" s="67" t="s">
        <v>2626</v>
      </c>
      <c r="F558" s="66">
        <v>7</v>
      </c>
      <c r="G558" s="66" t="s">
        <v>1443</v>
      </c>
      <c r="H558" s="68">
        <v>45174</v>
      </c>
      <c r="I558" s="68" t="s">
        <v>1086</v>
      </c>
      <c r="J558" s="68" t="s">
        <v>1225</v>
      </c>
      <c r="K558" s="66">
        <f>IFERROR(VLOOKUP(J558,Jueces!$A$1:$B$11,2,FALSE),"")</f>
        <v>6</v>
      </c>
      <c r="L558" s="66" t="s">
        <v>807</v>
      </c>
      <c r="M558" s="66" t="s">
        <v>723</v>
      </c>
      <c r="N558" s="66" t="s">
        <v>577</v>
      </c>
      <c r="O558" s="66" t="str">
        <f t="shared" ca="1" si="34"/>
        <v>SI</v>
      </c>
      <c r="P558" s="66" t="str">
        <f t="shared" si="32"/>
        <v>DIANOSOL</v>
      </c>
      <c r="Q558" s="66" t="s">
        <v>151</v>
      </c>
      <c r="R558" s="66" t="str">
        <f>VLOOKUP($Q558,Resultados!$A$1:$B$49,2,FALSE)</f>
        <v>Prisión Preventiva</v>
      </c>
      <c r="S558" s="66" t="s">
        <v>1231</v>
      </c>
      <c r="T558" s="75" t="str">
        <f t="shared" si="33"/>
        <v>NO</v>
      </c>
      <c r="U558" s="75"/>
      <c r="V558" s="66"/>
      <c r="W558" s="66" t="s">
        <v>1009</v>
      </c>
      <c r="X558" s="66"/>
      <c r="Y558" s="66"/>
      <c r="Z558" s="121" t="s">
        <v>770</v>
      </c>
      <c r="AA558" s="121" t="s">
        <v>743</v>
      </c>
      <c r="AB558" s="121" t="s">
        <v>1177</v>
      </c>
      <c r="AC558" s="361"/>
    </row>
    <row r="559" spans="1:29" ht="65.25" customHeight="1" x14ac:dyDescent="0.2">
      <c r="A559" s="66">
        <v>528</v>
      </c>
      <c r="B559" s="68">
        <v>45156</v>
      </c>
      <c r="C559" s="73">
        <v>0.52569444444444446</v>
      </c>
      <c r="D559" s="66" t="s">
        <v>2399</v>
      </c>
      <c r="E559" s="67" t="s">
        <v>2628</v>
      </c>
      <c r="F559" s="66">
        <v>6</v>
      </c>
      <c r="G559" s="66" t="s">
        <v>29</v>
      </c>
      <c r="H559" s="68">
        <v>45175</v>
      </c>
      <c r="I559" s="68" t="s">
        <v>73</v>
      </c>
      <c r="J559" s="68" t="s">
        <v>35</v>
      </c>
      <c r="K559" s="66">
        <f>IFERROR(VLOOKUP(J559,Jueces!$A$1:$B$11,2,FALSE),"")</f>
        <v>3</v>
      </c>
      <c r="L559" s="66" t="s">
        <v>1149</v>
      </c>
      <c r="M559" s="66" t="s">
        <v>2485</v>
      </c>
      <c r="N559" s="66" t="s">
        <v>2484</v>
      </c>
      <c r="O559" s="66" t="str">
        <f t="shared" ca="1" si="34"/>
        <v>SI</v>
      </c>
      <c r="P559" s="66" t="str">
        <f t="shared" si="32"/>
        <v>DIANOSOL</v>
      </c>
      <c r="Q559" s="66" t="s">
        <v>151</v>
      </c>
      <c r="R559" s="66" t="str">
        <f>VLOOKUP($Q559,Resultados!$A$1:$B$49,2,FALSE)</f>
        <v>Prisión Preventiva</v>
      </c>
      <c r="S559" s="66" t="s">
        <v>1086</v>
      </c>
      <c r="T559" s="75" t="str">
        <f t="shared" si="33"/>
        <v>NO</v>
      </c>
      <c r="U559" s="75"/>
      <c r="V559" s="66"/>
      <c r="W559" s="66" t="s">
        <v>1189</v>
      </c>
      <c r="X559" s="66" t="s">
        <v>2637</v>
      </c>
      <c r="Y559" s="66"/>
      <c r="Z559" s="121" t="s">
        <v>1041</v>
      </c>
      <c r="AA559" s="121" t="s">
        <v>743</v>
      </c>
      <c r="AB559" s="121" t="s">
        <v>1173</v>
      </c>
      <c r="AC559" s="361"/>
    </row>
    <row r="560" spans="1:29" ht="39.950000000000003" customHeight="1" x14ac:dyDescent="0.2">
      <c r="A560" s="66">
        <v>553</v>
      </c>
      <c r="B560" s="68">
        <v>45163</v>
      </c>
      <c r="C560" s="73">
        <v>0.39166666666666666</v>
      </c>
      <c r="D560" s="66" t="s">
        <v>2491</v>
      </c>
      <c r="E560" s="67" t="s">
        <v>2630</v>
      </c>
      <c r="F560" s="66">
        <v>4</v>
      </c>
      <c r="G560" s="66" t="s">
        <v>1441</v>
      </c>
      <c r="H560" s="68">
        <v>45175</v>
      </c>
      <c r="I560" s="68" t="s">
        <v>73</v>
      </c>
      <c r="J560" s="68" t="s">
        <v>1221</v>
      </c>
      <c r="K560" s="66">
        <f>IFERROR(VLOOKUP(J560,Jueces!$A$1:$B$11,2,FALSE),"")</f>
        <v>7</v>
      </c>
      <c r="L560" s="66" t="s">
        <v>569</v>
      </c>
      <c r="M560" s="66" t="s">
        <v>2219</v>
      </c>
      <c r="N560" s="66" t="s">
        <v>2652</v>
      </c>
      <c r="O560" s="66" t="str">
        <f t="shared" ca="1" si="34"/>
        <v>SI</v>
      </c>
      <c r="P560" s="66" t="str">
        <f t="shared" si="32"/>
        <v>DIANOSOL</v>
      </c>
      <c r="Q560" s="66" t="s">
        <v>151</v>
      </c>
      <c r="R560" s="66" t="str">
        <f>VLOOKUP($Q560,Resultados!$A$1:$B$49,2,FALSE)</f>
        <v>Prisión Preventiva</v>
      </c>
      <c r="S560" s="73">
        <v>0.3611111111111111</v>
      </c>
      <c r="T560" s="75" t="str">
        <f t="shared" si="33"/>
        <v>NO</v>
      </c>
      <c r="U560" s="75"/>
      <c r="V560" s="66"/>
      <c r="W560" s="73">
        <v>0.40625</v>
      </c>
      <c r="X560" s="66" t="s">
        <v>2653</v>
      </c>
      <c r="Y560" s="66"/>
      <c r="Z560" s="121" t="s">
        <v>1042</v>
      </c>
      <c r="AA560" s="121" t="s">
        <v>743</v>
      </c>
      <c r="AB560" s="121" t="s">
        <v>1175</v>
      </c>
      <c r="AC560" s="361"/>
    </row>
    <row r="561" spans="1:29" ht="39.950000000000003" customHeight="1" x14ac:dyDescent="0.2">
      <c r="A561" s="66">
        <v>562</v>
      </c>
      <c r="B561" s="68">
        <v>45167</v>
      </c>
      <c r="C561" s="73">
        <v>0.43472222222222223</v>
      </c>
      <c r="D561" s="66" t="s">
        <v>2511</v>
      </c>
      <c r="E561" s="67" t="s">
        <v>2629</v>
      </c>
      <c r="F561" s="66">
        <v>7</v>
      </c>
      <c r="G561" s="66" t="s">
        <v>43</v>
      </c>
      <c r="H561" s="68">
        <v>45175</v>
      </c>
      <c r="I561" s="68" t="s">
        <v>73</v>
      </c>
      <c r="J561" s="68" t="s">
        <v>33</v>
      </c>
      <c r="K561" s="66">
        <f>IFERROR(VLOOKUP(J561,Jueces!$A$1:$B$11,2,FALSE),"")</f>
        <v>4</v>
      </c>
      <c r="L561" s="66" t="s">
        <v>812</v>
      </c>
      <c r="M561" s="66" t="s">
        <v>723</v>
      </c>
      <c r="N561" s="66" t="s">
        <v>577</v>
      </c>
      <c r="O561" s="66" t="str">
        <f t="shared" ca="1" si="34"/>
        <v>SI</v>
      </c>
      <c r="P561" s="66" t="str">
        <f t="shared" si="32"/>
        <v>DIANOSOL</v>
      </c>
      <c r="Q561" s="66" t="s">
        <v>151</v>
      </c>
      <c r="R561" s="66" t="str">
        <f>VLOOKUP($Q561,Resultados!$A$1:$B$49,2,FALSE)</f>
        <v>Prisión Preventiva</v>
      </c>
      <c r="S561" s="66" t="s">
        <v>1429</v>
      </c>
      <c r="T561" s="75" t="str">
        <f t="shared" si="33"/>
        <v>NO</v>
      </c>
      <c r="U561" s="75"/>
      <c r="V561" s="66"/>
      <c r="W561" s="66" t="s">
        <v>1497</v>
      </c>
      <c r="X561" s="66"/>
      <c r="Y561" s="66"/>
      <c r="Z561" s="121" t="s">
        <v>748</v>
      </c>
      <c r="AA561" s="121" t="s">
        <v>1171</v>
      </c>
      <c r="AB561" s="121" t="s">
        <v>1176</v>
      </c>
      <c r="AC561" s="361"/>
    </row>
    <row r="562" spans="1:29" ht="39.950000000000003" customHeight="1" x14ac:dyDescent="0.2">
      <c r="A562" s="66">
        <v>560</v>
      </c>
      <c r="B562" s="68">
        <v>45167</v>
      </c>
      <c r="C562" s="73">
        <v>0.37986111111111115</v>
      </c>
      <c r="D562" s="66" t="s">
        <v>2509</v>
      </c>
      <c r="E562" s="67" t="s">
        <v>2631</v>
      </c>
      <c r="F562" s="66">
        <v>7</v>
      </c>
      <c r="G562" s="66" t="s">
        <v>283</v>
      </c>
      <c r="H562" s="68">
        <v>45175</v>
      </c>
      <c r="I562" s="68" t="s">
        <v>1086</v>
      </c>
      <c r="J562" s="68" t="s">
        <v>1222</v>
      </c>
      <c r="K562" s="66" t="s">
        <v>1925</v>
      </c>
      <c r="L562" s="66" t="s">
        <v>789</v>
      </c>
      <c r="M562" s="66" t="s">
        <v>723</v>
      </c>
      <c r="N562" s="66" t="s">
        <v>2636</v>
      </c>
      <c r="O562" s="66" t="str">
        <f t="shared" ca="1" si="34"/>
        <v>SI</v>
      </c>
      <c r="P562" s="66" t="str">
        <f t="shared" si="32"/>
        <v>DIANOSOL</v>
      </c>
      <c r="Q562" s="66" t="s">
        <v>905</v>
      </c>
      <c r="R562" s="66" t="str">
        <f>VLOOKUP($Q562,Resultados!$A$1:$B$49,2,FALSE)</f>
        <v>Juicio Abreviado</v>
      </c>
      <c r="S562" s="66" t="s">
        <v>1238</v>
      </c>
      <c r="T562" s="75" t="str">
        <f t="shared" si="33"/>
        <v>NO</v>
      </c>
      <c r="U562" s="75"/>
      <c r="V562" s="66"/>
      <c r="W562" s="66" t="s">
        <v>1009</v>
      </c>
      <c r="X562" s="66"/>
      <c r="Y562" s="66"/>
      <c r="Z562" s="121" t="s">
        <v>743</v>
      </c>
      <c r="AA562" s="121" t="s">
        <v>1169</v>
      </c>
      <c r="AB562" s="121" t="s">
        <v>1174</v>
      </c>
      <c r="AC562" s="361"/>
    </row>
    <row r="563" spans="1:29" ht="39.950000000000003" customHeight="1" x14ac:dyDescent="0.2">
      <c r="A563" s="66">
        <v>563</v>
      </c>
      <c r="B563" s="68">
        <v>45167</v>
      </c>
      <c r="C563" s="73">
        <v>0.43263888888888885</v>
      </c>
      <c r="D563" s="66" t="s">
        <v>2512</v>
      </c>
      <c r="E563" s="67" t="s">
        <v>2632</v>
      </c>
      <c r="F563" s="66">
        <v>6</v>
      </c>
      <c r="G563" s="66" t="s">
        <v>1442</v>
      </c>
      <c r="H563" s="68">
        <v>45175</v>
      </c>
      <c r="I563" s="68" t="s">
        <v>1086</v>
      </c>
      <c r="J563" s="68" t="s">
        <v>1221</v>
      </c>
      <c r="K563" s="66">
        <f>IFERROR(VLOOKUP(J563,Jueces!$A$1:$B$11,2,FALSE),"")</f>
        <v>7</v>
      </c>
      <c r="L563" s="66" t="s">
        <v>807</v>
      </c>
      <c r="M563" s="66" t="s">
        <v>725</v>
      </c>
      <c r="N563" s="66" t="s">
        <v>2645</v>
      </c>
      <c r="O563" s="66" t="str">
        <f t="shared" ca="1" si="34"/>
        <v>SI</v>
      </c>
      <c r="P563" s="66" t="str">
        <f t="shared" si="32"/>
        <v>DIANOSOL</v>
      </c>
      <c r="Q563" s="66" t="s">
        <v>904</v>
      </c>
      <c r="R563" s="66" t="str">
        <f>VLOOKUP($Q563,Resultados!$A$1:$B$49,2,FALSE)</f>
        <v>Juicio Abreviado</v>
      </c>
      <c r="S563" s="66" t="s">
        <v>1372</v>
      </c>
      <c r="T563" s="75" t="str">
        <f t="shared" si="33"/>
        <v>SI</v>
      </c>
      <c r="U563" s="75"/>
      <c r="V563" s="66"/>
      <c r="W563" s="66" t="s">
        <v>2644</v>
      </c>
      <c r="X563" s="66"/>
      <c r="Y563" s="66"/>
      <c r="Z563" s="121" t="s">
        <v>770</v>
      </c>
      <c r="AA563" s="121" t="s">
        <v>1169</v>
      </c>
      <c r="AB563" s="121" t="s">
        <v>1173</v>
      </c>
      <c r="AC563" s="361"/>
    </row>
    <row r="564" spans="1:29" ht="39.950000000000003" customHeight="1" x14ac:dyDescent="0.2">
      <c r="A564" s="66">
        <v>543</v>
      </c>
      <c r="B564" s="68">
        <v>45161</v>
      </c>
      <c r="C564" s="73">
        <v>0.52500000000000002</v>
      </c>
      <c r="D564" s="66" t="s">
        <v>2450</v>
      </c>
      <c r="E564" s="67" t="s">
        <v>2654</v>
      </c>
      <c r="F564" s="66">
        <v>7</v>
      </c>
      <c r="G564" s="66" t="s">
        <v>43</v>
      </c>
      <c r="H564" s="68">
        <v>45176</v>
      </c>
      <c r="I564" s="68" t="s">
        <v>73</v>
      </c>
      <c r="J564" s="68" t="s">
        <v>31</v>
      </c>
      <c r="K564" s="66">
        <f>IFERROR(VLOOKUP(J564,Jueces!$A$1:$B$11,2,FALSE),"")</f>
        <v>2</v>
      </c>
      <c r="L564" s="266" t="s">
        <v>2431</v>
      </c>
      <c r="M564" s="66" t="s">
        <v>723</v>
      </c>
      <c r="N564" s="66" t="s">
        <v>1753</v>
      </c>
      <c r="O564" s="66" t="str">
        <f t="shared" ca="1" si="34"/>
        <v>SI</v>
      </c>
      <c r="P564" s="66" t="str">
        <f t="shared" si="32"/>
        <v>DIANOSOL</v>
      </c>
      <c r="Q564" s="66" t="s">
        <v>151</v>
      </c>
      <c r="R564" s="66" t="str">
        <f>VLOOKUP($Q564,Resultados!$A$1:$B$49,2,FALSE)</f>
        <v>Prisión Preventiva</v>
      </c>
      <c r="S564" s="73">
        <v>0.35694444444444445</v>
      </c>
      <c r="T564" s="75" t="str">
        <f t="shared" ref="T564:T595" si="35">IF(G564=$J$1,"SI","NO")</f>
        <v>NO</v>
      </c>
      <c r="U564" s="75"/>
      <c r="V564" s="66"/>
      <c r="W564" s="73">
        <v>0.37777777777777777</v>
      </c>
      <c r="X564" s="389" t="s">
        <v>2663</v>
      </c>
      <c r="Y564" s="66"/>
      <c r="Z564" s="121" t="s">
        <v>1041</v>
      </c>
      <c r="AA564" s="121" t="s">
        <v>1171</v>
      </c>
      <c r="AB564" s="121" t="s">
        <v>1175</v>
      </c>
      <c r="AC564" s="361"/>
    </row>
    <row r="565" spans="1:29" ht="39.950000000000003" customHeight="1" x14ac:dyDescent="0.2">
      <c r="A565" s="66">
        <v>574</v>
      </c>
      <c r="B565" s="68">
        <v>45168</v>
      </c>
      <c r="C565" s="73">
        <v>0.36319444444444443</v>
      </c>
      <c r="D565" s="66" t="s">
        <v>2533</v>
      </c>
      <c r="E565" s="67" t="s">
        <v>2655</v>
      </c>
      <c r="F565" s="66">
        <v>6</v>
      </c>
      <c r="G565" s="66" t="s">
        <v>568</v>
      </c>
      <c r="H565" s="68">
        <v>45176</v>
      </c>
      <c r="I565" s="68" t="s">
        <v>73</v>
      </c>
      <c r="J565" s="68" t="s">
        <v>1222</v>
      </c>
      <c r="K565" s="66" t="s">
        <v>1326</v>
      </c>
      <c r="L565" s="66" t="s">
        <v>814</v>
      </c>
      <c r="M565" s="66" t="s">
        <v>725</v>
      </c>
      <c r="N565" s="66" t="s">
        <v>2672</v>
      </c>
      <c r="O565" s="66" t="str">
        <f t="shared" ca="1" si="34"/>
        <v>SI</v>
      </c>
      <c r="P565" s="66" t="str">
        <f t="shared" si="32"/>
        <v>DIANOSOL</v>
      </c>
      <c r="Q565" s="66" t="s">
        <v>904</v>
      </c>
      <c r="R565" s="66" t="str">
        <f>VLOOKUP($Q565,Resultados!$A$1:$B$49,2,FALSE)</f>
        <v>Juicio Abreviado</v>
      </c>
      <c r="S565" s="73">
        <v>0.3576388888888889</v>
      </c>
      <c r="T565" s="75" t="str">
        <f t="shared" si="35"/>
        <v>NO</v>
      </c>
      <c r="U565" s="75"/>
      <c r="V565" s="66"/>
      <c r="W565" s="73">
        <v>0.36527777777777781</v>
      </c>
      <c r="X565" s="268" t="s">
        <v>2673</v>
      </c>
      <c r="Y565" s="66"/>
      <c r="Z565" s="121" t="s">
        <v>1042</v>
      </c>
      <c r="AA565" s="279" t="s">
        <v>1169</v>
      </c>
      <c r="AB565" s="121" t="s">
        <v>1173</v>
      </c>
      <c r="AC565" s="361"/>
    </row>
    <row r="566" spans="1:29" ht="39.950000000000003" customHeight="1" x14ac:dyDescent="0.2">
      <c r="A566" s="66">
        <v>576</v>
      </c>
      <c r="B566" s="68">
        <v>45169</v>
      </c>
      <c r="C566" s="73">
        <v>0.33333333333333331</v>
      </c>
      <c r="D566" s="66" t="s">
        <v>2553</v>
      </c>
      <c r="E566" s="67" t="s">
        <v>2656</v>
      </c>
      <c r="F566" s="66">
        <v>7</v>
      </c>
      <c r="G566" s="66" t="s">
        <v>283</v>
      </c>
      <c r="H566" s="68">
        <v>45176</v>
      </c>
      <c r="I566" s="68" t="s">
        <v>73</v>
      </c>
      <c r="J566" s="68" t="s">
        <v>33</v>
      </c>
      <c r="K566" s="66">
        <f>IFERROR(VLOOKUP(J566,Jueces!$A$1:$B$11,2,FALSE),"")</f>
        <v>4</v>
      </c>
      <c r="L566" s="66" t="s">
        <v>806</v>
      </c>
      <c r="M566" s="66" t="s">
        <v>767</v>
      </c>
      <c r="N566" s="66" t="s">
        <v>2670</v>
      </c>
      <c r="O566" s="66" t="str">
        <f t="shared" ca="1" si="34"/>
        <v>SI</v>
      </c>
      <c r="P566" s="66" t="str">
        <f t="shared" si="32"/>
        <v>DIANOSOL</v>
      </c>
      <c r="Q566" s="66" t="s">
        <v>904</v>
      </c>
      <c r="R566" s="66" t="str">
        <f>VLOOKUP($Q566,Resultados!$A$1:$B$49,2,FALSE)</f>
        <v>Juicio Abreviado</v>
      </c>
      <c r="S566" s="73">
        <v>0.35833333333333334</v>
      </c>
      <c r="T566" s="75" t="str">
        <f t="shared" si="35"/>
        <v>NO</v>
      </c>
      <c r="U566" s="75"/>
      <c r="V566" s="66"/>
      <c r="W566" s="73">
        <v>0.36805555555555558</v>
      </c>
      <c r="X566" s="268" t="s">
        <v>2671</v>
      </c>
      <c r="Y566" s="66"/>
      <c r="Z566" s="121" t="s">
        <v>748</v>
      </c>
      <c r="AA566" s="121" t="s">
        <v>743</v>
      </c>
      <c r="AB566" s="121" t="s">
        <v>1175</v>
      </c>
      <c r="AC566" s="361"/>
    </row>
    <row r="567" spans="1:29" ht="39.950000000000003" customHeight="1" x14ac:dyDescent="0.2">
      <c r="A567" s="6">
        <v>556</v>
      </c>
      <c r="B567" s="18">
        <v>45162</v>
      </c>
      <c r="C567" s="14">
        <v>0.52916666666666667</v>
      </c>
      <c r="D567" s="6" t="s">
        <v>2495</v>
      </c>
      <c r="E567" s="40" t="s">
        <v>2660</v>
      </c>
      <c r="F567" s="6">
        <v>4</v>
      </c>
      <c r="G567" s="6" t="s">
        <v>1442</v>
      </c>
      <c r="H567" s="18">
        <v>45176</v>
      </c>
      <c r="I567" s="18" t="s">
        <v>1086</v>
      </c>
      <c r="J567" s="18" t="s">
        <v>1220</v>
      </c>
      <c r="K567" s="6" t="s">
        <v>1925</v>
      </c>
      <c r="L567" s="6" t="s">
        <v>798</v>
      </c>
      <c r="M567" s="6" t="s">
        <v>695</v>
      </c>
      <c r="N567" s="6" t="s">
        <v>2669</v>
      </c>
      <c r="O567" s="6" t="str">
        <f t="shared" ca="1" si="34"/>
        <v>SI</v>
      </c>
      <c r="P567" s="6" t="str">
        <f t="shared" si="32"/>
        <v>DIANOSOL</v>
      </c>
      <c r="Q567" s="6" t="s">
        <v>151</v>
      </c>
      <c r="R567" s="6" t="str">
        <f>VLOOKUP($Q567,Resultados!$A$1:$B$49,2,FALSE)</f>
        <v>Prisión Preventiva</v>
      </c>
      <c r="S567" s="14">
        <v>0.37916666666666665</v>
      </c>
      <c r="T567" s="71" t="str">
        <f t="shared" si="35"/>
        <v>SI</v>
      </c>
      <c r="U567" s="71"/>
      <c r="V567" s="6"/>
      <c r="W567" s="14">
        <v>0.40416666666666662</v>
      </c>
      <c r="X567" s="6"/>
      <c r="Y567" s="6"/>
      <c r="Z567" s="279" t="s">
        <v>743</v>
      </c>
      <c r="AA567" s="279" t="s">
        <v>743</v>
      </c>
      <c r="AB567" s="279" t="s">
        <v>1176</v>
      </c>
      <c r="AC567" s="361"/>
    </row>
    <row r="568" spans="1:29" ht="38.25" x14ac:dyDescent="0.2">
      <c r="A568" s="262">
        <v>565</v>
      </c>
      <c r="B568" s="265">
        <v>45168</v>
      </c>
      <c r="C568" s="399">
        <v>0.4597222222222222</v>
      </c>
      <c r="D568" s="262" t="s">
        <v>2517</v>
      </c>
      <c r="E568" s="263" t="s">
        <v>2657</v>
      </c>
      <c r="F568" s="262">
        <v>6</v>
      </c>
      <c r="G568" s="262" t="s">
        <v>1443</v>
      </c>
      <c r="H568" s="265">
        <v>45176</v>
      </c>
      <c r="I568" s="265" t="s">
        <v>1086</v>
      </c>
      <c r="J568" s="265" t="s">
        <v>1221</v>
      </c>
      <c r="K568" s="262">
        <f>IFERROR(VLOOKUP(J568,Jueces!$A$1:$B$11,2,FALSE),"")</f>
        <v>7</v>
      </c>
      <c r="L568" s="6" t="s">
        <v>800</v>
      </c>
      <c r="M568" s="6" t="s">
        <v>725</v>
      </c>
      <c r="N568" s="262" t="s">
        <v>2668</v>
      </c>
      <c r="O568" s="6" t="str">
        <f t="shared" ca="1" si="34"/>
        <v>SI</v>
      </c>
      <c r="P568" s="6" t="str">
        <f t="shared" si="32"/>
        <v>DIANOSOL</v>
      </c>
      <c r="Q568" s="262" t="s">
        <v>905</v>
      </c>
      <c r="R568" s="6" t="str">
        <f>VLOOKUP($Q568,Resultados!$A$1:$B$49,2,FALSE)</f>
        <v>Juicio Abreviado</v>
      </c>
      <c r="S568" s="399">
        <v>0.39444444444444443</v>
      </c>
      <c r="T568" s="71" t="str">
        <f t="shared" si="35"/>
        <v>NO</v>
      </c>
      <c r="U568" s="264"/>
      <c r="V568" s="262"/>
      <c r="W568" s="399">
        <v>0.4152777777777778</v>
      </c>
      <c r="X568" s="262" t="s">
        <v>1506</v>
      </c>
      <c r="Y568" s="262"/>
      <c r="Z568" s="332" t="s">
        <v>770</v>
      </c>
      <c r="AA568" s="121" t="s">
        <v>1169</v>
      </c>
      <c r="AB568" s="332" t="s">
        <v>1174</v>
      </c>
      <c r="AC568" s="361"/>
    </row>
    <row r="569" spans="1:29" ht="38.25" x14ac:dyDescent="0.2">
      <c r="A569" s="109">
        <v>577</v>
      </c>
      <c r="B569" s="261">
        <v>45169</v>
      </c>
      <c r="C569" s="267">
        <v>0.33333333333333331</v>
      </c>
      <c r="D569" s="109" t="s">
        <v>2554</v>
      </c>
      <c r="E569" s="110" t="s">
        <v>2658</v>
      </c>
      <c r="F569" s="109">
        <v>7</v>
      </c>
      <c r="G569" s="109" t="s">
        <v>32</v>
      </c>
      <c r="H569" s="261">
        <v>45176</v>
      </c>
      <c r="I569" s="261" t="s">
        <v>1086</v>
      </c>
      <c r="J569" s="261" t="s">
        <v>35</v>
      </c>
      <c r="K569" s="109" t="s">
        <v>1491</v>
      </c>
      <c r="L569" s="66" t="s">
        <v>809</v>
      </c>
      <c r="M569" s="66" t="s">
        <v>767</v>
      </c>
      <c r="N569" s="109" t="s">
        <v>2661</v>
      </c>
      <c r="O569" s="66" t="str">
        <f t="shared" ca="1" si="34"/>
        <v>SI</v>
      </c>
      <c r="P569" s="66" t="str">
        <f t="shared" si="32"/>
        <v>DIANOSOL</v>
      </c>
      <c r="Q569" s="109" t="s">
        <v>904</v>
      </c>
      <c r="R569" s="66" t="str">
        <f>VLOOKUP($Q569,Resultados!$A$1:$B$49,2,FALSE)</f>
        <v>Juicio Abreviado</v>
      </c>
      <c r="S569" s="267">
        <v>0.37916666666666665</v>
      </c>
      <c r="T569" s="75" t="str">
        <f t="shared" si="35"/>
        <v>NO</v>
      </c>
      <c r="U569" s="111"/>
      <c r="V569" s="109"/>
      <c r="W569" s="267">
        <v>0.38611111111111113</v>
      </c>
      <c r="X569" s="389" t="s">
        <v>2662</v>
      </c>
      <c r="Y569" s="109"/>
      <c r="Z569" s="333" t="s">
        <v>1041</v>
      </c>
      <c r="AA569" s="333" t="s">
        <v>1169</v>
      </c>
      <c r="AB569" s="333" t="s">
        <v>1176</v>
      </c>
      <c r="AC569" s="361"/>
    </row>
    <row r="570" spans="1:29" ht="39.950000000000003" customHeight="1" x14ac:dyDescent="0.2">
      <c r="A570" s="66">
        <v>580</v>
      </c>
      <c r="B570" s="68">
        <v>45169</v>
      </c>
      <c r="C570" s="73">
        <v>0.52500000000000002</v>
      </c>
      <c r="D570" s="66" t="s">
        <v>2566</v>
      </c>
      <c r="E570" s="67" t="s">
        <v>2659</v>
      </c>
      <c r="F570" s="66">
        <v>7</v>
      </c>
      <c r="G570" s="68" t="s">
        <v>29</v>
      </c>
      <c r="H570" s="68">
        <v>45176</v>
      </c>
      <c r="I570" s="68" t="s">
        <v>547</v>
      </c>
      <c r="J570" s="66" t="s">
        <v>33</v>
      </c>
      <c r="K570" s="66" t="s">
        <v>2588</v>
      </c>
      <c r="L570" s="66" t="s">
        <v>811</v>
      </c>
      <c r="M570" s="66" t="s">
        <v>725</v>
      </c>
      <c r="N570" s="66" t="s">
        <v>2677</v>
      </c>
      <c r="O570" s="66" t="str">
        <f t="shared" ca="1" si="34"/>
        <v>SI</v>
      </c>
      <c r="P570" s="66" t="str">
        <f t="shared" si="32"/>
        <v>DIANOSOL</v>
      </c>
      <c r="Q570" s="66" t="s">
        <v>904</v>
      </c>
      <c r="R570" s="66" t="str">
        <f>VLOOKUP($Q570,Resultados!$A$1:$B$49,2,FALSE)</f>
        <v>Juicio Abreviado</v>
      </c>
      <c r="S570" s="73">
        <v>0.47361111111111115</v>
      </c>
      <c r="T570" s="75" t="str">
        <f t="shared" si="35"/>
        <v>NO</v>
      </c>
      <c r="U570" s="66"/>
      <c r="V570" s="66"/>
      <c r="W570" s="73">
        <v>0.48194444444444445</v>
      </c>
      <c r="X570" s="66"/>
      <c r="Y570" s="66"/>
      <c r="Z570" s="121" t="s">
        <v>1042</v>
      </c>
      <c r="AA570" s="121" t="s">
        <v>743</v>
      </c>
      <c r="AB570" s="121" t="s">
        <v>1174</v>
      </c>
      <c r="AC570" s="361"/>
    </row>
    <row r="571" spans="1:29" ht="39.950000000000003" customHeight="1" x14ac:dyDescent="0.2">
      <c r="A571" s="66">
        <v>538</v>
      </c>
      <c r="B571" s="68">
        <v>45161</v>
      </c>
      <c r="C571" s="73">
        <v>0.45347222222222222</v>
      </c>
      <c r="D571" s="66" t="s">
        <v>2439</v>
      </c>
      <c r="E571" s="67" t="s">
        <v>2440</v>
      </c>
      <c r="F571" s="66">
        <v>5</v>
      </c>
      <c r="G571" s="66" t="s">
        <v>43</v>
      </c>
      <c r="H571" s="68">
        <v>45177</v>
      </c>
      <c r="I571" s="68" t="s">
        <v>73</v>
      </c>
      <c r="J571" s="68" t="s">
        <v>33</v>
      </c>
      <c r="K571" s="66">
        <f>IFERROR(VLOOKUP(J571,Jueces!$A$1:$B$11,2,FALSE),"")</f>
        <v>4</v>
      </c>
      <c r="L571" s="66" t="s">
        <v>2094</v>
      </c>
      <c r="M571" s="66" t="s">
        <v>697</v>
      </c>
      <c r="N571" s="66" t="s">
        <v>2680</v>
      </c>
      <c r="O571" s="66" t="str">
        <f t="shared" ca="1" si="34"/>
        <v>SI</v>
      </c>
      <c r="P571" s="66" t="str">
        <f t="shared" si="32"/>
        <v>DIANOSOL</v>
      </c>
      <c r="Q571" s="66" t="s">
        <v>899</v>
      </c>
      <c r="R571" s="66" t="str">
        <f>VLOOKUP($Q571,Resultados!$A$1:$B$49,2,FALSE)</f>
        <v>Libertad</v>
      </c>
      <c r="S571" s="66" t="s">
        <v>2681</v>
      </c>
      <c r="T571" s="75" t="str">
        <f t="shared" si="35"/>
        <v>NO</v>
      </c>
      <c r="U571" s="75"/>
      <c r="V571" s="66"/>
      <c r="W571" s="66" t="s">
        <v>1499</v>
      </c>
      <c r="X571" s="66" t="s">
        <v>2382</v>
      </c>
      <c r="Y571" s="66"/>
      <c r="Z571" s="121" t="s">
        <v>1041</v>
      </c>
      <c r="AA571" s="121" t="s">
        <v>1171</v>
      </c>
      <c r="AB571" s="121" t="s">
        <v>1173</v>
      </c>
      <c r="AC571" s="361"/>
    </row>
    <row r="572" spans="1:29" ht="39.950000000000003" customHeight="1" x14ac:dyDescent="0.2">
      <c r="A572" s="66">
        <v>571</v>
      </c>
      <c r="B572" s="68">
        <v>45168</v>
      </c>
      <c r="C572" s="73">
        <v>0.33333333333333331</v>
      </c>
      <c r="D572" s="66" t="s">
        <v>2528</v>
      </c>
      <c r="E572" s="67" t="s">
        <v>2552</v>
      </c>
      <c r="F572" s="66">
        <v>7</v>
      </c>
      <c r="G572" s="66" t="s">
        <v>29</v>
      </c>
      <c r="H572" s="68">
        <v>45177</v>
      </c>
      <c r="I572" s="68" t="s">
        <v>73</v>
      </c>
      <c r="J572" s="68" t="s">
        <v>1221</v>
      </c>
      <c r="K572" s="66">
        <f>IFERROR(VLOOKUP(J572,Jueces!$A$1:$B$11,2,FALSE),"")</f>
        <v>7</v>
      </c>
      <c r="L572" s="66" t="s">
        <v>806</v>
      </c>
      <c r="M572" s="66" t="s">
        <v>723</v>
      </c>
      <c r="N572" s="66" t="s">
        <v>2682</v>
      </c>
      <c r="O572" s="66" t="str">
        <f t="shared" ca="1" si="34"/>
        <v>SI</v>
      </c>
      <c r="P572" s="66" t="str">
        <f t="shared" si="32"/>
        <v>DIANOSOL</v>
      </c>
      <c r="Q572" s="66" t="s">
        <v>904</v>
      </c>
      <c r="R572" s="66" t="str">
        <f>VLOOKUP($Q572,Resultados!$A$1:$B$49,2,FALSE)</f>
        <v>Juicio Abreviado</v>
      </c>
      <c r="S572" s="66" t="s">
        <v>1532</v>
      </c>
      <c r="T572" s="75" t="str">
        <f t="shared" si="35"/>
        <v>NO</v>
      </c>
      <c r="U572" s="75"/>
      <c r="V572" s="66"/>
      <c r="W572" s="66" t="s">
        <v>679</v>
      </c>
      <c r="X572" s="66" t="s">
        <v>2683</v>
      </c>
      <c r="Y572" s="66"/>
      <c r="Z572" s="121" t="s">
        <v>1042</v>
      </c>
      <c r="AA572" s="121" t="s">
        <v>743</v>
      </c>
      <c r="AB572" s="121" t="s">
        <v>1175</v>
      </c>
      <c r="AC572" s="361"/>
    </row>
    <row r="573" spans="1:29" ht="39.950000000000003" customHeight="1" x14ac:dyDescent="0.2">
      <c r="A573" s="66">
        <v>573</v>
      </c>
      <c r="B573" s="68">
        <v>45168</v>
      </c>
      <c r="C573" s="73">
        <v>0.36736111111111108</v>
      </c>
      <c r="D573" s="66" t="s">
        <v>2531</v>
      </c>
      <c r="E573" s="67" t="s">
        <v>2532</v>
      </c>
      <c r="F573" s="66">
        <v>6</v>
      </c>
      <c r="G573" s="66" t="s">
        <v>32</v>
      </c>
      <c r="H573" s="68">
        <v>45177</v>
      </c>
      <c r="I573" s="68" t="s">
        <v>73</v>
      </c>
      <c r="J573" s="68" t="s">
        <v>31</v>
      </c>
      <c r="K573" s="66">
        <v>3</v>
      </c>
      <c r="L573" s="66" t="s">
        <v>799</v>
      </c>
      <c r="M573" s="66" t="s">
        <v>725</v>
      </c>
      <c r="N573" s="66" t="s">
        <v>899</v>
      </c>
      <c r="O573" s="66" t="str">
        <f t="shared" ca="1" si="34"/>
        <v>SI</v>
      </c>
      <c r="P573" s="66" t="str">
        <f t="shared" si="32"/>
        <v>DIANOSOL</v>
      </c>
      <c r="Q573" s="66" t="s">
        <v>899</v>
      </c>
      <c r="R573" s="66" t="str">
        <f>VLOOKUP($Q573,Resultados!$A$1:$B$49,2,FALSE)</f>
        <v>Libertad</v>
      </c>
      <c r="S573" s="66" t="s">
        <v>1429</v>
      </c>
      <c r="T573" s="75" t="str">
        <f t="shared" si="35"/>
        <v>NO</v>
      </c>
      <c r="U573" s="75"/>
      <c r="V573" s="66"/>
      <c r="W573" s="66" t="s">
        <v>2684</v>
      </c>
      <c r="X573" s="66"/>
      <c r="Y573" s="66"/>
      <c r="Z573" s="121" t="s">
        <v>743</v>
      </c>
      <c r="AA573" s="121" t="s">
        <v>1169</v>
      </c>
      <c r="AB573" s="121" t="s">
        <v>1176</v>
      </c>
      <c r="AC573" s="361"/>
    </row>
    <row r="574" spans="1:29" ht="39.950000000000003" customHeight="1" x14ac:dyDescent="0.2">
      <c r="A574" s="66">
        <v>570</v>
      </c>
      <c r="B574" s="68">
        <v>45168</v>
      </c>
      <c r="C574" s="73">
        <v>0.33333333333333331</v>
      </c>
      <c r="D574" s="66" t="s">
        <v>2526</v>
      </c>
      <c r="E574" s="67" t="s">
        <v>2527</v>
      </c>
      <c r="F574" s="66">
        <v>7</v>
      </c>
      <c r="G574" s="66" t="s">
        <v>283</v>
      </c>
      <c r="H574" s="68">
        <v>45177</v>
      </c>
      <c r="I574" s="68" t="s">
        <v>1210</v>
      </c>
      <c r="J574" s="68" t="s">
        <v>1221</v>
      </c>
      <c r="K574" s="66">
        <f>IFERROR(VLOOKUP(J574,Jueces!$A$1:$B$11,2,FALSE),"")</f>
        <v>7</v>
      </c>
      <c r="L574" s="66" t="s">
        <v>809</v>
      </c>
      <c r="M574" s="66" t="s">
        <v>723</v>
      </c>
      <c r="N574" s="66" t="s">
        <v>2586</v>
      </c>
      <c r="O574" s="66" t="str">
        <f t="shared" ca="1" si="34"/>
        <v>SI</v>
      </c>
      <c r="P574" s="66" t="str">
        <f t="shared" si="32"/>
        <v>DIANOSOL</v>
      </c>
      <c r="Q574" s="66" t="s">
        <v>904</v>
      </c>
      <c r="R574" s="66" t="str">
        <f>VLOOKUP($Q574,Resultados!$A$1:$B$49,2,FALSE)</f>
        <v>Juicio Abreviado</v>
      </c>
      <c r="S574" s="66" t="s">
        <v>1337</v>
      </c>
      <c r="T574" s="75" t="str">
        <f t="shared" si="35"/>
        <v>NO</v>
      </c>
      <c r="U574" s="75"/>
      <c r="V574" s="66"/>
      <c r="W574" s="66" t="s">
        <v>2685</v>
      </c>
      <c r="X574" s="66" t="s">
        <v>2571</v>
      </c>
      <c r="Y574" s="66"/>
      <c r="Z574" s="121" t="s">
        <v>770</v>
      </c>
      <c r="AA574" s="121" t="s">
        <v>1169</v>
      </c>
      <c r="AB574" s="121" t="s">
        <v>1173</v>
      </c>
      <c r="AC574" s="361"/>
    </row>
    <row r="575" spans="1:29" ht="39.950000000000003" customHeight="1" x14ac:dyDescent="0.2">
      <c r="A575" s="66">
        <v>533</v>
      </c>
      <c r="B575" s="68">
        <v>45160</v>
      </c>
      <c r="C575" s="73">
        <v>0.50763888888888886</v>
      </c>
      <c r="D575" s="66" t="s">
        <v>2407</v>
      </c>
      <c r="E575" s="67" t="s">
        <v>2506</v>
      </c>
      <c r="F575" s="66">
        <v>6</v>
      </c>
      <c r="G575" s="66" t="s">
        <v>1443</v>
      </c>
      <c r="H575" s="68">
        <v>45180</v>
      </c>
      <c r="I575" s="68" t="s">
        <v>73</v>
      </c>
      <c r="J575" s="68" t="s">
        <v>33</v>
      </c>
      <c r="K575" s="6">
        <f>IFERROR(VLOOKUP(J575,Jueces!$A$1:$B$11,2,FALSE),"")</f>
        <v>4</v>
      </c>
      <c r="L575" s="66" t="s">
        <v>796</v>
      </c>
      <c r="M575" s="66" t="s">
        <v>783</v>
      </c>
      <c r="N575" s="66" t="s">
        <v>2705</v>
      </c>
      <c r="O575" s="66" t="str">
        <f t="shared" ca="1" si="34"/>
        <v>SI</v>
      </c>
      <c r="P575" s="66" t="str">
        <f t="shared" si="32"/>
        <v>DIANOSOL</v>
      </c>
      <c r="Q575" s="66" t="s">
        <v>151</v>
      </c>
      <c r="R575" s="66" t="str">
        <f>VLOOKUP($Q575,Resultados!$A$1:$B$49,2,FALSE)</f>
        <v>Prisión Preventiva</v>
      </c>
      <c r="S575" s="66" t="s">
        <v>1391</v>
      </c>
      <c r="T575" s="75" t="str">
        <f t="shared" si="35"/>
        <v>NO</v>
      </c>
      <c r="U575" s="75"/>
      <c r="V575" s="66"/>
      <c r="W575" s="66" t="s">
        <v>1015</v>
      </c>
      <c r="X575" s="66"/>
      <c r="Y575" s="66"/>
      <c r="Z575" s="121" t="s">
        <v>748</v>
      </c>
      <c r="AA575" s="121" t="s">
        <v>743</v>
      </c>
      <c r="AB575" s="121" t="s">
        <v>1175</v>
      </c>
      <c r="AC575" s="361"/>
    </row>
    <row r="576" spans="1:29" ht="106.5" customHeight="1" x14ac:dyDescent="0.2">
      <c r="A576" s="66">
        <v>540</v>
      </c>
      <c r="B576" s="68">
        <v>45161</v>
      </c>
      <c r="C576" s="73">
        <v>0.48680555555555555</v>
      </c>
      <c r="D576" s="66" t="s">
        <v>2443</v>
      </c>
      <c r="E576" s="67" t="s">
        <v>2444</v>
      </c>
      <c r="F576" s="66">
        <v>7</v>
      </c>
      <c r="G576" s="66" t="s">
        <v>29</v>
      </c>
      <c r="H576" s="68">
        <v>45180</v>
      </c>
      <c r="I576" s="68" t="s">
        <v>73</v>
      </c>
      <c r="J576" s="68" t="s">
        <v>31</v>
      </c>
      <c r="K576" s="66">
        <f>IFERROR(VLOOKUP(J576,Jueces!$A$1:$B$11,2,FALSE),"")</f>
        <v>2</v>
      </c>
      <c r="L576" s="66" t="s">
        <v>2094</v>
      </c>
      <c r="M576" s="66" t="s">
        <v>723</v>
      </c>
      <c r="N576" s="66" t="s">
        <v>577</v>
      </c>
      <c r="O576" s="66" t="str">
        <f t="shared" ca="1" si="34"/>
        <v>SI</v>
      </c>
      <c r="P576" s="66" t="str">
        <f t="shared" si="32"/>
        <v>DIANOSOL</v>
      </c>
      <c r="Q576" s="66" t="s">
        <v>151</v>
      </c>
      <c r="R576" s="66" t="str">
        <f>VLOOKUP($Q576,Resultados!$A$1:$B$49,2,FALSE)</f>
        <v>Prisión Preventiva</v>
      </c>
      <c r="S576" s="66" t="s">
        <v>1237</v>
      </c>
      <c r="T576" s="75" t="str">
        <f t="shared" si="35"/>
        <v>NO</v>
      </c>
      <c r="U576" s="75"/>
      <c r="V576" s="66"/>
      <c r="W576" s="66" t="s">
        <v>1234</v>
      </c>
      <c r="X576" s="66"/>
      <c r="Y576" s="66"/>
      <c r="Z576" s="121" t="s">
        <v>743</v>
      </c>
      <c r="AA576" s="121" t="s">
        <v>1171</v>
      </c>
      <c r="AB576" s="121" t="s">
        <v>1177</v>
      </c>
      <c r="AC576" s="361"/>
    </row>
    <row r="577" spans="1:29" ht="39.950000000000003" customHeight="1" x14ac:dyDescent="0.2">
      <c r="A577" s="66">
        <v>568</v>
      </c>
      <c r="B577" s="68">
        <v>45168</v>
      </c>
      <c r="C577" s="73">
        <v>0.33333333333333331</v>
      </c>
      <c r="D577" s="66" t="s">
        <v>2523</v>
      </c>
      <c r="E577" s="67" t="s">
        <v>2524</v>
      </c>
      <c r="F577" s="66">
        <v>7</v>
      </c>
      <c r="G577" s="66" t="s">
        <v>1441</v>
      </c>
      <c r="H577" s="68">
        <v>45180</v>
      </c>
      <c r="I577" s="68" t="s">
        <v>73</v>
      </c>
      <c r="J577" s="68" t="s">
        <v>35</v>
      </c>
      <c r="K577" s="66">
        <f>IFERROR(VLOOKUP(J577,Jueces!$A$1:$B$11,2,FALSE),"")</f>
        <v>3</v>
      </c>
      <c r="L577" s="66" t="s">
        <v>582</v>
      </c>
      <c r="M577" s="66" t="s">
        <v>697</v>
      </c>
      <c r="N577" s="66" t="s">
        <v>913</v>
      </c>
      <c r="O577" s="66" t="str">
        <f t="shared" ca="1" si="34"/>
        <v>SI</v>
      </c>
      <c r="P577" s="66" t="str">
        <f t="shared" si="32"/>
        <v>DIANOSOL</v>
      </c>
      <c r="Q577" s="66" t="s">
        <v>913</v>
      </c>
      <c r="R577" s="66" t="str">
        <f>VLOOKUP($Q577,Resultados!$A$1:$B$49,2,FALSE)</f>
        <v>Prision domiciliaria</v>
      </c>
      <c r="S577" s="66" t="s">
        <v>1612</v>
      </c>
      <c r="T577" s="75" t="str">
        <f t="shared" si="35"/>
        <v>NO</v>
      </c>
      <c r="U577" s="75"/>
      <c r="V577" s="66"/>
      <c r="W577" s="66" t="s">
        <v>2710</v>
      </c>
      <c r="X577" s="66"/>
      <c r="Y577" s="66"/>
      <c r="Z577" s="121" t="s">
        <v>770</v>
      </c>
      <c r="AA577" s="121" t="s">
        <v>743</v>
      </c>
      <c r="AB577" s="121" t="s">
        <v>1176</v>
      </c>
      <c r="AC577" s="361"/>
    </row>
    <row r="578" spans="1:29" ht="39.950000000000003" customHeight="1" x14ac:dyDescent="0.2">
      <c r="A578" s="66">
        <v>575</v>
      </c>
      <c r="B578" s="68">
        <v>45168</v>
      </c>
      <c r="C578" s="73">
        <v>0.4826388888888889</v>
      </c>
      <c r="D578" s="66" t="s">
        <v>2535</v>
      </c>
      <c r="E578" s="67" t="s">
        <v>2536</v>
      </c>
      <c r="F578" s="66">
        <v>1</v>
      </c>
      <c r="G578" s="66" t="s">
        <v>283</v>
      </c>
      <c r="H578" s="68">
        <v>45180</v>
      </c>
      <c r="I578" s="68" t="s">
        <v>73</v>
      </c>
      <c r="J578" s="68" t="s">
        <v>1220</v>
      </c>
      <c r="K578" s="66" t="s">
        <v>1491</v>
      </c>
      <c r="L578" s="66" t="s">
        <v>791</v>
      </c>
      <c r="M578" s="66" t="s">
        <v>725</v>
      </c>
      <c r="N578" s="66" t="s">
        <v>2708</v>
      </c>
      <c r="O578" s="66" t="str">
        <f t="shared" ca="1" si="34"/>
        <v>SI</v>
      </c>
      <c r="P578" s="66" t="str">
        <f t="shared" si="32"/>
        <v>DIANOSOL</v>
      </c>
      <c r="Q578" s="66" t="s">
        <v>905</v>
      </c>
      <c r="R578" s="66" t="str">
        <f>VLOOKUP($Q578,Resultados!$A$1:$B$49,2,FALSE)</f>
        <v>Juicio Abreviado</v>
      </c>
      <c r="S578" s="66" t="s">
        <v>2685</v>
      </c>
      <c r="T578" s="75" t="str">
        <f t="shared" si="35"/>
        <v>NO</v>
      </c>
      <c r="U578" s="75"/>
      <c r="V578" s="66"/>
      <c r="W578" s="66" t="s">
        <v>1276</v>
      </c>
      <c r="X578" s="66" t="s">
        <v>2709</v>
      </c>
      <c r="Y578" s="66"/>
      <c r="Z578" s="121" t="s">
        <v>2449</v>
      </c>
      <c r="AA578" s="121" t="s">
        <v>1171</v>
      </c>
      <c r="AB578" s="121" t="s">
        <v>1174</v>
      </c>
      <c r="AC578" s="361"/>
    </row>
    <row r="579" spans="1:29" ht="39.950000000000003" customHeight="1" x14ac:dyDescent="0.2">
      <c r="A579" s="66">
        <v>585</v>
      </c>
      <c r="B579" s="68">
        <v>45170</v>
      </c>
      <c r="C579" s="73">
        <v>0.46180555555555558</v>
      </c>
      <c r="D579" s="66" t="s">
        <v>2582</v>
      </c>
      <c r="E579" s="67" t="s">
        <v>2583</v>
      </c>
      <c r="F579" s="66">
        <v>6</v>
      </c>
      <c r="G579" s="66" t="s">
        <v>1442</v>
      </c>
      <c r="H579" s="68">
        <v>45180</v>
      </c>
      <c r="I579" s="68" t="s">
        <v>73</v>
      </c>
      <c r="J579" s="68" t="s">
        <v>1221</v>
      </c>
      <c r="K579" s="66">
        <f>IFERROR(VLOOKUP(J579,Jueces!$A$1:$B$11,2,FALSE),"")</f>
        <v>7</v>
      </c>
      <c r="L579" s="66" t="s">
        <v>1306</v>
      </c>
      <c r="M579" s="66" t="s">
        <v>2125</v>
      </c>
      <c r="N579" s="66" t="s">
        <v>577</v>
      </c>
      <c r="O579" s="66" t="str">
        <f t="shared" ca="1" si="34"/>
        <v>SI</v>
      </c>
      <c r="P579" s="66" t="str">
        <f t="shared" ref="P579:P642" si="36">IF($P$1=H579,"DIASOL", "DIANOSOL")</f>
        <v>DIANOSOL</v>
      </c>
      <c r="Q579" s="66" t="s">
        <v>151</v>
      </c>
      <c r="R579" s="66" t="str">
        <f>VLOOKUP($Q579,Resultados!$A$1:$B$49,2,FALSE)</f>
        <v>Prisión Preventiva</v>
      </c>
      <c r="S579" s="66" t="s">
        <v>2707</v>
      </c>
      <c r="T579" s="75" t="str">
        <f t="shared" si="35"/>
        <v>SI</v>
      </c>
      <c r="U579" s="75"/>
      <c r="V579" s="66"/>
      <c r="W579" s="66" t="s">
        <v>1396</v>
      </c>
      <c r="X579" s="66" t="s">
        <v>2382</v>
      </c>
      <c r="Y579" s="66"/>
      <c r="Z579" s="121" t="s">
        <v>1041</v>
      </c>
      <c r="AA579" s="121" t="s">
        <v>1171</v>
      </c>
      <c r="AB579" s="121" t="s">
        <v>1173</v>
      </c>
      <c r="AC579" s="361"/>
    </row>
    <row r="580" spans="1:29" ht="39.950000000000003" customHeight="1" x14ac:dyDescent="0.2">
      <c r="A580" s="66">
        <v>586</v>
      </c>
      <c r="B580" s="68">
        <v>45170</v>
      </c>
      <c r="C580" s="73">
        <v>0.49583333333333335</v>
      </c>
      <c r="D580" s="66" t="s">
        <v>2584</v>
      </c>
      <c r="E580" s="67" t="s">
        <v>2585</v>
      </c>
      <c r="F580" s="66">
        <v>6</v>
      </c>
      <c r="G580" s="66" t="s">
        <v>568</v>
      </c>
      <c r="H580" s="68">
        <v>45180</v>
      </c>
      <c r="I580" s="68" t="s">
        <v>73</v>
      </c>
      <c r="J580" s="68" t="s">
        <v>1222</v>
      </c>
      <c r="K580" s="66" t="s">
        <v>1925</v>
      </c>
      <c r="L580" s="66" t="s">
        <v>2090</v>
      </c>
      <c r="M580" s="66" t="s">
        <v>2598</v>
      </c>
      <c r="N580" s="66" t="s">
        <v>2704</v>
      </c>
      <c r="O580" s="66" t="str">
        <f t="shared" ca="1" si="34"/>
        <v>SI</v>
      </c>
      <c r="P580" s="66" t="str">
        <f t="shared" si="36"/>
        <v>DIANOSOL</v>
      </c>
      <c r="Q580" s="66" t="s">
        <v>905</v>
      </c>
      <c r="R580" s="66" t="str">
        <f>VLOOKUP($Q580,Resultados!$A$1:$B$49,2,FALSE)</f>
        <v>Juicio Abreviado</v>
      </c>
      <c r="S580" s="73">
        <v>0.3444444444444445</v>
      </c>
      <c r="T580" s="75" t="str">
        <f t="shared" si="35"/>
        <v>NO</v>
      </c>
      <c r="U580" s="75"/>
      <c r="V580" s="66"/>
      <c r="W580" s="66" t="s">
        <v>1532</v>
      </c>
      <c r="X580" s="66"/>
      <c r="Y580" s="66"/>
      <c r="Z580" s="121" t="s">
        <v>1042</v>
      </c>
      <c r="AA580" s="121" t="s">
        <v>1169</v>
      </c>
      <c r="AB580" s="121" t="s">
        <v>1175</v>
      </c>
      <c r="AC580" s="361"/>
    </row>
    <row r="581" spans="1:29" ht="39.950000000000003" customHeight="1" x14ac:dyDescent="0.2">
      <c r="A581" s="66">
        <v>572</v>
      </c>
      <c r="B581" s="68">
        <v>45168</v>
      </c>
      <c r="C581" s="73">
        <v>0.37083333333333335</v>
      </c>
      <c r="D581" s="66" t="s">
        <v>2529</v>
      </c>
      <c r="E581" s="67" t="s">
        <v>2530</v>
      </c>
      <c r="F581" s="66">
        <v>7</v>
      </c>
      <c r="G581" s="66" t="s">
        <v>43</v>
      </c>
      <c r="H581" s="68">
        <v>45180</v>
      </c>
      <c r="I581" s="68" t="s">
        <v>1086</v>
      </c>
      <c r="J581" s="68" t="s">
        <v>33</v>
      </c>
      <c r="K581" s="66">
        <f>IFERROR(VLOOKUP(J581,Jueces!$A$1:$B$11,2,FALSE),"")</f>
        <v>4</v>
      </c>
      <c r="L581" s="66" t="s">
        <v>807</v>
      </c>
      <c r="M581" s="66" t="s">
        <v>767</v>
      </c>
      <c r="N581" s="66" t="s">
        <v>2706</v>
      </c>
      <c r="O581" s="66" t="str">
        <f t="shared" ca="1" si="34"/>
        <v>SI</v>
      </c>
      <c r="P581" s="66" t="str">
        <f t="shared" si="36"/>
        <v>DIANOSOL</v>
      </c>
      <c r="Q581" s="66" t="s">
        <v>904</v>
      </c>
      <c r="R581" s="66" t="str">
        <f>VLOOKUP($Q581,Resultados!$A$1:$B$49,2,FALSE)</f>
        <v>Juicio Abreviado</v>
      </c>
      <c r="S581" s="66" t="s">
        <v>1050</v>
      </c>
      <c r="T581" s="75" t="str">
        <f t="shared" si="35"/>
        <v>NO</v>
      </c>
      <c r="U581" s="75"/>
      <c r="V581" s="66"/>
      <c r="W581" s="66" t="s">
        <v>2617</v>
      </c>
      <c r="X581" s="66"/>
      <c r="Y581" s="66"/>
      <c r="Z581" s="121" t="s">
        <v>748</v>
      </c>
      <c r="AA581" s="121" t="s">
        <v>1169</v>
      </c>
      <c r="AB581" s="121" t="s">
        <v>1177</v>
      </c>
      <c r="AC581" s="361"/>
    </row>
    <row r="582" spans="1:29" ht="39.950000000000003" customHeight="1" x14ac:dyDescent="0.2">
      <c r="A582" s="66">
        <v>587</v>
      </c>
      <c r="B582" s="68">
        <v>45173</v>
      </c>
      <c r="C582" s="66" t="s">
        <v>1445</v>
      </c>
      <c r="D582" s="66" t="s">
        <v>2594</v>
      </c>
      <c r="E582" s="67" t="s">
        <v>2727</v>
      </c>
      <c r="F582" s="66">
        <v>8</v>
      </c>
      <c r="G582" s="66" t="s">
        <v>283</v>
      </c>
      <c r="H582" s="68">
        <v>45181</v>
      </c>
      <c r="I582" s="68" t="s">
        <v>73</v>
      </c>
      <c r="J582" s="68" t="s">
        <v>1222</v>
      </c>
      <c r="K582" s="66" t="s">
        <v>1326</v>
      </c>
      <c r="L582" s="66" t="s">
        <v>809</v>
      </c>
      <c r="M582" s="66" t="s">
        <v>767</v>
      </c>
      <c r="N582" s="66" t="s">
        <v>2743</v>
      </c>
      <c r="O582" s="66" t="str">
        <f t="shared" ca="1" si="34"/>
        <v>SI</v>
      </c>
      <c r="P582" s="66" t="str">
        <f t="shared" si="36"/>
        <v>DIANOSOL</v>
      </c>
      <c r="Q582" s="66" t="s">
        <v>151</v>
      </c>
      <c r="R582" s="66" t="str">
        <f>VLOOKUP($Q582,Resultados!$A$1:$B$49,2,FALSE)</f>
        <v>Prisión Preventiva</v>
      </c>
      <c r="S582" s="73">
        <v>0.3527777777777778</v>
      </c>
      <c r="T582" s="75" t="str">
        <f t="shared" si="35"/>
        <v>NO</v>
      </c>
      <c r="U582" s="75"/>
      <c r="V582" s="66"/>
      <c r="W582" s="73">
        <v>0.36319444444444443</v>
      </c>
      <c r="X582" s="66"/>
      <c r="Y582" s="66"/>
      <c r="Z582" s="121" t="s">
        <v>748</v>
      </c>
      <c r="AA582" s="121" t="s">
        <v>743</v>
      </c>
      <c r="AB582" s="121" t="s">
        <v>1173</v>
      </c>
      <c r="AC582" s="361"/>
    </row>
    <row r="583" spans="1:29" ht="39.950000000000003" customHeight="1" x14ac:dyDescent="0.2">
      <c r="A583" s="66">
        <v>590</v>
      </c>
      <c r="B583" s="68">
        <v>45173</v>
      </c>
      <c r="C583" s="73">
        <v>0.48125000000000001</v>
      </c>
      <c r="D583" s="66" t="s">
        <v>2601</v>
      </c>
      <c r="E583" s="67" t="s">
        <v>2602</v>
      </c>
      <c r="F583" s="66">
        <v>7</v>
      </c>
      <c r="G583" s="66" t="s">
        <v>43</v>
      </c>
      <c r="H583" s="68">
        <v>45181</v>
      </c>
      <c r="I583" s="68" t="s">
        <v>73</v>
      </c>
      <c r="J583" s="68" t="s">
        <v>31</v>
      </c>
      <c r="K583" s="66">
        <f>IFERROR(VLOOKUP(J583,Jueces!$A$1:$B$11,2,FALSE),"")</f>
        <v>2</v>
      </c>
      <c r="L583" s="66" t="s">
        <v>796</v>
      </c>
      <c r="M583" s="66" t="s">
        <v>725</v>
      </c>
      <c r="N583" s="66" t="s">
        <v>2738</v>
      </c>
      <c r="O583" s="66" t="str">
        <f t="shared" ca="1" si="34"/>
        <v>SI</v>
      </c>
      <c r="P583" s="66" t="str">
        <f t="shared" si="36"/>
        <v>DIANOSOL</v>
      </c>
      <c r="Q583" s="66" t="s">
        <v>151</v>
      </c>
      <c r="R583" s="66" t="str">
        <f>VLOOKUP($Q583,Resultados!$A$1:$B$49,2,FALSE)</f>
        <v>Prisión Preventiva</v>
      </c>
      <c r="S583" s="73">
        <v>0.3520833333333333</v>
      </c>
      <c r="T583" s="75" t="str">
        <f t="shared" si="35"/>
        <v>NO</v>
      </c>
      <c r="U583" s="75"/>
      <c r="V583" s="66"/>
      <c r="W583" s="73">
        <v>0.36388888888888887</v>
      </c>
      <c r="X583" s="66"/>
      <c r="Y583" s="66"/>
      <c r="Z583" s="121" t="s">
        <v>743</v>
      </c>
      <c r="AA583" s="121" t="s">
        <v>1171</v>
      </c>
      <c r="AB583" s="121" t="s">
        <v>1177</v>
      </c>
      <c r="AC583" s="361"/>
    </row>
    <row r="584" spans="1:29" ht="39.950000000000003" customHeight="1" x14ac:dyDescent="0.2">
      <c r="A584" s="66">
        <v>591</v>
      </c>
      <c r="B584" s="68">
        <v>45173</v>
      </c>
      <c r="C584" s="73">
        <v>0.49513888888888885</v>
      </c>
      <c r="D584" s="66" t="s">
        <v>2603</v>
      </c>
      <c r="E584" s="67" t="s">
        <v>2604</v>
      </c>
      <c r="F584" s="66">
        <v>7</v>
      </c>
      <c r="G584" s="66" t="s">
        <v>1443</v>
      </c>
      <c r="H584" s="68">
        <v>45181</v>
      </c>
      <c r="I584" s="68" t="s">
        <v>73</v>
      </c>
      <c r="J584" s="68" t="s">
        <v>1221</v>
      </c>
      <c r="K584" s="66">
        <f>IFERROR(VLOOKUP(J584,Jueces!$A$1:$B$11,2,FALSE),"")</f>
        <v>7</v>
      </c>
      <c r="L584" s="66" t="s">
        <v>2737</v>
      </c>
      <c r="M584" s="66" t="s">
        <v>723</v>
      </c>
      <c r="N584" s="210" t="s">
        <v>2736</v>
      </c>
      <c r="O584" s="66" t="str">
        <f t="shared" ca="1" si="34"/>
        <v>SI</v>
      </c>
      <c r="P584" s="66" t="str">
        <f t="shared" si="36"/>
        <v>DIANOSOL</v>
      </c>
      <c r="Q584" s="66" t="s">
        <v>904</v>
      </c>
      <c r="R584" s="66" t="str">
        <f>VLOOKUP($Q584,Resultados!$A$1:$B$49,2,FALSE)</f>
        <v>Juicio Abreviado</v>
      </c>
      <c r="S584" s="73">
        <v>0.35000000000000003</v>
      </c>
      <c r="T584" s="75" t="str">
        <f t="shared" si="35"/>
        <v>NO</v>
      </c>
      <c r="U584" s="75"/>
      <c r="V584" s="66"/>
      <c r="W584" s="73">
        <v>0.35902777777777778</v>
      </c>
      <c r="X584" s="66" t="s">
        <v>1766</v>
      </c>
      <c r="Y584" s="66"/>
      <c r="Z584" s="121" t="s">
        <v>1041</v>
      </c>
      <c r="AA584" s="121" t="s">
        <v>743</v>
      </c>
      <c r="AB584" s="121" t="s">
        <v>1174</v>
      </c>
      <c r="AC584" s="361"/>
    </row>
    <row r="585" spans="1:29" ht="39.950000000000003" customHeight="1" x14ac:dyDescent="0.2">
      <c r="A585" s="66">
        <v>589</v>
      </c>
      <c r="B585" s="68">
        <v>45173</v>
      </c>
      <c r="C585" s="73">
        <v>0.53125</v>
      </c>
      <c r="D585" s="66" t="s">
        <v>2599</v>
      </c>
      <c r="E585" s="67" t="s">
        <v>2600</v>
      </c>
      <c r="F585" s="66">
        <v>7</v>
      </c>
      <c r="G585" s="66" t="s">
        <v>568</v>
      </c>
      <c r="H585" s="68">
        <v>45181</v>
      </c>
      <c r="I585" s="68" t="s">
        <v>1086</v>
      </c>
      <c r="J585" s="68" t="s">
        <v>33</v>
      </c>
      <c r="K585" s="66">
        <f>IFERROR(VLOOKUP(J585,Jueces!$A$1:$B$11,2,FALSE),"")</f>
        <v>4</v>
      </c>
      <c r="L585" s="66" t="s">
        <v>801</v>
      </c>
      <c r="M585" s="66" t="s">
        <v>2568</v>
      </c>
      <c r="N585" s="66" t="s">
        <v>3035</v>
      </c>
      <c r="O585" s="66" t="str">
        <f t="shared" ca="1" si="34"/>
        <v>SI</v>
      </c>
      <c r="P585" s="66" t="str">
        <f t="shared" si="36"/>
        <v>DIANOSOL</v>
      </c>
      <c r="Q585" s="66" t="s">
        <v>151</v>
      </c>
      <c r="R585" s="66" t="str">
        <f>VLOOKUP($Q585,Resultados!$A$1:$B$49,2,FALSE)</f>
        <v>Prisión Preventiva</v>
      </c>
      <c r="S585" s="73">
        <v>0.375</v>
      </c>
      <c r="T585" s="75" t="str">
        <f t="shared" si="35"/>
        <v>NO</v>
      </c>
      <c r="U585" s="75"/>
      <c r="V585" s="66"/>
      <c r="W585" s="73">
        <v>0.39930555555555558</v>
      </c>
      <c r="X585" s="66"/>
      <c r="Y585" s="66"/>
      <c r="Z585" s="121" t="s">
        <v>1042</v>
      </c>
      <c r="AA585" s="75" t="s">
        <v>1169</v>
      </c>
      <c r="AB585" s="121" t="s">
        <v>1177</v>
      </c>
      <c r="AC585" s="361"/>
    </row>
    <row r="586" spans="1:29" ht="39.950000000000003" customHeight="1" x14ac:dyDescent="0.2">
      <c r="A586" s="66">
        <v>594</v>
      </c>
      <c r="B586" s="68">
        <v>45174</v>
      </c>
      <c r="C586" s="73">
        <v>0.40625</v>
      </c>
      <c r="D586" s="66" t="s">
        <v>2609</v>
      </c>
      <c r="E586" s="67" t="s">
        <v>2610</v>
      </c>
      <c r="F586" s="66">
        <v>7</v>
      </c>
      <c r="G586" s="66" t="s">
        <v>1441</v>
      </c>
      <c r="H586" s="68">
        <v>45181</v>
      </c>
      <c r="I586" s="68" t="s">
        <v>1086</v>
      </c>
      <c r="J586" s="68" t="s">
        <v>35</v>
      </c>
      <c r="K586" s="66">
        <f>IFERROR(VLOOKUP(J586,Jueces!$A$1:$B$11,2,FALSE),"")</f>
        <v>3</v>
      </c>
      <c r="L586" s="66" t="s">
        <v>813</v>
      </c>
      <c r="M586" s="66" t="s">
        <v>723</v>
      </c>
      <c r="N586" s="66" t="s">
        <v>2748</v>
      </c>
      <c r="O586" s="66" t="str">
        <f t="shared" ca="1" si="34"/>
        <v>SI</v>
      </c>
      <c r="P586" s="66" t="str">
        <f t="shared" si="36"/>
        <v>DIANOSOL</v>
      </c>
      <c r="Q586" s="66" t="s">
        <v>899</v>
      </c>
      <c r="R586" s="66" t="str">
        <f>VLOOKUP($Q586,Resultados!$A$1:$B$49,2,FALSE)</f>
        <v>Libertad</v>
      </c>
      <c r="S586" s="73">
        <v>0.37708333333333338</v>
      </c>
      <c r="T586" s="75" t="str">
        <f t="shared" si="35"/>
        <v>NO</v>
      </c>
      <c r="U586" s="75"/>
      <c r="V586" s="66"/>
      <c r="W586" s="73">
        <v>0.38958333333333334</v>
      </c>
      <c r="X586" s="268" t="s">
        <v>2747</v>
      </c>
      <c r="Y586" s="66"/>
      <c r="Z586" s="121" t="s">
        <v>748</v>
      </c>
      <c r="AA586" s="121" t="s">
        <v>1171</v>
      </c>
      <c r="AB586" s="121" t="s">
        <v>1173</v>
      </c>
      <c r="AC586" s="361"/>
    </row>
    <row r="587" spans="1:29" ht="39.950000000000003" customHeight="1" x14ac:dyDescent="0.2">
      <c r="A587" s="66">
        <v>579</v>
      </c>
      <c r="B587" s="68">
        <v>45169</v>
      </c>
      <c r="C587" s="73">
        <v>0.53263888888888888</v>
      </c>
      <c r="D587" s="66" t="s">
        <v>2564</v>
      </c>
      <c r="E587" s="67" t="s">
        <v>2565</v>
      </c>
      <c r="F587" s="66">
        <v>7</v>
      </c>
      <c r="G587" s="66" t="s">
        <v>1442</v>
      </c>
      <c r="H587" s="68">
        <v>45187</v>
      </c>
      <c r="I587" s="68" t="s">
        <v>73</v>
      </c>
      <c r="J587" s="68" t="s">
        <v>31</v>
      </c>
      <c r="K587" s="66">
        <f>IFERROR(VLOOKUP(J587,Jueces!$A$1:$B$11,2,FALSE),"")</f>
        <v>2</v>
      </c>
      <c r="L587" s="66" t="s">
        <v>814</v>
      </c>
      <c r="M587" s="66" t="s">
        <v>2219</v>
      </c>
      <c r="N587" s="66" t="s">
        <v>2793</v>
      </c>
      <c r="O587" s="66" t="str">
        <f t="shared" ca="1" si="34"/>
        <v>SI</v>
      </c>
      <c r="P587" s="66" t="str">
        <f t="shared" si="36"/>
        <v>DIANOSOL</v>
      </c>
      <c r="Q587" s="66" t="s">
        <v>905</v>
      </c>
      <c r="R587" s="66" t="str">
        <f>VLOOKUP($Q587,Resultados!$A$1:$B$49,2,FALSE)</f>
        <v>Juicio Abreviado</v>
      </c>
      <c r="S587" s="73">
        <v>0.48055555555555557</v>
      </c>
      <c r="T587" s="75" t="str">
        <f t="shared" si="35"/>
        <v>SI</v>
      </c>
      <c r="U587" s="75"/>
      <c r="V587" s="66"/>
      <c r="W587" s="73">
        <v>0.48819444444444443</v>
      </c>
      <c r="X587" s="66"/>
      <c r="Y587" s="66"/>
      <c r="Z587" s="121" t="s">
        <v>743</v>
      </c>
      <c r="AA587" s="121" t="s">
        <v>1169</v>
      </c>
      <c r="AB587" s="121" t="s">
        <v>1175</v>
      </c>
      <c r="AC587" s="361"/>
    </row>
    <row r="588" spans="1:29" ht="39.950000000000003" customHeight="1" x14ac:dyDescent="0.2">
      <c r="A588" s="66">
        <v>588</v>
      </c>
      <c r="B588" s="68">
        <v>45173</v>
      </c>
      <c r="C588" s="66" t="s">
        <v>2595</v>
      </c>
      <c r="D588" s="66" t="s">
        <v>2596</v>
      </c>
      <c r="E588" s="67" t="s">
        <v>2597</v>
      </c>
      <c r="F588" s="66">
        <v>7</v>
      </c>
      <c r="G588" s="66" t="s">
        <v>29</v>
      </c>
      <c r="H588" s="68">
        <v>45187</v>
      </c>
      <c r="I588" s="68" t="s">
        <v>73</v>
      </c>
      <c r="J588" s="68" t="s">
        <v>33</v>
      </c>
      <c r="K588" s="66">
        <f>IFERROR(VLOOKUP(J588,Jueces!$A$1:$B$11,2,FALSE),"")</f>
        <v>4</v>
      </c>
      <c r="L588" s="66" t="s">
        <v>806</v>
      </c>
      <c r="M588" s="66" t="s">
        <v>723</v>
      </c>
      <c r="N588" s="66" t="s">
        <v>2795</v>
      </c>
      <c r="O588" s="66" t="str">
        <f t="shared" ca="1" si="34"/>
        <v>SI</v>
      </c>
      <c r="P588" s="66" t="str">
        <f t="shared" si="36"/>
        <v>DIANOSOL</v>
      </c>
      <c r="Q588" s="66" t="s">
        <v>909</v>
      </c>
      <c r="R588" s="66" t="str">
        <f>VLOOKUP($Q588,Resultados!$A$1:$B$49,2,FALSE)</f>
        <v>Suspensión de juicio a prueba</v>
      </c>
      <c r="S588" s="73">
        <v>0.35833333333333334</v>
      </c>
      <c r="T588" s="75" t="str">
        <f t="shared" si="35"/>
        <v>NO</v>
      </c>
      <c r="U588" s="75"/>
      <c r="V588" s="66"/>
      <c r="W588" s="73">
        <v>0.3666666666666667</v>
      </c>
      <c r="X588" s="66"/>
      <c r="Y588" s="66"/>
      <c r="Z588" s="121" t="s">
        <v>748</v>
      </c>
      <c r="AA588" s="121" t="s">
        <v>743</v>
      </c>
      <c r="AB588" s="121" t="s">
        <v>1177</v>
      </c>
      <c r="AC588" s="361"/>
    </row>
    <row r="589" spans="1:29" ht="229.5" x14ac:dyDescent="0.2">
      <c r="A589" s="66">
        <v>595</v>
      </c>
      <c r="B589" s="68">
        <v>45174</v>
      </c>
      <c r="C589" s="73">
        <v>0.40833333333333338</v>
      </c>
      <c r="D589" s="66" t="s">
        <v>2611</v>
      </c>
      <c r="E589" s="67" t="s">
        <v>2635</v>
      </c>
      <c r="F589" s="66">
        <v>7</v>
      </c>
      <c r="G589" s="66" t="s">
        <v>43</v>
      </c>
      <c r="H589" s="68">
        <v>45187</v>
      </c>
      <c r="I589" s="68" t="s">
        <v>73</v>
      </c>
      <c r="J589" s="68" t="s">
        <v>35</v>
      </c>
      <c r="K589" s="66">
        <f>IFERROR(VLOOKUP(J589,Jueces!$A$1:$B$11,2,FALSE),"")</f>
        <v>3</v>
      </c>
      <c r="L589" s="66" t="s">
        <v>811</v>
      </c>
      <c r="M589" s="66" t="s">
        <v>1032</v>
      </c>
      <c r="N589" s="66" t="s">
        <v>2791</v>
      </c>
      <c r="O589" s="66" t="str">
        <f t="shared" ca="1" si="34"/>
        <v>SI</v>
      </c>
      <c r="P589" s="66" t="str">
        <f t="shared" si="36"/>
        <v>DIANOSOL</v>
      </c>
      <c r="Q589" s="66" t="s">
        <v>1512</v>
      </c>
      <c r="R589" s="66" t="str">
        <f>VLOOKUP($Q589,Resultados!$A$1:$B$49,2,FALSE)</f>
        <v>Juicio Abreviado</v>
      </c>
      <c r="S589" s="73">
        <v>0.38125000000000003</v>
      </c>
      <c r="T589" s="75" t="str">
        <f t="shared" si="35"/>
        <v>NO</v>
      </c>
      <c r="U589" s="75"/>
      <c r="V589" s="66"/>
      <c r="W589" s="73">
        <v>0.54513888888888895</v>
      </c>
      <c r="X589" s="385" t="s">
        <v>2792</v>
      </c>
      <c r="Y589" s="66"/>
      <c r="Z589" s="121" t="s">
        <v>770</v>
      </c>
      <c r="AA589" s="121" t="s">
        <v>1171</v>
      </c>
      <c r="AB589" s="121" t="s">
        <v>1176</v>
      </c>
      <c r="AC589" s="361"/>
    </row>
    <row r="590" spans="1:29" ht="39.950000000000003" customHeight="1" x14ac:dyDescent="0.2">
      <c r="A590" s="66">
        <v>603</v>
      </c>
      <c r="B590" s="68">
        <v>45175</v>
      </c>
      <c r="C590" s="66" t="s">
        <v>2646</v>
      </c>
      <c r="D590" s="66" t="s">
        <v>2647</v>
      </c>
      <c r="E590" s="67" t="s">
        <v>2664</v>
      </c>
      <c r="F590" s="66">
        <v>4</v>
      </c>
      <c r="G590" s="66" t="s">
        <v>1443</v>
      </c>
      <c r="H590" s="68">
        <v>45187</v>
      </c>
      <c r="I590" s="68" t="s">
        <v>73</v>
      </c>
      <c r="J590" s="68" t="s">
        <v>1223</v>
      </c>
      <c r="K590" s="66" t="s">
        <v>1346</v>
      </c>
      <c r="L590" s="66" t="s">
        <v>1834</v>
      </c>
      <c r="M590" s="66" t="s">
        <v>2665</v>
      </c>
      <c r="N590" s="66" t="s">
        <v>899</v>
      </c>
      <c r="O590" s="66" t="str">
        <f t="shared" ca="1" si="34"/>
        <v>SI</v>
      </c>
      <c r="P590" s="66" t="str">
        <f t="shared" si="36"/>
        <v>DIANOSOL</v>
      </c>
      <c r="Q590" s="66" t="s">
        <v>899</v>
      </c>
      <c r="R590" s="66" t="str">
        <f>VLOOKUP($Q590,Resultados!$A$1:$B$49,2,FALSE)</f>
        <v>Libertad</v>
      </c>
      <c r="S590" s="73">
        <v>0.34583333333333338</v>
      </c>
      <c r="T590" s="75" t="str">
        <f t="shared" si="35"/>
        <v>NO</v>
      </c>
      <c r="U590" s="75"/>
      <c r="V590" s="66"/>
      <c r="W590" s="73">
        <v>0.38472222222222219</v>
      </c>
      <c r="X590" s="403" t="s">
        <v>2794</v>
      </c>
      <c r="Y590" s="66"/>
      <c r="Z590" s="121" t="s">
        <v>1041</v>
      </c>
      <c r="AA590" s="121" t="s">
        <v>743</v>
      </c>
      <c r="AB590" s="121" t="s">
        <v>1174</v>
      </c>
      <c r="AC590" s="361"/>
    </row>
    <row r="591" spans="1:29" ht="39.950000000000003" customHeight="1" x14ac:dyDescent="0.2">
      <c r="A591" s="66">
        <v>569</v>
      </c>
      <c r="B591" s="68">
        <v>45168</v>
      </c>
      <c r="C591" s="73">
        <v>0.33333333333333331</v>
      </c>
      <c r="D591" s="66" t="s">
        <v>2525</v>
      </c>
      <c r="E591" s="67" t="s">
        <v>2551</v>
      </c>
      <c r="F591" s="66">
        <v>7</v>
      </c>
      <c r="G591" s="66" t="s">
        <v>568</v>
      </c>
      <c r="H591" s="68">
        <v>45188</v>
      </c>
      <c r="I591" s="68" t="s">
        <v>73</v>
      </c>
      <c r="J591" s="68" t="s">
        <v>1221</v>
      </c>
      <c r="K591" s="66">
        <v>7</v>
      </c>
      <c r="L591" s="66" t="s">
        <v>809</v>
      </c>
      <c r="M591" s="66" t="s">
        <v>723</v>
      </c>
      <c r="N591" s="66" t="s">
        <v>2811</v>
      </c>
      <c r="O591" s="66" t="str">
        <f t="shared" ca="1" si="34"/>
        <v>SI</v>
      </c>
      <c r="P591" s="66" t="str">
        <f t="shared" si="36"/>
        <v>DIANOSOL</v>
      </c>
      <c r="Q591" s="66" t="s">
        <v>904</v>
      </c>
      <c r="R591" s="66" t="str">
        <f>VLOOKUP($Q591,Resultados!$A$1:$B$49,2,FALSE)</f>
        <v>Juicio Abreviado</v>
      </c>
      <c r="S591" s="66" t="s">
        <v>2812</v>
      </c>
      <c r="T591" s="75" t="str">
        <f t="shared" si="35"/>
        <v>NO</v>
      </c>
      <c r="U591" s="75"/>
      <c r="V591" s="66"/>
      <c r="W591" s="66" t="s">
        <v>686</v>
      </c>
      <c r="X591" s="66"/>
      <c r="Y591" s="66"/>
      <c r="Z591" s="121" t="s">
        <v>1042</v>
      </c>
      <c r="AA591" s="121" t="s">
        <v>1169</v>
      </c>
      <c r="AB591" s="121" t="s">
        <v>1175</v>
      </c>
      <c r="AC591" s="361"/>
    </row>
    <row r="592" spans="1:29" ht="39.950000000000003" customHeight="1" x14ac:dyDescent="0.2">
      <c r="A592" s="66">
        <v>592</v>
      </c>
      <c r="B592" s="68">
        <v>45174</v>
      </c>
      <c r="C592" s="73">
        <v>0.39999999999999997</v>
      </c>
      <c r="D592" s="66" t="s">
        <v>2608</v>
      </c>
      <c r="E592" s="67" t="s">
        <v>2633</v>
      </c>
      <c r="F592" s="66">
        <v>8</v>
      </c>
      <c r="G592" s="66" t="s">
        <v>29</v>
      </c>
      <c r="H592" s="68">
        <v>45188</v>
      </c>
      <c r="I592" s="68" t="s">
        <v>73</v>
      </c>
      <c r="J592" s="68" t="s">
        <v>35</v>
      </c>
      <c r="K592" s="66">
        <f>IFERROR(VLOOKUP(J592,Jueces!$A$1:$B$11,2,FALSE),"")</f>
        <v>3</v>
      </c>
      <c r="L592" s="66" t="s">
        <v>569</v>
      </c>
      <c r="M592" s="66" t="s">
        <v>767</v>
      </c>
      <c r="N592" s="66" t="s">
        <v>899</v>
      </c>
      <c r="O592" s="66" t="str">
        <f t="shared" ca="1" si="34"/>
        <v>SI</v>
      </c>
      <c r="P592" s="66" t="str">
        <f t="shared" si="36"/>
        <v>DIANOSOL</v>
      </c>
      <c r="Q592" s="66" t="s">
        <v>899</v>
      </c>
      <c r="R592" s="66" t="str">
        <f>VLOOKUP($Q592,Resultados!$A$1:$B$49,2,FALSE)</f>
        <v>Libertad</v>
      </c>
      <c r="S592" s="66" t="s">
        <v>1134</v>
      </c>
      <c r="T592" s="75" t="str">
        <f t="shared" si="35"/>
        <v>NO</v>
      </c>
      <c r="U592" s="75"/>
      <c r="V592" s="66"/>
      <c r="W592" s="66" t="s">
        <v>2060</v>
      </c>
      <c r="X592" s="66"/>
      <c r="Y592" s="66"/>
      <c r="Z592" s="121" t="s">
        <v>748</v>
      </c>
      <c r="AA592" s="121" t="s">
        <v>1171</v>
      </c>
      <c r="AB592" s="121" t="s">
        <v>1177</v>
      </c>
      <c r="AC592" s="361"/>
    </row>
    <row r="593" spans="1:29" ht="39.950000000000003" customHeight="1" x14ac:dyDescent="0.2">
      <c r="A593" s="66">
        <v>596</v>
      </c>
      <c r="B593" s="68">
        <v>45174</v>
      </c>
      <c r="C593" s="73">
        <v>0.40972222222222227</v>
      </c>
      <c r="D593" s="66" t="s">
        <v>2612</v>
      </c>
      <c r="E593" s="67" t="s">
        <v>2650</v>
      </c>
      <c r="F593" s="66">
        <v>8</v>
      </c>
      <c r="G593" s="66" t="s">
        <v>283</v>
      </c>
      <c r="H593" s="68">
        <v>45188</v>
      </c>
      <c r="I593" s="104" t="s">
        <v>73</v>
      </c>
      <c r="J593" s="68" t="s">
        <v>31</v>
      </c>
      <c r="K593" s="66">
        <f>IFERROR(VLOOKUP(J593,Jueces!$A$1:$B$11,2,FALSE),"")</f>
        <v>2</v>
      </c>
      <c r="L593" s="66" t="s">
        <v>812</v>
      </c>
      <c r="M593" s="66" t="s">
        <v>887</v>
      </c>
      <c r="N593" s="66" t="s">
        <v>2813</v>
      </c>
      <c r="O593" s="66" t="str">
        <f t="shared" ca="1" si="34"/>
        <v>SI</v>
      </c>
      <c r="P593" s="66" t="str">
        <f t="shared" si="36"/>
        <v>DIANOSOL</v>
      </c>
      <c r="Q593" s="66" t="s">
        <v>904</v>
      </c>
      <c r="R593" s="66" t="str">
        <f>VLOOKUP($Q593,Resultados!$A$1:$B$49,2,FALSE)</f>
        <v>Juicio Abreviado</v>
      </c>
      <c r="S593" s="66" t="s">
        <v>1034</v>
      </c>
      <c r="T593" s="75" t="str">
        <f t="shared" si="35"/>
        <v>NO</v>
      </c>
      <c r="U593" s="75"/>
      <c r="V593" s="66"/>
      <c r="W593" s="66" t="s">
        <v>1292</v>
      </c>
      <c r="X593" s="66"/>
      <c r="Y593" s="66"/>
      <c r="Z593" s="121" t="s">
        <v>743</v>
      </c>
      <c r="AA593" s="121" t="s">
        <v>743</v>
      </c>
      <c r="AB593" s="121" t="s">
        <v>1173</v>
      </c>
      <c r="AC593" s="361"/>
    </row>
    <row r="594" spans="1:29" ht="39.950000000000003" customHeight="1" x14ac:dyDescent="0.2">
      <c r="A594" s="66">
        <v>584</v>
      </c>
      <c r="B594" s="68">
        <v>45170</v>
      </c>
      <c r="C594" s="73">
        <v>0.41041666666666665</v>
      </c>
      <c r="D594" s="66" t="s">
        <v>2576</v>
      </c>
      <c r="E594" s="67" t="s">
        <v>2577</v>
      </c>
      <c r="F594" s="66">
        <v>7</v>
      </c>
      <c r="G594" s="66" t="s">
        <v>1441</v>
      </c>
      <c r="H594" s="68">
        <v>45188</v>
      </c>
      <c r="I594" s="68" t="s">
        <v>1086</v>
      </c>
      <c r="J594" s="68" t="s">
        <v>1225</v>
      </c>
      <c r="K594" s="66">
        <f>IFERROR(VLOOKUP(J594,Jueces!$A$1:$B$11,2,FALSE),"")</f>
        <v>6</v>
      </c>
      <c r="L594" s="66" t="s">
        <v>813</v>
      </c>
      <c r="M594" s="66" t="s">
        <v>767</v>
      </c>
      <c r="N594" s="66" t="s">
        <v>577</v>
      </c>
      <c r="O594" s="66" t="str">
        <f t="shared" ca="1" si="34"/>
        <v>SI</v>
      </c>
      <c r="P594" s="66" t="str">
        <f t="shared" si="36"/>
        <v>DIANOSOL</v>
      </c>
      <c r="Q594" s="66" t="s">
        <v>151</v>
      </c>
      <c r="R594" s="66" t="str">
        <f>VLOOKUP($Q594,Resultados!$A$1:$B$49,2,FALSE)</f>
        <v>Prisión Preventiva</v>
      </c>
      <c r="S594" s="66" t="s">
        <v>1231</v>
      </c>
      <c r="T594" s="75" t="str">
        <f t="shared" si="35"/>
        <v>NO</v>
      </c>
      <c r="U594" s="75"/>
      <c r="V594" s="66"/>
      <c r="W594" s="66" t="s">
        <v>1009</v>
      </c>
      <c r="X594" s="66" t="s">
        <v>2382</v>
      </c>
      <c r="Y594" s="66"/>
      <c r="Z594" s="121" t="s">
        <v>770</v>
      </c>
      <c r="AA594" s="121" t="s">
        <v>1169</v>
      </c>
      <c r="AB594" s="121" t="s">
        <v>1174</v>
      </c>
      <c r="AC594" s="361"/>
    </row>
    <row r="595" spans="1:29" ht="39.950000000000003" customHeight="1" x14ac:dyDescent="0.2">
      <c r="A595" s="66">
        <v>602</v>
      </c>
      <c r="B595" s="68">
        <v>45175</v>
      </c>
      <c r="C595" s="73">
        <v>0.33333333333333331</v>
      </c>
      <c r="D595" s="66" t="s">
        <v>2642</v>
      </c>
      <c r="E595" s="67" t="s">
        <v>2643</v>
      </c>
      <c r="F595" s="66">
        <v>7</v>
      </c>
      <c r="G595" s="66" t="s">
        <v>43</v>
      </c>
      <c r="H595" s="68">
        <v>45188</v>
      </c>
      <c r="I595" s="68" t="s">
        <v>1210</v>
      </c>
      <c r="J595" s="68" t="s">
        <v>1224</v>
      </c>
      <c r="K595" s="66" t="s">
        <v>1491</v>
      </c>
      <c r="L595" s="66" t="s">
        <v>811</v>
      </c>
      <c r="M595" s="66" t="s">
        <v>767</v>
      </c>
      <c r="N595" s="66" t="s">
        <v>2814</v>
      </c>
      <c r="O595" s="66" t="str">
        <f t="shared" ca="1" si="34"/>
        <v>SI</v>
      </c>
      <c r="P595" s="66" t="str">
        <f t="shared" si="36"/>
        <v>DIANOSOL</v>
      </c>
      <c r="Q595" s="66" t="s">
        <v>904</v>
      </c>
      <c r="R595" s="66" t="str">
        <f>VLOOKUP($Q595,Resultados!$A$1:$B$49,2,FALSE)</f>
        <v>Juicio Abreviado</v>
      </c>
      <c r="S595" s="66" t="s">
        <v>2685</v>
      </c>
      <c r="T595" s="75" t="str">
        <f t="shared" si="35"/>
        <v>NO</v>
      </c>
      <c r="U595" s="75"/>
      <c r="V595" s="66"/>
      <c r="W595" s="66" t="s">
        <v>1126</v>
      </c>
      <c r="X595" s="66"/>
      <c r="Y595" s="66"/>
      <c r="Z595" s="121" t="s">
        <v>1041</v>
      </c>
      <c r="AA595" s="121" t="s">
        <v>1171</v>
      </c>
      <c r="AB595" s="121" t="s">
        <v>1173</v>
      </c>
      <c r="AC595" s="361"/>
    </row>
    <row r="596" spans="1:29" ht="39.950000000000003" customHeight="1" x14ac:dyDescent="0.2">
      <c r="A596" s="66">
        <v>604</v>
      </c>
      <c r="B596" s="68">
        <v>45175</v>
      </c>
      <c r="C596" s="73">
        <v>0.48055555555555557</v>
      </c>
      <c r="D596" s="66" t="s">
        <v>2648</v>
      </c>
      <c r="E596" s="67" t="s">
        <v>2666</v>
      </c>
      <c r="F596" s="66">
        <v>4</v>
      </c>
      <c r="G596" s="66" t="s">
        <v>2775</v>
      </c>
      <c r="H596" s="68">
        <v>45188</v>
      </c>
      <c r="I596" s="68" t="s">
        <v>77</v>
      </c>
      <c r="J596" s="68" t="s">
        <v>1223</v>
      </c>
      <c r="K596" s="66" t="s">
        <v>1520</v>
      </c>
      <c r="L596" s="66" t="s">
        <v>2090</v>
      </c>
      <c r="M596" s="66" t="s">
        <v>2667</v>
      </c>
      <c r="N596" s="66" t="s">
        <v>2822</v>
      </c>
      <c r="O596" s="66" t="str">
        <f t="shared" ca="1" si="34"/>
        <v>SI</v>
      </c>
      <c r="P596" s="66" t="str">
        <f t="shared" si="36"/>
        <v>DIANOSOL</v>
      </c>
      <c r="Q596" s="66" t="s">
        <v>899</v>
      </c>
      <c r="R596" s="66" t="str">
        <f>VLOOKUP($Q596,Resultados!$A$1:$B$49,2,FALSE)</f>
        <v>Libertad</v>
      </c>
      <c r="S596" s="73">
        <v>0.47222222222222227</v>
      </c>
      <c r="T596" s="75" t="str">
        <f t="shared" ref="T596:T627" si="37">IF(G596=$J$1,"SI","NO")</f>
        <v>NO</v>
      </c>
      <c r="U596" s="75"/>
      <c r="V596" s="66"/>
      <c r="W596" s="73">
        <v>0.51111111111111118</v>
      </c>
      <c r="X596" s="6"/>
      <c r="Y596" s="66"/>
      <c r="Z596" s="121" t="s">
        <v>1042</v>
      </c>
      <c r="AA596" s="121" t="s">
        <v>743</v>
      </c>
      <c r="AB596" s="121" t="s">
        <v>1175</v>
      </c>
      <c r="AC596" s="361"/>
    </row>
    <row r="597" spans="1:29" ht="39.950000000000003" customHeight="1" x14ac:dyDescent="0.2">
      <c r="A597" s="66">
        <v>581</v>
      </c>
      <c r="B597" s="68">
        <v>45170</v>
      </c>
      <c r="C597" s="66" t="s">
        <v>1084</v>
      </c>
      <c r="D597" s="66" t="s">
        <v>2572</v>
      </c>
      <c r="E597" s="67" t="s">
        <v>2573</v>
      </c>
      <c r="F597" s="66">
        <v>7</v>
      </c>
      <c r="G597" s="66" t="s">
        <v>1443</v>
      </c>
      <c r="H597" s="68">
        <v>45188</v>
      </c>
      <c r="I597" s="68" t="s">
        <v>228</v>
      </c>
      <c r="J597" s="68" t="s">
        <v>1221</v>
      </c>
      <c r="K597" s="66">
        <f>IFERROR(VLOOKUP(J597,Jueces!$A$1:$B$11,2,FALSE),"")</f>
        <v>7</v>
      </c>
      <c r="L597" s="66" t="s">
        <v>812</v>
      </c>
      <c r="M597" s="66" t="s">
        <v>767</v>
      </c>
      <c r="N597" s="66" t="s">
        <v>2820</v>
      </c>
      <c r="O597" s="66" t="str">
        <f t="shared" ca="1" si="34"/>
        <v>SI</v>
      </c>
      <c r="P597" s="66" t="str">
        <f t="shared" si="36"/>
        <v>DIANOSOL</v>
      </c>
      <c r="Q597" s="66" t="s">
        <v>904</v>
      </c>
      <c r="R597" s="66" t="str">
        <f>VLOOKUP($Q597,Resultados!$A$1:$B$49,2,FALSE)</f>
        <v>Juicio Abreviado</v>
      </c>
      <c r="S597" s="73">
        <v>0.52013888888888882</v>
      </c>
      <c r="T597" s="75" t="str">
        <f t="shared" si="37"/>
        <v>NO</v>
      </c>
      <c r="U597" s="75"/>
      <c r="V597" s="66"/>
      <c r="W597" s="73">
        <v>0.53194444444444444</v>
      </c>
      <c r="X597" s="385" t="s">
        <v>2821</v>
      </c>
      <c r="Y597" s="66"/>
      <c r="Z597" s="121" t="s">
        <v>748</v>
      </c>
      <c r="AA597" s="121" t="s">
        <v>1169</v>
      </c>
      <c r="AB597" s="121" t="s">
        <v>1177</v>
      </c>
      <c r="AC597" s="361"/>
    </row>
    <row r="598" spans="1:29" ht="39.950000000000003" customHeight="1" x14ac:dyDescent="0.2">
      <c r="A598" s="66">
        <v>578</v>
      </c>
      <c r="B598" s="68">
        <v>45169</v>
      </c>
      <c r="C598" s="73">
        <v>0.35902777777777778</v>
      </c>
      <c r="D598" s="66" t="s">
        <v>2558</v>
      </c>
      <c r="E598" s="67" t="s">
        <v>2829</v>
      </c>
      <c r="F598" s="66">
        <v>6</v>
      </c>
      <c r="G598" s="66" t="s">
        <v>1443</v>
      </c>
      <c r="H598" s="68">
        <v>45189</v>
      </c>
      <c r="I598" s="68" t="s">
        <v>73</v>
      </c>
      <c r="J598" s="68" t="s">
        <v>33</v>
      </c>
      <c r="K598" s="66" t="s">
        <v>1346</v>
      </c>
      <c r="L598" s="66" t="s">
        <v>796</v>
      </c>
      <c r="M598" s="66" t="s">
        <v>725</v>
      </c>
      <c r="N598" s="66" t="s">
        <v>2860</v>
      </c>
      <c r="O598" s="66" t="str">
        <f t="shared" ca="1" si="34"/>
        <v>SI</v>
      </c>
      <c r="P598" s="66" t="str">
        <f t="shared" si="36"/>
        <v>DIANOSOL</v>
      </c>
      <c r="Q598" s="66" t="s">
        <v>151</v>
      </c>
      <c r="R598" s="66" t="str">
        <f>VLOOKUP($Q598,Resultados!$A$1:$B$49,2,FALSE)</f>
        <v>Prisión Preventiva</v>
      </c>
      <c r="S598" s="73">
        <v>0.37291666666666662</v>
      </c>
      <c r="T598" s="75" t="str">
        <f t="shared" si="37"/>
        <v>NO</v>
      </c>
      <c r="U598" s="75"/>
      <c r="V598" s="66"/>
      <c r="W598" s="73">
        <v>0.39374999999999999</v>
      </c>
      <c r="X598" s="268" t="s">
        <v>2861</v>
      </c>
      <c r="Y598" s="66"/>
      <c r="Z598" s="121" t="s">
        <v>743</v>
      </c>
      <c r="AA598" s="121" t="s">
        <v>1169</v>
      </c>
      <c r="AB598" s="121" t="s">
        <v>1174</v>
      </c>
      <c r="AC598" s="361"/>
    </row>
    <row r="599" spans="1:29" ht="39.950000000000003" customHeight="1" x14ac:dyDescent="0.2">
      <c r="A599" s="66">
        <v>601</v>
      </c>
      <c r="B599" s="68">
        <v>45175</v>
      </c>
      <c r="C599" s="73">
        <v>0.33333333333333331</v>
      </c>
      <c r="D599" s="66" t="s">
        <v>2641</v>
      </c>
      <c r="E599" s="67" t="s">
        <v>2830</v>
      </c>
      <c r="F599" s="66">
        <v>7</v>
      </c>
      <c r="G599" s="66" t="s">
        <v>568</v>
      </c>
      <c r="H599" s="68">
        <v>45189</v>
      </c>
      <c r="I599" s="68" t="s">
        <v>73</v>
      </c>
      <c r="J599" s="68" t="s">
        <v>78</v>
      </c>
      <c r="K599" s="66">
        <f>IFERROR(VLOOKUP(J599,Jueces!$A$1:$B$11,2,FALSE),"")</f>
        <v>8</v>
      </c>
      <c r="L599" s="66" t="s">
        <v>799</v>
      </c>
      <c r="M599" s="66" t="s">
        <v>723</v>
      </c>
      <c r="N599" s="66" t="s">
        <v>2865</v>
      </c>
      <c r="O599" s="66" t="str">
        <f t="shared" ca="1" si="34"/>
        <v>SI</v>
      </c>
      <c r="P599" s="66" t="str">
        <f t="shared" si="36"/>
        <v>DIANOSOL</v>
      </c>
      <c r="Q599" s="66" t="s">
        <v>905</v>
      </c>
      <c r="R599" s="66" t="str">
        <f>VLOOKUP($Q599,Resultados!$A$1:$B$49,2,FALSE)</f>
        <v>Juicio Abreviado</v>
      </c>
      <c r="S599" s="73">
        <v>0.35555555555555557</v>
      </c>
      <c r="T599" s="75" t="str">
        <f t="shared" si="37"/>
        <v>NO</v>
      </c>
      <c r="U599" s="75"/>
      <c r="V599" s="66"/>
      <c r="W599" s="73">
        <v>0.37013888888888885</v>
      </c>
      <c r="X599" s="385" t="s">
        <v>2866</v>
      </c>
      <c r="Y599" s="66"/>
      <c r="Z599" s="121" t="s">
        <v>770</v>
      </c>
      <c r="AA599" s="121" t="s">
        <v>1169</v>
      </c>
      <c r="AB599" s="121" t="s">
        <v>1173</v>
      </c>
      <c r="AC599" s="361"/>
    </row>
    <row r="600" spans="1:29" ht="39.950000000000003" customHeight="1" x14ac:dyDescent="0.2">
      <c r="A600" s="66">
        <v>606</v>
      </c>
      <c r="B600" s="68">
        <v>45175</v>
      </c>
      <c r="C600" s="73">
        <v>0.56597222222222221</v>
      </c>
      <c r="D600" s="66" t="s">
        <v>2651</v>
      </c>
      <c r="E600" s="67" t="s">
        <v>2831</v>
      </c>
      <c r="F600" s="66">
        <v>8</v>
      </c>
      <c r="G600" s="66" t="s">
        <v>2773</v>
      </c>
      <c r="H600" s="68">
        <v>45189</v>
      </c>
      <c r="I600" s="68" t="s">
        <v>73</v>
      </c>
      <c r="J600" s="68" t="s">
        <v>1223</v>
      </c>
      <c r="K600" s="66" t="s">
        <v>1326</v>
      </c>
      <c r="L600" s="66" t="s">
        <v>1414</v>
      </c>
      <c r="M600" s="66" t="s">
        <v>1031</v>
      </c>
      <c r="N600" s="66" t="s">
        <v>2864</v>
      </c>
      <c r="O600" s="66" t="str">
        <f t="shared" ca="1" si="34"/>
        <v>SI</v>
      </c>
      <c r="P600" s="66" t="str">
        <f t="shared" si="36"/>
        <v>DIANOSOL</v>
      </c>
      <c r="Q600" s="66" t="s">
        <v>904</v>
      </c>
      <c r="R600" s="66" t="str">
        <f>VLOOKUP($Q600,Resultados!$A$1:$B$49,2,FALSE)</f>
        <v>Juicio Abreviado</v>
      </c>
      <c r="S600" s="73">
        <v>0.36944444444444446</v>
      </c>
      <c r="T600" s="75" t="str">
        <f t="shared" si="37"/>
        <v>NO</v>
      </c>
      <c r="U600" s="75"/>
      <c r="V600" s="66"/>
      <c r="W600" s="73">
        <v>0.38611111111111113</v>
      </c>
      <c r="X600" s="66"/>
      <c r="Y600" s="66"/>
      <c r="Z600" s="121" t="s">
        <v>1041</v>
      </c>
      <c r="AA600" s="121" t="s">
        <v>2799</v>
      </c>
      <c r="AB600" s="121" t="s">
        <v>1175</v>
      </c>
      <c r="AC600" s="361"/>
    </row>
    <row r="601" spans="1:29" ht="39.950000000000003" customHeight="1" x14ac:dyDescent="0.2">
      <c r="A601" s="66">
        <v>617</v>
      </c>
      <c r="B601" s="68">
        <v>45177</v>
      </c>
      <c r="C601" s="73">
        <v>0.5180555555555556</v>
      </c>
      <c r="D601" s="66" t="s">
        <v>2697</v>
      </c>
      <c r="E601" s="67" t="s">
        <v>2832</v>
      </c>
      <c r="F601" s="66">
        <v>6</v>
      </c>
      <c r="G601" s="66" t="s">
        <v>1441</v>
      </c>
      <c r="H601" s="68">
        <v>45189</v>
      </c>
      <c r="I601" s="68" t="s">
        <v>73</v>
      </c>
      <c r="J601" s="68" t="s">
        <v>31</v>
      </c>
      <c r="K601" s="66">
        <f>IFERROR(VLOOKUP(J601,Jueces!$A$1:$B$11,2,FALSE),"")</f>
        <v>2</v>
      </c>
      <c r="L601" s="66" t="s">
        <v>1306</v>
      </c>
      <c r="M601" s="66" t="s">
        <v>2701</v>
      </c>
      <c r="N601" s="66" t="s">
        <v>2862</v>
      </c>
      <c r="O601" s="66" t="str">
        <f t="shared" ca="1" si="34"/>
        <v>SI</v>
      </c>
      <c r="P601" s="66" t="str">
        <f t="shared" si="36"/>
        <v>DIANOSOL</v>
      </c>
      <c r="Q601" s="66" t="s">
        <v>899</v>
      </c>
      <c r="R601" s="66" t="str">
        <f>VLOOKUP($Q601,Resultados!$A$1:$B$49,2,FALSE)</f>
        <v>Libertad</v>
      </c>
      <c r="S601" s="73">
        <v>0.37152777777777773</v>
      </c>
      <c r="T601" s="75" t="str">
        <f t="shared" si="37"/>
        <v>NO</v>
      </c>
      <c r="U601" s="75"/>
      <c r="V601" s="66"/>
      <c r="W601" s="73">
        <v>0.37916666666666665</v>
      </c>
      <c r="X601" s="385" t="s">
        <v>2863</v>
      </c>
      <c r="Y601" s="66"/>
      <c r="Z601" s="121" t="s">
        <v>1042</v>
      </c>
      <c r="AA601" s="121" t="s">
        <v>1169</v>
      </c>
      <c r="AB601" s="121" t="s">
        <v>1177</v>
      </c>
      <c r="AC601" s="361"/>
    </row>
    <row r="602" spans="1:29" ht="39.950000000000003" customHeight="1" x14ac:dyDescent="0.2">
      <c r="A602" s="66">
        <v>605</v>
      </c>
      <c r="B602" s="68">
        <v>45175</v>
      </c>
      <c r="C602" s="73">
        <v>0.50694444444444442</v>
      </c>
      <c r="D602" s="66" t="s">
        <v>2616</v>
      </c>
      <c r="E602" s="67" t="s">
        <v>2833</v>
      </c>
      <c r="F602" s="66">
        <v>7</v>
      </c>
      <c r="G602" s="66" t="s">
        <v>283</v>
      </c>
      <c r="H602" s="68">
        <v>45189</v>
      </c>
      <c r="I602" s="68" t="s">
        <v>749</v>
      </c>
      <c r="J602" s="68" t="s">
        <v>1225</v>
      </c>
      <c r="K602" s="66">
        <f>IFERROR(VLOOKUP(J602,Jueces!$A$1:$B$11,2,FALSE),"")</f>
        <v>6</v>
      </c>
      <c r="L602" s="66" t="s">
        <v>582</v>
      </c>
      <c r="M602" s="66" t="s">
        <v>767</v>
      </c>
      <c r="N602" s="66" t="s">
        <v>1753</v>
      </c>
      <c r="O602" s="66" t="str">
        <f t="shared" ca="1" si="34"/>
        <v>SI</v>
      </c>
      <c r="P602" s="66" t="str">
        <f t="shared" si="36"/>
        <v>DIANOSOL</v>
      </c>
      <c r="Q602" s="66" t="s">
        <v>151</v>
      </c>
      <c r="R602" s="66" t="str">
        <f>VLOOKUP($Q602,Resultados!$A$1:$B$49,2,FALSE)</f>
        <v>Prisión Preventiva</v>
      </c>
      <c r="S602" s="73">
        <v>0.34861111111111115</v>
      </c>
      <c r="T602" s="75" t="str">
        <f t="shared" si="37"/>
        <v>NO</v>
      </c>
      <c r="U602" s="75"/>
      <c r="V602" s="66"/>
      <c r="W602" s="73">
        <v>0.38194444444444442</v>
      </c>
      <c r="X602" s="385" t="s">
        <v>2859</v>
      </c>
      <c r="Y602" s="66"/>
      <c r="Z602" s="121" t="s">
        <v>748</v>
      </c>
      <c r="AA602" s="121" t="s">
        <v>2799</v>
      </c>
      <c r="AB602" s="121" t="s">
        <v>1174</v>
      </c>
      <c r="AC602" s="361"/>
    </row>
    <row r="603" spans="1:29" ht="39.950000000000003" customHeight="1" x14ac:dyDescent="0.2">
      <c r="A603" s="66">
        <v>599</v>
      </c>
      <c r="B603" s="68">
        <v>45174</v>
      </c>
      <c r="C603" s="73">
        <v>0.47847222222222219</v>
      </c>
      <c r="D603" s="66" t="s">
        <v>2638</v>
      </c>
      <c r="E603" s="67" t="s">
        <v>2834</v>
      </c>
      <c r="F603" s="66">
        <v>8</v>
      </c>
      <c r="G603" s="66" t="s">
        <v>1442</v>
      </c>
      <c r="H603" s="68">
        <v>45189</v>
      </c>
      <c r="I603" s="68" t="s">
        <v>1086</v>
      </c>
      <c r="J603" s="68" t="s">
        <v>1223</v>
      </c>
      <c r="K603" s="66" t="s">
        <v>1326</v>
      </c>
      <c r="L603" s="66" t="s">
        <v>809</v>
      </c>
      <c r="M603" s="66" t="s">
        <v>767</v>
      </c>
      <c r="N603" s="66" t="s">
        <v>2856</v>
      </c>
      <c r="O603" s="66" t="str">
        <f t="shared" ca="1" si="34"/>
        <v>SI</v>
      </c>
      <c r="P603" s="66" t="str">
        <f t="shared" si="36"/>
        <v>DIANOSOL</v>
      </c>
      <c r="Q603" s="66" t="s">
        <v>904</v>
      </c>
      <c r="R603" s="66" t="str">
        <f>VLOOKUP($Q603,Resultados!$A$1:$B$49,2,FALSE)</f>
        <v>Juicio Abreviado</v>
      </c>
      <c r="S603" s="73">
        <v>0.39027777777777778</v>
      </c>
      <c r="T603" s="75" t="str">
        <f t="shared" si="37"/>
        <v>SI</v>
      </c>
      <c r="U603" s="75"/>
      <c r="V603" s="66"/>
      <c r="W603" s="73">
        <v>0.4055555555555555</v>
      </c>
      <c r="X603" s="66"/>
      <c r="Y603" s="66"/>
      <c r="Z603" s="121" t="s">
        <v>743</v>
      </c>
      <c r="AA603" s="121" t="s">
        <v>2799</v>
      </c>
      <c r="AB603" s="121" t="s">
        <v>1173</v>
      </c>
      <c r="AC603" s="361"/>
    </row>
    <row r="604" spans="1:29" ht="39.950000000000003" customHeight="1" x14ac:dyDescent="0.2">
      <c r="A604" s="66">
        <v>608</v>
      </c>
      <c r="B604" s="68">
        <v>45176</v>
      </c>
      <c r="C604" s="73">
        <v>0.52638888888888891</v>
      </c>
      <c r="D604" s="66" t="s">
        <v>2730</v>
      </c>
      <c r="E604" s="67" t="s">
        <v>2835</v>
      </c>
      <c r="F604" s="66">
        <v>8</v>
      </c>
      <c r="G604" s="66" t="s">
        <v>29</v>
      </c>
      <c r="H604" s="68">
        <v>45189</v>
      </c>
      <c r="I604" s="68" t="s">
        <v>1086</v>
      </c>
      <c r="J604" s="68" t="s">
        <v>1221</v>
      </c>
      <c r="K604" s="66">
        <f>IFERROR(VLOOKUP(J604,Jueces!$A$1:$B$11,2,FALSE),"")</f>
        <v>7</v>
      </c>
      <c r="L604" s="66" t="s">
        <v>791</v>
      </c>
      <c r="M604" s="66" t="s">
        <v>887</v>
      </c>
      <c r="N604" s="66" t="s">
        <v>2857</v>
      </c>
      <c r="O604" s="66" t="str">
        <f t="shared" ca="1" si="34"/>
        <v>SI</v>
      </c>
      <c r="P604" s="66" t="str">
        <f t="shared" si="36"/>
        <v>DIANOSOL</v>
      </c>
      <c r="Q604" s="66" t="s">
        <v>904</v>
      </c>
      <c r="R604" s="66" t="str">
        <f>VLOOKUP($Q604,Resultados!$A$1:$B$49,2,FALSE)</f>
        <v>Juicio Abreviado</v>
      </c>
      <c r="S604" s="73">
        <v>0.41111111111111115</v>
      </c>
      <c r="T604" s="75" t="str">
        <f t="shared" si="37"/>
        <v>NO</v>
      </c>
      <c r="U604" s="75"/>
      <c r="V604" s="66"/>
      <c r="W604" s="73">
        <v>0.41666666666666669</v>
      </c>
      <c r="X604" s="268" t="s">
        <v>2858</v>
      </c>
      <c r="Y604" s="66"/>
      <c r="Z604" s="121" t="s">
        <v>770</v>
      </c>
      <c r="AA604" s="121" t="s">
        <v>1169</v>
      </c>
      <c r="AB604" s="121" t="s">
        <v>1175</v>
      </c>
      <c r="AC604" s="361"/>
    </row>
    <row r="605" spans="1:29" ht="39.950000000000003" customHeight="1" x14ac:dyDescent="0.2">
      <c r="A605" s="66">
        <v>613</v>
      </c>
      <c r="B605" s="68">
        <v>45177</v>
      </c>
      <c r="C605" s="73">
        <v>0.40833333333333338</v>
      </c>
      <c r="D605" s="66" t="s">
        <v>2689</v>
      </c>
      <c r="E605" s="67" t="s">
        <v>2836</v>
      </c>
      <c r="F605" s="66">
        <v>7</v>
      </c>
      <c r="G605" s="66" t="s">
        <v>43</v>
      </c>
      <c r="H605" s="68">
        <v>45189</v>
      </c>
      <c r="I605" s="68" t="s">
        <v>2020</v>
      </c>
      <c r="J605" s="68" t="s">
        <v>33</v>
      </c>
      <c r="K605" s="66" t="s">
        <v>1346</v>
      </c>
      <c r="L605" s="66" t="s">
        <v>813</v>
      </c>
      <c r="M605" s="66" t="s">
        <v>767</v>
      </c>
      <c r="N605" s="66" t="s">
        <v>2868</v>
      </c>
      <c r="O605" s="66" t="str">
        <f t="shared" ca="1" si="34"/>
        <v>SI</v>
      </c>
      <c r="P605" s="66" t="str">
        <f t="shared" si="36"/>
        <v>DIANOSOL</v>
      </c>
      <c r="Q605" s="66" t="s">
        <v>904</v>
      </c>
      <c r="R605" s="66" t="str">
        <f>VLOOKUP($Q605,Resultados!$A$1:$B$49,2,FALSE)</f>
        <v>Juicio Abreviado</v>
      </c>
      <c r="S605" s="73">
        <v>0.53055555555555556</v>
      </c>
      <c r="T605" s="75" t="str">
        <f t="shared" si="37"/>
        <v>NO</v>
      </c>
      <c r="U605" s="75"/>
      <c r="V605" s="66"/>
      <c r="W605" s="73">
        <v>0.54513888888888895</v>
      </c>
      <c r="X605" s="66"/>
      <c r="Y605" s="66"/>
      <c r="Z605" s="121" t="s">
        <v>1041</v>
      </c>
      <c r="AA605" s="121" t="s">
        <v>2852</v>
      </c>
      <c r="AB605" s="121" t="s">
        <v>1177</v>
      </c>
      <c r="AC605" s="361"/>
    </row>
    <row r="606" spans="1:29" ht="39.950000000000003" customHeight="1" x14ac:dyDescent="0.2">
      <c r="A606" s="66">
        <v>582</v>
      </c>
      <c r="B606" s="68">
        <v>45170</v>
      </c>
      <c r="C606" s="66" t="s">
        <v>73</v>
      </c>
      <c r="D606" s="66" t="s">
        <v>2574</v>
      </c>
      <c r="E606" s="67" t="s">
        <v>2575</v>
      </c>
      <c r="F606" s="66">
        <v>7</v>
      </c>
      <c r="G606" s="66" t="s">
        <v>568</v>
      </c>
      <c r="H606" s="68">
        <v>45190</v>
      </c>
      <c r="I606" s="68" t="s">
        <v>73</v>
      </c>
      <c r="J606" s="68" t="s">
        <v>1223</v>
      </c>
      <c r="K606" s="66" t="s">
        <v>1346</v>
      </c>
      <c r="L606" s="66" t="s">
        <v>802</v>
      </c>
      <c r="M606" s="66" t="s">
        <v>725</v>
      </c>
      <c r="N606" s="66" t="s">
        <v>2893</v>
      </c>
      <c r="O606" s="81" t="str">
        <f t="shared" ca="1" si="34"/>
        <v>SI</v>
      </c>
      <c r="P606" s="81" t="str">
        <f t="shared" si="36"/>
        <v>DIANOSOL</v>
      </c>
      <c r="Q606" s="66" t="s">
        <v>904</v>
      </c>
      <c r="R606" s="66" t="str">
        <f>VLOOKUP($Q606,Resultados!$A$1:$B$49,2,FALSE)</f>
        <v>Juicio Abreviado</v>
      </c>
      <c r="S606" s="73">
        <v>0.38125000000000003</v>
      </c>
      <c r="T606" s="84" t="str">
        <f t="shared" si="37"/>
        <v>NO</v>
      </c>
      <c r="U606" s="84"/>
      <c r="V606" s="81"/>
      <c r="W606" s="73">
        <v>0.40138888888888885</v>
      </c>
      <c r="X606" s="66"/>
      <c r="Y606" s="66"/>
      <c r="Z606" s="121" t="s">
        <v>2867</v>
      </c>
      <c r="AA606" s="121" t="s">
        <v>1169</v>
      </c>
      <c r="AB606" s="121" t="s">
        <v>1174</v>
      </c>
      <c r="AC606" s="361"/>
    </row>
    <row r="607" spans="1:29" ht="39.950000000000003" customHeight="1" x14ac:dyDescent="0.2">
      <c r="A607" s="66">
        <v>600</v>
      </c>
      <c r="B607" s="68">
        <v>45174</v>
      </c>
      <c r="C607" s="73">
        <v>0.51944444444444449</v>
      </c>
      <c r="D607" s="66" t="s">
        <v>2639</v>
      </c>
      <c r="E607" s="67" t="s">
        <v>2640</v>
      </c>
      <c r="F607" s="66">
        <v>7</v>
      </c>
      <c r="G607" s="66" t="s">
        <v>1441</v>
      </c>
      <c r="H607" s="68">
        <v>45190</v>
      </c>
      <c r="I607" s="68" t="s">
        <v>73</v>
      </c>
      <c r="J607" s="68" t="s">
        <v>35</v>
      </c>
      <c r="K607" s="66">
        <f>IFERROR(VLOOKUP(J607,Jueces!$A$1:$B$11,2,FALSE),"")</f>
        <v>3</v>
      </c>
      <c r="L607" s="66" t="s">
        <v>807</v>
      </c>
      <c r="M607" s="66" t="s">
        <v>723</v>
      </c>
      <c r="N607" s="66" t="s">
        <v>2894</v>
      </c>
      <c r="O607" s="81" t="str">
        <f t="shared" ca="1" si="34"/>
        <v>SI</v>
      </c>
      <c r="P607" s="81" t="str">
        <f t="shared" si="36"/>
        <v>DIANOSOL</v>
      </c>
      <c r="Q607" s="66" t="s">
        <v>909</v>
      </c>
      <c r="R607" s="66" t="str">
        <f>VLOOKUP($Q607,Resultados!$A$1:$B$49,2,FALSE)</f>
        <v>Suspensión de juicio a prueba</v>
      </c>
      <c r="S607" s="73">
        <v>0.3527777777777778</v>
      </c>
      <c r="T607" s="84" t="str">
        <f t="shared" si="37"/>
        <v>NO</v>
      </c>
      <c r="U607" s="84"/>
      <c r="V607" s="81"/>
      <c r="W607" s="73">
        <v>0.35972222222222222</v>
      </c>
      <c r="X607" s="66"/>
      <c r="Y607" s="66"/>
      <c r="Z607" s="121" t="s">
        <v>1042</v>
      </c>
      <c r="AA607" s="121" t="s">
        <v>1169</v>
      </c>
      <c r="AB607" s="121" t="s">
        <v>1173</v>
      </c>
      <c r="AC607" s="361"/>
    </row>
    <row r="608" spans="1:29" ht="39.950000000000003" customHeight="1" x14ac:dyDescent="0.2">
      <c r="A608" s="66">
        <v>611</v>
      </c>
      <c r="B608" s="68">
        <v>45177</v>
      </c>
      <c r="C608" s="73">
        <v>0.4513888888888889</v>
      </c>
      <c r="D608" s="66" t="s">
        <v>2687</v>
      </c>
      <c r="E608" s="67" t="s">
        <v>2800</v>
      </c>
      <c r="F608" s="66">
        <v>8</v>
      </c>
      <c r="G608" s="66" t="s">
        <v>2775</v>
      </c>
      <c r="H608" s="68">
        <v>45190</v>
      </c>
      <c r="I608" s="68" t="s">
        <v>73</v>
      </c>
      <c r="J608" s="68" t="s">
        <v>31</v>
      </c>
      <c r="K608" s="66">
        <f>IFERROR(VLOOKUP(J608,Jueces!$A$1:$B$11,2,FALSE),"")</f>
        <v>2</v>
      </c>
      <c r="L608" s="66" t="s">
        <v>791</v>
      </c>
      <c r="M608" s="66" t="s">
        <v>2694</v>
      </c>
      <c r="N608" s="66" t="s">
        <v>151</v>
      </c>
      <c r="O608" s="81" t="str">
        <f t="shared" ca="1" si="34"/>
        <v>SI</v>
      </c>
      <c r="P608" s="81" t="str">
        <f t="shared" si="36"/>
        <v>DIANOSOL</v>
      </c>
      <c r="Q608" s="66" t="s">
        <v>151</v>
      </c>
      <c r="R608" s="66" t="str">
        <f>VLOOKUP($Q608,Resultados!$A$1:$B$49,2,FALSE)</f>
        <v>Prisión Preventiva</v>
      </c>
      <c r="S608" s="73">
        <v>0.3659722222222222</v>
      </c>
      <c r="T608" s="84" t="str">
        <f t="shared" si="37"/>
        <v>NO</v>
      </c>
      <c r="U608" s="84"/>
      <c r="V608" s="81"/>
      <c r="W608" s="73">
        <v>0.37777777777777777</v>
      </c>
      <c r="X608" s="66"/>
      <c r="Y608" s="66"/>
      <c r="Z608" s="121" t="s">
        <v>748</v>
      </c>
      <c r="AA608" s="121" t="s">
        <v>2852</v>
      </c>
      <c r="AB608" s="121" t="s">
        <v>1175</v>
      </c>
      <c r="AC608" s="361"/>
    </row>
    <row r="609" spans="1:29" ht="39.950000000000003" customHeight="1" x14ac:dyDescent="0.2">
      <c r="A609" s="66">
        <v>619</v>
      </c>
      <c r="B609" s="68">
        <v>45177</v>
      </c>
      <c r="C609" s="73">
        <v>0.5131944444444444</v>
      </c>
      <c r="D609" s="66" t="s">
        <v>2700</v>
      </c>
      <c r="E609" s="67" t="s">
        <v>2843</v>
      </c>
      <c r="F609" s="66">
        <v>6</v>
      </c>
      <c r="G609" s="66" t="s">
        <v>43</v>
      </c>
      <c r="H609" s="68">
        <v>45190</v>
      </c>
      <c r="I609" s="68" t="s">
        <v>73</v>
      </c>
      <c r="J609" s="68" t="s">
        <v>1221</v>
      </c>
      <c r="K609" s="66">
        <f>IFERROR(VLOOKUP(J609,Jueces!$A$1:$B$11,2,FALSE),"")</f>
        <v>7</v>
      </c>
      <c r="L609" s="66" t="s">
        <v>789</v>
      </c>
      <c r="M609" s="66" t="s">
        <v>2702</v>
      </c>
      <c r="N609" s="66" t="s">
        <v>151</v>
      </c>
      <c r="O609" s="81" t="str">
        <f t="shared" ca="1" si="34"/>
        <v>SI</v>
      </c>
      <c r="P609" s="81" t="str">
        <f t="shared" si="36"/>
        <v>DIANOSOL</v>
      </c>
      <c r="Q609" s="66" t="s">
        <v>151</v>
      </c>
      <c r="R609" s="66" t="str">
        <f>VLOOKUP($Q609,Resultados!$A$1:$B$49,2,FALSE)</f>
        <v>Prisión Preventiva</v>
      </c>
      <c r="S609" s="73">
        <v>0.3527777777777778</v>
      </c>
      <c r="T609" s="84" t="str">
        <f t="shared" si="37"/>
        <v>NO</v>
      </c>
      <c r="U609" s="84"/>
      <c r="V609" s="81"/>
      <c r="W609" s="73">
        <v>0.37986111111111115</v>
      </c>
      <c r="X609" s="66"/>
      <c r="Y609" s="66"/>
      <c r="Z609" s="121" t="s">
        <v>743</v>
      </c>
      <c r="AA609" s="121" t="s">
        <v>1169</v>
      </c>
      <c r="AB609" s="121" t="s">
        <v>1177</v>
      </c>
      <c r="AC609" s="361"/>
    </row>
    <row r="610" spans="1:29" ht="63.75" x14ac:dyDescent="0.2">
      <c r="A610" s="6">
        <v>609</v>
      </c>
      <c r="B610" s="322">
        <v>45176</v>
      </c>
      <c r="C610" s="14">
        <v>0.52361111111111114</v>
      </c>
      <c r="D610" s="6" t="s">
        <v>2675</v>
      </c>
      <c r="E610" s="40" t="s">
        <v>2869</v>
      </c>
      <c r="F610" s="72">
        <v>8</v>
      </c>
      <c r="G610" s="66" t="s">
        <v>1442</v>
      </c>
      <c r="H610" s="68">
        <v>45190</v>
      </c>
      <c r="I610" s="68" t="s">
        <v>749</v>
      </c>
      <c r="J610" s="68" t="s">
        <v>1225</v>
      </c>
      <c r="K610" s="66">
        <f>IFERROR(VLOOKUP(J610,Jueces!$A$1:$B$11,2,FALSE),"")</f>
        <v>6</v>
      </c>
      <c r="L610" s="66" t="s">
        <v>812</v>
      </c>
      <c r="M610" s="66" t="s">
        <v>887</v>
      </c>
      <c r="N610" s="66" t="s">
        <v>151</v>
      </c>
      <c r="O610" s="81" t="str">
        <f t="shared" ca="1" si="34"/>
        <v>SI</v>
      </c>
      <c r="P610" s="81" t="str">
        <f t="shared" si="36"/>
        <v>DIANOSOL</v>
      </c>
      <c r="Q610" s="66" t="s">
        <v>151</v>
      </c>
      <c r="R610" s="66" t="str">
        <f>VLOOKUP($Q610,Resultados!$A$1:$B$49,2,FALSE)</f>
        <v>Prisión Preventiva</v>
      </c>
      <c r="S610" s="66"/>
      <c r="T610" s="84" t="str">
        <f t="shared" si="37"/>
        <v>SI</v>
      </c>
      <c r="U610" s="84"/>
      <c r="V610" s="81"/>
      <c r="W610" s="66"/>
      <c r="X610" s="66"/>
      <c r="Y610" s="66"/>
      <c r="Z610" s="121" t="s">
        <v>770</v>
      </c>
      <c r="AA610" s="121" t="s">
        <v>2852</v>
      </c>
      <c r="AB610" s="121" t="s">
        <v>1174</v>
      </c>
      <c r="AC610" s="361"/>
    </row>
    <row r="611" spans="1:29" ht="39.950000000000003" customHeight="1" x14ac:dyDescent="0.2">
      <c r="A611" s="109">
        <v>607</v>
      </c>
      <c r="B611" s="261">
        <v>45180</v>
      </c>
      <c r="C611" s="267">
        <v>0.49374999999999997</v>
      </c>
      <c r="D611" s="109" t="s">
        <v>2674</v>
      </c>
      <c r="E611" s="110" t="s">
        <v>2728</v>
      </c>
      <c r="F611" s="66">
        <v>7</v>
      </c>
      <c r="G611" s="66" t="s">
        <v>1443</v>
      </c>
      <c r="H611" s="68">
        <v>45190</v>
      </c>
      <c r="I611" s="68" t="s">
        <v>1086</v>
      </c>
      <c r="J611" s="68" t="s">
        <v>33</v>
      </c>
      <c r="K611" s="66">
        <f>IFERROR(VLOOKUP(J611,Jueces!$A$1:$B$11,2,FALSE),"")</f>
        <v>4</v>
      </c>
      <c r="L611" s="66" t="s">
        <v>811</v>
      </c>
      <c r="M611" s="66" t="s">
        <v>725</v>
      </c>
      <c r="N611" s="66" t="s">
        <v>2903</v>
      </c>
      <c r="O611" s="81" t="str">
        <f t="shared" ca="1" si="34"/>
        <v>SI</v>
      </c>
      <c r="P611" s="81" t="str">
        <f t="shared" si="36"/>
        <v>DIANOSOL</v>
      </c>
      <c r="Q611" s="66" t="s">
        <v>151</v>
      </c>
      <c r="R611" s="66" t="str">
        <f>VLOOKUP($Q611,Resultados!$A$1:$B$49,2,FALSE)</f>
        <v>Prisión Preventiva</v>
      </c>
      <c r="S611" s="73">
        <v>0.41805555555555557</v>
      </c>
      <c r="T611" s="84" t="str">
        <f t="shared" si="37"/>
        <v>NO</v>
      </c>
      <c r="U611" s="84"/>
      <c r="V611" s="81"/>
      <c r="W611" s="73">
        <v>0.43472222222222223</v>
      </c>
      <c r="X611" s="66" t="s">
        <v>2892</v>
      </c>
      <c r="Y611" s="66"/>
      <c r="Z611" s="121" t="s">
        <v>1041</v>
      </c>
      <c r="AA611" s="121" t="s">
        <v>1169</v>
      </c>
      <c r="AB611" s="121" t="s">
        <v>1173</v>
      </c>
      <c r="AC611" s="361"/>
    </row>
    <row r="612" spans="1:29" ht="39.950000000000003" customHeight="1" x14ac:dyDescent="0.2">
      <c r="A612" s="66">
        <v>612</v>
      </c>
      <c r="B612" s="68">
        <v>45177</v>
      </c>
      <c r="C612" s="73">
        <v>0.43472222222222223</v>
      </c>
      <c r="D612" s="66" t="s">
        <v>2688</v>
      </c>
      <c r="E612" s="67" t="s">
        <v>2870</v>
      </c>
      <c r="F612" s="66">
        <v>7</v>
      </c>
      <c r="G612" s="66" t="s">
        <v>29</v>
      </c>
      <c r="H612" s="68">
        <v>45190</v>
      </c>
      <c r="I612" s="68" t="s">
        <v>1086</v>
      </c>
      <c r="J612" s="68" t="s">
        <v>78</v>
      </c>
      <c r="K612" s="66">
        <f>IFERROR(VLOOKUP(J612,Jueces!$A$1:$B$11,2,FALSE),"")</f>
        <v>8</v>
      </c>
      <c r="L612" s="66" t="s">
        <v>798</v>
      </c>
      <c r="M612" s="66" t="s">
        <v>723</v>
      </c>
      <c r="N612" s="66" t="s">
        <v>151</v>
      </c>
      <c r="O612" s="81" t="str">
        <f t="shared" ca="1" si="34"/>
        <v>SI</v>
      </c>
      <c r="P612" s="81" t="str">
        <f t="shared" si="36"/>
        <v>DIANOSOL</v>
      </c>
      <c r="Q612" s="66" t="s">
        <v>151</v>
      </c>
      <c r="R612" s="66" t="str">
        <f>VLOOKUP($Q612,Resultados!$A$1:$B$49,2,FALSE)</f>
        <v>Prisión Preventiva</v>
      </c>
      <c r="S612" s="73">
        <v>0.37361111111111112</v>
      </c>
      <c r="T612" s="84" t="str">
        <f t="shared" si="37"/>
        <v>NO</v>
      </c>
      <c r="U612" s="84"/>
      <c r="V612" s="81"/>
      <c r="W612" s="73">
        <v>0.39513888888888887</v>
      </c>
      <c r="X612" s="66"/>
      <c r="Y612" s="66"/>
      <c r="Z612" s="121" t="s">
        <v>2867</v>
      </c>
      <c r="AA612" s="121" t="s">
        <v>2852</v>
      </c>
      <c r="AB612" s="121" t="s">
        <v>1175</v>
      </c>
      <c r="AC612" s="361"/>
    </row>
    <row r="613" spans="1:29" ht="39.950000000000003" customHeight="1" x14ac:dyDescent="0.2">
      <c r="A613" s="66">
        <v>610</v>
      </c>
      <c r="B613" s="68">
        <v>45176</v>
      </c>
      <c r="C613" s="73">
        <v>0.52222222222222225</v>
      </c>
      <c r="D613" s="66" t="s">
        <v>2676</v>
      </c>
      <c r="E613" s="67" t="s">
        <v>2693</v>
      </c>
      <c r="F613" s="66">
        <v>7</v>
      </c>
      <c r="G613" s="66" t="s">
        <v>2774</v>
      </c>
      <c r="H613" s="68">
        <v>45191</v>
      </c>
      <c r="I613" s="68" t="s">
        <v>73</v>
      </c>
      <c r="J613" s="68" t="s">
        <v>35</v>
      </c>
      <c r="K613" s="66">
        <f>IFERROR(VLOOKUP(J613,Jueces!$A$1:$B$11,2,FALSE),"")</f>
        <v>3</v>
      </c>
      <c r="L613" s="66" t="s">
        <v>793</v>
      </c>
      <c r="M613" s="66" t="s">
        <v>697</v>
      </c>
      <c r="N613" s="66" t="s">
        <v>2898</v>
      </c>
      <c r="O613" s="66" t="str">
        <f t="shared" ca="1" si="34"/>
        <v>SI</v>
      </c>
      <c r="P613" s="66" t="str">
        <f t="shared" si="36"/>
        <v>DIANOSOL</v>
      </c>
      <c r="Q613" s="66" t="s">
        <v>904</v>
      </c>
      <c r="R613" s="66" t="str">
        <f>VLOOKUP($Q613,Resultados!$A$1:$B$49,2,FALSE)</f>
        <v>Juicio Abreviado</v>
      </c>
      <c r="S613" s="66" t="s">
        <v>1134</v>
      </c>
      <c r="T613" s="75" t="str">
        <f t="shared" si="37"/>
        <v>NO</v>
      </c>
      <c r="U613" s="75"/>
      <c r="V613" s="66"/>
      <c r="W613" s="66" t="s">
        <v>1566</v>
      </c>
      <c r="X613" s="66" t="s">
        <v>2899</v>
      </c>
      <c r="Y613" s="66"/>
      <c r="Z613" s="121" t="s">
        <v>1041</v>
      </c>
      <c r="AA613" s="121" t="s">
        <v>1169</v>
      </c>
      <c r="AB613" s="121" t="s">
        <v>1177</v>
      </c>
      <c r="AC613" s="361"/>
    </row>
    <row r="614" spans="1:29" ht="39.950000000000003" customHeight="1" x14ac:dyDescent="0.2">
      <c r="A614" s="66">
        <v>615</v>
      </c>
      <c r="B614" s="68">
        <v>45177</v>
      </c>
      <c r="C614" s="73">
        <v>0.37708333333333338</v>
      </c>
      <c r="D614" s="66" t="s">
        <v>2691</v>
      </c>
      <c r="E614" s="67" t="s">
        <v>2692</v>
      </c>
      <c r="F614" s="66">
        <v>7</v>
      </c>
      <c r="G614" s="66" t="s">
        <v>1443</v>
      </c>
      <c r="H614" s="68">
        <v>45191</v>
      </c>
      <c r="I614" s="68" t="s">
        <v>73</v>
      </c>
      <c r="J614" s="68" t="s">
        <v>1221</v>
      </c>
      <c r="K614" s="66">
        <f>IFERROR(VLOOKUP(J614,Jueces!$A$1:$B$11,2,FALSE),"")</f>
        <v>7</v>
      </c>
      <c r="L614" s="66" t="s">
        <v>806</v>
      </c>
      <c r="M614" s="66" t="s">
        <v>2735</v>
      </c>
      <c r="N614" s="66" t="s">
        <v>2900</v>
      </c>
      <c r="O614" s="66" t="str">
        <f t="shared" ca="1" si="34"/>
        <v>SI</v>
      </c>
      <c r="P614" s="66" t="str">
        <f t="shared" si="36"/>
        <v>DIANOSOL</v>
      </c>
      <c r="Q614" s="66" t="s">
        <v>904</v>
      </c>
      <c r="R614" s="66" t="str">
        <f>VLOOKUP($Q614,Resultados!$A$1:$B$49,2,FALSE)</f>
        <v>Juicio Abreviado</v>
      </c>
      <c r="S614" s="66" t="s">
        <v>1065</v>
      </c>
      <c r="T614" s="75" t="str">
        <f t="shared" si="37"/>
        <v>NO</v>
      </c>
      <c r="U614" s="75"/>
      <c r="V614" s="66"/>
      <c r="W614" s="66" t="s">
        <v>1609</v>
      </c>
      <c r="X614" s="66" t="s">
        <v>2382</v>
      </c>
      <c r="Y614" s="66"/>
      <c r="Z614" s="121" t="s">
        <v>2867</v>
      </c>
      <c r="AA614" s="121" t="s">
        <v>1169</v>
      </c>
      <c r="AB614" s="121" t="s">
        <v>1174</v>
      </c>
      <c r="AC614" s="361"/>
    </row>
    <row r="615" spans="1:29" ht="63.75" x14ac:dyDescent="0.2">
      <c r="A615" s="6">
        <v>618</v>
      </c>
      <c r="B615" s="18">
        <v>45177</v>
      </c>
      <c r="C615" s="14">
        <v>0.49444444444444446</v>
      </c>
      <c r="D615" s="6" t="s">
        <v>2698</v>
      </c>
      <c r="E615" s="40" t="s">
        <v>2699</v>
      </c>
      <c r="F615" s="6">
        <v>7</v>
      </c>
      <c r="G615" s="6" t="s">
        <v>2775</v>
      </c>
      <c r="H615" s="18">
        <v>45191</v>
      </c>
      <c r="I615" s="18" t="s">
        <v>73</v>
      </c>
      <c r="J615" s="18" t="s">
        <v>78</v>
      </c>
      <c r="K615" s="6">
        <f>IFERROR(VLOOKUP(J615,Jueces!$A$1:$B$11,2,FALSE),"")</f>
        <v>8</v>
      </c>
      <c r="L615" s="6" t="s">
        <v>809</v>
      </c>
      <c r="M615" s="6" t="s">
        <v>725</v>
      </c>
      <c r="N615" s="6" t="s">
        <v>2569</v>
      </c>
      <c r="O615" s="6" t="str">
        <f t="shared" ca="1" si="34"/>
        <v>SI</v>
      </c>
      <c r="P615" s="6" t="str">
        <f t="shared" si="36"/>
        <v>DIANOSOL</v>
      </c>
      <c r="Q615" s="6" t="s">
        <v>899</v>
      </c>
      <c r="R615" s="6" t="str">
        <f>VLOOKUP($Q615,Resultados!$A$1:$B$49,2,FALSE)</f>
        <v>Libertad</v>
      </c>
      <c r="S615" s="6" t="s">
        <v>1235</v>
      </c>
      <c r="T615" s="71" t="str">
        <f t="shared" si="37"/>
        <v>NO</v>
      </c>
      <c r="U615" s="71"/>
      <c r="V615" s="6"/>
      <c r="W615" s="6" t="s">
        <v>686</v>
      </c>
      <c r="X615" s="6"/>
      <c r="Y615" s="6"/>
      <c r="Z615" s="279" t="s">
        <v>2895</v>
      </c>
      <c r="AA615" s="121" t="s">
        <v>2852</v>
      </c>
      <c r="AB615" s="279" t="s">
        <v>1173</v>
      </c>
      <c r="AC615" s="361"/>
    </row>
    <row r="616" spans="1:29" ht="39.950000000000003" customHeight="1" x14ac:dyDescent="0.2">
      <c r="A616" s="66">
        <v>620</v>
      </c>
      <c r="B616" s="68">
        <v>45180</v>
      </c>
      <c r="C616" s="73">
        <v>0.49861111111111112</v>
      </c>
      <c r="D616" s="66" t="s">
        <v>2036</v>
      </c>
      <c r="E616" s="67" t="s">
        <v>2037</v>
      </c>
      <c r="F616" s="66">
        <v>5</v>
      </c>
      <c r="G616" s="66" t="s">
        <v>1442</v>
      </c>
      <c r="H616" s="68">
        <v>45191</v>
      </c>
      <c r="I616" s="68" t="s">
        <v>73</v>
      </c>
      <c r="J616" s="68" t="s">
        <v>31</v>
      </c>
      <c r="K616" s="66">
        <f>IFERROR(VLOOKUP(J616,Jueces!$A$1:$B$11,2,FALSE),"")</f>
        <v>2</v>
      </c>
      <c r="L616" s="66" t="s">
        <v>813</v>
      </c>
      <c r="M616" s="66" t="s">
        <v>1965</v>
      </c>
      <c r="N616" s="66" t="s">
        <v>2907</v>
      </c>
      <c r="O616" s="66" t="str">
        <f t="shared" ca="1" si="34"/>
        <v>SI</v>
      </c>
      <c r="P616" s="66" t="str">
        <f t="shared" si="36"/>
        <v>DIANOSOL</v>
      </c>
      <c r="Q616" s="66" t="s">
        <v>904</v>
      </c>
      <c r="R616" s="66" t="str">
        <f>VLOOKUP($Q616,Resultados!$A$1:$B$49,2,FALSE)</f>
        <v>Juicio Abreviado</v>
      </c>
      <c r="S616" s="66" t="s">
        <v>2385</v>
      </c>
      <c r="T616" s="75" t="str">
        <f t="shared" si="37"/>
        <v>SI</v>
      </c>
      <c r="U616" s="75"/>
      <c r="V616" s="66"/>
      <c r="W616" s="66" t="s">
        <v>2908</v>
      </c>
      <c r="X616" s="66" t="s">
        <v>2909</v>
      </c>
      <c r="Y616" s="66"/>
      <c r="Z616" s="121" t="s">
        <v>1042</v>
      </c>
      <c r="AA616" s="121" t="s">
        <v>2852</v>
      </c>
      <c r="AB616" s="121" t="s">
        <v>2891</v>
      </c>
      <c r="AC616" s="361"/>
    </row>
    <row r="617" spans="1:29" ht="39.950000000000003" customHeight="1" x14ac:dyDescent="0.2">
      <c r="A617" s="66">
        <v>637</v>
      </c>
      <c r="B617" s="68">
        <v>45181</v>
      </c>
      <c r="C617" s="73">
        <v>0.48333333333333334</v>
      </c>
      <c r="D617" s="66" t="s">
        <v>2751</v>
      </c>
      <c r="E617" s="67" t="s">
        <v>2752</v>
      </c>
      <c r="F617" s="66">
        <v>5</v>
      </c>
      <c r="G617" s="66" t="s">
        <v>1441</v>
      </c>
      <c r="H617" s="68">
        <v>45191</v>
      </c>
      <c r="I617" s="68" t="s">
        <v>73</v>
      </c>
      <c r="J617" s="68" t="s">
        <v>33</v>
      </c>
      <c r="K617" s="66">
        <f>IFERROR(VLOOKUP(J617,Jueces!$A$1:$B$11,2,FALSE),"")</f>
        <v>4</v>
      </c>
      <c r="L617" s="66" t="s">
        <v>803</v>
      </c>
      <c r="M617" s="66" t="s">
        <v>700</v>
      </c>
      <c r="N617" s="66" t="s">
        <v>577</v>
      </c>
      <c r="O617" s="66" t="str">
        <f t="shared" ca="1" si="34"/>
        <v>SI</v>
      </c>
      <c r="P617" s="66" t="str">
        <f t="shared" si="36"/>
        <v>DIANOSOL</v>
      </c>
      <c r="Q617" s="66" t="s">
        <v>151</v>
      </c>
      <c r="R617" s="66" t="str">
        <f>VLOOKUP($Q617,Resultados!$A$1:$B$49,2,FALSE)</f>
        <v>Prisión Preventiva</v>
      </c>
      <c r="S617" s="73" t="s">
        <v>1296</v>
      </c>
      <c r="T617" s="75" t="str">
        <f t="shared" si="37"/>
        <v>NO</v>
      </c>
      <c r="U617" s="75"/>
      <c r="V617" s="66"/>
      <c r="W617" s="66" t="s">
        <v>1231</v>
      </c>
      <c r="X617" s="66" t="s">
        <v>2896</v>
      </c>
      <c r="Y617" s="66"/>
      <c r="Z617" s="121" t="s">
        <v>748</v>
      </c>
      <c r="AA617" s="121" t="s">
        <v>2852</v>
      </c>
      <c r="AB617" s="121" t="s">
        <v>1177</v>
      </c>
      <c r="AC617" s="361"/>
    </row>
    <row r="618" spans="1:29" ht="39.950000000000003" customHeight="1" x14ac:dyDescent="0.2">
      <c r="A618" s="66">
        <v>597</v>
      </c>
      <c r="B618" s="68">
        <v>45174</v>
      </c>
      <c r="C618" s="73">
        <v>0.41041666666666665</v>
      </c>
      <c r="D618" s="66" t="s">
        <v>2837</v>
      </c>
      <c r="E618" s="67" t="s">
        <v>2613</v>
      </c>
      <c r="F618" s="66">
        <v>4</v>
      </c>
      <c r="G618" s="66" t="s">
        <v>283</v>
      </c>
      <c r="H618" s="68">
        <v>45191</v>
      </c>
      <c r="I618" s="68" t="s">
        <v>1086</v>
      </c>
      <c r="J618" s="68" t="s">
        <v>33</v>
      </c>
      <c r="K618" s="66">
        <f>IFERROR(VLOOKUP(J618,Jueces!$A$1:$B$11,2,FALSE),"")</f>
        <v>4</v>
      </c>
      <c r="L618" s="66" t="s">
        <v>1702</v>
      </c>
      <c r="M618" s="66" t="s">
        <v>2649</v>
      </c>
      <c r="N618" s="66" t="s">
        <v>2905</v>
      </c>
      <c r="O618" s="66" t="str">
        <f t="shared" ca="1" si="34"/>
        <v>SI</v>
      </c>
      <c r="P618" s="66" t="str">
        <f t="shared" si="36"/>
        <v>DIANOSOL</v>
      </c>
      <c r="Q618" s="66" t="s">
        <v>899</v>
      </c>
      <c r="R618" s="66" t="str">
        <f>VLOOKUP($Q618,Resultados!$A$1:$B$49,2,FALSE)</f>
        <v>Libertad</v>
      </c>
      <c r="S618" s="66" t="s">
        <v>1499</v>
      </c>
      <c r="T618" s="75" t="str">
        <f t="shared" si="37"/>
        <v>NO</v>
      </c>
      <c r="U618" s="75"/>
      <c r="V618" s="66"/>
      <c r="W618" s="66" t="s">
        <v>2904</v>
      </c>
      <c r="X618" s="66" t="s">
        <v>2906</v>
      </c>
      <c r="Y618" s="66"/>
      <c r="Z618" s="121" t="s">
        <v>743</v>
      </c>
      <c r="AA618" s="121" t="s">
        <v>1169</v>
      </c>
      <c r="AB618" s="121" t="s">
        <v>1174</v>
      </c>
      <c r="AC618" s="361"/>
    </row>
    <row r="619" spans="1:29" ht="39.950000000000003" customHeight="1" x14ac:dyDescent="0.2">
      <c r="A619" s="66">
        <v>623</v>
      </c>
      <c r="B619" s="68">
        <v>45180</v>
      </c>
      <c r="C619" s="73">
        <v>0.3520833333333333</v>
      </c>
      <c r="D619" s="66" t="s">
        <v>2716</v>
      </c>
      <c r="E619" s="67" t="s">
        <v>2717</v>
      </c>
      <c r="F619" s="66">
        <v>7</v>
      </c>
      <c r="G619" s="66" t="s">
        <v>568</v>
      </c>
      <c r="H619" s="68">
        <v>45191</v>
      </c>
      <c r="I619" s="68" t="s">
        <v>1086</v>
      </c>
      <c r="J619" s="68" t="s">
        <v>31</v>
      </c>
      <c r="K619" s="66" t="s">
        <v>1346</v>
      </c>
      <c r="L619" s="66" t="s">
        <v>688</v>
      </c>
      <c r="M619" s="66" t="s">
        <v>887</v>
      </c>
      <c r="N619" s="66" t="s">
        <v>577</v>
      </c>
      <c r="O619" s="66" t="str">
        <f t="shared" ca="1" si="34"/>
        <v>SI</v>
      </c>
      <c r="P619" s="66" t="str">
        <f t="shared" si="36"/>
        <v>DIANOSOL</v>
      </c>
      <c r="Q619" s="66" t="s">
        <v>151</v>
      </c>
      <c r="R619" s="66" t="str">
        <f>VLOOKUP($Q619,Resultados!$A$1:$B$49,2,FALSE)</f>
        <v>Prisión Preventiva</v>
      </c>
      <c r="S619" s="66" t="s">
        <v>76</v>
      </c>
      <c r="T619" s="75" t="str">
        <f t="shared" si="37"/>
        <v>NO</v>
      </c>
      <c r="U619" s="75"/>
      <c r="V619" s="66"/>
      <c r="W619" s="66" t="s">
        <v>1396</v>
      </c>
      <c r="X619" s="66"/>
      <c r="Y619" s="66"/>
      <c r="Z619" s="121" t="s">
        <v>770</v>
      </c>
      <c r="AA619" s="121" t="s">
        <v>1169</v>
      </c>
      <c r="AB619" s="121" t="s">
        <v>1173</v>
      </c>
      <c r="AC619" s="361"/>
    </row>
    <row r="620" spans="1:29" ht="39.950000000000003" customHeight="1" x14ac:dyDescent="0.2">
      <c r="A620" s="66">
        <v>616</v>
      </c>
      <c r="B620" s="68">
        <v>45177</v>
      </c>
      <c r="C620" s="73">
        <v>0.55694444444444446</v>
      </c>
      <c r="D620" s="66" t="s">
        <v>2054</v>
      </c>
      <c r="E620" s="67" t="s">
        <v>2696</v>
      </c>
      <c r="F620" s="66">
        <v>1</v>
      </c>
      <c r="G620" s="66" t="s">
        <v>43</v>
      </c>
      <c r="H620" s="68">
        <v>45194</v>
      </c>
      <c r="I620" s="68" t="s">
        <v>73</v>
      </c>
      <c r="J620" s="68" t="s">
        <v>31</v>
      </c>
      <c r="K620" s="66">
        <f>IFERROR(VLOOKUP(J620,Jueces!$A$1:$B$11,2,FALSE),"")</f>
        <v>2</v>
      </c>
      <c r="L620" s="66" t="s">
        <v>791</v>
      </c>
      <c r="M620" s="66" t="s">
        <v>2703</v>
      </c>
      <c r="N620" s="66" t="s">
        <v>2957</v>
      </c>
      <c r="O620" s="66" t="str">
        <f t="shared" ref="O620:O683" ca="1" si="38">IF(H620&lt;&gt;"",IF(H620&lt;=TODAY(),"SI","NO"),"LIMBO")</f>
        <v>SI</v>
      </c>
      <c r="P620" s="66" t="str">
        <f t="shared" si="36"/>
        <v>DIANOSOL</v>
      </c>
      <c r="Q620" s="66" t="s">
        <v>904</v>
      </c>
      <c r="R620" s="66" t="str">
        <f>VLOOKUP($Q620,Resultados!$A$1:$B$49,2,FALSE)</f>
        <v>Juicio Abreviado</v>
      </c>
      <c r="S620" s="66" t="s">
        <v>2707</v>
      </c>
      <c r="T620" s="75" t="str">
        <f t="shared" si="37"/>
        <v>NO</v>
      </c>
      <c r="U620" s="75"/>
      <c r="V620" s="66"/>
      <c r="W620" s="66" t="s">
        <v>2958</v>
      </c>
      <c r="X620" s="66" t="s">
        <v>2382</v>
      </c>
      <c r="Y620" s="66"/>
      <c r="Z620" s="121" t="s">
        <v>1041</v>
      </c>
      <c r="AA620" s="121" t="s">
        <v>1171</v>
      </c>
      <c r="AB620" s="121" t="s">
        <v>1175</v>
      </c>
      <c r="AC620" s="361"/>
    </row>
    <row r="621" spans="1:29" ht="39.950000000000003" customHeight="1" x14ac:dyDescent="0.2">
      <c r="A621" s="66">
        <v>621</v>
      </c>
      <c r="B621" s="68">
        <v>45180</v>
      </c>
      <c r="C621" s="66" t="s">
        <v>2711</v>
      </c>
      <c r="D621" s="66" t="s">
        <v>2712</v>
      </c>
      <c r="E621" s="67" t="s">
        <v>2713</v>
      </c>
      <c r="F621" s="66">
        <v>7</v>
      </c>
      <c r="G621" s="66" t="s">
        <v>283</v>
      </c>
      <c r="H621" s="68">
        <v>45194</v>
      </c>
      <c r="I621" s="68" t="s">
        <v>73</v>
      </c>
      <c r="J621" s="68" t="s">
        <v>33</v>
      </c>
      <c r="K621" s="66">
        <f>IFERROR(VLOOKUP(J621,Jueces!$A$1:$B$11,2,FALSE),"")</f>
        <v>4</v>
      </c>
      <c r="L621" s="66" t="s">
        <v>809</v>
      </c>
      <c r="M621" s="66" t="s">
        <v>700</v>
      </c>
      <c r="N621" s="66" t="s">
        <v>577</v>
      </c>
      <c r="O621" s="66" t="str">
        <f t="shared" ca="1" si="38"/>
        <v>SI</v>
      </c>
      <c r="P621" s="66" t="str">
        <f t="shared" si="36"/>
        <v>DIANOSOL</v>
      </c>
      <c r="Q621" s="66" t="s">
        <v>151</v>
      </c>
      <c r="R621" s="66" t="str">
        <f>VLOOKUP($Q621,Resultados!$A$1:$B$49,2,FALSE)</f>
        <v>Prisión Preventiva</v>
      </c>
      <c r="S621" s="73" t="s">
        <v>1587</v>
      </c>
      <c r="T621" s="75" t="str">
        <f t="shared" si="37"/>
        <v>NO</v>
      </c>
      <c r="U621" s="75"/>
      <c r="V621" s="66"/>
      <c r="W621" s="66" t="s">
        <v>1578</v>
      </c>
      <c r="X621" s="66" t="s">
        <v>2949</v>
      </c>
      <c r="Y621" s="66"/>
      <c r="Z621" s="121" t="s">
        <v>2867</v>
      </c>
      <c r="AA621" s="121" t="s">
        <v>2852</v>
      </c>
      <c r="AB621" s="121" t="s">
        <v>1177</v>
      </c>
      <c r="AC621" s="361"/>
    </row>
    <row r="622" spans="1:29" ht="39.950000000000003" customHeight="1" x14ac:dyDescent="0.2">
      <c r="A622" s="66">
        <v>625</v>
      </c>
      <c r="B622" s="68">
        <v>45180</v>
      </c>
      <c r="C622" s="73">
        <v>0.36041666666666666</v>
      </c>
      <c r="D622" s="66" t="s">
        <v>2719</v>
      </c>
      <c r="E622" s="67" t="s">
        <v>2720</v>
      </c>
      <c r="F622" s="66">
        <v>7</v>
      </c>
      <c r="G622" s="66" t="s">
        <v>1441</v>
      </c>
      <c r="H622" s="68">
        <v>45194</v>
      </c>
      <c r="I622" s="68" t="s">
        <v>73</v>
      </c>
      <c r="J622" s="68" t="s">
        <v>35</v>
      </c>
      <c r="K622" s="66">
        <f>IFERROR(VLOOKUP(J622,Jueces!$A$1:$B$11,2,FALSE),"")</f>
        <v>3</v>
      </c>
      <c r="L622" s="66" t="s">
        <v>326</v>
      </c>
      <c r="M622" s="66" t="s">
        <v>723</v>
      </c>
      <c r="N622" s="66" t="s">
        <v>577</v>
      </c>
      <c r="O622" s="66" t="str">
        <f t="shared" ca="1" si="38"/>
        <v>SI</v>
      </c>
      <c r="P622" s="66" t="str">
        <f t="shared" si="36"/>
        <v>DIANOSOL</v>
      </c>
      <c r="Q622" s="66" t="s">
        <v>151</v>
      </c>
      <c r="R622" s="66" t="str">
        <f>VLOOKUP($Q622,Resultados!$A$1:$B$49,2,FALSE)</f>
        <v>Prisión Preventiva</v>
      </c>
      <c r="S622" s="66" t="s">
        <v>686</v>
      </c>
      <c r="T622" s="75" t="str">
        <f t="shared" si="37"/>
        <v>NO</v>
      </c>
      <c r="U622" s="75"/>
      <c r="V622" s="66"/>
      <c r="W622" s="66" t="s">
        <v>1210</v>
      </c>
      <c r="X622" s="66" t="s">
        <v>2960</v>
      </c>
      <c r="Y622" s="66"/>
      <c r="Z622" s="279" t="s">
        <v>2895</v>
      </c>
      <c r="AA622" s="121" t="s">
        <v>1169</v>
      </c>
      <c r="AB622" s="121" t="s">
        <v>1174</v>
      </c>
      <c r="AC622" s="361"/>
    </row>
    <row r="623" spans="1:29" ht="39.950000000000003" customHeight="1" x14ac:dyDescent="0.2">
      <c r="A623" s="66">
        <v>627</v>
      </c>
      <c r="B623" s="68">
        <v>45180</v>
      </c>
      <c r="C623" s="73">
        <v>0.4145833333333333</v>
      </c>
      <c r="D623" s="66" t="s">
        <v>2722</v>
      </c>
      <c r="E623" s="67" t="s">
        <v>2723</v>
      </c>
      <c r="F623" s="66">
        <v>5</v>
      </c>
      <c r="G623" s="66" t="s">
        <v>1443</v>
      </c>
      <c r="H623" s="68">
        <v>45194</v>
      </c>
      <c r="I623" s="68" t="s">
        <v>73</v>
      </c>
      <c r="J623" s="68" t="s">
        <v>78</v>
      </c>
      <c r="K623" s="66">
        <f>IFERROR(VLOOKUP(J623,Jueces!$A$1:$B$11,2,FALSE),"")</f>
        <v>8</v>
      </c>
      <c r="L623" s="66" t="s">
        <v>813</v>
      </c>
      <c r="M623" s="66" t="s">
        <v>783</v>
      </c>
      <c r="N623" s="66" t="s">
        <v>2961</v>
      </c>
      <c r="O623" s="66" t="str">
        <f t="shared" ca="1" si="38"/>
        <v>SI</v>
      </c>
      <c r="P623" s="66" t="str">
        <f t="shared" si="36"/>
        <v>DIANOSOL</v>
      </c>
      <c r="Q623" s="66" t="s">
        <v>909</v>
      </c>
      <c r="R623" s="66" t="str">
        <f>VLOOKUP($Q623,Resultados!$A$1:$B$49,2,FALSE)</f>
        <v>Suspensión de juicio a prueba</v>
      </c>
      <c r="S623" s="66" t="s">
        <v>1609</v>
      </c>
      <c r="T623" s="75" t="str">
        <f t="shared" si="37"/>
        <v>NO</v>
      </c>
      <c r="U623" s="75"/>
      <c r="V623" s="66"/>
      <c r="W623" s="66" t="s">
        <v>1229</v>
      </c>
      <c r="X623" s="66" t="s">
        <v>2962</v>
      </c>
      <c r="Y623" s="66"/>
      <c r="Z623" s="121" t="s">
        <v>1042</v>
      </c>
      <c r="AA623" s="121" t="s">
        <v>2852</v>
      </c>
      <c r="AB623" s="121" t="s">
        <v>1173</v>
      </c>
      <c r="AC623" s="361"/>
    </row>
    <row r="624" spans="1:29" ht="39.950000000000003" customHeight="1" x14ac:dyDescent="0.2">
      <c r="A624" s="66">
        <v>630</v>
      </c>
      <c r="B624" s="68">
        <v>45180</v>
      </c>
      <c r="C624" s="73">
        <v>0.5180555555555556</v>
      </c>
      <c r="D624" s="66" t="s">
        <v>2731</v>
      </c>
      <c r="E624" s="67" t="s">
        <v>2732</v>
      </c>
      <c r="F624" s="66">
        <v>8</v>
      </c>
      <c r="G624" s="66" t="s">
        <v>2773</v>
      </c>
      <c r="H624" s="68">
        <v>45194</v>
      </c>
      <c r="I624" s="68" t="s">
        <v>73</v>
      </c>
      <c r="J624" s="68" t="s">
        <v>1221</v>
      </c>
      <c r="K624" s="210" t="s">
        <v>1925</v>
      </c>
      <c r="L624" s="66" t="s">
        <v>799</v>
      </c>
      <c r="M624" s="66" t="s">
        <v>887</v>
      </c>
      <c r="N624" s="66" t="s">
        <v>2950</v>
      </c>
      <c r="O624" s="66" t="str">
        <f t="shared" ca="1" si="38"/>
        <v>SI</v>
      </c>
      <c r="P624" s="66" t="str">
        <f t="shared" si="36"/>
        <v>DIANOSOL</v>
      </c>
      <c r="Q624" s="66" t="s">
        <v>904</v>
      </c>
      <c r="R624" s="66" t="str">
        <f>VLOOKUP($Q624,Resultados!$A$1:$B$49,2,FALSE)</f>
        <v>Juicio Abreviado</v>
      </c>
      <c r="S624" s="66" t="s">
        <v>1086</v>
      </c>
      <c r="T624" s="75" t="str">
        <f t="shared" si="37"/>
        <v>NO</v>
      </c>
      <c r="U624" s="75"/>
      <c r="V624" s="66"/>
      <c r="W624" s="66" t="s">
        <v>1238</v>
      </c>
      <c r="X624" s="66" t="s">
        <v>2956</v>
      </c>
      <c r="Y624" s="66"/>
      <c r="Z624" s="121" t="s">
        <v>748</v>
      </c>
      <c r="AA624" s="121" t="s">
        <v>1171</v>
      </c>
      <c r="AB624" s="121" t="s">
        <v>1175</v>
      </c>
      <c r="AC624" s="361"/>
    </row>
    <row r="625" spans="1:29" ht="39.950000000000003" customHeight="1" x14ac:dyDescent="0.2">
      <c r="A625" s="66">
        <v>638</v>
      </c>
      <c r="B625" s="68">
        <v>45181</v>
      </c>
      <c r="C625" s="73">
        <v>0.45416666666666666</v>
      </c>
      <c r="D625" s="66" t="s">
        <v>2753</v>
      </c>
      <c r="E625" s="67" t="s">
        <v>2754</v>
      </c>
      <c r="F625" s="66">
        <v>8</v>
      </c>
      <c r="G625" s="66" t="s">
        <v>29</v>
      </c>
      <c r="H625" s="68">
        <v>45194</v>
      </c>
      <c r="I625" s="68" t="s">
        <v>1086</v>
      </c>
      <c r="J625" s="68" t="s">
        <v>1221</v>
      </c>
      <c r="K625" s="210" t="s">
        <v>1925</v>
      </c>
      <c r="L625" s="66" t="s">
        <v>812</v>
      </c>
      <c r="M625" s="66" t="s">
        <v>1087</v>
      </c>
      <c r="N625" s="66" t="s">
        <v>2947</v>
      </c>
      <c r="O625" s="66" t="str">
        <f t="shared" ca="1" si="38"/>
        <v>SI</v>
      </c>
      <c r="P625" s="66" t="str">
        <f t="shared" si="36"/>
        <v>DIANOSOL</v>
      </c>
      <c r="Q625" s="66" t="s">
        <v>899</v>
      </c>
      <c r="R625" s="66" t="str">
        <f>VLOOKUP($Q625,Resultados!$A$1:$B$49,2,FALSE)</f>
        <v>Libertad</v>
      </c>
      <c r="S625" s="66" t="s">
        <v>1084</v>
      </c>
      <c r="T625" s="75" t="str">
        <f t="shared" si="37"/>
        <v>NO</v>
      </c>
      <c r="U625" s="75"/>
      <c r="V625" s="66"/>
      <c r="W625" s="66" t="s">
        <v>1276</v>
      </c>
      <c r="X625" s="66" t="s">
        <v>2948</v>
      </c>
      <c r="Y625" s="66"/>
      <c r="Z625" s="121" t="s">
        <v>770</v>
      </c>
      <c r="AA625" s="121" t="s">
        <v>2852</v>
      </c>
      <c r="AB625" s="121" t="s">
        <v>1174</v>
      </c>
      <c r="AC625" s="361"/>
    </row>
    <row r="626" spans="1:29" ht="39.950000000000003" customHeight="1" x14ac:dyDescent="0.2">
      <c r="A626" s="66">
        <v>642</v>
      </c>
      <c r="B626" s="68">
        <v>45187</v>
      </c>
      <c r="C626" s="73">
        <v>0.37708333333333338</v>
      </c>
      <c r="D626" s="66" t="s">
        <v>2769</v>
      </c>
      <c r="E626" s="67" t="s">
        <v>2770</v>
      </c>
      <c r="F626" s="66">
        <v>7</v>
      </c>
      <c r="G626" s="66" t="s">
        <v>2788</v>
      </c>
      <c r="H626" s="68">
        <v>45194</v>
      </c>
      <c r="I626" s="68" t="s">
        <v>1086</v>
      </c>
      <c r="J626" s="68" t="s">
        <v>33</v>
      </c>
      <c r="K626" s="66">
        <f>IFERROR(VLOOKUP(J626,Jueces!$A$1:$B$11,2,FALSE),"")</f>
        <v>4</v>
      </c>
      <c r="L626" s="66" t="s">
        <v>806</v>
      </c>
      <c r="M626" s="66" t="s">
        <v>767</v>
      </c>
      <c r="N626" s="66" t="s">
        <v>2963</v>
      </c>
      <c r="O626" s="66" t="str">
        <f t="shared" ca="1" si="38"/>
        <v>SI</v>
      </c>
      <c r="P626" s="66" t="str">
        <f t="shared" si="36"/>
        <v>DIANOSOL</v>
      </c>
      <c r="Q626" s="66" t="s">
        <v>904</v>
      </c>
      <c r="R626" s="66" t="str">
        <f>VLOOKUP($Q626,Resultados!$A$1:$B$49,2,FALSE)</f>
        <v>Juicio Abreviado</v>
      </c>
      <c r="S626" s="66" t="s">
        <v>2964</v>
      </c>
      <c r="T626" s="75" t="str">
        <f t="shared" si="37"/>
        <v>NO</v>
      </c>
      <c r="U626" s="75"/>
      <c r="V626" s="66"/>
      <c r="W626" s="66" t="s">
        <v>1510</v>
      </c>
      <c r="X626" s="66"/>
      <c r="Y626" s="66"/>
      <c r="Z626" s="121" t="s">
        <v>2867</v>
      </c>
      <c r="AA626" s="121" t="s">
        <v>1169</v>
      </c>
      <c r="AB626" s="121" t="s">
        <v>1173</v>
      </c>
      <c r="AC626" s="361"/>
    </row>
    <row r="627" spans="1:29" ht="39.950000000000003" customHeight="1" x14ac:dyDescent="0.2">
      <c r="A627" s="66">
        <v>644</v>
      </c>
      <c r="B627" s="68">
        <v>45187</v>
      </c>
      <c r="C627" s="73">
        <v>0.37222222222222223</v>
      </c>
      <c r="D627" s="66" t="s">
        <v>2369</v>
      </c>
      <c r="E627" s="67" t="s">
        <v>2927</v>
      </c>
      <c r="F627" s="66">
        <v>5</v>
      </c>
      <c r="G627" s="66" t="s">
        <v>2838</v>
      </c>
      <c r="H627" s="68">
        <v>45194</v>
      </c>
      <c r="I627" s="68" t="s">
        <v>1086</v>
      </c>
      <c r="J627" s="68" t="s">
        <v>31</v>
      </c>
      <c r="K627" s="66">
        <f>IFERROR(VLOOKUP(J627,Jueces!$A$1:$B$11,2,FALSE),"")</f>
        <v>2</v>
      </c>
      <c r="L627" s="66" t="s">
        <v>405</v>
      </c>
      <c r="M627" s="66" t="s">
        <v>1965</v>
      </c>
      <c r="N627" s="66" t="s">
        <v>2198</v>
      </c>
      <c r="O627" s="66" t="str">
        <f t="shared" ca="1" si="38"/>
        <v>SI</v>
      </c>
      <c r="P627" s="66" t="str">
        <f t="shared" si="36"/>
        <v>DIANOSOL</v>
      </c>
      <c r="Q627" s="66" t="s">
        <v>904</v>
      </c>
      <c r="R627" s="66" t="str">
        <f>VLOOKUP($Q627,Resultados!$A$1:$B$49,2,FALSE)</f>
        <v>Juicio Abreviado</v>
      </c>
      <c r="S627" s="66" t="s">
        <v>1807</v>
      </c>
      <c r="T627" s="75" t="str">
        <f t="shared" si="37"/>
        <v>NO</v>
      </c>
      <c r="U627" s="75"/>
      <c r="V627" s="66"/>
      <c r="W627" s="66" t="s">
        <v>1310</v>
      </c>
      <c r="X627" s="66" t="s">
        <v>2948</v>
      </c>
      <c r="Y627" s="66"/>
      <c r="Z627" s="121" t="s">
        <v>1041</v>
      </c>
      <c r="AA627" s="121" t="s">
        <v>1171</v>
      </c>
      <c r="AB627" s="121" t="s">
        <v>1175</v>
      </c>
      <c r="AC627" s="361"/>
    </row>
    <row r="628" spans="1:29" ht="39.950000000000003" customHeight="1" x14ac:dyDescent="0.2">
      <c r="A628" s="66">
        <v>622</v>
      </c>
      <c r="B628" s="68">
        <v>45180</v>
      </c>
      <c r="C628" s="66" t="s">
        <v>73</v>
      </c>
      <c r="D628" s="66" t="s">
        <v>2714</v>
      </c>
      <c r="E628" s="67" t="s">
        <v>2715</v>
      </c>
      <c r="F628" s="66">
        <v>7</v>
      </c>
      <c r="G628" s="66" t="s">
        <v>1443</v>
      </c>
      <c r="H628" s="68">
        <v>45195</v>
      </c>
      <c r="I628" s="68" t="s">
        <v>73</v>
      </c>
      <c r="J628" s="68" t="s">
        <v>78</v>
      </c>
      <c r="K628" s="66">
        <f>IFERROR(VLOOKUP(J628,Jueces!$A$1:$B$11,2,FALSE),"")</f>
        <v>8</v>
      </c>
      <c r="L628" s="66" t="s">
        <v>688</v>
      </c>
      <c r="M628" s="66" t="s">
        <v>2777</v>
      </c>
      <c r="N628" s="66" t="s">
        <v>2982</v>
      </c>
      <c r="O628" s="66" t="str">
        <f t="shared" ca="1" si="38"/>
        <v>SI</v>
      </c>
      <c r="P628" s="66" t="str">
        <f t="shared" si="36"/>
        <v>DIANOSOL</v>
      </c>
      <c r="Q628" s="66" t="s">
        <v>905</v>
      </c>
      <c r="R628" s="66" t="str">
        <f>VLOOKUP($Q628,Resultados!$A$1:$B$49,2,FALSE)</f>
        <v>Juicio Abreviado</v>
      </c>
      <c r="S628" s="66" t="s">
        <v>1429</v>
      </c>
      <c r="T628" s="75" t="str">
        <f t="shared" ref="T628:T659" si="39">IF(G628=$J$1,"SI","NO")</f>
        <v>NO</v>
      </c>
      <c r="U628" s="75"/>
      <c r="V628" s="66"/>
      <c r="W628" s="66" t="s">
        <v>1234</v>
      </c>
      <c r="X628" s="66" t="s">
        <v>2382</v>
      </c>
      <c r="Y628" s="66"/>
      <c r="Z628" s="121" t="s">
        <v>2895</v>
      </c>
      <c r="AA628" s="121" t="s">
        <v>1169</v>
      </c>
      <c r="AB628" s="121" t="s">
        <v>1177</v>
      </c>
      <c r="AC628" s="361"/>
    </row>
    <row r="629" spans="1:29" ht="39.950000000000003" customHeight="1" x14ac:dyDescent="0.2">
      <c r="A629" s="66">
        <v>629</v>
      </c>
      <c r="B629" s="68">
        <v>45180</v>
      </c>
      <c r="C629" s="73">
        <v>0.43472222222222223</v>
      </c>
      <c r="D629" s="66" t="s">
        <v>2726</v>
      </c>
      <c r="E629" s="67" t="s">
        <v>2917</v>
      </c>
      <c r="F629" s="66">
        <v>7</v>
      </c>
      <c r="G629" s="66" t="s">
        <v>1441</v>
      </c>
      <c r="H629" s="68">
        <v>45195</v>
      </c>
      <c r="I629" s="68" t="s">
        <v>73</v>
      </c>
      <c r="J629" s="68" t="s">
        <v>31</v>
      </c>
      <c r="K629" s="66">
        <f>IFERROR(VLOOKUP(J629,Jueces!$A$1:$B$11,2,FALSE),"")</f>
        <v>2</v>
      </c>
      <c r="L629" s="66" t="s">
        <v>789</v>
      </c>
      <c r="M629" s="66" t="s">
        <v>711</v>
      </c>
      <c r="N629" s="66" t="s">
        <v>2980</v>
      </c>
      <c r="O629" s="66" t="str">
        <f t="shared" ca="1" si="38"/>
        <v>SI</v>
      </c>
      <c r="P629" s="66" t="str">
        <f t="shared" si="36"/>
        <v>DIANOSOL</v>
      </c>
      <c r="Q629" s="66" t="s">
        <v>905</v>
      </c>
      <c r="R629" s="66" t="str">
        <f>VLOOKUP($Q629,Resultados!$A$1:$B$49,2,FALSE)</f>
        <v>Juicio Abreviado</v>
      </c>
      <c r="S629" s="66" t="s">
        <v>1292</v>
      </c>
      <c r="T629" s="75" t="str">
        <f t="shared" si="39"/>
        <v>NO</v>
      </c>
      <c r="U629" s="75"/>
      <c r="V629" s="66"/>
      <c r="W629" s="66" t="s">
        <v>1499</v>
      </c>
      <c r="X629" s="66" t="s">
        <v>2981</v>
      </c>
      <c r="Y629" s="66"/>
      <c r="Z629" s="279" t="s">
        <v>1042</v>
      </c>
      <c r="AA629" s="121" t="s">
        <v>1169</v>
      </c>
      <c r="AB629" s="121" t="s">
        <v>1174</v>
      </c>
      <c r="AC629" s="361"/>
    </row>
    <row r="630" spans="1:29" ht="39.950000000000003" customHeight="1" x14ac:dyDescent="0.2">
      <c r="A630" s="66">
        <v>631</v>
      </c>
      <c r="B630" s="68">
        <v>45181</v>
      </c>
      <c r="C630" s="73">
        <v>0.35000000000000003</v>
      </c>
      <c r="D630" s="66" t="s">
        <v>2739</v>
      </c>
      <c r="E630" s="67" t="s">
        <v>2740</v>
      </c>
      <c r="F630" s="66">
        <v>7</v>
      </c>
      <c r="G630" s="66" t="s">
        <v>29</v>
      </c>
      <c r="H630" s="68">
        <v>45195</v>
      </c>
      <c r="I630" s="68" t="s">
        <v>73</v>
      </c>
      <c r="J630" s="68" t="s">
        <v>33</v>
      </c>
      <c r="K630" s="66">
        <f>IFERROR(VLOOKUP(J630,Jueces!$A$1:$B$11,2,FALSE),"")</f>
        <v>4</v>
      </c>
      <c r="L630" s="66" t="s">
        <v>807</v>
      </c>
      <c r="M630" s="66" t="s">
        <v>767</v>
      </c>
      <c r="N630" s="66" t="s">
        <v>2983</v>
      </c>
      <c r="O630" s="66" t="str">
        <f t="shared" ca="1" si="38"/>
        <v>SI</v>
      </c>
      <c r="P630" s="66" t="str">
        <f t="shared" si="36"/>
        <v>DIANOSOL</v>
      </c>
      <c r="Q630" s="66" t="s">
        <v>904</v>
      </c>
      <c r="R630" s="66" t="str">
        <f>VLOOKUP($Q630,Resultados!$A$1:$B$49,2,FALSE)</f>
        <v>Juicio Abreviado</v>
      </c>
      <c r="S630" s="66" t="s">
        <v>1017</v>
      </c>
      <c r="T630" s="75" t="str">
        <f t="shared" si="39"/>
        <v>NO</v>
      </c>
      <c r="U630" s="75"/>
      <c r="V630" s="66"/>
      <c r="W630" s="66" t="s">
        <v>1065</v>
      </c>
      <c r="X630" s="66" t="s">
        <v>2984</v>
      </c>
      <c r="Y630" s="66"/>
      <c r="Z630" s="121" t="s">
        <v>748</v>
      </c>
      <c r="AA630" s="121" t="s">
        <v>2852</v>
      </c>
      <c r="AB630" s="121" t="s">
        <v>1173</v>
      </c>
      <c r="AC630" s="361"/>
    </row>
    <row r="631" spans="1:29" ht="39.950000000000003" customHeight="1" x14ac:dyDescent="0.2">
      <c r="A631" s="66">
        <v>632</v>
      </c>
      <c r="B631" s="68">
        <v>45181</v>
      </c>
      <c r="C631" s="73">
        <v>0.35972222222222222</v>
      </c>
      <c r="D631" s="66" t="s">
        <v>2741</v>
      </c>
      <c r="E631" s="67" t="s">
        <v>2742</v>
      </c>
      <c r="F631" s="66">
        <v>5</v>
      </c>
      <c r="G631" s="66" t="s">
        <v>43</v>
      </c>
      <c r="H631" s="68">
        <v>45195</v>
      </c>
      <c r="I631" s="68" t="s">
        <v>73</v>
      </c>
      <c r="J631" s="68" t="s">
        <v>1221</v>
      </c>
      <c r="K631" s="210" t="s">
        <v>1925</v>
      </c>
      <c r="L631" s="66" t="s">
        <v>829</v>
      </c>
      <c r="M631" s="66" t="s">
        <v>2703</v>
      </c>
      <c r="N631" s="66" t="s">
        <v>2986</v>
      </c>
      <c r="O631" s="66" t="str">
        <f t="shared" ca="1" si="38"/>
        <v>SI</v>
      </c>
      <c r="P631" s="66" t="str">
        <f t="shared" si="36"/>
        <v>DIANOSOL</v>
      </c>
      <c r="Q631" s="66" t="s">
        <v>151</v>
      </c>
      <c r="R631" s="66" t="str">
        <f>VLOOKUP($Q631,Resultados!$A$1:$B$49,2,FALSE)</f>
        <v>Prisión Preventiva</v>
      </c>
      <c r="S631" s="66" t="s">
        <v>2987</v>
      </c>
      <c r="T631" s="75" t="str">
        <f t="shared" si="39"/>
        <v>NO</v>
      </c>
      <c r="U631" s="75"/>
      <c r="V631" s="66"/>
      <c r="W631" s="66" t="s">
        <v>686</v>
      </c>
      <c r="X631" s="66" t="s">
        <v>2988</v>
      </c>
      <c r="Y631" s="66"/>
      <c r="Z631" s="121" t="s">
        <v>743</v>
      </c>
      <c r="AA631" s="121" t="s">
        <v>2852</v>
      </c>
      <c r="AB631" s="121" t="s">
        <v>1175</v>
      </c>
      <c r="AC631" s="361"/>
    </row>
    <row r="632" spans="1:29" ht="39.950000000000003" customHeight="1" x14ac:dyDescent="0.2">
      <c r="A632" s="66">
        <v>652</v>
      </c>
      <c r="B632" s="68">
        <v>45188</v>
      </c>
      <c r="C632" s="73">
        <v>0.39513888888888887</v>
      </c>
      <c r="D632" s="66" t="s">
        <v>2789</v>
      </c>
      <c r="E632" s="67" t="s">
        <v>2897</v>
      </c>
      <c r="F632" s="66">
        <v>8</v>
      </c>
      <c r="G632" s="66" t="s">
        <v>1442</v>
      </c>
      <c r="H632" s="68">
        <v>45195</v>
      </c>
      <c r="I632" s="68" t="s">
        <v>73</v>
      </c>
      <c r="J632" s="68" t="s">
        <v>35</v>
      </c>
      <c r="K632" s="66">
        <f>IFERROR(VLOOKUP(J632,Jueces!$A$1:$B$11,2,FALSE),"")</f>
        <v>3</v>
      </c>
      <c r="L632" s="66" t="s">
        <v>2088</v>
      </c>
      <c r="M632" s="66" t="s">
        <v>887</v>
      </c>
      <c r="N632" s="66" t="s">
        <v>577</v>
      </c>
      <c r="O632" s="66" t="str">
        <f t="shared" ca="1" si="38"/>
        <v>SI</v>
      </c>
      <c r="P632" s="66" t="str">
        <f t="shared" si="36"/>
        <v>DIANOSOL</v>
      </c>
      <c r="Q632" s="66" t="s">
        <v>151</v>
      </c>
      <c r="R632" s="66" t="str">
        <f>VLOOKUP($Q632,Resultados!$A$1:$B$49,2,FALSE)</f>
        <v>Prisión Preventiva</v>
      </c>
      <c r="S632" s="66" t="s">
        <v>1231</v>
      </c>
      <c r="T632" s="75" t="str">
        <f t="shared" si="39"/>
        <v>SI</v>
      </c>
      <c r="U632" s="75"/>
      <c r="V632" s="66"/>
      <c r="W632" s="66" t="s">
        <v>1210</v>
      </c>
      <c r="X632" s="66"/>
      <c r="Y632" s="66"/>
      <c r="Z632" s="121" t="s">
        <v>770</v>
      </c>
      <c r="AA632" s="121" t="s">
        <v>1171</v>
      </c>
      <c r="AB632" s="121" t="s">
        <v>1177</v>
      </c>
      <c r="AC632" s="361"/>
    </row>
    <row r="633" spans="1:29" ht="39.950000000000003" customHeight="1" x14ac:dyDescent="0.2">
      <c r="A633" s="66">
        <v>633</v>
      </c>
      <c r="B633" s="68">
        <v>45181</v>
      </c>
      <c r="C633" s="73">
        <v>0.42083333333333334</v>
      </c>
      <c r="D633" s="66" t="s">
        <v>2744</v>
      </c>
      <c r="E633" s="67" t="s">
        <v>2798</v>
      </c>
      <c r="F633" s="66">
        <v>8</v>
      </c>
      <c r="G633" s="66" t="s">
        <v>2775</v>
      </c>
      <c r="H633" s="68">
        <v>45195</v>
      </c>
      <c r="I633" s="68" t="s">
        <v>1086</v>
      </c>
      <c r="J633" s="68" t="s">
        <v>1221</v>
      </c>
      <c r="K633" s="210" t="s">
        <v>1925</v>
      </c>
      <c r="L633" s="66" t="s">
        <v>790</v>
      </c>
      <c r="M633" s="66" t="s">
        <v>1087</v>
      </c>
      <c r="N633" s="66" t="s">
        <v>577</v>
      </c>
      <c r="O633" s="66" t="str">
        <f t="shared" ca="1" si="38"/>
        <v>SI</v>
      </c>
      <c r="P633" s="66" t="str">
        <f t="shared" si="36"/>
        <v>DIANOSOL</v>
      </c>
      <c r="Q633" s="66" t="s">
        <v>151</v>
      </c>
      <c r="R633" s="66" t="str">
        <f>VLOOKUP($Q633,Resultados!$A$1:$B$49,2,FALSE)</f>
        <v>Prisión Preventiva</v>
      </c>
      <c r="S633" s="66" t="s">
        <v>1445</v>
      </c>
      <c r="T633" s="75" t="str">
        <f t="shared" si="39"/>
        <v>NO</v>
      </c>
      <c r="U633" s="75"/>
      <c r="V633" s="66"/>
      <c r="W633" s="66" t="s">
        <v>1802</v>
      </c>
      <c r="X633" s="66" t="s">
        <v>2990</v>
      </c>
      <c r="Y633" s="66"/>
      <c r="Z633" s="121" t="s">
        <v>1041</v>
      </c>
      <c r="AA633" s="121" t="s">
        <v>1169</v>
      </c>
      <c r="AB633" s="121" t="s">
        <v>1174</v>
      </c>
      <c r="AC633" s="361"/>
    </row>
    <row r="634" spans="1:29" ht="39.950000000000003" customHeight="1" x14ac:dyDescent="0.2">
      <c r="A634" s="66">
        <v>639</v>
      </c>
      <c r="B634" s="68">
        <v>45181</v>
      </c>
      <c r="C634" s="66" t="s">
        <v>2761</v>
      </c>
      <c r="D634" s="66" t="s">
        <v>2762</v>
      </c>
      <c r="E634" s="67" t="s">
        <v>2763</v>
      </c>
      <c r="F634" s="66">
        <v>8</v>
      </c>
      <c r="G634" s="66" t="s">
        <v>283</v>
      </c>
      <c r="H634" s="68">
        <v>45195</v>
      </c>
      <c r="I634" s="68" t="s">
        <v>1086</v>
      </c>
      <c r="J634" s="68" t="s">
        <v>33</v>
      </c>
      <c r="K634" s="66">
        <f>IFERROR(VLOOKUP(J634,Jueces!$A$1:$B$11,2,FALSE),"")</f>
        <v>4</v>
      </c>
      <c r="L634" s="66" t="s">
        <v>806</v>
      </c>
      <c r="M634" s="66" t="s">
        <v>887</v>
      </c>
      <c r="N634" s="66" t="s">
        <v>2989</v>
      </c>
      <c r="O634" s="66" t="str">
        <f t="shared" ca="1" si="38"/>
        <v>SI</v>
      </c>
      <c r="P634" s="66" t="str">
        <f t="shared" si="36"/>
        <v>DIANOSOL</v>
      </c>
      <c r="Q634" s="66" t="s">
        <v>904</v>
      </c>
      <c r="R634" s="66" t="str">
        <f>VLOOKUP($Q634,Resultados!$A$1:$B$49,2,FALSE)</f>
        <v>Juicio Abreviado</v>
      </c>
      <c r="S634" s="66" t="s">
        <v>2685</v>
      </c>
      <c r="T634" s="75" t="str">
        <f t="shared" si="39"/>
        <v>NO</v>
      </c>
      <c r="U634" s="75"/>
      <c r="V634" s="66"/>
      <c r="W634" s="66" t="s">
        <v>1802</v>
      </c>
      <c r="X634" s="66" t="s">
        <v>2984</v>
      </c>
      <c r="Y634" s="66"/>
      <c r="Z634" s="121" t="s">
        <v>2895</v>
      </c>
      <c r="AA634" s="121" t="s">
        <v>1171</v>
      </c>
      <c r="AB634" s="121" t="s">
        <v>1173</v>
      </c>
      <c r="AC634" s="361"/>
    </row>
    <row r="635" spans="1:29" ht="39.950000000000003" customHeight="1" x14ac:dyDescent="0.2">
      <c r="A635" s="66">
        <v>645</v>
      </c>
      <c r="B635" s="68">
        <v>45187</v>
      </c>
      <c r="C635" s="73">
        <v>0.35972222222222222</v>
      </c>
      <c r="D635" s="66" t="s">
        <v>2778</v>
      </c>
      <c r="E635" s="67" t="s">
        <v>2779</v>
      </c>
      <c r="F635" s="66">
        <v>7</v>
      </c>
      <c r="G635" s="66" t="s">
        <v>2774</v>
      </c>
      <c r="H635" s="68">
        <v>45195</v>
      </c>
      <c r="I635" s="68" t="s">
        <v>1086</v>
      </c>
      <c r="J635" s="68" t="s">
        <v>31</v>
      </c>
      <c r="K635" s="66">
        <f>IFERROR(VLOOKUP(J635,Jueces!$A$1:$B$11,2,FALSE),"")</f>
        <v>2</v>
      </c>
      <c r="L635" s="66" t="s">
        <v>405</v>
      </c>
      <c r="M635" s="66" t="s">
        <v>725</v>
      </c>
      <c r="N635" s="66" t="s">
        <v>2985</v>
      </c>
      <c r="O635" s="66" t="str">
        <f t="shared" ca="1" si="38"/>
        <v>SI</v>
      </c>
      <c r="P635" s="66" t="str">
        <f t="shared" si="36"/>
        <v>DIANOSOL</v>
      </c>
      <c r="Q635" s="66" t="s">
        <v>905</v>
      </c>
      <c r="R635" s="66" t="str">
        <f>VLOOKUP($Q635,Resultados!$A$1:$B$49,2,FALSE)</f>
        <v>Juicio Abreviado</v>
      </c>
      <c r="S635" s="66" t="s">
        <v>1538</v>
      </c>
      <c r="T635" s="75" t="str">
        <f t="shared" si="39"/>
        <v>NO</v>
      </c>
      <c r="U635" s="75"/>
      <c r="V635" s="66"/>
      <c r="W635" s="66" t="s">
        <v>1570</v>
      </c>
      <c r="X635" s="66"/>
      <c r="Y635" s="66"/>
      <c r="Z635" s="121" t="s">
        <v>1042</v>
      </c>
      <c r="AA635" s="121" t="s">
        <v>2852</v>
      </c>
      <c r="AB635" s="121" t="s">
        <v>1175</v>
      </c>
      <c r="AC635" s="361"/>
    </row>
    <row r="636" spans="1:29" ht="39.950000000000003" customHeight="1" x14ac:dyDescent="0.2">
      <c r="A636" s="66">
        <v>635</v>
      </c>
      <c r="B636" s="68">
        <v>45181</v>
      </c>
      <c r="C636" s="73">
        <v>0.38472222222222219</v>
      </c>
      <c r="D636" s="66" t="s">
        <v>2746</v>
      </c>
      <c r="E636" s="67" t="s">
        <v>2759</v>
      </c>
      <c r="F636" s="66">
        <v>7</v>
      </c>
      <c r="G636" s="66" t="s">
        <v>1441</v>
      </c>
      <c r="H636" s="68">
        <v>45196</v>
      </c>
      <c r="I636" s="68" t="s">
        <v>73</v>
      </c>
      <c r="J636" s="68" t="s">
        <v>1221</v>
      </c>
      <c r="K636" s="66" t="s">
        <v>2394</v>
      </c>
      <c r="L636" s="66" t="s">
        <v>688</v>
      </c>
      <c r="M636" s="66" t="s">
        <v>2758</v>
      </c>
      <c r="N636" s="66" t="s">
        <v>577</v>
      </c>
      <c r="O636" s="66" t="str">
        <f t="shared" ca="1" si="38"/>
        <v>SI</v>
      </c>
      <c r="P636" s="66" t="str">
        <f t="shared" si="36"/>
        <v>DIANOSOL</v>
      </c>
      <c r="Q636" s="66" t="s">
        <v>151</v>
      </c>
      <c r="R636" s="66" t="str">
        <f>VLOOKUP($Q636,Resultados!$A$1:$B$49,2,FALSE)</f>
        <v>Prisión Preventiva</v>
      </c>
      <c r="S636" s="66" t="s">
        <v>3010</v>
      </c>
      <c r="T636" s="75" t="str">
        <f t="shared" si="39"/>
        <v>NO</v>
      </c>
      <c r="U636" s="75"/>
      <c r="V636" s="66"/>
      <c r="W636" s="66" t="s">
        <v>1017</v>
      </c>
      <c r="X636" s="66"/>
      <c r="Y636" s="66"/>
      <c r="Z636" s="121" t="s">
        <v>1041</v>
      </c>
      <c r="AA636" s="121" t="s">
        <v>1171</v>
      </c>
      <c r="AB636" s="121" t="s">
        <v>1177</v>
      </c>
      <c r="AC636" s="361"/>
    </row>
    <row r="637" spans="1:29" ht="39.950000000000003" customHeight="1" x14ac:dyDescent="0.2">
      <c r="A637" s="66">
        <v>647</v>
      </c>
      <c r="B637" s="68">
        <v>45187</v>
      </c>
      <c r="C637" s="73">
        <v>0.33333333333333331</v>
      </c>
      <c r="D637" s="66" t="s">
        <v>2781</v>
      </c>
      <c r="E637" s="67" t="s">
        <v>2797</v>
      </c>
      <c r="F637" s="66">
        <v>8</v>
      </c>
      <c r="G637" s="66" t="s">
        <v>2788</v>
      </c>
      <c r="H637" s="68">
        <v>45196</v>
      </c>
      <c r="I637" s="68" t="s">
        <v>73</v>
      </c>
      <c r="J637" s="68" t="s">
        <v>31</v>
      </c>
      <c r="K637" s="66">
        <f>IFERROR(VLOOKUP(J637,Jueces!$A$1:$B$11,2,FALSE),"")</f>
        <v>2</v>
      </c>
      <c r="L637" s="66" t="s">
        <v>3020</v>
      </c>
      <c r="M637" s="66" t="s">
        <v>3019</v>
      </c>
      <c r="N637" s="66" t="s">
        <v>235</v>
      </c>
      <c r="O637" s="81" t="str">
        <f t="shared" ca="1" si="38"/>
        <v>SI</v>
      </c>
      <c r="P637" s="81" t="str">
        <f t="shared" si="36"/>
        <v>DIANOSOL</v>
      </c>
      <c r="Q637" s="66" t="s">
        <v>151</v>
      </c>
      <c r="R637" s="66" t="str">
        <f>VLOOKUP($Q637,Resultados!$A$1:$B$49,2,FALSE)</f>
        <v>Prisión Preventiva</v>
      </c>
      <c r="S637" s="73">
        <v>0.36180555555555555</v>
      </c>
      <c r="T637" s="84" t="str">
        <f t="shared" si="39"/>
        <v>NO</v>
      </c>
      <c r="U637" s="84"/>
      <c r="V637" s="81"/>
      <c r="W637" s="73">
        <v>0.3743055555555555</v>
      </c>
      <c r="X637" s="385" t="s">
        <v>3021</v>
      </c>
      <c r="Y637" s="66"/>
      <c r="Z637" s="121" t="s">
        <v>748</v>
      </c>
      <c r="AA637" s="121" t="s">
        <v>1169</v>
      </c>
      <c r="AB637" s="121" t="s">
        <v>1174</v>
      </c>
      <c r="AC637" s="361"/>
    </row>
    <row r="638" spans="1:29" ht="39.950000000000003" customHeight="1" x14ac:dyDescent="0.2">
      <c r="A638" s="66">
        <v>655</v>
      </c>
      <c r="B638" s="68">
        <v>45187</v>
      </c>
      <c r="C638" s="73">
        <v>0.48333333333333334</v>
      </c>
      <c r="D638" s="66" t="s">
        <v>2804</v>
      </c>
      <c r="E638" s="67" t="s">
        <v>2805</v>
      </c>
      <c r="F638" s="66">
        <v>7</v>
      </c>
      <c r="G638" s="66" t="s">
        <v>43</v>
      </c>
      <c r="H638" s="68">
        <v>45196</v>
      </c>
      <c r="I638" s="68" t="s">
        <v>73</v>
      </c>
      <c r="J638" s="68" t="s">
        <v>78</v>
      </c>
      <c r="K638" s="66">
        <f>IFERROR(VLOOKUP(J638,Jueces!$A$1:$B$11,2,FALSE),"")</f>
        <v>8</v>
      </c>
      <c r="L638" s="66" t="s">
        <v>807</v>
      </c>
      <c r="M638" s="66" t="s">
        <v>767</v>
      </c>
      <c r="N638" s="385" t="s">
        <v>3022</v>
      </c>
      <c r="O638" s="81" t="str">
        <f t="shared" ca="1" si="38"/>
        <v>SI</v>
      </c>
      <c r="P638" s="81" t="str">
        <f t="shared" si="36"/>
        <v>DIANOSOL</v>
      </c>
      <c r="Q638" s="66" t="s">
        <v>904</v>
      </c>
      <c r="R638" s="66" t="str">
        <f>VLOOKUP($Q638,Resultados!$A$1:$B$49,2,FALSE)</f>
        <v>Juicio Abreviado</v>
      </c>
      <c r="S638" s="73">
        <v>0.36041666666666666</v>
      </c>
      <c r="T638" s="84" t="str">
        <f t="shared" si="39"/>
        <v>NO</v>
      </c>
      <c r="U638" s="84"/>
      <c r="V638" s="81"/>
      <c r="W638" s="73">
        <v>0.37222222222222223</v>
      </c>
      <c r="X638" s="66"/>
      <c r="Y638" s="66"/>
      <c r="Z638" s="121" t="s">
        <v>770</v>
      </c>
      <c r="AA638" s="121" t="s">
        <v>2852</v>
      </c>
      <c r="AB638" s="121" t="s">
        <v>1173</v>
      </c>
      <c r="AC638" s="361"/>
    </row>
    <row r="639" spans="1:29" ht="39.950000000000003" customHeight="1" x14ac:dyDescent="0.2">
      <c r="A639" s="66">
        <v>663</v>
      </c>
      <c r="B639" s="68">
        <v>45188</v>
      </c>
      <c r="C639" s="73">
        <v>0.52569444444444446</v>
      </c>
      <c r="D639" s="66" t="s">
        <v>2825</v>
      </c>
      <c r="E639" s="67" t="s">
        <v>2826</v>
      </c>
      <c r="F639" s="66">
        <v>7</v>
      </c>
      <c r="G639" s="66" t="s">
        <v>2775</v>
      </c>
      <c r="H639" s="68">
        <v>45196</v>
      </c>
      <c r="I639" s="68" t="s">
        <v>73</v>
      </c>
      <c r="J639" s="68" t="s">
        <v>2951</v>
      </c>
      <c r="K639" s="66" t="s">
        <v>1925</v>
      </c>
      <c r="L639" s="66" t="s">
        <v>2737</v>
      </c>
      <c r="M639" s="66" t="s">
        <v>1027</v>
      </c>
      <c r="N639" s="210" t="s">
        <v>235</v>
      </c>
      <c r="O639" s="81" t="str">
        <f t="shared" ca="1" si="38"/>
        <v>SI</v>
      </c>
      <c r="P639" s="81" t="str">
        <f t="shared" si="36"/>
        <v>DIANOSOL</v>
      </c>
      <c r="Q639" s="66" t="s">
        <v>151</v>
      </c>
      <c r="R639" s="66" t="str">
        <f>VLOOKUP($Q639,Resultados!$A$1:$B$49,2,FALSE)</f>
        <v>Prisión Preventiva</v>
      </c>
      <c r="S639" s="73">
        <v>0.34583333333333338</v>
      </c>
      <c r="T639" s="84" t="str">
        <f t="shared" si="39"/>
        <v>NO</v>
      </c>
      <c r="U639" s="84"/>
      <c r="V639" s="81"/>
      <c r="W639" s="73">
        <v>0.3756944444444445</v>
      </c>
      <c r="X639" s="66" t="s">
        <v>3018</v>
      </c>
      <c r="Y639" s="66"/>
      <c r="Z639" s="121" t="s">
        <v>743</v>
      </c>
      <c r="AA639" s="121" t="s">
        <v>1171</v>
      </c>
      <c r="AB639" s="121" t="s">
        <v>2979</v>
      </c>
      <c r="AC639" s="361"/>
    </row>
    <row r="640" spans="1:29" ht="39.950000000000003" customHeight="1" x14ac:dyDescent="0.2">
      <c r="A640" s="66">
        <v>646</v>
      </c>
      <c r="B640" s="68">
        <v>45187</v>
      </c>
      <c r="C640" s="73">
        <v>0.34375</v>
      </c>
      <c r="D640" s="66" t="s">
        <v>2780</v>
      </c>
      <c r="E640" s="67" t="s">
        <v>2815</v>
      </c>
      <c r="F640" s="66">
        <v>8</v>
      </c>
      <c r="G640" s="66" t="s">
        <v>2773</v>
      </c>
      <c r="H640" s="68">
        <v>45196</v>
      </c>
      <c r="I640" s="68" t="s">
        <v>1086</v>
      </c>
      <c r="J640" s="68" t="s">
        <v>33</v>
      </c>
      <c r="K640" s="66">
        <f>IFERROR(VLOOKUP(J640,Jueces!$A$1:$B$11,2,FALSE),"")</f>
        <v>4</v>
      </c>
      <c r="L640" s="66" t="s">
        <v>809</v>
      </c>
      <c r="M640" s="66" t="s">
        <v>1087</v>
      </c>
      <c r="N640" s="66" t="s">
        <v>3057</v>
      </c>
      <c r="O640" s="81" t="str">
        <f t="shared" ca="1" si="38"/>
        <v>SI</v>
      </c>
      <c r="P640" s="81" t="str">
        <f t="shared" si="36"/>
        <v>DIANOSOL</v>
      </c>
      <c r="Q640" s="66" t="s">
        <v>905</v>
      </c>
      <c r="R640" s="66" t="str">
        <f>VLOOKUP($Q640,Resultados!$A$1:$B$49,2,FALSE)</f>
        <v>Juicio Abreviado</v>
      </c>
      <c r="S640" s="73">
        <v>0.38541666666666669</v>
      </c>
      <c r="T640" s="84" t="str">
        <f t="shared" si="39"/>
        <v>NO</v>
      </c>
      <c r="U640" s="84"/>
      <c r="V640" s="81"/>
      <c r="W640" s="73">
        <v>0.3972222222222222</v>
      </c>
      <c r="X640" s="268" t="s">
        <v>3017</v>
      </c>
      <c r="Y640" s="66"/>
      <c r="Z640" s="121" t="s">
        <v>2895</v>
      </c>
      <c r="AA640" s="121" t="s">
        <v>2852</v>
      </c>
      <c r="AB640" s="121" t="s">
        <v>1177</v>
      </c>
      <c r="AC640" s="361"/>
    </row>
    <row r="641" spans="1:29" ht="39.950000000000003" customHeight="1" x14ac:dyDescent="0.2">
      <c r="A641" s="66">
        <v>650</v>
      </c>
      <c r="B641" s="68">
        <v>45187</v>
      </c>
      <c r="C641" s="73">
        <v>0.43611111111111112</v>
      </c>
      <c r="D641" s="66" t="s">
        <v>2784</v>
      </c>
      <c r="E641" s="67" t="s">
        <v>2785</v>
      </c>
      <c r="F641" s="66">
        <v>7</v>
      </c>
      <c r="G641" s="66" t="s">
        <v>568</v>
      </c>
      <c r="H641" s="68">
        <v>45196</v>
      </c>
      <c r="I641" s="68" t="s">
        <v>1086</v>
      </c>
      <c r="J641" s="68" t="s">
        <v>31</v>
      </c>
      <c r="K641" s="66">
        <f>IFERROR(VLOOKUP(J641,Jueces!$A$1:$B$11,2,FALSE),"")</f>
        <v>2</v>
      </c>
      <c r="L641" s="66" t="s">
        <v>806</v>
      </c>
      <c r="M641" s="66" t="s">
        <v>2777</v>
      </c>
      <c r="N641" s="210" t="s">
        <v>3014</v>
      </c>
      <c r="O641" s="81" t="str">
        <f t="shared" ca="1" si="38"/>
        <v>SI</v>
      </c>
      <c r="P641" s="81" t="str">
        <f t="shared" si="36"/>
        <v>DIANOSOL</v>
      </c>
      <c r="Q641" s="66" t="s">
        <v>1901</v>
      </c>
      <c r="R641" s="66" t="str">
        <f>VLOOKUP($Q641,Resultados!$A$1:$B$49,2,FALSE)</f>
        <v>Sobreseimiento</v>
      </c>
      <c r="S641" s="73">
        <v>0.44444444444444442</v>
      </c>
      <c r="T641" s="84" t="str">
        <f t="shared" si="39"/>
        <v>NO</v>
      </c>
      <c r="U641" s="84"/>
      <c r="V641" s="81"/>
      <c r="W641" s="73">
        <v>0.4368055555555555</v>
      </c>
      <c r="X641" s="66"/>
      <c r="Y641" s="66"/>
      <c r="Z641" s="121" t="s">
        <v>748</v>
      </c>
      <c r="AA641" s="121" t="s">
        <v>1169</v>
      </c>
      <c r="AB641" s="121" t="s">
        <v>1174</v>
      </c>
      <c r="AC641" s="361"/>
    </row>
    <row r="642" spans="1:29" ht="39.950000000000003" customHeight="1" x14ac:dyDescent="0.2">
      <c r="A642" s="66">
        <v>662</v>
      </c>
      <c r="B642" s="68">
        <v>45188</v>
      </c>
      <c r="C642" s="73">
        <v>0.53055555555555556</v>
      </c>
      <c r="D642" s="66" t="s">
        <v>2823</v>
      </c>
      <c r="E642" s="67" t="s">
        <v>2824</v>
      </c>
      <c r="F642" s="66">
        <v>7</v>
      </c>
      <c r="G642" s="66" t="s">
        <v>2774</v>
      </c>
      <c r="H642" s="68">
        <v>45196</v>
      </c>
      <c r="I642" s="68" t="s">
        <v>1086</v>
      </c>
      <c r="J642" s="68" t="s">
        <v>35</v>
      </c>
      <c r="K642" s="66">
        <f>IFERROR(VLOOKUP(J642,Jueces!$A$1:$B$11,2,FALSE),"")</f>
        <v>3</v>
      </c>
      <c r="L642" s="66" t="s">
        <v>812</v>
      </c>
      <c r="M642" s="66" t="s">
        <v>767</v>
      </c>
      <c r="N642" s="66" t="s">
        <v>3016</v>
      </c>
      <c r="O642" s="81" t="str">
        <f t="shared" ca="1" si="38"/>
        <v>SI</v>
      </c>
      <c r="P642" s="81" t="str">
        <f t="shared" si="36"/>
        <v>DIANOSOL</v>
      </c>
      <c r="Q642" s="66" t="s">
        <v>899</v>
      </c>
      <c r="R642" s="66" t="str">
        <f>VLOOKUP($Q642,Resultados!$A$1:$B$49,2,FALSE)</f>
        <v>Libertad</v>
      </c>
      <c r="S642" s="73">
        <v>0.38472222222222219</v>
      </c>
      <c r="T642" s="84" t="str">
        <f t="shared" si="39"/>
        <v>NO</v>
      </c>
      <c r="U642" s="84"/>
      <c r="V642" s="81"/>
      <c r="W642" s="73">
        <v>0.41736111111111113</v>
      </c>
      <c r="X642" s="66" t="s">
        <v>3015</v>
      </c>
      <c r="Y642" s="66"/>
      <c r="Z642" s="121" t="s">
        <v>1042</v>
      </c>
      <c r="AA642" s="121" t="s">
        <v>1171</v>
      </c>
      <c r="AB642" s="121" t="s">
        <v>1173</v>
      </c>
      <c r="AC642" s="361"/>
    </row>
    <row r="643" spans="1:29" ht="87" customHeight="1" x14ac:dyDescent="0.2">
      <c r="A643" s="66">
        <v>641</v>
      </c>
      <c r="B643" s="68">
        <v>45187</v>
      </c>
      <c r="C643" s="73">
        <v>0.33333333333333331</v>
      </c>
      <c r="D643" s="66" t="s">
        <v>2766</v>
      </c>
      <c r="E643" s="67" t="s">
        <v>2767</v>
      </c>
      <c r="F643" s="66">
        <v>8</v>
      </c>
      <c r="G643" s="66" t="s">
        <v>29</v>
      </c>
      <c r="H643" s="68">
        <v>45196</v>
      </c>
      <c r="I643" s="68" t="s">
        <v>989</v>
      </c>
      <c r="J643" s="68" t="s">
        <v>1221</v>
      </c>
      <c r="K643" s="66" t="s">
        <v>1925</v>
      </c>
      <c r="L643" s="66" t="s">
        <v>2090</v>
      </c>
      <c r="M643" s="66" t="s">
        <v>1087</v>
      </c>
      <c r="N643" s="319" t="s">
        <v>3032</v>
      </c>
      <c r="O643" s="81" t="str">
        <f t="shared" ca="1" si="38"/>
        <v>SI</v>
      </c>
      <c r="P643" s="81" t="str">
        <f t="shared" ref="P643:P706" si="40">IF($P$1=H643,"DIASOL", "DIANOSOL")</f>
        <v>DIANOSOL</v>
      </c>
      <c r="Q643" s="66" t="s">
        <v>904</v>
      </c>
      <c r="R643" s="66" t="str">
        <f>VLOOKUP($Q643,Resultados!$A$1:$B$49,2,FALSE)</f>
        <v>Juicio Abreviado</v>
      </c>
      <c r="S643" s="73">
        <v>0.52430555555555558</v>
      </c>
      <c r="T643" s="84" t="str">
        <f t="shared" si="39"/>
        <v>NO</v>
      </c>
      <c r="U643" s="84"/>
      <c r="V643" s="81"/>
      <c r="W643" s="73">
        <v>0.54097222222222219</v>
      </c>
      <c r="X643" s="226" t="s">
        <v>3031</v>
      </c>
      <c r="Y643" s="66"/>
      <c r="Z643" s="121" t="s">
        <v>743</v>
      </c>
      <c r="AA643" s="121" t="s">
        <v>1171</v>
      </c>
      <c r="AB643" s="121" t="s">
        <v>2979</v>
      </c>
      <c r="AC643" s="361"/>
    </row>
    <row r="644" spans="1:29" ht="39.950000000000003" customHeight="1" x14ac:dyDescent="0.2">
      <c r="A644" s="66">
        <v>649</v>
      </c>
      <c r="B644" s="68">
        <v>45187</v>
      </c>
      <c r="C644" s="73">
        <v>0.44513888888888892</v>
      </c>
      <c r="D644" s="66" t="s">
        <v>2783</v>
      </c>
      <c r="E644" s="67" t="s">
        <v>2827</v>
      </c>
      <c r="F644" s="66">
        <v>8</v>
      </c>
      <c r="G644" s="66" t="s">
        <v>2838</v>
      </c>
      <c r="H644" s="68">
        <v>45197</v>
      </c>
      <c r="I644" s="68" t="s">
        <v>73</v>
      </c>
      <c r="J644" s="68" t="s">
        <v>78</v>
      </c>
      <c r="K644" s="66">
        <f>IFERROR(VLOOKUP(J644,Jueces!$A$1:$B$11,2,FALSE),"")</f>
        <v>8</v>
      </c>
      <c r="L644" s="66" t="s">
        <v>812</v>
      </c>
      <c r="M644" s="66" t="s">
        <v>3019</v>
      </c>
      <c r="N644" s="210" t="s">
        <v>3041</v>
      </c>
      <c r="O644" s="66" t="str">
        <f t="shared" ca="1" si="38"/>
        <v>SI</v>
      </c>
      <c r="P644" s="66" t="str">
        <f t="shared" si="40"/>
        <v>DIANOSOL</v>
      </c>
      <c r="Q644" s="66" t="s">
        <v>904</v>
      </c>
      <c r="R644" s="66" t="str">
        <f>VLOOKUP($Q644,Resultados!$A$1:$B$49,2,FALSE)</f>
        <v>Juicio Abreviado</v>
      </c>
      <c r="S644" s="66" t="s">
        <v>1129</v>
      </c>
      <c r="T644" s="75" t="str">
        <f t="shared" si="39"/>
        <v>NO</v>
      </c>
      <c r="U644" s="75"/>
      <c r="V644" s="66"/>
      <c r="W644" s="66" t="s">
        <v>1378</v>
      </c>
      <c r="X644" s="66" t="s">
        <v>2984</v>
      </c>
      <c r="Y644" s="66"/>
      <c r="Z644" s="121" t="s">
        <v>743</v>
      </c>
      <c r="AA644" s="121" t="s">
        <v>1171</v>
      </c>
      <c r="AB644" s="121" t="s">
        <v>1174</v>
      </c>
      <c r="AC644" s="361"/>
    </row>
    <row r="645" spans="1:29" ht="39.950000000000003" customHeight="1" x14ac:dyDescent="0.2">
      <c r="A645" s="66">
        <v>634</v>
      </c>
      <c r="B645" s="68">
        <v>45181</v>
      </c>
      <c r="C645" s="73">
        <v>0.39930555555555558</v>
      </c>
      <c r="D645" s="66" t="s">
        <v>2745</v>
      </c>
      <c r="E645" s="67" t="s">
        <v>2790</v>
      </c>
      <c r="F645" s="66">
        <v>8</v>
      </c>
      <c r="G645" s="66" t="s">
        <v>1441</v>
      </c>
      <c r="H645" s="68">
        <v>45197</v>
      </c>
      <c r="I645" s="68" t="s">
        <v>1086</v>
      </c>
      <c r="J645" s="68" t="s">
        <v>1225</v>
      </c>
      <c r="K645" s="66">
        <f>IFERROR(VLOOKUP(J645,Jueces!$A$1:$B$11,2,FALSE),"")</f>
        <v>6</v>
      </c>
      <c r="L645" s="66" t="s">
        <v>813</v>
      </c>
      <c r="M645" s="66" t="s">
        <v>1087</v>
      </c>
      <c r="N645" s="210" t="s">
        <v>235</v>
      </c>
      <c r="O645" s="81" t="str">
        <f t="shared" ca="1" si="38"/>
        <v>SI</v>
      </c>
      <c r="P645" s="81" t="str">
        <f t="shared" si="40"/>
        <v>DIANOSOL</v>
      </c>
      <c r="Q645" s="66" t="s">
        <v>151</v>
      </c>
      <c r="R645" s="66" t="str">
        <f>VLOOKUP($Q645,Resultados!$A$1:$B$49,2,FALSE)</f>
        <v>Prisión Preventiva</v>
      </c>
      <c r="S645" s="73">
        <v>0.38194444444444442</v>
      </c>
      <c r="T645" s="84" t="str">
        <f t="shared" si="39"/>
        <v>NO</v>
      </c>
      <c r="U645" s="84"/>
      <c r="V645" s="81"/>
      <c r="W645" s="73">
        <v>0.40138888888888885</v>
      </c>
      <c r="X645" s="66" t="s">
        <v>3073</v>
      </c>
      <c r="Y645" s="66"/>
      <c r="Z645" s="121" t="s">
        <v>2867</v>
      </c>
      <c r="AA645" s="121" t="s">
        <v>2852</v>
      </c>
      <c r="AB645" s="121" t="s">
        <v>1175</v>
      </c>
      <c r="AC645" s="361"/>
    </row>
    <row r="646" spans="1:29" ht="39.950000000000003" customHeight="1" x14ac:dyDescent="0.2">
      <c r="A646" s="66">
        <v>685</v>
      </c>
      <c r="B646" s="68">
        <v>45190</v>
      </c>
      <c r="C646" s="73">
        <v>0.52361111111111114</v>
      </c>
      <c r="D646" s="66" t="s">
        <v>2914</v>
      </c>
      <c r="E646" s="67" t="s">
        <v>2926</v>
      </c>
      <c r="F646" s="66">
        <v>1</v>
      </c>
      <c r="G646" s="66" t="s">
        <v>43</v>
      </c>
      <c r="H646" s="68">
        <v>45197</v>
      </c>
      <c r="I646" s="68" t="s">
        <v>1086</v>
      </c>
      <c r="J646" s="68" t="s">
        <v>31</v>
      </c>
      <c r="K646" s="66">
        <f>IFERROR(VLOOKUP(J646,Jueces!$A$1:$B$11,2,FALSE),"")</f>
        <v>2</v>
      </c>
      <c r="L646" s="66" t="s">
        <v>2737</v>
      </c>
      <c r="M646" s="66" t="s">
        <v>711</v>
      </c>
      <c r="N646" s="210" t="s">
        <v>3071</v>
      </c>
      <c r="O646" s="81" t="str">
        <f t="shared" ca="1" si="38"/>
        <v>SI</v>
      </c>
      <c r="P646" s="81" t="str">
        <f t="shared" si="40"/>
        <v>DIANOSOL</v>
      </c>
      <c r="Q646" s="66" t="s">
        <v>904</v>
      </c>
      <c r="R646" s="66" t="str">
        <f>VLOOKUP($Q646,Resultados!$A$1:$B$49,2,FALSE)</f>
        <v>Juicio Abreviado</v>
      </c>
      <c r="S646" s="73">
        <v>0.41041666666666665</v>
      </c>
      <c r="T646" s="84" t="str">
        <f t="shared" si="39"/>
        <v>NO</v>
      </c>
      <c r="U646" s="84"/>
      <c r="V646" s="81"/>
      <c r="W646" s="73">
        <v>0.42499999999999999</v>
      </c>
      <c r="X646" s="66" t="s">
        <v>3072</v>
      </c>
      <c r="Y646" s="66"/>
      <c r="Z646" s="121" t="s">
        <v>748</v>
      </c>
      <c r="AA646" s="121" t="s">
        <v>1169</v>
      </c>
      <c r="AB646" s="121" t="s">
        <v>1177</v>
      </c>
      <c r="AC646" s="361"/>
    </row>
    <row r="647" spans="1:29" ht="39.950000000000003" customHeight="1" x14ac:dyDescent="0.2">
      <c r="A647" s="66">
        <v>657</v>
      </c>
      <c r="B647" s="68">
        <v>45187</v>
      </c>
      <c r="C647" s="73">
        <v>0.53888888888888886</v>
      </c>
      <c r="D647" s="66" t="s">
        <v>2807</v>
      </c>
      <c r="E647" s="67" t="s">
        <v>2808</v>
      </c>
      <c r="F647" s="66">
        <v>8</v>
      </c>
      <c r="G647" s="66" t="s">
        <v>283</v>
      </c>
      <c r="H647" s="68">
        <v>45197</v>
      </c>
      <c r="I647" s="68" t="s">
        <v>1210</v>
      </c>
      <c r="J647" s="68" t="s">
        <v>78</v>
      </c>
      <c r="K647" s="66">
        <f>IFERROR(VLOOKUP(J647,Jueces!$A$1:$B$11,2,FALSE),"")</f>
        <v>8</v>
      </c>
      <c r="L647" s="66" t="s">
        <v>813</v>
      </c>
      <c r="M647" s="66" t="s">
        <v>2934</v>
      </c>
      <c r="N647" s="66" t="s">
        <v>2736</v>
      </c>
      <c r="O647" s="81" t="str">
        <f t="shared" ca="1" si="38"/>
        <v>SI</v>
      </c>
      <c r="P647" s="81" t="str">
        <f t="shared" si="40"/>
        <v>DIANOSOL</v>
      </c>
      <c r="Q647" s="66" t="s">
        <v>904</v>
      </c>
      <c r="R647" s="66" t="str">
        <f>VLOOKUP($Q647,Resultados!$A$1:$B$49,2,FALSE)</f>
        <v>Juicio Abreviado</v>
      </c>
      <c r="S647" s="66" t="s">
        <v>1230</v>
      </c>
      <c r="T647" s="84" t="str">
        <f t="shared" si="39"/>
        <v>NO</v>
      </c>
      <c r="U647" s="84"/>
      <c r="V647" s="81"/>
      <c r="W647" s="66" t="s">
        <v>2685</v>
      </c>
      <c r="X647" s="66"/>
      <c r="Y647" s="66"/>
      <c r="Z647" s="121" t="s">
        <v>2895</v>
      </c>
      <c r="AA647" s="121" t="s">
        <v>1171</v>
      </c>
      <c r="AB647" s="121" t="s">
        <v>1174</v>
      </c>
      <c r="AC647" s="361"/>
    </row>
    <row r="648" spans="1:29" ht="39.950000000000003" customHeight="1" x14ac:dyDescent="0.2">
      <c r="A648" s="66">
        <v>653</v>
      </c>
      <c r="B648" s="68">
        <v>45187</v>
      </c>
      <c r="C648" s="73">
        <v>0.49722222222222223</v>
      </c>
      <c r="D648" s="66" t="s">
        <v>2801</v>
      </c>
      <c r="E648" s="67" t="s">
        <v>2959</v>
      </c>
      <c r="F648" s="66">
        <v>8</v>
      </c>
      <c r="G648" s="66" t="s">
        <v>1443</v>
      </c>
      <c r="H648" s="68">
        <v>45197</v>
      </c>
      <c r="I648" s="68" t="s">
        <v>989</v>
      </c>
      <c r="J648" s="68" t="s">
        <v>1221</v>
      </c>
      <c r="K648" s="66">
        <f>IFERROR(VLOOKUP(J648,Jueces!$A$1:$B$11,2,FALSE),"")</f>
        <v>7</v>
      </c>
      <c r="L648" s="66" t="s">
        <v>3070</v>
      </c>
      <c r="M648" s="66" t="s">
        <v>1087</v>
      </c>
      <c r="N648" s="210" t="s">
        <v>235</v>
      </c>
      <c r="O648" s="81" t="str">
        <f t="shared" ca="1" si="38"/>
        <v>SI</v>
      </c>
      <c r="P648" s="81" t="str">
        <f t="shared" si="40"/>
        <v>DIANOSOL</v>
      </c>
      <c r="Q648" s="66" t="s">
        <v>151</v>
      </c>
      <c r="R648" s="66" t="str">
        <f>VLOOKUP($Q648,Resultados!$A$1:$B$49,2,FALSE)</f>
        <v>Prisión Preventiva</v>
      </c>
      <c r="S648" s="73">
        <v>0.49652777777777773</v>
      </c>
      <c r="T648" s="84" t="str">
        <f t="shared" si="39"/>
        <v>NO</v>
      </c>
      <c r="U648" s="84"/>
      <c r="V648" s="81"/>
      <c r="W648" s="73">
        <v>0.51736111111111105</v>
      </c>
      <c r="X648" s="66"/>
      <c r="Y648" s="66"/>
      <c r="Z648" s="121" t="s">
        <v>770</v>
      </c>
      <c r="AA648" s="121" t="s">
        <v>1169</v>
      </c>
      <c r="AB648" s="121" t="s">
        <v>1173</v>
      </c>
      <c r="AC648" s="361"/>
    </row>
    <row r="649" spans="1:29" ht="39.950000000000003" customHeight="1" x14ac:dyDescent="0.2">
      <c r="A649" s="66">
        <v>593</v>
      </c>
      <c r="B649" s="68">
        <v>45174</v>
      </c>
      <c r="C649" s="73">
        <v>0.40347222222222223</v>
      </c>
      <c r="D649" s="66" t="s">
        <v>2760</v>
      </c>
      <c r="E649" s="67" t="s">
        <v>2634</v>
      </c>
      <c r="F649" s="66">
        <v>8</v>
      </c>
      <c r="G649" s="66" t="s">
        <v>2773</v>
      </c>
      <c r="H649" s="68">
        <v>45198</v>
      </c>
      <c r="I649" s="68" t="s">
        <v>73</v>
      </c>
      <c r="J649" s="68" t="s">
        <v>33</v>
      </c>
      <c r="K649" s="66">
        <f>IFERROR(VLOOKUP(J649,Jueces!$A$1:$B$11,2,FALSE),"")</f>
        <v>4</v>
      </c>
      <c r="L649" s="66" t="s">
        <v>813</v>
      </c>
      <c r="M649" s="66" t="s">
        <v>1032</v>
      </c>
      <c r="N649" s="66" t="s">
        <v>3080</v>
      </c>
      <c r="O649" s="66" t="str">
        <f t="shared" ca="1" si="38"/>
        <v>SI</v>
      </c>
      <c r="P649" s="66" t="str">
        <f t="shared" si="40"/>
        <v>DIANOSOL</v>
      </c>
      <c r="Q649" s="66" t="s">
        <v>905</v>
      </c>
      <c r="R649" s="66" t="str">
        <f>VLOOKUP($Q649,Resultados!$A$1:$B$49,2,FALSE)</f>
        <v>Juicio Abreviado</v>
      </c>
      <c r="S649" s="66" t="s">
        <v>1014</v>
      </c>
      <c r="T649" s="75" t="str">
        <f t="shared" si="39"/>
        <v>NO</v>
      </c>
      <c r="U649" s="75"/>
      <c r="V649" s="66"/>
      <c r="W649" s="66" t="s">
        <v>1017</v>
      </c>
      <c r="X649" s="66" t="s">
        <v>3081</v>
      </c>
      <c r="Y649" s="66"/>
      <c r="Z649" s="336" t="s">
        <v>1041</v>
      </c>
      <c r="AA649" s="121" t="s">
        <v>1169</v>
      </c>
      <c r="AB649" s="121" t="s">
        <v>1175</v>
      </c>
      <c r="AC649" s="361"/>
    </row>
    <row r="650" spans="1:29" ht="39.950000000000003" customHeight="1" x14ac:dyDescent="0.2">
      <c r="A650" s="66">
        <v>624</v>
      </c>
      <c r="B650" s="68">
        <v>45180</v>
      </c>
      <c r="C650" s="73">
        <v>0.38611111111111113</v>
      </c>
      <c r="D650" s="66" t="s">
        <v>2718</v>
      </c>
      <c r="E650" s="67" t="s">
        <v>2733</v>
      </c>
      <c r="F650" s="66">
        <v>3</v>
      </c>
      <c r="G650" s="66" t="s">
        <v>2788</v>
      </c>
      <c r="H650" s="68">
        <v>45198</v>
      </c>
      <c r="I650" s="68" t="s">
        <v>73</v>
      </c>
      <c r="J650" s="68" t="s">
        <v>35</v>
      </c>
      <c r="K650" s="66">
        <f>IFERROR(VLOOKUP(J650,Jueces!$A$1:$B$11,2,FALSE),"")</f>
        <v>3</v>
      </c>
      <c r="L650" s="66" t="s">
        <v>802</v>
      </c>
      <c r="M650" s="66" t="s">
        <v>2734</v>
      </c>
      <c r="N650" s="66" t="s">
        <v>577</v>
      </c>
      <c r="O650" s="66" t="str">
        <f t="shared" ca="1" si="38"/>
        <v>SI</v>
      </c>
      <c r="P650" s="66" t="str">
        <f t="shared" si="40"/>
        <v>DIANOSOL</v>
      </c>
      <c r="Q650" s="66" t="s">
        <v>151</v>
      </c>
      <c r="R650" s="66" t="str">
        <f>VLOOKUP($Q650,Resultados!$A$1:$B$49,2,FALSE)</f>
        <v>Prisión Preventiva</v>
      </c>
      <c r="S650" s="66" t="s">
        <v>1587</v>
      </c>
      <c r="T650" s="75" t="str">
        <f t="shared" si="39"/>
        <v>NO</v>
      </c>
      <c r="U650" s="75"/>
      <c r="V650" s="66"/>
      <c r="W650" s="66" t="s">
        <v>1015</v>
      </c>
      <c r="X650" s="66" t="s">
        <v>2896</v>
      </c>
      <c r="Y650" s="66"/>
      <c r="Z650" s="336" t="s">
        <v>2895</v>
      </c>
      <c r="AA650" s="121" t="s">
        <v>1169</v>
      </c>
      <c r="AB650" s="121" t="s">
        <v>1177</v>
      </c>
      <c r="AC650" s="361"/>
    </row>
    <row r="651" spans="1:29" ht="76.5" x14ac:dyDescent="0.2">
      <c r="A651" s="66">
        <v>659</v>
      </c>
      <c r="B651" s="68">
        <v>45188</v>
      </c>
      <c r="C651" s="73">
        <v>0.37986111111111115</v>
      </c>
      <c r="D651" s="66" t="s">
        <v>2810</v>
      </c>
      <c r="E651" s="67" t="s">
        <v>2871</v>
      </c>
      <c r="F651" s="66">
        <v>4</v>
      </c>
      <c r="G651" s="66" t="s">
        <v>283</v>
      </c>
      <c r="H651" s="68">
        <v>45198</v>
      </c>
      <c r="I651" s="68" t="s">
        <v>73</v>
      </c>
      <c r="J651" s="68" t="s">
        <v>31</v>
      </c>
      <c r="K651" s="66">
        <f>IFERROR(VLOOKUP(J651,Jueces!$A$1:$B$11,2,FALSE),"")</f>
        <v>2</v>
      </c>
      <c r="L651" s="66" t="s">
        <v>798</v>
      </c>
      <c r="M651" s="66" t="s">
        <v>887</v>
      </c>
      <c r="N651" s="66" t="s">
        <v>577</v>
      </c>
      <c r="O651" s="66" t="str">
        <f t="shared" ca="1" si="38"/>
        <v>SI</v>
      </c>
      <c r="P651" s="66" t="str">
        <f t="shared" si="40"/>
        <v>DIANOSOL</v>
      </c>
      <c r="Q651" s="66" t="s">
        <v>151</v>
      </c>
      <c r="R651" s="66" t="str">
        <f>VLOOKUP($Q651,Resultados!$A$1:$B$49,2,FALSE)</f>
        <v>Prisión Preventiva</v>
      </c>
      <c r="S651" s="66" t="s">
        <v>1246</v>
      </c>
      <c r="T651" s="75" t="str">
        <f t="shared" si="39"/>
        <v>NO</v>
      </c>
      <c r="U651" s="75"/>
      <c r="V651" s="66"/>
      <c r="W651" s="66" t="s">
        <v>1065</v>
      </c>
      <c r="X651" s="66"/>
      <c r="Y651" s="66"/>
      <c r="Z651" s="336" t="s">
        <v>2867</v>
      </c>
      <c r="AA651" s="121" t="s">
        <v>1171</v>
      </c>
      <c r="AB651" s="121" t="s">
        <v>1174</v>
      </c>
      <c r="AC651" s="361"/>
    </row>
    <row r="652" spans="1:29" ht="89.25" x14ac:dyDescent="0.2">
      <c r="A652" s="66">
        <v>669</v>
      </c>
      <c r="B652" s="68">
        <v>45189</v>
      </c>
      <c r="C652" s="73">
        <v>0.4381944444444445</v>
      </c>
      <c r="D652" s="66" t="s">
        <v>2847</v>
      </c>
      <c r="E652" s="67" t="s">
        <v>3060</v>
      </c>
      <c r="F652" s="66">
        <v>8</v>
      </c>
      <c r="G652" s="66" t="s">
        <v>29</v>
      </c>
      <c r="H652" s="68">
        <v>45198</v>
      </c>
      <c r="I652" s="68" t="s">
        <v>73</v>
      </c>
      <c r="J652" s="68" t="s">
        <v>78</v>
      </c>
      <c r="K652" s="66">
        <f>IFERROR(VLOOKUP(J652,Jueces!$A$1:$B$11,2,FALSE),"")</f>
        <v>8</v>
      </c>
      <c r="L652" s="66" t="s">
        <v>791</v>
      </c>
      <c r="M652" s="66" t="s">
        <v>1087</v>
      </c>
      <c r="N652" s="66" t="s">
        <v>3082</v>
      </c>
      <c r="O652" s="66" t="str">
        <f t="shared" ca="1" si="38"/>
        <v>SI</v>
      </c>
      <c r="P652" s="66" t="str">
        <f t="shared" si="40"/>
        <v>DIANOSOL</v>
      </c>
      <c r="Q652" s="66" t="s">
        <v>905</v>
      </c>
      <c r="R652" s="66" t="str">
        <f>VLOOKUP($Q652,Resultados!$A$1:$B$49,2,FALSE)</f>
        <v>Juicio Abreviado</v>
      </c>
      <c r="S652" s="66" t="s">
        <v>1134</v>
      </c>
      <c r="T652" s="75" t="str">
        <f t="shared" si="39"/>
        <v>NO</v>
      </c>
      <c r="U652" s="75"/>
      <c r="V652" s="66"/>
      <c r="W652" s="66" t="s">
        <v>1086</v>
      </c>
      <c r="X652" s="66" t="s">
        <v>2571</v>
      </c>
      <c r="Y652" s="66"/>
      <c r="Z652" s="336" t="s">
        <v>1042</v>
      </c>
      <c r="AA652" s="121" t="s">
        <v>1169</v>
      </c>
      <c r="AB652" s="121" t="s">
        <v>1173</v>
      </c>
      <c r="AC652" s="361"/>
    </row>
    <row r="653" spans="1:29" ht="127.5" x14ac:dyDescent="0.2">
      <c r="A653" s="66">
        <v>651</v>
      </c>
      <c r="B653" s="68">
        <v>45187</v>
      </c>
      <c r="C653" s="73">
        <v>0.43333333333333335</v>
      </c>
      <c r="D653" s="66" t="s">
        <v>2786</v>
      </c>
      <c r="E653" s="67" t="s">
        <v>2787</v>
      </c>
      <c r="F653" s="66">
        <v>8</v>
      </c>
      <c r="G653" s="66" t="s">
        <v>1443</v>
      </c>
      <c r="H653" s="68">
        <v>45198</v>
      </c>
      <c r="I653" s="68" t="s">
        <v>1086</v>
      </c>
      <c r="J653" s="68" t="s">
        <v>1225</v>
      </c>
      <c r="K653" s="66">
        <f>IFERROR(VLOOKUP(J653,Jueces!$A$1:$B$11,2,FALSE),"")</f>
        <v>6</v>
      </c>
      <c r="L653" s="66" t="s">
        <v>2094</v>
      </c>
      <c r="M653" s="66" t="s">
        <v>2828</v>
      </c>
      <c r="N653" s="66" t="s">
        <v>577</v>
      </c>
      <c r="O653" s="66" t="str">
        <f t="shared" ca="1" si="38"/>
        <v>SI</v>
      </c>
      <c r="P653" s="66" t="str">
        <f t="shared" si="40"/>
        <v>DIANOSOL</v>
      </c>
      <c r="Q653" s="66" t="s">
        <v>151</v>
      </c>
      <c r="R653" s="66" t="str">
        <f>VLOOKUP($Q653,Resultados!$A$1:$B$49,2,FALSE)</f>
        <v>Prisión Preventiva</v>
      </c>
      <c r="S653" s="66" t="s">
        <v>1497</v>
      </c>
      <c r="T653" s="75" t="str">
        <f t="shared" si="39"/>
        <v>NO</v>
      </c>
      <c r="U653" s="75"/>
      <c r="V653" s="66"/>
      <c r="W653" s="66" t="s">
        <v>1806</v>
      </c>
      <c r="X653" s="66"/>
      <c r="Y653" s="66"/>
      <c r="Z653" s="336" t="s">
        <v>770</v>
      </c>
      <c r="AA653" s="121" t="s">
        <v>2852</v>
      </c>
      <c r="AB653" s="121" t="s">
        <v>1175</v>
      </c>
      <c r="AC653" s="361"/>
    </row>
    <row r="654" spans="1:29" ht="63.75" x14ac:dyDescent="0.2">
      <c r="A654" s="66">
        <v>658</v>
      </c>
      <c r="B654" s="68">
        <v>45187</v>
      </c>
      <c r="C654" s="73">
        <v>0.54513888888888895</v>
      </c>
      <c r="D654" s="66" t="s">
        <v>2809</v>
      </c>
      <c r="E654" s="67" t="s">
        <v>2890</v>
      </c>
      <c r="F654" s="66">
        <v>8</v>
      </c>
      <c r="G654" s="66" t="s">
        <v>43</v>
      </c>
      <c r="H654" s="68">
        <v>45198</v>
      </c>
      <c r="I654" s="68" t="s">
        <v>1086</v>
      </c>
      <c r="J654" s="68" t="s">
        <v>2951</v>
      </c>
      <c r="K654" s="66" t="s">
        <v>1520</v>
      </c>
      <c r="L654" s="66" t="s">
        <v>789</v>
      </c>
      <c r="M654" s="66" t="s">
        <v>767</v>
      </c>
      <c r="N654" s="66" t="s">
        <v>577</v>
      </c>
      <c r="O654" s="66" t="str">
        <f t="shared" ca="1" si="38"/>
        <v>SI</v>
      </c>
      <c r="P654" s="66" t="str">
        <f t="shared" si="40"/>
        <v>DIANOSOL</v>
      </c>
      <c r="Q654" s="66" t="s">
        <v>151</v>
      </c>
      <c r="R654" s="66" t="str">
        <f>VLOOKUP($Q654,Resultados!$A$1:$B$49,2,FALSE)</f>
        <v>Prisión Preventiva</v>
      </c>
      <c r="S654" s="66" t="s">
        <v>1538</v>
      </c>
      <c r="T654" s="75" t="str">
        <f t="shared" si="39"/>
        <v>NO</v>
      </c>
      <c r="U654" s="75"/>
      <c r="V654" s="66"/>
      <c r="W654" s="66" t="s">
        <v>75</v>
      </c>
      <c r="X654" s="66"/>
      <c r="Y654" s="66"/>
      <c r="Z654" s="336" t="s">
        <v>2867</v>
      </c>
      <c r="AA654" s="121" t="s">
        <v>1171</v>
      </c>
      <c r="AB654" s="121" t="s">
        <v>1177</v>
      </c>
      <c r="AC654" s="361"/>
    </row>
    <row r="655" spans="1:29" ht="51" x14ac:dyDescent="0.2">
      <c r="A655" s="66">
        <v>672</v>
      </c>
      <c r="B655" s="68">
        <v>45188</v>
      </c>
      <c r="C655" s="73">
        <v>0.53819444444444442</v>
      </c>
      <c r="D655" s="66" t="s">
        <v>2851</v>
      </c>
      <c r="E655" s="67" t="s">
        <v>2853</v>
      </c>
      <c r="F655" s="66">
        <v>8</v>
      </c>
      <c r="G655" s="66" t="s">
        <v>2838</v>
      </c>
      <c r="H655" s="68">
        <v>45198</v>
      </c>
      <c r="I655" s="68" t="s">
        <v>1086</v>
      </c>
      <c r="J655" s="68" t="s">
        <v>1732</v>
      </c>
      <c r="K655" s="66" t="s">
        <v>2304</v>
      </c>
      <c r="L655" s="66" t="s">
        <v>2737</v>
      </c>
      <c r="M655" s="66" t="s">
        <v>887</v>
      </c>
      <c r="N655" s="66" t="s">
        <v>3083</v>
      </c>
      <c r="O655" s="66" t="str">
        <f t="shared" ca="1" si="38"/>
        <v>SI</v>
      </c>
      <c r="P655" s="66" t="str">
        <f t="shared" si="40"/>
        <v>DIANOSOL</v>
      </c>
      <c r="Q655" s="66" t="s">
        <v>905</v>
      </c>
      <c r="R655" s="66" t="str">
        <f>VLOOKUP($Q655,Resultados!$A$1:$B$49,2,FALSE)</f>
        <v>Juicio Abreviado</v>
      </c>
      <c r="S655" s="66" t="s">
        <v>1609</v>
      </c>
      <c r="T655" s="75" t="str">
        <f t="shared" si="39"/>
        <v>NO</v>
      </c>
      <c r="U655" s="75"/>
      <c r="V655" s="66"/>
      <c r="W655" s="66" t="s">
        <v>1337</v>
      </c>
      <c r="X655" s="66" t="s">
        <v>2253</v>
      </c>
      <c r="Y655" s="66"/>
      <c r="Z655" s="336" t="s">
        <v>1041</v>
      </c>
      <c r="AA655" s="121" t="s">
        <v>2852</v>
      </c>
      <c r="AB655" s="121" t="s">
        <v>1174</v>
      </c>
      <c r="AC655" s="361"/>
    </row>
    <row r="656" spans="1:29" ht="48" customHeight="1" x14ac:dyDescent="0.2">
      <c r="A656" s="66">
        <v>660</v>
      </c>
      <c r="B656" s="68">
        <v>45188</v>
      </c>
      <c r="C656" s="73">
        <v>0.48194444444444445</v>
      </c>
      <c r="D656" s="66" t="s">
        <v>2817</v>
      </c>
      <c r="E656" s="67" t="s">
        <v>2889</v>
      </c>
      <c r="F656" s="66">
        <v>8</v>
      </c>
      <c r="G656" s="66" t="s">
        <v>1442</v>
      </c>
      <c r="H656" s="68">
        <v>45198</v>
      </c>
      <c r="I656" s="68" t="s">
        <v>989</v>
      </c>
      <c r="J656" s="68" t="s">
        <v>31</v>
      </c>
      <c r="K656" s="66">
        <f>IFERROR(VLOOKUP(J656,Jueces!$A$1:$B$11,2,FALSE),"")</f>
        <v>2</v>
      </c>
      <c r="L656" s="66" t="s">
        <v>807</v>
      </c>
      <c r="M656" s="66" t="s">
        <v>887</v>
      </c>
      <c r="N656" s="66" t="s">
        <v>3097</v>
      </c>
      <c r="O656" s="66" t="str">
        <f t="shared" ca="1" si="38"/>
        <v>SI</v>
      </c>
      <c r="P656" s="66" t="str">
        <f t="shared" si="40"/>
        <v>DIANOSOL</v>
      </c>
      <c r="Q656" s="66" t="s">
        <v>904</v>
      </c>
      <c r="R656" s="66" t="str">
        <f>VLOOKUP($Q656,Resultados!$A$1:$B$49,2,FALSE)</f>
        <v>Juicio Abreviado</v>
      </c>
      <c r="S656" s="66" t="s">
        <v>228</v>
      </c>
      <c r="T656" s="75" t="str">
        <f t="shared" si="39"/>
        <v>SI</v>
      </c>
      <c r="U656" s="75"/>
      <c r="V656" s="66"/>
      <c r="W656" s="66" t="s">
        <v>2210</v>
      </c>
      <c r="X656" s="66"/>
      <c r="Y656" s="66"/>
      <c r="Z656" s="336" t="s">
        <v>770</v>
      </c>
      <c r="AA656" s="121" t="s">
        <v>1171</v>
      </c>
      <c r="AB656" s="121" t="s">
        <v>1173</v>
      </c>
      <c r="AC656" s="361"/>
    </row>
    <row r="657" spans="1:29" ht="51" x14ac:dyDescent="0.2">
      <c r="A657" s="66">
        <v>670</v>
      </c>
      <c r="B657" s="68">
        <v>45189</v>
      </c>
      <c r="C657" s="73">
        <v>0.4368055555555555</v>
      </c>
      <c r="D657" s="66" t="s">
        <v>2848</v>
      </c>
      <c r="E657" s="67" t="s">
        <v>2849</v>
      </c>
      <c r="F657" s="66">
        <v>8</v>
      </c>
      <c r="G657" s="66" t="s">
        <v>2775</v>
      </c>
      <c r="H657" s="68">
        <v>45198</v>
      </c>
      <c r="I657" s="68" t="s">
        <v>2020</v>
      </c>
      <c r="J657" s="68" t="s">
        <v>33</v>
      </c>
      <c r="K657" s="66">
        <f>IFERROR(VLOOKUP(J657,Jueces!$A$1:$B$11,2,FALSE),"")</f>
        <v>4</v>
      </c>
      <c r="L657" s="66" t="s">
        <v>800</v>
      </c>
      <c r="M657" s="66" t="s">
        <v>2991</v>
      </c>
      <c r="N657" s="66" t="s">
        <v>3095</v>
      </c>
      <c r="O657" s="66" t="str">
        <f t="shared" ca="1" si="38"/>
        <v>SI</v>
      </c>
      <c r="P657" s="66" t="str">
        <f t="shared" si="40"/>
        <v>DIANOSOL</v>
      </c>
      <c r="Q657" s="66" t="s">
        <v>151</v>
      </c>
      <c r="R657" s="66" t="str">
        <f>VLOOKUP($Q657,Resultados!$A$1:$B$49,2,FALSE)</f>
        <v>Prisión Preventiva</v>
      </c>
      <c r="S657" s="66" t="s">
        <v>3096</v>
      </c>
      <c r="T657" s="75" t="str">
        <f t="shared" si="39"/>
        <v>NO</v>
      </c>
      <c r="U657" s="75"/>
      <c r="V657" s="66"/>
      <c r="W657" s="73">
        <v>0.48194444444444445</v>
      </c>
      <c r="X657" s="66"/>
      <c r="Y657" s="66"/>
      <c r="Z657" s="336" t="s">
        <v>2867</v>
      </c>
      <c r="AA657" s="121" t="s">
        <v>2852</v>
      </c>
      <c r="AB657" s="121" t="s">
        <v>1175</v>
      </c>
      <c r="AC657" s="361"/>
    </row>
    <row r="658" spans="1:29" ht="114.75" x14ac:dyDescent="0.2">
      <c r="A658" s="66">
        <v>628</v>
      </c>
      <c r="B658" s="68">
        <v>45180</v>
      </c>
      <c r="C658" s="73">
        <v>0.44236111111111115</v>
      </c>
      <c r="D658" s="66" t="s">
        <v>2724</v>
      </c>
      <c r="E658" s="67" t="s">
        <v>2725</v>
      </c>
      <c r="F658" s="66">
        <v>7</v>
      </c>
      <c r="G658" s="66" t="s">
        <v>2775</v>
      </c>
      <c r="H658" s="68">
        <v>45201</v>
      </c>
      <c r="I658" s="68" t="s">
        <v>73</v>
      </c>
      <c r="J658" s="68" t="s">
        <v>35</v>
      </c>
      <c r="K658" s="66">
        <f>IFERROR(VLOOKUP(J658,Jueces!$A$1:$B$11,2,FALSE),"")</f>
        <v>3</v>
      </c>
      <c r="L658" s="66" t="s">
        <v>810</v>
      </c>
      <c r="M658" s="66" t="s">
        <v>2768</v>
      </c>
      <c r="N658" s="66" t="s">
        <v>235</v>
      </c>
      <c r="O658" s="81" t="str">
        <f t="shared" ca="1" si="38"/>
        <v>SI</v>
      </c>
      <c r="P658" s="81" t="str">
        <f t="shared" si="40"/>
        <v>DIANOSOL</v>
      </c>
      <c r="Q658" s="66" t="s">
        <v>151</v>
      </c>
      <c r="R658" s="66" t="str">
        <f>VLOOKUP($Q658,Resultados!$A$1:$B$49,2,FALSE)</f>
        <v>Prisión Preventiva</v>
      </c>
      <c r="S658" s="73">
        <v>0.51180555555555551</v>
      </c>
      <c r="T658" s="84" t="str">
        <f t="shared" si="39"/>
        <v>NO</v>
      </c>
      <c r="U658" s="84"/>
      <c r="V658" s="81"/>
      <c r="W658" s="73">
        <v>0.52986111111111112</v>
      </c>
      <c r="X658" s="385" t="s">
        <v>3120</v>
      </c>
      <c r="Y658" s="66"/>
      <c r="Z658" s="336" t="s">
        <v>1041</v>
      </c>
      <c r="AA658" s="121" t="s">
        <v>1169</v>
      </c>
      <c r="AB658" s="121" t="s">
        <v>1177</v>
      </c>
      <c r="AC658" s="361"/>
    </row>
    <row r="659" spans="1:29" ht="63.75" x14ac:dyDescent="0.2">
      <c r="A659" s="66">
        <v>668</v>
      </c>
      <c r="B659" s="68">
        <v>45189</v>
      </c>
      <c r="C659" s="73">
        <v>0.47430555555555554</v>
      </c>
      <c r="D659" s="66" t="s">
        <v>2846</v>
      </c>
      <c r="E659" s="67" t="s">
        <v>2888</v>
      </c>
      <c r="F659" s="66">
        <v>1</v>
      </c>
      <c r="G659" s="66" t="s">
        <v>2773</v>
      </c>
      <c r="H659" s="68">
        <v>45201</v>
      </c>
      <c r="I659" s="68" t="s">
        <v>73</v>
      </c>
      <c r="J659" s="68" t="s">
        <v>33</v>
      </c>
      <c r="K659" s="66">
        <f>IFERROR(VLOOKUP(J659,Jueces!$A$1:$B$11,2,FALSE),"")</f>
        <v>4</v>
      </c>
      <c r="L659" s="66" t="s">
        <v>809</v>
      </c>
      <c r="M659" s="66" t="s">
        <v>3019</v>
      </c>
      <c r="N659" s="66" t="s">
        <v>3124</v>
      </c>
      <c r="O659" s="81" t="str">
        <f t="shared" ca="1" si="38"/>
        <v>SI</v>
      </c>
      <c r="P659" s="81" t="str">
        <f t="shared" si="40"/>
        <v>DIANOSOL</v>
      </c>
      <c r="Q659" s="66" t="s">
        <v>904</v>
      </c>
      <c r="R659" s="66" t="str">
        <f>VLOOKUP($Q659,Resultados!$A$1:$B$49,2,FALSE)</f>
        <v>Juicio Abreviado</v>
      </c>
      <c r="S659" s="73">
        <v>0.42499999999999999</v>
      </c>
      <c r="T659" s="84" t="str">
        <f t="shared" si="39"/>
        <v>NO</v>
      </c>
      <c r="U659" s="84"/>
      <c r="V659" s="81"/>
      <c r="W659" s="73">
        <v>0.43402777777777773</v>
      </c>
      <c r="X659" s="385" t="s">
        <v>3125</v>
      </c>
      <c r="Y659" s="66"/>
      <c r="Z659" s="336" t="s">
        <v>2867</v>
      </c>
      <c r="AA659" s="121" t="s">
        <v>1171</v>
      </c>
      <c r="AB659" s="121" t="s">
        <v>1174</v>
      </c>
      <c r="AC659" s="361"/>
    </row>
    <row r="660" spans="1:29" ht="39.950000000000003" customHeight="1" x14ac:dyDescent="0.2">
      <c r="A660" s="66">
        <v>691</v>
      </c>
      <c r="B660" s="68">
        <v>45191</v>
      </c>
      <c r="C660" s="73">
        <v>0.48749999999999999</v>
      </c>
      <c r="D660" s="66" t="s">
        <v>2929</v>
      </c>
      <c r="E660" s="67" t="s">
        <v>3026</v>
      </c>
      <c r="F660" s="66">
        <v>5</v>
      </c>
      <c r="G660" s="66" t="s">
        <v>1443</v>
      </c>
      <c r="H660" s="68">
        <v>45201</v>
      </c>
      <c r="I660" s="68" t="s">
        <v>73</v>
      </c>
      <c r="J660" s="68" t="s">
        <v>78</v>
      </c>
      <c r="K660" s="66">
        <f>IFERROR(VLOOKUP(J660,Jueces!$A$1:$B$11,2,FALSE),"")</f>
        <v>8</v>
      </c>
      <c r="L660" s="66" t="s">
        <v>1306</v>
      </c>
      <c r="M660" s="66" t="s">
        <v>767</v>
      </c>
      <c r="N660" s="382" t="s">
        <v>2569</v>
      </c>
      <c r="O660" s="81" t="str">
        <f t="shared" ca="1" si="38"/>
        <v>SI</v>
      </c>
      <c r="P660" s="81" t="str">
        <f t="shared" si="40"/>
        <v>DIANOSOL</v>
      </c>
      <c r="Q660" s="66" t="s">
        <v>899</v>
      </c>
      <c r="R660" s="66" t="str">
        <f>VLOOKUP($Q660,Resultados!$A$1:$B$49,2,FALSE)</f>
        <v>Libertad</v>
      </c>
      <c r="S660" s="73">
        <v>0.3576388888888889</v>
      </c>
      <c r="T660" s="84" t="str">
        <f t="shared" ref="T660:T691" si="41">IF(G660=$J$1,"SI","NO")</f>
        <v>NO</v>
      </c>
      <c r="U660" s="84"/>
      <c r="V660" s="81"/>
      <c r="W660" s="73">
        <v>0.38611111111111113</v>
      </c>
      <c r="X660" s="66" t="s">
        <v>3127</v>
      </c>
      <c r="Y660" s="66"/>
      <c r="Z660" s="336" t="s">
        <v>2895</v>
      </c>
      <c r="AA660" s="121" t="s">
        <v>2852</v>
      </c>
      <c r="AB660" s="121" t="s">
        <v>1175</v>
      </c>
      <c r="AC660" s="361"/>
    </row>
    <row r="661" spans="1:29" ht="39.950000000000003" customHeight="1" x14ac:dyDescent="0.2">
      <c r="A661" s="66">
        <v>701</v>
      </c>
      <c r="B661" s="68">
        <v>45194</v>
      </c>
      <c r="C661" s="73">
        <v>0.47152777777777777</v>
      </c>
      <c r="D661" s="66" t="s">
        <v>2971</v>
      </c>
      <c r="E661" s="67" t="s">
        <v>3106</v>
      </c>
      <c r="F661" s="66">
        <v>7</v>
      </c>
      <c r="G661" s="66" t="s">
        <v>43</v>
      </c>
      <c r="H661" s="68">
        <v>45201</v>
      </c>
      <c r="I661" s="68" t="s">
        <v>73</v>
      </c>
      <c r="J661" s="68" t="s">
        <v>1732</v>
      </c>
      <c r="K661" s="66" t="s">
        <v>1346</v>
      </c>
      <c r="L661" s="66" t="s">
        <v>1502</v>
      </c>
      <c r="M661" s="66" t="s">
        <v>2568</v>
      </c>
      <c r="N661" s="66" t="s">
        <v>235</v>
      </c>
      <c r="O661" s="81" t="str">
        <f t="shared" ca="1" si="38"/>
        <v>SI</v>
      </c>
      <c r="P661" s="81" t="str">
        <f t="shared" si="40"/>
        <v>DIANOSOL</v>
      </c>
      <c r="Q661" s="66" t="s">
        <v>151</v>
      </c>
      <c r="R661" s="66" t="str">
        <f>VLOOKUP($Q661,Resultados!$A$1:$B$49,2,FALSE)</f>
        <v>Prisión Preventiva</v>
      </c>
      <c r="S661" s="73">
        <v>0.35347222222222219</v>
      </c>
      <c r="T661" s="84" t="str">
        <f t="shared" si="41"/>
        <v>NO</v>
      </c>
      <c r="U661" s="84"/>
      <c r="V661" s="81"/>
      <c r="W661" s="73">
        <v>0.37291666666666662</v>
      </c>
      <c r="X661" s="66"/>
      <c r="Y661" s="66"/>
      <c r="Z661" s="336" t="s">
        <v>748</v>
      </c>
      <c r="AA661" s="121" t="s">
        <v>1171</v>
      </c>
      <c r="AB661" s="121" t="s">
        <v>1177</v>
      </c>
      <c r="AC661" s="361"/>
    </row>
    <row r="662" spans="1:29" ht="39.950000000000003" customHeight="1" x14ac:dyDescent="0.2">
      <c r="A662" s="66">
        <v>639</v>
      </c>
      <c r="B662" s="68">
        <v>45181</v>
      </c>
      <c r="C662" s="73">
        <v>0.46666666666666662</v>
      </c>
      <c r="D662" s="66" t="s">
        <v>2755</v>
      </c>
      <c r="E662" s="67" t="s">
        <v>2756</v>
      </c>
      <c r="F662" s="66">
        <v>8</v>
      </c>
      <c r="G662" s="66" t="s">
        <v>2788</v>
      </c>
      <c r="H662" s="68">
        <v>45201</v>
      </c>
      <c r="I662" s="68" t="s">
        <v>1086</v>
      </c>
      <c r="J662" s="68" t="s">
        <v>33</v>
      </c>
      <c r="K662" s="66">
        <f>IFERROR(VLOOKUP(J662,Jueces!$A$1:$B$11,2,FALSE),"")</f>
        <v>4</v>
      </c>
      <c r="L662" s="66" t="s">
        <v>800</v>
      </c>
      <c r="M662" s="66" t="s">
        <v>697</v>
      </c>
      <c r="N662" s="382" t="s">
        <v>3126</v>
      </c>
      <c r="O662" s="81" t="str">
        <f t="shared" ca="1" si="38"/>
        <v>SI</v>
      </c>
      <c r="P662" s="81" t="str">
        <f t="shared" si="40"/>
        <v>DIANOSOL</v>
      </c>
      <c r="Q662" s="66" t="s">
        <v>905</v>
      </c>
      <c r="R662" s="66" t="str">
        <f>VLOOKUP($Q662,Resultados!$A$1:$B$49,2,FALSE)</f>
        <v>Juicio Abreviado</v>
      </c>
      <c r="S662" s="73">
        <v>0.38125000000000003</v>
      </c>
      <c r="T662" s="84" t="str">
        <f t="shared" si="41"/>
        <v>NO</v>
      </c>
      <c r="U662" s="84"/>
      <c r="V662" s="81"/>
      <c r="W662" s="73">
        <v>0.3972222222222222</v>
      </c>
      <c r="X662" s="66" t="s">
        <v>1766</v>
      </c>
      <c r="Y662" s="66"/>
      <c r="Z662" s="336" t="s">
        <v>770</v>
      </c>
      <c r="AA662" s="121" t="s">
        <v>1169</v>
      </c>
      <c r="AB662" s="121" t="s">
        <v>1173</v>
      </c>
      <c r="AC662" s="361"/>
    </row>
    <row r="663" spans="1:29" ht="39.950000000000003" customHeight="1" x14ac:dyDescent="0.2">
      <c r="A663" s="66">
        <v>677</v>
      </c>
      <c r="B663" s="68">
        <v>45190</v>
      </c>
      <c r="C663" s="73">
        <v>0.33333333333333331</v>
      </c>
      <c r="D663" s="66" t="s">
        <v>2928</v>
      </c>
      <c r="E663" s="67" t="s">
        <v>2880</v>
      </c>
      <c r="F663" s="66">
        <v>1</v>
      </c>
      <c r="G663" s="66" t="s">
        <v>2838</v>
      </c>
      <c r="H663" s="68">
        <v>45201</v>
      </c>
      <c r="I663" s="68" t="s">
        <v>1086</v>
      </c>
      <c r="J663" s="68" t="s">
        <v>35</v>
      </c>
      <c r="K663" s="66">
        <f>IFERROR(VLOOKUP(J663,Jueces!$A$1:$B$11,2,FALSE),"")</f>
        <v>3</v>
      </c>
      <c r="L663" s="66" t="s">
        <v>3121</v>
      </c>
      <c r="M663" s="66" t="s">
        <v>711</v>
      </c>
      <c r="N663" s="66" t="s">
        <v>3122</v>
      </c>
      <c r="O663" s="81" t="str">
        <f t="shared" ca="1" si="38"/>
        <v>SI</v>
      </c>
      <c r="P663" s="81" t="str">
        <f t="shared" si="40"/>
        <v>DIANOSOL</v>
      </c>
      <c r="Q663" s="66" t="s">
        <v>913</v>
      </c>
      <c r="R663" s="66" t="str">
        <f>VLOOKUP($Q663,Resultados!$A$1:$B$49,2,FALSE)</f>
        <v>Prision domiciliaria</v>
      </c>
      <c r="S663" s="73">
        <v>0.39097222222222222</v>
      </c>
      <c r="T663" s="84" t="str">
        <f t="shared" si="41"/>
        <v>NO</v>
      </c>
      <c r="U663" s="84"/>
      <c r="V663" s="81"/>
      <c r="W663" s="73">
        <v>0.44444444444444442</v>
      </c>
      <c r="X663" s="230" t="s">
        <v>3123</v>
      </c>
      <c r="Y663" s="66"/>
      <c r="Z663" s="336" t="s">
        <v>1041</v>
      </c>
      <c r="AA663" s="66" t="s">
        <v>3061</v>
      </c>
      <c r="AB663" s="121" t="s">
        <v>1175</v>
      </c>
      <c r="AC663" s="361"/>
    </row>
    <row r="664" spans="1:29" ht="39.950000000000003" customHeight="1" x14ac:dyDescent="0.2">
      <c r="A664" s="66">
        <v>636</v>
      </c>
      <c r="B664" s="68">
        <v>45181</v>
      </c>
      <c r="C664" s="73">
        <v>0.49513888888888885</v>
      </c>
      <c r="D664" s="66" t="s">
        <v>2749</v>
      </c>
      <c r="E664" s="67" t="s">
        <v>2750</v>
      </c>
      <c r="F664" s="66">
        <v>8</v>
      </c>
      <c r="G664" s="66" t="s">
        <v>2838</v>
      </c>
      <c r="H664" s="68">
        <v>45202</v>
      </c>
      <c r="I664" s="68" t="s">
        <v>73</v>
      </c>
      <c r="J664" s="68" t="s">
        <v>1221</v>
      </c>
      <c r="K664" s="66">
        <f>IFERROR(VLOOKUP(J664,Jueces!$A$1:$B$11,2,FALSE),"")</f>
        <v>7</v>
      </c>
      <c r="L664" s="66" t="s">
        <v>813</v>
      </c>
      <c r="M664" s="66" t="s">
        <v>767</v>
      </c>
      <c r="N664" s="6" t="s">
        <v>3133</v>
      </c>
      <c r="O664" s="66" t="str">
        <f t="shared" ca="1" si="38"/>
        <v>SI</v>
      </c>
      <c r="P664" s="66" t="str">
        <f t="shared" si="40"/>
        <v>DIANOSOL</v>
      </c>
      <c r="Q664" s="66" t="s">
        <v>151</v>
      </c>
      <c r="R664" s="66" t="s">
        <v>151</v>
      </c>
      <c r="S664" s="66" t="s">
        <v>3134</v>
      </c>
      <c r="T664" s="75" t="str">
        <f t="shared" si="41"/>
        <v>NO</v>
      </c>
      <c r="U664" s="75"/>
      <c r="V664" s="66"/>
      <c r="W664" s="66" t="s">
        <v>76</v>
      </c>
      <c r="X664" s="6" t="s">
        <v>3135</v>
      </c>
      <c r="Y664" s="66"/>
      <c r="Z664" s="346" t="s">
        <v>2895</v>
      </c>
      <c r="AA664" s="346" t="s">
        <v>1171</v>
      </c>
      <c r="AB664" s="336" t="s">
        <v>1174</v>
      </c>
      <c r="AC664" s="361"/>
    </row>
    <row r="665" spans="1:29" ht="39.950000000000003" customHeight="1" x14ac:dyDescent="0.2">
      <c r="A665" s="66">
        <v>643</v>
      </c>
      <c r="B665" s="68">
        <v>45187</v>
      </c>
      <c r="C665" s="73">
        <v>0.33333333333333331</v>
      </c>
      <c r="D665" s="66" t="s">
        <v>2771</v>
      </c>
      <c r="E665" s="67" t="s">
        <v>2772</v>
      </c>
      <c r="F665" s="66">
        <v>8</v>
      </c>
      <c r="G665" s="66" t="s">
        <v>29</v>
      </c>
      <c r="H665" s="68">
        <v>45202</v>
      </c>
      <c r="I665" s="68" t="s">
        <v>73</v>
      </c>
      <c r="J665" s="68" t="s">
        <v>78</v>
      </c>
      <c r="K665" s="66">
        <f>IFERROR(VLOOKUP(J665,Jueces!$A$1:$B$11,2,FALSE),"")</f>
        <v>8</v>
      </c>
      <c r="L665" s="66" t="s">
        <v>244</v>
      </c>
      <c r="M665" s="66" t="s">
        <v>887</v>
      </c>
      <c r="N665" s="6" t="s">
        <v>3138</v>
      </c>
      <c r="O665" s="66" t="str">
        <f t="shared" ca="1" si="38"/>
        <v>SI</v>
      </c>
      <c r="P665" s="66" t="str">
        <f t="shared" si="40"/>
        <v>DIANOSOL</v>
      </c>
      <c r="Q665" s="66" t="s">
        <v>151</v>
      </c>
      <c r="R665" s="66" t="str">
        <f>VLOOKUP($Q665,Resultados!$A$1:$B$49,2,FALSE)</f>
        <v>Prisión Preventiva</v>
      </c>
      <c r="S665" s="66" t="s">
        <v>76</v>
      </c>
      <c r="T665" s="75" t="str">
        <f t="shared" si="41"/>
        <v>NO</v>
      </c>
      <c r="U665" s="75"/>
      <c r="V665" s="66"/>
      <c r="W665" s="66" t="s">
        <v>1746</v>
      </c>
      <c r="X665" s="66" t="s">
        <v>2571</v>
      </c>
      <c r="Y665" s="66"/>
      <c r="Z665" s="346" t="s">
        <v>1042</v>
      </c>
      <c r="AA665" s="346" t="s">
        <v>2852</v>
      </c>
      <c r="AB665" s="336" t="s">
        <v>1173</v>
      </c>
      <c r="AC665" s="361"/>
    </row>
    <row r="666" spans="1:29" ht="39.950000000000003" customHeight="1" x14ac:dyDescent="0.2">
      <c r="A666" s="66">
        <v>665</v>
      </c>
      <c r="B666" s="68">
        <v>45189</v>
      </c>
      <c r="C666" s="73">
        <v>0.35972222222222222</v>
      </c>
      <c r="D666" s="66" t="s">
        <v>2840</v>
      </c>
      <c r="E666" s="67" t="s">
        <v>3009</v>
      </c>
      <c r="F666" s="66">
        <v>1</v>
      </c>
      <c r="G666" s="66" t="s">
        <v>1443</v>
      </c>
      <c r="H666" s="68">
        <v>45202</v>
      </c>
      <c r="I666" s="68" t="s">
        <v>73</v>
      </c>
      <c r="J666" s="68" t="s">
        <v>2951</v>
      </c>
      <c r="K666" s="66" t="s">
        <v>1925</v>
      </c>
      <c r="L666" s="66" t="s">
        <v>807</v>
      </c>
      <c r="M666" s="66" t="s">
        <v>711</v>
      </c>
      <c r="N666" s="66" t="s">
        <v>3132</v>
      </c>
      <c r="O666" s="66" t="str">
        <f t="shared" ca="1" si="38"/>
        <v>SI</v>
      </c>
      <c r="P666" s="66" t="str">
        <f t="shared" si="40"/>
        <v>DIANOSOL</v>
      </c>
      <c r="Q666" s="66" t="s">
        <v>151</v>
      </c>
      <c r="R666" s="66" t="str">
        <f>VLOOKUP($Q666,Resultados!$A$1:$B$49,2,FALSE)</f>
        <v>Prisión Preventiva</v>
      </c>
      <c r="S666" s="66" t="s">
        <v>1134</v>
      </c>
      <c r="T666" s="75" t="str">
        <f t="shared" si="41"/>
        <v>NO</v>
      </c>
      <c r="U666" s="75"/>
      <c r="V666" s="66"/>
      <c r="W666" s="66" t="s">
        <v>1231</v>
      </c>
      <c r="X666" s="66" t="s">
        <v>2984</v>
      </c>
      <c r="Y666" s="66"/>
      <c r="Z666" s="346" t="s">
        <v>1041</v>
      </c>
      <c r="AA666" s="346" t="s">
        <v>1171</v>
      </c>
      <c r="AB666" s="336" t="s">
        <v>1174</v>
      </c>
      <c r="AC666" s="361"/>
    </row>
    <row r="667" spans="1:29" ht="39.950000000000003" customHeight="1" x14ac:dyDescent="0.2">
      <c r="A667" s="66">
        <v>682</v>
      </c>
      <c r="B667" s="68"/>
      <c r="C667" s="66"/>
      <c r="D667" s="66" t="s">
        <v>2901</v>
      </c>
      <c r="E667" s="67" t="s">
        <v>2902</v>
      </c>
      <c r="F667" s="66">
        <v>1</v>
      </c>
      <c r="G667" s="66" t="s">
        <v>2774</v>
      </c>
      <c r="H667" s="68">
        <v>45202</v>
      </c>
      <c r="I667" s="68" t="s">
        <v>73</v>
      </c>
      <c r="J667" s="68" t="s">
        <v>33</v>
      </c>
      <c r="K667" s="66">
        <f>IFERROR(VLOOKUP(J667,Jueces!$A$1:$B$11,2,FALSE),"")</f>
        <v>4</v>
      </c>
      <c r="L667" s="66" t="s">
        <v>803</v>
      </c>
      <c r="M667" s="66" t="s">
        <v>1386</v>
      </c>
      <c r="N667" s="66" t="s">
        <v>3136</v>
      </c>
      <c r="O667" s="66" t="str">
        <f t="shared" ca="1" si="38"/>
        <v>SI</v>
      </c>
      <c r="P667" s="66" t="str">
        <f t="shared" si="40"/>
        <v>DIANOSOL</v>
      </c>
      <c r="Q667" s="66" t="s">
        <v>151</v>
      </c>
      <c r="R667" s="66" t="str">
        <f>VLOOKUP($Q667,Resultados!$A$1:$B$49,2,FALSE)</f>
        <v>Prisión Preventiva</v>
      </c>
      <c r="S667" s="66" t="s">
        <v>3137</v>
      </c>
      <c r="T667" s="75" t="str">
        <f t="shared" si="41"/>
        <v>NO</v>
      </c>
      <c r="U667" s="75"/>
      <c r="V667" s="66"/>
      <c r="W667" s="66" t="s">
        <v>1018</v>
      </c>
      <c r="X667" s="66"/>
      <c r="Y667" s="66"/>
      <c r="Z667" s="346" t="s">
        <v>748</v>
      </c>
      <c r="AA667" s="346" t="s">
        <v>1169</v>
      </c>
      <c r="AB667" s="336" t="s">
        <v>1175</v>
      </c>
      <c r="AC667" s="361"/>
    </row>
    <row r="668" spans="1:29" ht="39.950000000000003" customHeight="1" x14ac:dyDescent="0.2">
      <c r="A668" s="66">
        <v>695</v>
      </c>
      <c r="B668" s="68">
        <v>45191</v>
      </c>
      <c r="C668" s="73">
        <v>0.54166666666666663</v>
      </c>
      <c r="D668" s="66" t="s">
        <v>2937</v>
      </c>
      <c r="E668" s="67" t="s">
        <v>2977</v>
      </c>
      <c r="F668" s="66">
        <v>8</v>
      </c>
      <c r="G668" s="66" t="s">
        <v>283</v>
      </c>
      <c r="H668" s="68">
        <v>45202</v>
      </c>
      <c r="I668" s="68" t="s">
        <v>73</v>
      </c>
      <c r="J668" s="68" t="s">
        <v>1220</v>
      </c>
      <c r="K668" s="66">
        <f>IFERROR(VLOOKUP(J668,Jueces!$A$1:$B$11,2,FALSE),"")</f>
        <v>1</v>
      </c>
      <c r="L668" s="66" t="s">
        <v>798</v>
      </c>
      <c r="M668" s="66" t="s">
        <v>1087</v>
      </c>
      <c r="N668" s="66" t="s">
        <v>3142</v>
      </c>
      <c r="O668" s="66" t="str">
        <f t="shared" ca="1" si="38"/>
        <v>SI</v>
      </c>
      <c r="P668" s="66" t="str">
        <f t="shared" si="40"/>
        <v>DIANOSOL</v>
      </c>
      <c r="Q668" s="66" t="s">
        <v>905</v>
      </c>
      <c r="R668" s="66" t="str">
        <f>VLOOKUP($Q668,Resultados!$A$1:$B$49,2,FALSE)</f>
        <v>Juicio Abreviado</v>
      </c>
      <c r="S668" s="73" t="s">
        <v>1006</v>
      </c>
      <c r="T668" s="75" t="str">
        <f t="shared" si="41"/>
        <v>NO</v>
      </c>
      <c r="U668" s="75"/>
      <c r="V668" s="66"/>
      <c r="W668" s="66" t="s">
        <v>1538</v>
      </c>
      <c r="X668" s="66" t="s">
        <v>3143</v>
      </c>
      <c r="Y668" s="66"/>
      <c r="Z668" s="346" t="s">
        <v>770</v>
      </c>
      <c r="AA668" s="346" t="s">
        <v>2852</v>
      </c>
      <c r="AB668" s="336" t="s">
        <v>1177</v>
      </c>
      <c r="AC668" s="361"/>
    </row>
    <row r="669" spans="1:29" ht="39.950000000000003" customHeight="1" x14ac:dyDescent="0.2">
      <c r="A669" s="66">
        <v>626</v>
      </c>
      <c r="B669" s="68">
        <v>45180</v>
      </c>
      <c r="C669" s="73">
        <v>0.39027777777777778</v>
      </c>
      <c r="D669" s="66" t="s">
        <v>2721</v>
      </c>
      <c r="E669" s="67" t="s">
        <v>2816</v>
      </c>
      <c r="F669" s="66">
        <v>8</v>
      </c>
      <c r="G669" s="66" t="s">
        <v>568</v>
      </c>
      <c r="H669" s="68">
        <v>45202</v>
      </c>
      <c r="I669" s="68" t="s">
        <v>1086</v>
      </c>
      <c r="J669" s="68" t="s">
        <v>78</v>
      </c>
      <c r="K669" s="66">
        <f>IFERROR(VLOOKUP(J669,Jueces!$A$1:$B$11,2,FALSE),"")</f>
        <v>8</v>
      </c>
      <c r="L669" s="66" t="s">
        <v>791</v>
      </c>
      <c r="M669" s="66" t="s">
        <v>887</v>
      </c>
      <c r="N669" s="66" t="s">
        <v>3140</v>
      </c>
      <c r="O669" s="66" t="str">
        <f t="shared" ca="1" si="38"/>
        <v>SI</v>
      </c>
      <c r="P669" s="66" t="str">
        <f t="shared" si="40"/>
        <v>DIANOSOL</v>
      </c>
      <c r="Q669" s="66" t="s">
        <v>151</v>
      </c>
      <c r="R669" s="66" t="str">
        <f>VLOOKUP($Q669,Resultados!$A$1:$B$49,2,FALSE)</f>
        <v>Prisión Preventiva</v>
      </c>
      <c r="S669" s="66" t="s">
        <v>3141</v>
      </c>
      <c r="T669" s="75" t="str">
        <f t="shared" si="41"/>
        <v>NO</v>
      </c>
      <c r="U669" s="75"/>
      <c r="V669" s="66"/>
      <c r="W669" s="66" t="s">
        <v>1802</v>
      </c>
      <c r="X669" s="66" t="s">
        <v>2906</v>
      </c>
      <c r="Y669" s="66"/>
      <c r="Z669" s="346" t="s">
        <v>1042</v>
      </c>
      <c r="AA669" s="346" t="s">
        <v>1169</v>
      </c>
      <c r="AB669" s="336" t="s">
        <v>1177</v>
      </c>
      <c r="AC669" s="361"/>
    </row>
    <row r="670" spans="1:29" ht="39.950000000000003" customHeight="1" x14ac:dyDescent="0.2">
      <c r="A670" s="66">
        <v>654</v>
      </c>
      <c r="B670" s="68">
        <v>45187</v>
      </c>
      <c r="C670" s="73">
        <v>0.50138888888888888</v>
      </c>
      <c r="D670" s="66" t="s">
        <v>2802</v>
      </c>
      <c r="E670" s="67" t="s">
        <v>3131</v>
      </c>
      <c r="F670" s="66">
        <v>8</v>
      </c>
      <c r="G670" s="66" t="s">
        <v>2773</v>
      </c>
      <c r="H670" s="68">
        <v>45202</v>
      </c>
      <c r="I670" s="68" t="s">
        <v>1086</v>
      </c>
      <c r="J670" s="68" t="s">
        <v>33</v>
      </c>
      <c r="K670" s="66">
        <f>IFERROR(VLOOKUP(J670,Jueces!$A$1:$B$11,2,FALSE),"")</f>
        <v>4</v>
      </c>
      <c r="L670" s="66" t="s">
        <v>789</v>
      </c>
      <c r="M670" s="66" t="s">
        <v>1087</v>
      </c>
      <c r="N670" s="66" t="s">
        <v>3139</v>
      </c>
      <c r="O670" s="66" t="str">
        <f t="shared" ca="1" si="38"/>
        <v>SI</v>
      </c>
      <c r="P670" s="66" t="str">
        <f t="shared" si="40"/>
        <v>DIANOSOL</v>
      </c>
      <c r="Q670" s="66" t="s">
        <v>904</v>
      </c>
      <c r="R670" s="66" t="str">
        <f>VLOOKUP($Q670,Resultados!$A$1:$B$49,2,FALSE)</f>
        <v>Juicio Abreviado</v>
      </c>
      <c r="S670" s="66" t="s">
        <v>2707</v>
      </c>
      <c r="T670" s="75" t="str">
        <f t="shared" si="41"/>
        <v>NO</v>
      </c>
      <c r="U670" s="75"/>
      <c r="V670" s="66"/>
      <c r="W670" s="66" t="s">
        <v>1243</v>
      </c>
      <c r="X670" s="66"/>
      <c r="Y670" s="66"/>
      <c r="Z670" s="346" t="s">
        <v>2867</v>
      </c>
      <c r="AA670" s="346" t="s">
        <v>1171</v>
      </c>
      <c r="AB670" s="336" t="s">
        <v>1173</v>
      </c>
      <c r="AC670" s="361"/>
    </row>
    <row r="671" spans="1:29" ht="39.950000000000003" customHeight="1" x14ac:dyDescent="0.2">
      <c r="A671" s="66">
        <v>664</v>
      </c>
      <c r="B671" s="68">
        <v>45189</v>
      </c>
      <c r="C671" s="73">
        <v>0.33333333333333331</v>
      </c>
      <c r="D671" s="66" t="s">
        <v>2839</v>
      </c>
      <c r="E671" s="67" t="s">
        <v>2925</v>
      </c>
      <c r="F671" s="66">
        <v>1</v>
      </c>
      <c r="G671" s="66" t="s">
        <v>2788</v>
      </c>
      <c r="H671" s="68">
        <v>45202</v>
      </c>
      <c r="I671" s="68" t="s">
        <v>1086</v>
      </c>
      <c r="J671" s="68" t="s">
        <v>35</v>
      </c>
      <c r="K671" s="66">
        <f>IFERROR(VLOOKUP(J671,Jueces!$A$1:$B$11,2,FALSE),"")</f>
        <v>3</v>
      </c>
      <c r="L671" s="66" t="s">
        <v>813</v>
      </c>
      <c r="M671" s="66" t="s">
        <v>711</v>
      </c>
      <c r="N671" s="66" t="s">
        <v>3154</v>
      </c>
      <c r="O671" s="66" t="str">
        <f t="shared" ca="1" si="38"/>
        <v>SI</v>
      </c>
      <c r="P671" s="66" t="str">
        <f t="shared" si="40"/>
        <v>DIANOSOL</v>
      </c>
      <c r="Q671" s="66" t="s">
        <v>151</v>
      </c>
      <c r="R671" s="66" t="str">
        <f>VLOOKUP($Q671,Resultados!$A$1:$B$49,2,FALSE)</f>
        <v>Prisión Preventiva</v>
      </c>
      <c r="S671" s="66" t="s">
        <v>3155</v>
      </c>
      <c r="T671" s="75" t="str">
        <f t="shared" si="41"/>
        <v>NO</v>
      </c>
      <c r="U671" s="75"/>
      <c r="V671" s="66"/>
      <c r="W671" s="66" t="s">
        <v>3156</v>
      </c>
      <c r="X671" s="66" t="s">
        <v>3157</v>
      </c>
      <c r="Y671" s="66"/>
      <c r="Z671" s="346" t="s">
        <v>2895</v>
      </c>
      <c r="AA671" s="346" t="s">
        <v>1169</v>
      </c>
      <c r="AB671" s="336" t="s">
        <v>1175</v>
      </c>
      <c r="AC671" s="365"/>
    </row>
    <row r="672" spans="1:29" ht="39.950000000000003" customHeight="1" x14ac:dyDescent="0.2">
      <c r="A672" s="66">
        <v>687</v>
      </c>
      <c r="B672" s="68">
        <v>45190</v>
      </c>
      <c r="C672" s="73">
        <v>0.45208333333333334</v>
      </c>
      <c r="D672" s="66" t="s">
        <v>2916</v>
      </c>
      <c r="E672" s="67" t="s">
        <v>2918</v>
      </c>
      <c r="F672" s="66">
        <v>8</v>
      </c>
      <c r="G672" s="66" t="s">
        <v>1441</v>
      </c>
      <c r="H672" s="68">
        <v>45202</v>
      </c>
      <c r="I672" s="68" t="s">
        <v>989</v>
      </c>
      <c r="J672" s="68" t="s">
        <v>1221</v>
      </c>
      <c r="K672" s="66" t="s">
        <v>1925</v>
      </c>
      <c r="L672" s="66" t="s">
        <v>811</v>
      </c>
      <c r="M672" s="66" t="s">
        <v>1087</v>
      </c>
      <c r="N672" s="66" t="s">
        <v>3159</v>
      </c>
      <c r="O672" s="66" t="str">
        <f t="shared" ca="1" si="38"/>
        <v>SI</v>
      </c>
      <c r="P672" s="66" t="str">
        <f t="shared" si="40"/>
        <v>DIANOSOL</v>
      </c>
      <c r="Q672" s="66" t="s">
        <v>151</v>
      </c>
      <c r="R672" s="66" t="str">
        <f>VLOOKUP($Q672,Resultados!$A$1:$B$49,2,FALSE)</f>
        <v>Prisión Preventiva</v>
      </c>
      <c r="S672" s="66" t="s">
        <v>3160</v>
      </c>
      <c r="T672" s="75" t="str">
        <f t="shared" si="41"/>
        <v>NO</v>
      </c>
      <c r="U672" s="75"/>
      <c r="V672" s="66"/>
      <c r="W672" s="66" t="s">
        <v>1040</v>
      </c>
      <c r="X672" s="66" t="s">
        <v>2984</v>
      </c>
      <c r="Y672" s="66"/>
      <c r="Z672" s="346" t="s">
        <v>743</v>
      </c>
      <c r="AA672" s="346" t="s">
        <v>2852</v>
      </c>
      <c r="AB672" s="336" t="s">
        <v>3113</v>
      </c>
      <c r="AC672" s="361"/>
    </row>
    <row r="673" spans="1:29" ht="39.950000000000003" customHeight="1" x14ac:dyDescent="0.2">
      <c r="A673" s="66">
        <v>678</v>
      </c>
      <c r="B673" s="68">
        <v>45190</v>
      </c>
      <c r="C673" s="73">
        <v>0.33333333333333331</v>
      </c>
      <c r="D673" s="66" t="s">
        <v>2881</v>
      </c>
      <c r="E673" s="67" t="s">
        <v>2924</v>
      </c>
      <c r="F673" s="66">
        <v>1</v>
      </c>
      <c r="G673" s="66" t="s">
        <v>568</v>
      </c>
      <c r="H673" s="68">
        <v>45203</v>
      </c>
      <c r="I673" s="68" t="s">
        <v>73</v>
      </c>
      <c r="J673" s="68" t="s">
        <v>1221</v>
      </c>
      <c r="K673" s="66" t="s">
        <v>1925</v>
      </c>
      <c r="L673" s="66" t="s">
        <v>813</v>
      </c>
      <c r="M673" s="66" t="s">
        <v>711</v>
      </c>
      <c r="N673" s="66" t="s">
        <v>577</v>
      </c>
      <c r="O673" s="66" t="str">
        <f t="shared" ca="1" si="38"/>
        <v>SI</v>
      </c>
      <c r="P673" s="66" t="str">
        <f t="shared" si="40"/>
        <v>DIANOSOL</v>
      </c>
      <c r="Q673" s="66" t="s">
        <v>151</v>
      </c>
      <c r="R673" s="66" t="str">
        <f>VLOOKUP($Q673,Resultados!$A$1:$B$49,2,FALSE)</f>
        <v>Prisión Preventiva</v>
      </c>
      <c r="S673" s="66" t="s">
        <v>2421</v>
      </c>
      <c r="T673" s="75" t="str">
        <f t="shared" si="41"/>
        <v>NO</v>
      </c>
      <c r="U673" s="75"/>
      <c r="V673" s="66"/>
      <c r="W673" s="66" t="s">
        <v>1747</v>
      </c>
      <c r="X673" s="66" t="s">
        <v>2382</v>
      </c>
      <c r="Y673" s="66"/>
      <c r="Z673" s="346" t="s">
        <v>1042</v>
      </c>
      <c r="AA673" s="121" t="s">
        <v>1169</v>
      </c>
      <c r="AB673" s="121" t="s">
        <v>1173</v>
      </c>
      <c r="AC673" s="361"/>
    </row>
    <row r="674" spans="1:29" ht="39.950000000000003" customHeight="1" x14ac:dyDescent="0.2">
      <c r="A674" s="66">
        <v>681</v>
      </c>
      <c r="B674" s="68">
        <v>45190</v>
      </c>
      <c r="C674" s="73">
        <v>0.40625</v>
      </c>
      <c r="D674" s="66" t="s">
        <v>2885</v>
      </c>
      <c r="E674" s="67" t="s">
        <v>3007</v>
      </c>
      <c r="F674" s="66">
        <v>8</v>
      </c>
      <c r="G674" s="66" t="s">
        <v>283</v>
      </c>
      <c r="H674" s="68">
        <v>45203</v>
      </c>
      <c r="I674" s="68" t="s">
        <v>73</v>
      </c>
      <c r="J674" s="68" t="s">
        <v>2954</v>
      </c>
      <c r="K674" s="66" t="s">
        <v>2304</v>
      </c>
      <c r="L674" s="66" t="s">
        <v>791</v>
      </c>
      <c r="M674" s="66" t="s">
        <v>3008</v>
      </c>
      <c r="N674" s="66" t="s">
        <v>2982</v>
      </c>
      <c r="O674" s="66" t="str">
        <f t="shared" ca="1" si="38"/>
        <v>SI</v>
      </c>
      <c r="P674" s="66" t="str">
        <f t="shared" si="40"/>
        <v>DIANOSOL</v>
      </c>
      <c r="Q674" s="66" t="s">
        <v>905</v>
      </c>
      <c r="R674" s="66" t="str">
        <f>VLOOKUP($Q674,Resultados!$A$1:$B$49,2,FALSE)</f>
        <v>Juicio Abreviado</v>
      </c>
      <c r="S674" s="66" t="s">
        <v>686</v>
      </c>
      <c r="T674" s="75" t="str">
        <f t="shared" si="41"/>
        <v>NO</v>
      </c>
      <c r="U674" s="75"/>
      <c r="V674" s="66"/>
      <c r="W674" s="66" t="s">
        <v>1392</v>
      </c>
      <c r="X674" s="66" t="s">
        <v>3194</v>
      </c>
      <c r="Y674" s="66"/>
      <c r="Z674" s="346" t="s">
        <v>748</v>
      </c>
      <c r="AA674" s="121" t="s">
        <v>1171</v>
      </c>
      <c r="AB674" s="121" t="s">
        <v>1175</v>
      </c>
      <c r="AC674" s="361"/>
    </row>
    <row r="675" spans="1:29" ht="39.950000000000003" customHeight="1" x14ac:dyDescent="0.2">
      <c r="A675" s="66">
        <v>686</v>
      </c>
      <c r="B675" s="68">
        <v>45191</v>
      </c>
      <c r="C675" s="73">
        <v>0.33333333333333331</v>
      </c>
      <c r="D675" s="66" t="s">
        <v>2915</v>
      </c>
      <c r="E675" s="67" t="s">
        <v>3130</v>
      </c>
      <c r="F675" s="66">
        <v>6</v>
      </c>
      <c r="G675" s="66" t="s">
        <v>43</v>
      </c>
      <c r="H675" s="68">
        <v>45203</v>
      </c>
      <c r="I675" s="68" t="s">
        <v>73</v>
      </c>
      <c r="J675" s="68" t="s">
        <v>78</v>
      </c>
      <c r="K675" s="66">
        <f>IFERROR(VLOOKUP(J675,Jueces!$A$1:$B$11,2,FALSE),"")</f>
        <v>8</v>
      </c>
      <c r="L675" s="66" t="s">
        <v>789</v>
      </c>
      <c r="M675" s="66" t="s">
        <v>887</v>
      </c>
      <c r="N675" s="66" t="s">
        <v>3193</v>
      </c>
      <c r="O675" s="66" t="str">
        <f t="shared" ca="1" si="38"/>
        <v>SI</v>
      </c>
      <c r="P675" s="66" t="str">
        <f t="shared" si="40"/>
        <v>DIANOSOL</v>
      </c>
      <c r="Q675" s="66" t="s">
        <v>904</v>
      </c>
      <c r="R675" s="66" t="str">
        <f>VLOOKUP($Q675,Resultados!$A$1:$B$49,2,FALSE)</f>
        <v>Juicio Abreviado</v>
      </c>
      <c r="S675" s="66" t="s">
        <v>1292</v>
      </c>
      <c r="T675" s="75" t="str">
        <f t="shared" si="41"/>
        <v>NO</v>
      </c>
      <c r="U675" s="75"/>
      <c r="V675" s="66"/>
      <c r="W675" s="66" t="s">
        <v>76</v>
      </c>
      <c r="X675" s="66" t="s">
        <v>2571</v>
      </c>
      <c r="Y675" s="66"/>
      <c r="Z675" s="346" t="s">
        <v>743</v>
      </c>
      <c r="AA675" s="121" t="s">
        <v>1171</v>
      </c>
      <c r="AB675" s="121" t="s">
        <v>1177</v>
      </c>
      <c r="AC675" s="361"/>
    </row>
    <row r="676" spans="1:29" ht="39.950000000000003" customHeight="1" x14ac:dyDescent="0.2">
      <c r="A676" s="66">
        <v>703</v>
      </c>
      <c r="B676" s="68">
        <v>45194</v>
      </c>
      <c r="C676" s="66" t="s">
        <v>2175</v>
      </c>
      <c r="D676" s="66" t="s">
        <v>2974</v>
      </c>
      <c r="E676" s="67" t="s">
        <v>2996</v>
      </c>
      <c r="F676" s="66">
        <v>8</v>
      </c>
      <c r="G676" s="66" t="s">
        <v>2788</v>
      </c>
      <c r="H676" s="68">
        <v>45203</v>
      </c>
      <c r="I676" s="68" t="s">
        <v>73</v>
      </c>
      <c r="J676" s="68" t="s">
        <v>35</v>
      </c>
      <c r="K676" s="66">
        <f>IFERROR(VLOOKUP(J676,Jueces!$A$1:$B$11,2,FALSE),"")</f>
        <v>3</v>
      </c>
      <c r="L676" s="66" t="s">
        <v>796</v>
      </c>
      <c r="M676" s="66" t="s">
        <v>1087</v>
      </c>
      <c r="N676" s="66" t="s">
        <v>3197</v>
      </c>
      <c r="O676" s="66" t="str">
        <f t="shared" ca="1" si="38"/>
        <v>SI</v>
      </c>
      <c r="P676" s="66" t="str">
        <f t="shared" si="40"/>
        <v>DIANOSOL</v>
      </c>
      <c r="Q676" s="66" t="s">
        <v>151</v>
      </c>
      <c r="R676" s="66" t="s">
        <v>151</v>
      </c>
      <c r="S676" s="66" t="s">
        <v>3134</v>
      </c>
      <c r="T676" s="75" t="str">
        <f t="shared" si="41"/>
        <v>NO</v>
      </c>
      <c r="U676" s="75"/>
      <c r="V676" s="66"/>
      <c r="W676" s="66" t="s">
        <v>3198</v>
      </c>
      <c r="X676" s="66" t="s">
        <v>2382</v>
      </c>
      <c r="Y676" s="66"/>
      <c r="Z676" s="346" t="s">
        <v>770</v>
      </c>
      <c r="AA676" s="121" t="s">
        <v>2852</v>
      </c>
      <c r="AB676" s="121" t="s">
        <v>1174</v>
      </c>
      <c r="AC676" s="361"/>
    </row>
    <row r="677" spans="1:29" ht="39.950000000000003" customHeight="1" x14ac:dyDescent="0.2">
      <c r="A677" s="66">
        <v>656</v>
      </c>
      <c r="B677" s="68">
        <v>45187</v>
      </c>
      <c r="C677" s="73">
        <v>0.52916666666666667</v>
      </c>
      <c r="D677" s="66" t="s">
        <v>2806</v>
      </c>
      <c r="E677" s="67" t="s">
        <v>2970</v>
      </c>
      <c r="F677" s="66">
        <v>8</v>
      </c>
      <c r="G677" s="66" t="s">
        <v>1441</v>
      </c>
      <c r="H677" s="68">
        <v>45203</v>
      </c>
      <c r="I677" s="68" t="s">
        <v>1086</v>
      </c>
      <c r="J677" s="68" t="s">
        <v>1220</v>
      </c>
      <c r="K677" s="66">
        <f>IFERROR(VLOOKUP(J677,Jueces!$A$1:$B$11,2,FALSE),"")</f>
        <v>1</v>
      </c>
      <c r="L677" s="66" t="s">
        <v>1070</v>
      </c>
      <c r="M677" s="66" t="s">
        <v>1087</v>
      </c>
      <c r="N677" s="66" t="s">
        <v>3193</v>
      </c>
      <c r="O677" s="66" t="str">
        <f t="shared" ca="1" si="38"/>
        <v>SI</v>
      </c>
      <c r="P677" s="66" t="str">
        <f t="shared" si="40"/>
        <v>DIANOSOL</v>
      </c>
      <c r="Q677" s="66" t="s">
        <v>904</v>
      </c>
      <c r="R677" s="66" t="str">
        <f>VLOOKUP($Q677,Resultados!$A$1:$B$49,2,FALSE)</f>
        <v>Juicio Abreviado</v>
      </c>
      <c r="S677" s="66" t="s">
        <v>2904</v>
      </c>
      <c r="T677" s="75" t="str">
        <f t="shared" si="41"/>
        <v>NO</v>
      </c>
      <c r="U677" s="75"/>
      <c r="V677" s="66"/>
      <c r="W677" s="66" t="s">
        <v>1536</v>
      </c>
      <c r="X677" s="66" t="s">
        <v>2984</v>
      </c>
      <c r="Y677" s="66"/>
      <c r="Z677" s="346" t="s">
        <v>1042</v>
      </c>
      <c r="AA677" s="121" t="s">
        <v>2852</v>
      </c>
      <c r="AB677" s="121" t="s">
        <v>1174</v>
      </c>
      <c r="AC677" s="361"/>
    </row>
    <row r="678" spans="1:29" ht="39.950000000000003" customHeight="1" x14ac:dyDescent="0.2">
      <c r="A678" s="66">
        <v>674</v>
      </c>
      <c r="B678" s="68">
        <v>45189</v>
      </c>
      <c r="C678" s="73">
        <v>0.54027777777777775</v>
      </c>
      <c r="D678" s="66" t="s">
        <v>2875</v>
      </c>
      <c r="E678" s="67" t="s">
        <v>2876</v>
      </c>
      <c r="F678" s="66">
        <v>8</v>
      </c>
      <c r="G678" s="66" t="s">
        <v>2838</v>
      </c>
      <c r="H678" s="68">
        <v>45203</v>
      </c>
      <c r="I678" s="68" t="s">
        <v>1086</v>
      </c>
      <c r="J678" s="68" t="s">
        <v>33</v>
      </c>
      <c r="K678" s="66">
        <f>IFERROR(VLOOKUP(J678,Jueces!$A$1:$B$11,2,FALSE),"")</f>
        <v>4</v>
      </c>
      <c r="L678" s="66" t="s">
        <v>807</v>
      </c>
      <c r="M678" s="66" t="s">
        <v>887</v>
      </c>
      <c r="N678" s="66" t="s">
        <v>899</v>
      </c>
      <c r="O678" s="66" t="str">
        <f t="shared" ca="1" si="38"/>
        <v>SI</v>
      </c>
      <c r="P678" s="66" t="str">
        <f t="shared" si="40"/>
        <v>DIANOSOL</v>
      </c>
      <c r="Q678" s="66" t="s">
        <v>899</v>
      </c>
      <c r="R678" s="66" t="str">
        <f>VLOOKUP($Q678,Resultados!$A$1:$B$49,2,FALSE)</f>
        <v>Libertad</v>
      </c>
      <c r="S678" s="66" t="s">
        <v>1536</v>
      </c>
      <c r="T678" s="75" t="str">
        <f t="shared" si="41"/>
        <v>NO</v>
      </c>
      <c r="U678" s="75"/>
      <c r="V678" s="66"/>
      <c r="W678" s="66" t="s">
        <v>1445</v>
      </c>
      <c r="X678" s="66" t="s">
        <v>2571</v>
      </c>
      <c r="Y678" s="66"/>
      <c r="Z678" s="346" t="s">
        <v>1041</v>
      </c>
      <c r="AA678" s="121" t="s">
        <v>1169</v>
      </c>
      <c r="AB678" s="121" t="s">
        <v>1173</v>
      </c>
      <c r="AC678" s="361"/>
    </row>
    <row r="679" spans="1:29" ht="39.950000000000003" customHeight="1" x14ac:dyDescent="0.2">
      <c r="A679" s="66">
        <v>696</v>
      </c>
      <c r="B679" s="68">
        <v>45191</v>
      </c>
      <c r="C679" s="73">
        <v>0.54166666666666663</v>
      </c>
      <c r="D679" s="66" t="s">
        <v>2938</v>
      </c>
      <c r="E679" s="67" t="s">
        <v>2939</v>
      </c>
      <c r="F679" s="66">
        <v>1</v>
      </c>
      <c r="G679" s="66" t="s">
        <v>29</v>
      </c>
      <c r="H679" s="68">
        <v>45203</v>
      </c>
      <c r="I679" s="68" t="s">
        <v>1086</v>
      </c>
      <c r="J679" s="68" t="s">
        <v>35</v>
      </c>
      <c r="K679" s="66">
        <f>IFERROR(VLOOKUP(J679,Jueces!$A$1:$B$11,2,FALSE),"")</f>
        <v>3</v>
      </c>
      <c r="L679" s="66" t="s">
        <v>813</v>
      </c>
      <c r="M679" s="66" t="s">
        <v>711</v>
      </c>
      <c r="N679" s="66" t="s">
        <v>577</v>
      </c>
      <c r="O679" s="66" t="str">
        <f t="shared" ca="1" si="38"/>
        <v>SI</v>
      </c>
      <c r="P679" s="66" t="str">
        <f t="shared" si="40"/>
        <v>DIANOSOL</v>
      </c>
      <c r="Q679" s="66" t="s">
        <v>151</v>
      </c>
      <c r="R679" s="66" t="str">
        <f>VLOOKUP($Q679,Resultados!$A$1:$B$49,2,FALSE)</f>
        <v>Prisión Preventiva</v>
      </c>
      <c r="S679" s="66" t="s">
        <v>3199</v>
      </c>
      <c r="T679" s="75" t="str">
        <f t="shared" si="41"/>
        <v>NO</v>
      </c>
      <c r="U679" s="75"/>
      <c r="V679" s="66"/>
      <c r="W679" s="66" t="s">
        <v>77</v>
      </c>
      <c r="X679" s="66" t="s">
        <v>3196</v>
      </c>
      <c r="Y679" s="66"/>
      <c r="Z679" s="346" t="s">
        <v>2867</v>
      </c>
      <c r="AA679" s="121" t="s">
        <v>1171</v>
      </c>
      <c r="AB679" s="121" t="s">
        <v>1175</v>
      </c>
      <c r="AC679" s="361"/>
    </row>
    <row r="680" spans="1:29" ht="39.950000000000003" customHeight="1" x14ac:dyDescent="0.2">
      <c r="A680" s="66">
        <v>698</v>
      </c>
      <c r="B680" s="68">
        <v>45191</v>
      </c>
      <c r="C680" s="73">
        <v>0.5493055555555556</v>
      </c>
      <c r="D680" s="66" t="s">
        <v>2942</v>
      </c>
      <c r="E680" s="67" t="s">
        <v>2943</v>
      </c>
      <c r="F680" s="66">
        <v>8</v>
      </c>
      <c r="G680" s="66" t="s">
        <v>2775</v>
      </c>
      <c r="H680" s="68">
        <v>45203</v>
      </c>
      <c r="I680" s="68" t="s">
        <v>1086</v>
      </c>
      <c r="J680" s="68" t="s">
        <v>2951</v>
      </c>
      <c r="K680" s="66" t="s">
        <v>1925</v>
      </c>
      <c r="L680" s="66" t="s">
        <v>2090</v>
      </c>
      <c r="M680" s="66" t="s">
        <v>3019</v>
      </c>
      <c r="N680" s="66" t="s">
        <v>3083</v>
      </c>
      <c r="O680" s="66" t="str">
        <f t="shared" ca="1" si="38"/>
        <v>SI</v>
      </c>
      <c r="P680" s="66" t="str">
        <f t="shared" si="40"/>
        <v>DIANOSOL</v>
      </c>
      <c r="Q680" s="66" t="s">
        <v>905</v>
      </c>
      <c r="R680" s="66" t="str">
        <f>VLOOKUP($Q680,Resultados!$A$1:$B$49,2,FALSE)</f>
        <v>Juicio Abreviado</v>
      </c>
      <c r="S680" s="66" t="s">
        <v>1210</v>
      </c>
      <c r="T680" s="75" t="str">
        <f t="shared" si="41"/>
        <v>NO</v>
      </c>
      <c r="U680" s="75"/>
      <c r="V680" s="66"/>
      <c r="W680" s="66" t="s">
        <v>1229</v>
      </c>
      <c r="X680" s="66" t="s">
        <v>3196</v>
      </c>
      <c r="Y680" s="66"/>
      <c r="Z680" s="346" t="s">
        <v>2895</v>
      </c>
      <c r="AA680" s="121" t="s">
        <v>1169</v>
      </c>
      <c r="AB680" s="121" t="s">
        <v>1177</v>
      </c>
      <c r="AC680" s="361"/>
    </row>
    <row r="681" spans="1:29" ht="39.950000000000003" customHeight="1" x14ac:dyDescent="0.2">
      <c r="A681" s="66">
        <v>578</v>
      </c>
      <c r="B681" s="68">
        <v>45169</v>
      </c>
      <c r="C681" s="73">
        <v>0.35902777777777778</v>
      </c>
      <c r="D681" s="66" t="s">
        <v>2558</v>
      </c>
      <c r="E681" s="67" t="s">
        <v>2829</v>
      </c>
      <c r="F681" s="66">
        <v>6</v>
      </c>
      <c r="G681" s="66" t="s">
        <v>1443</v>
      </c>
      <c r="H681" s="68">
        <v>45204</v>
      </c>
      <c r="I681" s="68" t="s">
        <v>73</v>
      </c>
      <c r="J681" s="68" t="s">
        <v>33</v>
      </c>
      <c r="K681" s="66">
        <f>IFERROR(VLOOKUP(J681,Jueces!$A$1:$B$11,2,FALSE),"")</f>
        <v>4</v>
      </c>
      <c r="L681" s="66" t="s">
        <v>796</v>
      </c>
      <c r="M681" s="66" t="s">
        <v>725</v>
      </c>
      <c r="N681" s="66" t="s">
        <v>3227</v>
      </c>
      <c r="O681" s="66" t="str">
        <f t="shared" ca="1" si="38"/>
        <v>SI</v>
      </c>
      <c r="P681" s="66" t="str">
        <f t="shared" si="40"/>
        <v>DIANOSOL</v>
      </c>
      <c r="Q681" s="66" t="s">
        <v>904</v>
      </c>
      <c r="R681" s="66" t="str">
        <f>VLOOKUP($Q681,Resultados!$A$1:$B$49,2,FALSE)</f>
        <v>Juicio Abreviado</v>
      </c>
      <c r="S681" s="73" t="s">
        <v>1086</v>
      </c>
      <c r="T681" s="75" t="str">
        <f t="shared" si="41"/>
        <v>NO</v>
      </c>
      <c r="U681" s="75"/>
      <c r="V681" s="66"/>
      <c r="W681" s="73" t="s">
        <v>1303</v>
      </c>
      <c r="X681" s="230" t="s">
        <v>2571</v>
      </c>
      <c r="Y681" s="66"/>
      <c r="Z681" s="121" t="s">
        <v>2867</v>
      </c>
      <c r="AA681" s="121" t="s">
        <v>2852</v>
      </c>
      <c r="AB681" s="121" t="s">
        <v>1175</v>
      </c>
      <c r="AC681" s="361"/>
    </row>
    <row r="682" spans="1:29" ht="39.950000000000003" customHeight="1" x14ac:dyDescent="0.2">
      <c r="A682" s="66">
        <v>648</v>
      </c>
      <c r="B682" s="68">
        <v>45187</v>
      </c>
      <c r="C682" s="73">
        <v>0.39027777777777778</v>
      </c>
      <c r="D682" s="66" t="s">
        <v>2782</v>
      </c>
      <c r="E682" s="67" t="s">
        <v>2796</v>
      </c>
      <c r="F682" s="66">
        <v>7</v>
      </c>
      <c r="G682" s="66" t="s">
        <v>568</v>
      </c>
      <c r="H682" s="68">
        <v>45204</v>
      </c>
      <c r="I682" s="68" t="s">
        <v>73</v>
      </c>
      <c r="J682" s="68" t="s">
        <v>35</v>
      </c>
      <c r="K682" s="66">
        <f>IFERROR(VLOOKUP(J682,Jueces!$A$1:$B$11,2,FALSE),"")</f>
        <v>3</v>
      </c>
      <c r="L682" s="66" t="s">
        <v>581</v>
      </c>
      <c r="M682" s="66" t="s">
        <v>783</v>
      </c>
      <c r="N682" s="66" t="s">
        <v>3224</v>
      </c>
      <c r="O682" s="66" t="str">
        <f t="shared" ca="1" si="38"/>
        <v>SI</v>
      </c>
      <c r="P682" s="66" t="str">
        <f t="shared" si="40"/>
        <v>DIANOSOL</v>
      </c>
      <c r="Q682" s="66" t="s">
        <v>151</v>
      </c>
      <c r="R682" s="66" t="str">
        <f>VLOOKUP($Q682,Resultados!$A$1:$B$49,2,FALSE)</f>
        <v>Prisión Preventiva</v>
      </c>
      <c r="S682" s="66" t="s">
        <v>749</v>
      </c>
      <c r="T682" s="75" t="str">
        <f t="shared" si="41"/>
        <v>NO</v>
      </c>
      <c r="U682" s="75"/>
      <c r="V682" s="66"/>
      <c r="W682" s="66" t="s">
        <v>2707</v>
      </c>
      <c r="X682" s="66" t="s">
        <v>3230</v>
      </c>
      <c r="Y682" s="66"/>
      <c r="Z682" s="121" t="s">
        <v>2895</v>
      </c>
      <c r="AA682" s="121" t="s">
        <v>1169</v>
      </c>
      <c r="AB682" s="121" t="s">
        <v>1177</v>
      </c>
      <c r="AC682" s="361"/>
    </row>
    <row r="683" spans="1:29" ht="39.950000000000003" customHeight="1" x14ac:dyDescent="0.2">
      <c r="A683" s="66">
        <v>673</v>
      </c>
      <c r="B683" s="68">
        <v>45189</v>
      </c>
      <c r="C683" s="73">
        <v>0.5395833333333333</v>
      </c>
      <c r="D683" s="66" t="s">
        <v>2873</v>
      </c>
      <c r="E683" s="67" t="s">
        <v>2874</v>
      </c>
      <c r="F683" s="66">
        <v>7</v>
      </c>
      <c r="G683" s="66" t="s">
        <v>283</v>
      </c>
      <c r="H683" s="68">
        <v>45204</v>
      </c>
      <c r="I683" s="68" t="s">
        <v>73</v>
      </c>
      <c r="J683" s="68" t="s">
        <v>78</v>
      </c>
      <c r="K683" s="66">
        <f>IFERROR(VLOOKUP(J683,Jueces!$A$1:$B$11,2,FALSE),"")</f>
        <v>8</v>
      </c>
      <c r="L683" s="66" t="s">
        <v>814</v>
      </c>
      <c r="M683" s="66" t="s">
        <v>701</v>
      </c>
      <c r="N683" s="66" t="s">
        <v>3226</v>
      </c>
      <c r="O683" s="66" t="str">
        <f t="shared" ca="1" si="38"/>
        <v>SI</v>
      </c>
      <c r="P683" s="66" t="str">
        <f t="shared" si="40"/>
        <v>DIANOSOL</v>
      </c>
      <c r="Q683" s="66" t="s">
        <v>899</v>
      </c>
      <c r="R683" s="66" t="str">
        <f>VLOOKUP($Q683,Resultados!$A$1:$B$49,2,FALSE)</f>
        <v>Libertad</v>
      </c>
      <c r="S683" s="66" t="s">
        <v>1009</v>
      </c>
      <c r="T683" s="75" t="str">
        <f t="shared" si="41"/>
        <v>NO</v>
      </c>
      <c r="U683" s="75"/>
      <c r="V683" s="66"/>
      <c r="W683" s="66" t="s">
        <v>2904</v>
      </c>
      <c r="X683" s="66" t="s">
        <v>2571</v>
      </c>
      <c r="Y683" s="66"/>
      <c r="Z683" s="121" t="s">
        <v>748</v>
      </c>
      <c r="AA683" s="121" t="s">
        <v>1169</v>
      </c>
      <c r="AB683" s="121" t="s">
        <v>1174</v>
      </c>
      <c r="AC683" s="361"/>
    </row>
    <row r="684" spans="1:29" ht="39.950000000000003" customHeight="1" x14ac:dyDescent="0.2">
      <c r="A684" s="66">
        <v>684</v>
      </c>
      <c r="B684" s="68">
        <v>45191</v>
      </c>
      <c r="C684" s="73">
        <v>0.34097222222222223</v>
      </c>
      <c r="D684" s="66" t="s">
        <v>2912</v>
      </c>
      <c r="E684" s="67" t="s">
        <v>2913</v>
      </c>
      <c r="F684" s="66">
        <v>8</v>
      </c>
      <c r="G684" s="66" t="s">
        <v>1441</v>
      </c>
      <c r="H684" s="68">
        <v>45204</v>
      </c>
      <c r="I684" s="68" t="s">
        <v>749</v>
      </c>
      <c r="J684" s="68" t="s">
        <v>1225</v>
      </c>
      <c r="K684" s="66">
        <f>IFERROR(VLOOKUP(J684,Jueces!$A$1:$B$11,2,FALSE),"")</f>
        <v>6</v>
      </c>
      <c r="L684" s="66" t="s">
        <v>801</v>
      </c>
      <c r="M684" s="66" t="s">
        <v>887</v>
      </c>
      <c r="N684" s="66" t="s">
        <v>577</v>
      </c>
      <c r="O684" s="66" t="str">
        <f t="shared" ref="O684:O747" ca="1" si="42">IF(H684&lt;&gt;"",IF(H684&lt;=TODAY(),"SI","NO"),"LIMBO")</f>
        <v>SI</v>
      </c>
      <c r="P684" s="66" t="str">
        <f t="shared" si="40"/>
        <v>DIANOSOL</v>
      </c>
      <c r="Q684" s="66" t="s">
        <v>151</v>
      </c>
      <c r="R684" s="66" t="str">
        <f>VLOOKUP($Q684,Resultados!$A$1:$B$49,2,FALSE)</f>
        <v>Prisión Preventiva</v>
      </c>
      <c r="S684" s="66" t="s">
        <v>749</v>
      </c>
      <c r="T684" s="75" t="str">
        <f t="shared" si="41"/>
        <v>NO</v>
      </c>
      <c r="U684" s="75"/>
      <c r="V684" s="66"/>
      <c r="W684" s="66" t="s">
        <v>1587</v>
      </c>
      <c r="X684" s="66"/>
      <c r="Y684" s="66"/>
      <c r="Z684" s="121" t="s">
        <v>770</v>
      </c>
      <c r="AA684" s="121" t="s">
        <v>2852</v>
      </c>
      <c r="AB684" s="121" t="s">
        <v>1173</v>
      </c>
      <c r="AC684" s="361"/>
    </row>
    <row r="685" spans="1:29" ht="39.950000000000003" customHeight="1" x14ac:dyDescent="0.2">
      <c r="A685" s="66">
        <v>675</v>
      </c>
      <c r="B685" s="68">
        <v>45190</v>
      </c>
      <c r="C685" s="73">
        <v>0.33333333333333331</v>
      </c>
      <c r="D685" s="66" t="s">
        <v>2877</v>
      </c>
      <c r="E685" s="67" t="s">
        <v>3201</v>
      </c>
      <c r="F685" s="66">
        <v>8</v>
      </c>
      <c r="G685" s="66" t="s">
        <v>43</v>
      </c>
      <c r="H685" s="68">
        <v>45204</v>
      </c>
      <c r="I685" s="68" t="s">
        <v>1086</v>
      </c>
      <c r="J685" s="68" t="s">
        <v>1220</v>
      </c>
      <c r="K685" s="66">
        <f>IFERROR(VLOOKUP(J685,Jueces!$A$1:$B$11,2,FALSE),"")</f>
        <v>1</v>
      </c>
      <c r="L685" s="66" t="s">
        <v>813</v>
      </c>
      <c r="M685" s="66"/>
      <c r="N685" s="66" t="s">
        <v>3225</v>
      </c>
      <c r="O685" s="66" t="str">
        <f t="shared" ca="1" si="42"/>
        <v>SI</v>
      </c>
      <c r="P685" s="66" t="str">
        <f t="shared" si="40"/>
        <v>DIANOSOL</v>
      </c>
      <c r="Q685" s="66" t="s">
        <v>902</v>
      </c>
      <c r="R685" s="66" t="str">
        <f>VLOOKUP($Q685,Resultados!$A$1:$B$49,2,FALSE)</f>
        <v>Libertad</v>
      </c>
      <c r="S685" s="66" t="s">
        <v>1578</v>
      </c>
      <c r="T685" s="75" t="str">
        <f t="shared" si="41"/>
        <v>NO</v>
      </c>
      <c r="U685" s="75"/>
      <c r="V685" s="66"/>
      <c r="W685" s="66" t="s">
        <v>1131</v>
      </c>
      <c r="X685" s="66"/>
      <c r="Y685" s="66"/>
      <c r="Z685" s="121" t="s">
        <v>2895</v>
      </c>
      <c r="AA685" s="121" t="s">
        <v>2852</v>
      </c>
      <c r="AB685" s="121" t="s">
        <v>1175</v>
      </c>
      <c r="AC685" s="361"/>
    </row>
    <row r="686" spans="1:29" ht="39.950000000000003" customHeight="1" x14ac:dyDescent="0.2">
      <c r="A686" s="66">
        <v>680</v>
      </c>
      <c r="B686" s="68">
        <v>45190</v>
      </c>
      <c r="C686" s="73">
        <v>0.38541666666666669</v>
      </c>
      <c r="D686" s="66" t="s">
        <v>2884</v>
      </c>
      <c r="E686" s="67" t="s">
        <v>2976</v>
      </c>
      <c r="F686" s="66">
        <v>8</v>
      </c>
      <c r="G686" s="66" t="s">
        <v>2775</v>
      </c>
      <c r="H686" s="68">
        <v>45204</v>
      </c>
      <c r="I686" s="68" t="s">
        <v>1086</v>
      </c>
      <c r="J686" s="68" t="s">
        <v>33</v>
      </c>
      <c r="K686" s="66">
        <f>IFERROR(VLOOKUP(J686,Jueces!$A$1:$B$11,2,FALSE),"")</f>
        <v>4</v>
      </c>
      <c r="L686" s="66" t="s">
        <v>807</v>
      </c>
      <c r="M686" s="66" t="s">
        <v>887</v>
      </c>
      <c r="N686" s="66" t="s">
        <v>3228</v>
      </c>
      <c r="O686" s="66" t="str">
        <f t="shared" ca="1" si="42"/>
        <v>SI</v>
      </c>
      <c r="P686" s="66" t="str">
        <f t="shared" si="40"/>
        <v>DIANOSOL</v>
      </c>
      <c r="Q686" s="66" t="s">
        <v>909</v>
      </c>
      <c r="R686" s="66" t="str">
        <f>VLOOKUP($Q686,Resultados!$A$1:$B$49,2,FALSE)</f>
        <v>Suspensión de juicio a prueba</v>
      </c>
      <c r="S686" s="66" t="s">
        <v>1450</v>
      </c>
      <c r="T686" s="75" t="str">
        <f t="shared" si="41"/>
        <v>NO</v>
      </c>
      <c r="U686" s="75"/>
      <c r="V686" s="66"/>
      <c r="W686" s="66" t="s">
        <v>3212</v>
      </c>
      <c r="X686" s="66" t="s">
        <v>2948</v>
      </c>
      <c r="Y686" s="66"/>
      <c r="Z686" s="121" t="s">
        <v>2867</v>
      </c>
      <c r="AA686" s="121" t="s">
        <v>1171</v>
      </c>
      <c r="AB686" s="121" t="s">
        <v>1177</v>
      </c>
      <c r="AC686" s="361"/>
    </row>
    <row r="687" spans="1:29" ht="39.950000000000003" customHeight="1" x14ac:dyDescent="0.2">
      <c r="A687" s="66">
        <v>710</v>
      </c>
      <c r="B687" s="68">
        <v>45195</v>
      </c>
      <c r="C687" s="73">
        <v>0.53333333333333333</v>
      </c>
      <c r="D687" s="66" t="s">
        <v>3000</v>
      </c>
      <c r="E687" s="67" t="s">
        <v>3001</v>
      </c>
      <c r="F687" s="66">
        <v>8</v>
      </c>
      <c r="G687" s="66" t="s">
        <v>2774</v>
      </c>
      <c r="H687" s="68">
        <v>45205</v>
      </c>
      <c r="I687" s="68" t="s">
        <v>360</v>
      </c>
      <c r="J687" s="68" t="s">
        <v>2954</v>
      </c>
      <c r="K687" s="66" t="s">
        <v>1520</v>
      </c>
      <c r="L687" s="66" t="s">
        <v>807</v>
      </c>
      <c r="M687" s="66" t="s">
        <v>3034</v>
      </c>
      <c r="N687" s="66" t="s">
        <v>3238</v>
      </c>
      <c r="O687" s="66" t="str">
        <f t="shared" ca="1" si="42"/>
        <v>SI</v>
      </c>
      <c r="P687" s="66" t="str">
        <f t="shared" si="40"/>
        <v>DIANOSOL</v>
      </c>
      <c r="Q687" s="66" t="s">
        <v>909</v>
      </c>
      <c r="R687" s="66" t="str">
        <f>VLOOKUP($Q687,Resultados!$A$1:$B$49,2,FALSE)</f>
        <v>Suspensión de juicio a prueba</v>
      </c>
      <c r="S687" s="66" t="s">
        <v>1014</v>
      </c>
      <c r="T687" s="75" t="str">
        <f t="shared" si="41"/>
        <v>NO</v>
      </c>
      <c r="U687" s="75"/>
      <c r="V687" s="66"/>
      <c r="W687" s="66" t="s">
        <v>1333</v>
      </c>
      <c r="X687" s="66" t="s">
        <v>3239</v>
      </c>
      <c r="Y687" s="66"/>
      <c r="Z687" s="336" t="s">
        <v>1041</v>
      </c>
      <c r="AA687" s="121" t="s">
        <v>1169</v>
      </c>
      <c r="AB687" s="121" t="s">
        <v>1173</v>
      </c>
      <c r="AC687" s="361"/>
    </row>
    <row r="688" spans="1:29" ht="39.950000000000003" customHeight="1" x14ac:dyDescent="0.2">
      <c r="A688" s="66">
        <v>666</v>
      </c>
      <c r="B688" s="68">
        <v>45189</v>
      </c>
      <c r="C688" s="73">
        <v>0.41041666666666665</v>
      </c>
      <c r="D688" s="66" t="s">
        <v>2841</v>
      </c>
      <c r="E688" s="67" t="s">
        <v>3210</v>
      </c>
      <c r="F688" s="66">
        <v>8</v>
      </c>
      <c r="G688" s="66" t="s">
        <v>568</v>
      </c>
      <c r="H688" s="68">
        <v>45205</v>
      </c>
      <c r="I688" s="68" t="s">
        <v>73</v>
      </c>
      <c r="J688" s="68" t="s">
        <v>33</v>
      </c>
      <c r="K688" s="66">
        <f>IFERROR(VLOOKUP(J688,Jueces!$A$1:$B$11,2,FALSE),"")</f>
        <v>4</v>
      </c>
      <c r="L688" s="66" t="s">
        <v>802</v>
      </c>
      <c r="M688" s="66" t="s">
        <v>887</v>
      </c>
      <c r="N688" s="66" t="s">
        <v>3240</v>
      </c>
      <c r="O688" s="66" t="str">
        <f t="shared" ca="1" si="42"/>
        <v>SI</v>
      </c>
      <c r="P688" s="66" t="str">
        <f t="shared" si="40"/>
        <v>DIANOSOL</v>
      </c>
      <c r="Q688" s="66" t="s">
        <v>905</v>
      </c>
      <c r="R688" s="66" t="str">
        <f>VLOOKUP($Q688,Resultados!$A$1:$B$49,2,FALSE)</f>
        <v>Juicio Abreviado</v>
      </c>
      <c r="S688" s="66" t="s">
        <v>749</v>
      </c>
      <c r="T688" s="75" t="str">
        <f t="shared" si="41"/>
        <v>NO</v>
      </c>
      <c r="U688" s="75"/>
      <c r="V688" s="66"/>
      <c r="W688" s="66" t="s">
        <v>1292</v>
      </c>
      <c r="X688" s="66"/>
      <c r="Y688" s="66"/>
      <c r="Z688" s="121" t="s">
        <v>2895</v>
      </c>
      <c r="AA688" s="121" t="s">
        <v>1169</v>
      </c>
      <c r="AB688" s="336" t="s">
        <v>1174</v>
      </c>
      <c r="AC688" s="361"/>
    </row>
    <row r="689" spans="1:29" ht="39.950000000000003" customHeight="1" x14ac:dyDescent="0.2">
      <c r="A689" s="66">
        <v>697</v>
      </c>
      <c r="B689" s="68">
        <v>45191</v>
      </c>
      <c r="C689" s="73">
        <v>0.54791666666666672</v>
      </c>
      <c r="D689" s="66" t="s">
        <v>2940</v>
      </c>
      <c r="E689" s="67" t="s">
        <v>2941</v>
      </c>
      <c r="F689" s="66">
        <v>3</v>
      </c>
      <c r="G689" s="66" t="s">
        <v>1442</v>
      </c>
      <c r="H689" s="68">
        <v>45205</v>
      </c>
      <c r="I689" s="68" t="s">
        <v>73</v>
      </c>
      <c r="J689" s="68" t="s">
        <v>1732</v>
      </c>
      <c r="K689" s="66" t="s">
        <v>1326</v>
      </c>
      <c r="L689" s="66" t="s">
        <v>192</v>
      </c>
      <c r="M689" s="66" t="s">
        <v>2967</v>
      </c>
      <c r="N689" s="66" t="s">
        <v>3254</v>
      </c>
      <c r="O689" s="66" t="str">
        <f t="shared" ca="1" si="42"/>
        <v>SI</v>
      </c>
      <c r="P689" s="66" t="str">
        <f t="shared" si="40"/>
        <v>DIANOSOL</v>
      </c>
      <c r="Q689" s="66" t="s">
        <v>913</v>
      </c>
      <c r="R689" s="66" t="str">
        <f>VLOOKUP($Q689,Resultados!$A$1:$B$49,2,FALSE)</f>
        <v>Prision domiciliaria</v>
      </c>
      <c r="S689" s="66" t="s">
        <v>1566</v>
      </c>
      <c r="T689" s="75" t="str">
        <f t="shared" si="41"/>
        <v>SI</v>
      </c>
      <c r="U689" s="75"/>
      <c r="V689" s="66"/>
      <c r="W689" s="66" t="s">
        <v>3255</v>
      </c>
      <c r="X689" s="66" t="s">
        <v>3256</v>
      </c>
      <c r="Y689" s="66"/>
      <c r="Z689" s="121" t="s">
        <v>770</v>
      </c>
      <c r="AA689" s="121" t="s">
        <v>3229</v>
      </c>
      <c r="AB689" s="336" t="s">
        <v>1173</v>
      </c>
      <c r="AC689" s="361"/>
    </row>
    <row r="690" spans="1:29" ht="39.950000000000003" customHeight="1" x14ac:dyDescent="0.2">
      <c r="A690" s="66">
        <v>708</v>
      </c>
      <c r="B690" s="68">
        <v>45195</v>
      </c>
      <c r="C690" s="73">
        <v>0.53611111111111109</v>
      </c>
      <c r="D690" s="66" t="s">
        <v>2998</v>
      </c>
      <c r="E690" s="67" t="s">
        <v>3030</v>
      </c>
      <c r="F690" s="66">
        <v>1</v>
      </c>
      <c r="G690" s="66" t="s">
        <v>2838</v>
      </c>
      <c r="H690" s="68">
        <v>45205</v>
      </c>
      <c r="I690" s="68" t="s">
        <v>73</v>
      </c>
      <c r="J690" s="68" t="s">
        <v>2954</v>
      </c>
      <c r="K690" s="66" t="s">
        <v>1925</v>
      </c>
      <c r="L690" s="66" t="s">
        <v>812</v>
      </c>
      <c r="M690" s="66" t="s">
        <v>711</v>
      </c>
      <c r="N690" s="66" t="s">
        <v>899</v>
      </c>
      <c r="O690" s="66" t="str">
        <f t="shared" ca="1" si="42"/>
        <v>SI</v>
      </c>
      <c r="P690" s="66" t="str">
        <f t="shared" si="40"/>
        <v>DIANOSOL</v>
      </c>
      <c r="Q690" s="66" t="s">
        <v>899</v>
      </c>
      <c r="R690" s="66" t="str">
        <f>VLOOKUP($Q690,Resultados!$A$1:$B$49,2,FALSE)</f>
        <v>Libertad</v>
      </c>
      <c r="S690" s="66" t="s">
        <v>1134</v>
      </c>
      <c r="T690" s="75" t="str">
        <f t="shared" si="41"/>
        <v>NO</v>
      </c>
      <c r="U690" s="75"/>
      <c r="V690" s="66"/>
      <c r="W690" s="73">
        <v>0.39583333333333331</v>
      </c>
      <c r="X690" s="66" t="s">
        <v>3241</v>
      </c>
      <c r="Y690" s="66"/>
      <c r="Z690" s="121" t="s">
        <v>2867</v>
      </c>
      <c r="AA690" s="121" t="s">
        <v>2852</v>
      </c>
      <c r="AB690" s="336" t="s">
        <v>1175</v>
      </c>
      <c r="AC690" s="361"/>
    </row>
    <row r="691" spans="1:29" ht="39.950000000000003" customHeight="1" x14ac:dyDescent="0.2">
      <c r="A691" s="66">
        <v>711</v>
      </c>
      <c r="B691" s="68">
        <v>45195</v>
      </c>
      <c r="C691" s="73">
        <v>0.54722222222222217</v>
      </c>
      <c r="D691" s="66" t="s">
        <v>3003</v>
      </c>
      <c r="E691" s="67" t="s">
        <v>3233</v>
      </c>
      <c r="F691" s="66">
        <v>8</v>
      </c>
      <c r="G691" s="66" t="s">
        <v>283</v>
      </c>
      <c r="H691" s="68">
        <v>45205</v>
      </c>
      <c r="I691" s="68" t="s">
        <v>749</v>
      </c>
      <c r="J691" s="68" t="s">
        <v>1225</v>
      </c>
      <c r="K691" s="66">
        <f>IFERROR(VLOOKUP(J691,Jueces!$A$1:$B$11,2,FALSE),"")</f>
        <v>6</v>
      </c>
      <c r="L691" s="66" t="s">
        <v>790</v>
      </c>
      <c r="M691" s="66" t="s">
        <v>767</v>
      </c>
      <c r="N691" s="66" t="s">
        <v>3247</v>
      </c>
      <c r="O691" s="66" t="str">
        <f t="shared" ca="1" si="42"/>
        <v>SI</v>
      </c>
      <c r="P691" s="66" t="str">
        <f t="shared" si="40"/>
        <v>DIANOSOL</v>
      </c>
      <c r="Q691" s="66" t="s">
        <v>899</v>
      </c>
      <c r="R691" s="66" t="str">
        <f>VLOOKUP($Q691,Resultados!$A$1:$B$49,2,FALSE)</f>
        <v>Libertad</v>
      </c>
      <c r="S691" s="66" t="s">
        <v>1064</v>
      </c>
      <c r="T691" s="75" t="str">
        <f t="shared" si="41"/>
        <v>NO</v>
      </c>
      <c r="U691" s="75"/>
      <c r="V691" s="66"/>
      <c r="W691" s="66" t="s">
        <v>1450</v>
      </c>
      <c r="X691" s="66" t="s">
        <v>3248</v>
      </c>
      <c r="Y691" s="66"/>
      <c r="Z691" s="121" t="s">
        <v>1042</v>
      </c>
      <c r="AA691" s="121" t="s">
        <v>1169</v>
      </c>
      <c r="AB691" s="336" t="s">
        <v>1177</v>
      </c>
      <c r="AC691" s="361"/>
    </row>
    <row r="692" spans="1:29" ht="39.950000000000003" customHeight="1" x14ac:dyDescent="0.2">
      <c r="A692" s="66">
        <v>689</v>
      </c>
      <c r="B692" s="68">
        <v>45190</v>
      </c>
      <c r="C692" s="73">
        <v>0.44097222222222227</v>
      </c>
      <c r="D692" s="66" t="s">
        <v>2921</v>
      </c>
      <c r="E692" s="67" t="s">
        <v>2968</v>
      </c>
      <c r="F692" s="66">
        <v>8</v>
      </c>
      <c r="G692" s="66" t="s">
        <v>2788</v>
      </c>
      <c r="H692" s="68">
        <v>45205</v>
      </c>
      <c r="I692" s="68" t="s">
        <v>1086</v>
      </c>
      <c r="J692" s="68" t="s">
        <v>1221</v>
      </c>
      <c r="K692" s="66" t="s">
        <v>1925</v>
      </c>
      <c r="L692" s="66" t="s">
        <v>807</v>
      </c>
      <c r="M692" s="66" t="s">
        <v>887</v>
      </c>
      <c r="N692" s="66" t="s">
        <v>899</v>
      </c>
      <c r="O692" s="66" t="str">
        <f t="shared" ca="1" si="42"/>
        <v>SI</v>
      </c>
      <c r="P692" s="66" t="str">
        <f t="shared" si="40"/>
        <v>DIANOSOL</v>
      </c>
      <c r="Q692" s="66" t="s">
        <v>899</v>
      </c>
      <c r="R692" s="66" t="str">
        <f>VLOOKUP($Q692,Resultados!$A$1:$B$49,2,FALSE)</f>
        <v>Libertad</v>
      </c>
      <c r="S692" s="66" t="s">
        <v>2385</v>
      </c>
      <c r="T692" s="75" t="str">
        <f t="shared" ref="T692:T723" si="43">IF(G692=$J$1,"SI","NO")</f>
        <v>NO</v>
      </c>
      <c r="U692" s="75"/>
      <c r="V692" s="66"/>
      <c r="W692" s="66" t="s">
        <v>1445</v>
      </c>
      <c r="X692" s="66"/>
      <c r="Y692" s="66"/>
      <c r="Z692" s="121" t="s">
        <v>2867</v>
      </c>
      <c r="AA692" s="121" t="s">
        <v>1171</v>
      </c>
      <c r="AB692" s="336" t="s">
        <v>1174</v>
      </c>
      <c r="AC692" s="361"/>
    </row>
    <row r="693" spans="1:29" ht="39.950000000000003" customHeight="1" x14ac:dyDescent="0.2">
      <c r="A693" s="66">
        <v>694</v>
      </c>
      <c r="B693" s="68">
        <v>45191</v>
      </c>
      <c r="C693" s="73">
        <v>0.54375000000000007</v>
      </c>
      <c r="D693" s="66" t="s">
        <v>2935</v>
      </c>
      <c r="E693" s="67" t="s">
        <v>2936</v>
      </c>
      <c r="F693" s="66">
        <v>1</v>
      </c>
      <c r="G693" s="66" t="s">
        <v>1441</v>
      </c>
      <c r="H693" s="68">
        <v>45205</v>
      </c>
      <c r="I693" s="68" t="s">
        <v>1086</v>
      </c>
      <c r="J693" s="68" t="s">
        <v>33</v>
      </c>
      <c r="K693" s="66">
        <f>IFERROR(VLOOKUP(J693,Jueces!$A$1:$B$11,2,FALSE),"")</f>
        <v>4</v>
      </c>
      <c r="L693" s="66" t="s">
        <v>508</v>
      </c>
      <c r="M693" s="66" t="s">
        <v>711</v>
      </c>
      <c r="N693" s="66" t="s">
        <v>577</v>
      </c>
      <c r="O693" s="66" t="str">
        <f t="shared" ca="1" si="42"/>
        <v>SI</v>
      </c>
      <c r="P693" s="66" t="str">
        <f t="shared" si="40"/>
        <v>DIANOSOL</v>
      </c>
      <c r="Q693" s="66" t="s">
        <v>151</v>
      </c>
      <c r="R693" s="66" t="str">
        <f>VLOOKUP($Q693,Resultados!$A$1:$B$49,2,FALSE)</f>
        <v>Prisión Preventiva</v>
      </c>
      <c r="S693" s="66" t="s">
        <v>76</v>
      </c>
      <c r="T693" s="75" t="str">
        <f t="shared" si="43"/>
        <v>NO</v>
      </c>
      <c r="U693" s="75"/>
      <c r="V693" s="66"/>
      <c r="W693" s="66" t="s">
        <v>2904</v>
      </c>
      <c r="X693" s="66"/>
      <c r="Y693" s="66"/>
      <c r="Z693" s="121" t="s">
        <v>2895</v>
      </c>
      <c r="AA693" s="121" t="s">
        <v>1169</v>
      </c>
      <c r="AB693" s="336" t="s">
        <v>1173</v>
      </c>
      <c r="AC693" s="361"/>
    </row>
    <row r="694" spans="1:29" ht="39.950000000000003" customHeight="1" x14ac:dyDescent="0.2">
      <c r="A694" s="66">
        <v>724</v>
      </c>
      <c r="B694" s="68">
        <v>45196</v>
      </c>
      <c r="C694" s="73">
        <v>0.35347222222222219</v>
      </c>
      <c r="D694" s="66" t="s">
        <v>3067</v>
      </c>
      <c r="E694" s="67" t="s">
        <v>3068</v>
      </c>
      <c r="F694" s="66">
        <v>8</v>
      </c>
      <c r="G694" s="66" t="s">
        <v>43</v>
      </c>
      <c r="H694" s="68">
        <v>45205</v>
      </c>
      <c r="I694" s="68" t="s">
        <v>1086</v>
      </c>
      <c r="J694" s="68" t="s">
        <v>35</v>
      </c>
      <c r="K694" s="66">
        <f>IFERROR(VLOOKUP(J694,Jueces!$A$1:$B$11,2,FALSE),"")</f>
        <v>3</v>
      </c>
      <c r="L694" s="66" t="s">
        <v>811</v>
      </c>
      <c r="M694" s="66" t="s">
        <v>1087</v>
      </c>
      <c r="N694" s="66" t="s">
        <v>577</v>
      </c>
      <c r="O694" s="66" t="str">
        <f t="shared" ca="1" si="42"/>
        <v>SI</v>
      </c>
      <c r="P694" s="66" t="str">
        <f t="shared" si="40"/>
        <v>DIANOSOL</v>
      </c>
      <c r="Q694" s="66" t="s">
        <v>151</v>
      </c>
      <c r="R694" s="66" t="str">
        <f>VLOOKUP($Q694,Resultados!$A$1:$B$49,2,FALSE)</f>
        <v>Prisión Preventiva</v>
      </c>
      <c r="S694" s="66" t="s">
        <v>1006</v>
      </c>
      <c r="T694" s="75" t="str">
        <f t="shared" si="43"/>
        <v>NO</v>
      </c>
      <c r="U694" s="75"/>
      <c r="V694" s="66"/>
      <c r="W694" s="66" t="s">
        <v>2904</v>
      </c>
      <c r="X694" s="66" t="s">
        <v>2948</v>
      </c>
      <c r="Y694" s="66"/>
      <c r="Z694" s="121" t="s">
        <v>770</v>
      </c>
      <c r="AA694" s="121" t="s">
        <v>2852</v>
      </c>
      <c r="AB694" s="336" t="s">
        <v>1175</v>
      </c>
      <c r="AC694" s="361"/>
    </row>
    <row r="695" spans="1:29" ht="39.950000000000003" customHeight="1" x14ac:dyDescent="0.2">
      <c r="A695" s="66">
        <v>699</v>
      </c>
      <c r="B695" s="68">
        <v>45191</v>
      </c>
      <c r="C695" s="73">
        <v>0.55069444444444449</v>
      </c>
      <c r="D695" s="66" t="s">
        <v>2944</v>
      </c>
      <c r="E695" s="67" t="s">
        <v>3002</v>
      </c>
      <c r="F695" s="66">
        <v>8</v>
      </c>
      <c r="G695" s="66" t="s">
        <v>1443</v>
      </c>
      <c r="H695" s="68">
        <v>45205</v>
      </c>
      <c r="I695" s="68" t="s">
        <v>1210</v>
      </c>
      <c r="J695" s="68" t="s">
        <v>1220</v>
      </c>
      <c r="K695" s="66" t="s">
        <v>1925</v>
      </c>
      <c r="L695" s="66" t="s">
        <v>807</v>
      </c>
      <c r="M695" s="66" t="s">
        <v>1087</v>
      </c>
      <c r="N695" s="66" t="s">
        <v>2196</v>
      </c>
      <c r="O695" s="66" t="str">
        <f t="shared" ca="1" si="42"/>
        <v>SI</v>
      </c>
      <c r="P695" s="66" t="str">
        <f t="shared" si="40"/>
        <v>DIANOSOL</v>
      </c>
      <c r="Q695" s="66" t="s">
        <v>904</v>
      </c>
      <c r="R695" s="66" t="str">
        <f>VLOOKUP($Q695,Resultados!$A$1:$B$49,2,FALSE)</f>
        <v>Juicio Abreviado</v>
      </c>
      <c r="S695" s="66" t="s">
        <v>2277</v>
      </c>
      <c r="T695" s="75" t="str">
        <f t="shared" si="43"/>
        <v>NO</v>
      </c>
      <c r="U695" s="75"/>
      <c r="V695" s="66"/>
      <c r="W695" s="66" t="s">
        <v>3245</v>
      </c>
      <c r="X695" s="66" t="s">
        <v>3246</v>
      </c>
      <c r="Y695" s="66"/>
      <c r="Z695" s="121" t="s">
        <v>748</v>
      </c>
      <c r="AA695" s="121" t="s">
        <v>1171</v>
      </c>
      <c r="AB695" s="336" t="s">
        <v>1177</v>
      </c>
      <c r="AC695" s="361"/>
    </row>
    <row r="696" spans="1:29" ht="39.950000000000003" customHeight="1" x14ac:dyDescent="0.2">
      <c r="A696" s="66">
        <v>690</v>
      </c>
      <c r="B696" s="68">
        <v>45190</v>
      </c>
      <c r="C696" s="73">
        <v>0.53333333333333333</v>
      </c>
      <c r="D696" s="66" t="s">
        <v>2922</v>
      </c>
      <c r="E696" s="67" t="s">
        <v>3006</v>
      </c>
      <c r="F696" s="66">
        <v>8</v>
      </c>
      <c r="G696" s="66" t="s">
        <v>2773</v>
      </c>
      <c r="H696" s="68">
        <v>45205</v>
      </c>
      <c r="I696" s="68" t="s">
        <v>228</v>
      </c>
      <c r="J696" s="68" t="s">
        <v>78</v>
      </c>
      <c r="K696" s="66">
        <f>IFERROR(VLOOKUP(J696,Jueces!$A$1:$B$11,2,FALSE),"")</f>
        <v>8</v>
      </c>
      <c r="L696" s="66" t="s">
        <v>801</v>
      </c>
      <c r="M696" s="66" t="s">
        <v>1286</v>
      </c>
      <c r="N696" s="66" t="s">
        <v>899</v>
      </c>
      <c r="O696" s="66" t="str">
        <f t="shared" ca="1" si="42"/>
        <v>SI</v>
      </c>
      <c r="P696" s="66" t="str">
        <f t="shared" si="40"/>
        <v>DIANOSOL</v>
      </c>
      <c r="Q696" s="66" t="s">
        <v>899</v>
      </c>
      <c r="R696" s="66" t="str">
        <f>VLOOKUP($Q696,Resultados!$A$1:$B$49,2,FALSE)</f>
        <v>Libertad</v>
      </c>
      <c r="S696" s="66" t="s">
        <v>3243</v>
      </c>
      <c r="T696" s="75" t="str">
        <f t="shared" si="43"/>
        <v>NO</v>
      </c>
      <c r="U696" s="75"/>
      <c r="V696" s="66"/>
      <c r="W696" s="66" t="s">
        <v>1241</v>
      </c>
      <c r="X696" s="66" t="s">
        <v>3244</v>
      </c>
      <c r="Y696" s="66"/>
      <c r="Z696" s="121" t="s">
        <v>748</v>
      </c>
      <c r="AA696" s="121" t="s">
        <v>2852</v>
      </c>
      <c r="AB696" s="336" t="s">
        <v>1174</v>
      </c>
      <c r="AC696" s="361"/>
    </row>
    <row r="697" spans="1:29" ht="39.950000000000003" customHeight="1" x14ac:dyDescent="0.2">
      <c r="A697" s="66">
        <v>692</v>
      </c>
      <c r="B697" s="68">
        <v>45191</v>
      </c>
      <c r="C697" s="73">
        <v>0.48819444444444443</v>
      </c>
      <c r="D697" s="66" t="s">
        <v>2930</v>
      </c>
      <c r="E697" s="67" t="s">
        <v>2969</v>
      </c>
      <c r="F697" s="66">
        <v>8</v>
      </c>
      <c r="G697" s="66" t="s">
        <v>29</v>
      </c>
      <c r="H697" s="68">
        <v>45208</v>
      </c>
      <c r="I697" s="68" t="s">
        <v>73</v>
      </c>
      <c r="J697" s="68" t="s">
        <v>1221</v>
      </c>
      <c r="K697" s="66" t="s">
        <v>1925</v>
      </c>
      <c r="L697" s="66" t="s">
        <v>807</v>
      </c>
      <c r="M697" s="66" t="s">
        <v>887</v>
      </c>
      <c r="N697" s="66" t="s">
        <v>3257</v>
      </c>
      <c r="O697" s="66" t="str">
        <f t="shared" ca="1" si="42"/>
        <v>SI</v>
      </c>
      <c r="P697" s="66" t="str">
        <f t="shared" si="40"/>
        <v>DIANOSOL</v>
      </c>
      <c r="Q697" s="66" t="s">
        <v>151</v>
      </c>
      <c r="R697" s="66" t="str">
        <f>VLOOKUP($Q697,Resultados!$A$1:$B$49,2,FALSE)</f>
        <v>Prisión Preventiva</v>
      </c>
      <c r="S697" s="66" t="s">
        <v>686</v>
      </c>
      <c r="T697" s="75" t="str">
        <f t="shared" si="43"/>
        <v>NO</v>
      </c>
      <c r="U697" s="75"/>
      <c r="V697" s="66"/>
      <c r="W697" s="66" t="s">
        <v>1065</v>
      </c>
      <c r="X697" s="66" t="s">
        <v>3258</v>
      </c>
      <c r="Y697" s="66"/>
      <c r="Z697" s="121" t="s">
        <v>2895</v>
      </c>
      <c r="AA697" s="121" t="s">
        <v>1169</v>
      </c>
      <c r="AB697" s="121" t="s">
        <v>1173</v>
      </c>
      <c r="AC697" s="361"/>
    </row>
    <row r="698" spans="1:29" ht="39.950000000000003" customHeight="1" x14ac:dyDescent="0.2">
      <c r="A698" s="66">
        <v>700</v>
      </c>
      <c r="B698" s="68">
        <v>45191</v>
      </c>
      <c r="C698" s="73">
        <v>0.56180555555555556</v>
      </c>
      <c r="D698" s="66" t="s">
        <v>2945</v>
      </c>
      <c r="E698" s="67" t="s">
        <v>2946</v>
      </c>
      <c r="F698" s="66">
        <v>1</v>
      </c>
      <c r="G698" s="66" t="s">
        <v>43</v>
      </c>
      <c r="H698" s="68">
        <v>45208</v>
      </c>
      <c r="I698" s="68" t="s">
        <v>73</v>
      </c>
      <c r="J698" s="68" t="s">
        <v>78</v>
      </c>
      <c r="K698" s="66">
        <f>IFERROR(VLOOKUP(J698,Jueces!$A$1:$B$11,2,FALSE),"")</f>
        <v>8</v>
      </c>
      <c r="L698" s="66" t="s">
        <v>569</v>
      </c>
      <c r="M698" s="66" t="s">
        <v>711</v>
      </c>
      <c r="N698" s="66" t="s">
        <v>3262</v>
      </c>
      <c r="O698" s="66" t="str">
        <f t="shared" ca="1" si="42"/>
        <v>SI</v>
      </c>
      <c r="P698" s="66" t="str">
        <f t="shared" si="40"/>
        <v>DIANOSOL</v>
      </c>
      <c r="Q698" s="66" t="s">
        <v>904</v>
      </c>
      <c r="R698" s="66" t="str">
        <f>VLOOKUP($Q698,Resultados!$A$1:$B$49,2,FALSE)</f>
        <v>Juicio Abreviado</v>
      </c>
      <c r="S698" s="66" t="s">
        <v>1065</v>
      </c>
      <c r="T698" s="75" t="str">
        <f t="shared" si="43"/>
        <v>NO</v>
      </c>
      <c r="U698" s="75"/>
      <c r="V698" s="66"/>
      <c r="W698" s="66" t="s">
        <v>1609</v>
      </c>
      <c r="X698" s="66" t="s">
        <v>3263</v>
      </c>
      <c r="Y698" s="66"/>
      <c r="Z698" s="121" t="s">
        <v>2867</v>
      </c>
      <c r="AA698" s="121" t="s">
        <v>2852</v>
      </c>
      <c r="AB698" s="121" t="s">
        <v>1175</v>
      </c>
      <c r="AC698" s="361"/>
    </row>
    <row r="699" spans="1:29" ht="39.950000000000003" customHeight="1" x14ac:dyDescent="0.2">
      <c r="A699" s="66">
        <v>719</v>
      </c>
      <c r="B699" s="68">
        <v>45197</v>
      </c>
      <c r="C699" s="66" t="s">
        <v>1229</v>
      </c>
      <c r="D699" s="66" t="s">
        <v>2599</v>
      </c>
      <c r="E699" s="67" t="s">
        <v>3066</v>
      </c>
      <c r="F699" s="66">
        <v>7</v>
      </c>
      <c r="G699" s="66" t="s">
        <v>2775</v>
      </c>
      <c r="H699" s="68">
        <v>45208</v>
      </c>
      <c r="I699" s="68" t="s">
        <v>73</v>
      </c>
      <c r="J699" s="68" t="s">
        <v>35</v>
      </c>
      <c r="K699" s="66">
        <f>IFERROR(VLOOKUP(J699,Jueces!$A$1:$B$11,2,FALSE),"")</f>
        <v>3</v>
      </c>
      <c r="L699" s="66" t="s">
        <v>801</v>
      </c>
      <c r="M699" s="66" t="s">
        <v>725</v>
      </c>
      <c r="N699" s="66" t="s">
        <v>913</v>
      </c>
      <c r="O699" s="66" t="str">
        <f t="shared" ca="1" si="42"/>
        <v>SI</v>
      </c>
      <c r="P699" s="66" t="str">
        <f t="shared" si="40"/>
        <v>DIANOSOL</v>
      </c>
      <c r="Q699" s="66" t="s">
        <v>913</v>
      </c>
      <c r="R699" s="66" t="str">
        <f>VLOOKUP($Q699,Resultados!$A$1:$B$49,2,FALSE)</f>
        <v>Prision domiciliaria</v>
      </c>
      <c r="S699" s="66" t="s">
        <v>1086</v>
      </c>
      <c r="T699" s="75" t="str">
        <f t="shared" si="43"/>
        <v>NO</v>
      </c>
      <c r="U699" s="75"/>
      <c r="V699" s="66"/>
      <c r="W699" s="66" t="s">
        <v>3260</v>
      </c>
      <c r="X699" s="66" t="s">
        <v>3261</v>
      </c>
      <c r="Y699" s="66"/>
      <c r="Z699" s="121" t="s">
        <v>1041</v>
      </c>
      <c r="AA699" s="121" t="s">
        <v>1171</v>
      </c>
      <c r="AB699" s="121" t="s">
        <v>1177</v>
      </c>
      <c r="AC699" s="361"/>
    </row>
    <row r="700" spans="1:29" ht="39.950000000000003" customHeight="1" x14ac:dyDescent="0.2">
      <c r="A700" s="66">
        <v>723</v>
      </c>
      <c r="B700" s="68">
        <v>45197</v>
      </c>
      <c r="C700" s="66" t="s">
        <v>2958</v>
      </c>
      <c r="D700" s="66" t="s">
        <v>3044</v>
      </c>
      <c r="E700" s="67" t="s">
        <v>3064</v>
      </c>
      <c r="F700" s="66">
        <v>1</v>
      </c>
      <c r="G700" s="66" t="s">
        <v>283</v>
      </c>
      <c r="H700" s="68">
        <v>45208</v>
      </c>
      <c r="I700" s="68" t="s">
        <v>73</v>
      </c>
      <c r="J700" s="68" t="s">
        <v>33</v>
      </c>
      <c r="K700" s="66">
        <f>IFERROR(VLOOKUP(J700,Jueces!$A$1:$B$11,2,FALSE),"")</f>
        <v>4</v>
      </c>
      <c r="L700" s="66" t="s">
        <v>809</v>
      </c>
      <c r="M700" s="66" t="s">
        <v>712</v>
      </c>
      <c r="N700" s="66" t="s">
        <v>3259</v>
      </c>
      <c r="O700" s="66" t="str">
        <f t="shared" ca="1" si="42"/>
        <v>SI</v>
      </c>
      <c r="P700" s="66" t="str">
        <f t="shared" si="40"/>
        <v>DIANOSOL</v>
      </c>
      <c r="Q700" s="66" t="s">
        <v>904</v>
      </c>
      <c r="R700" s="66" t="str">
        <f>VLOOKUP($Q700,Resultados!$A$1:$B$49,2,FALSE)</f>
        <v>Juicio Abreviado</v>
      </c>
      <c r="S700" s="66" t="s">
        <v>1008</v>
      </c>
      <c r="T700" s="75" t="str">
        <f t="shared" si="43"/>
        <v>NO</v>
      </c>
      <c r="U700" s="75"/>
      <c r="V700" s="66"/>
      <c r="W700" s="66" t="s">
        <v>1124</v>
      </c>
      <c r="X700" s="66" t="s">
        <v>2896</v>
      </c>
      <c r="Y700" s="66"/>
      <c r="Z700" s="121" t="s">
        <v>770</v>
      </c>
      <c r="AA700" s="121" t="s">
        <v>2852</v>
      </c>
      <c r="AB700" s="121" t="s">
        <v>1174</v>
      </c>
      <c r="AC700" s="361"/>
    </row>
    <row r="701" spans="1:29" ht="51" x14ac:dyDescent="0.2">
      <c r="A701" s="66">
        <v>732</v>
      </c>
      <c r="B701" s="68">
        <v>45197</v>
      </c>
      <c r="C701" s="73">
        <v>0.42638888888888887</v>
      </c>
      <c r="D701" s="66" t="s">
        <v>3088</v>
      </c>
      <c r="E701" s="67" t="s">
        <v>3108</v>
      </c>
      <c r="F701" s="66">
        <v>8</v>
      </c>
      <c r="G701" s="66" t="s">
        <v>1443</v>
      </c>
      <c r="H701" s="68">
        <v>45208</v>
      </c>
      <c r="I701" s="68" t="s">
        <v>73</v>
      </c>
      <c r="J701" s="68" t="s">
        <v>1220</v>
      </c>
      <c r="K701" s="66">
        <f>IFERROR(VLOOKUP(J701,Jueces!$A$1:$B$11,2,FALSE),"")</f>
        <v>1</v>
      </c>
      <c r="L701" s="66" t="s">
        <v>829</v>
      </c>
      <c r="M701" s="66" t="s">
        <v>783</v>
      </c>
      <c r="N701" s="66" t="s">
        <v>2982</v>
      </c>
      <c r="O701" s="66" t="str">
        <f t="shared" ca="1" si="42"/>
        <v>SI</v>
      </c>
      <c r="P701" s="66" t="str">
        <f t="shared" si="40"/>
        <v>DIANOSOL</v>
      </c>
      <c r="Q701" s="66" t="s">
        <v>905</v>
      </c>
      <c r="R701" s="66" t="str">
        <f>VLOOKUP($Q701,Resultados!$A$1:$B$49,2,FALSE)</f>
        <v>Juicio Abreviado</v>
      </c>
      <c r="S701" s="66" t="s">
        <v>1015</v>
      </c>
      <c r="T701" s="75" t="str">
        <f t="shared" si="43"/>
        <v>NO</v>
      </c>
      <c r="U701" s="75"/>
      <c r="V701" s="66"/>
      <c r="W701" s="66" t="s">
        <v>1538</v>
      </c>
      <c r="X701" s="66" t="s">
        <v>2253</v>
      </c>
      <c r="Y701" s="66"/>
      <c r="Z701" s="121" t="s">
        <v>743</v>
      </c>
      <c r="AA701" s="121" t="s">
        <v>1169</v>
      </c>
      <c r="AB701" s="121" t="s">
        <v>1173</v>
      </c>
      <c r="AC701" s="361"/>
    </row>
    <row r="702" spans="1:29" ht="63.75" x14ac:dyDescent="0.2">
      <c r="A702" s="66">
        <v>705</v>
      </c>
      <c r="B702" s="68">
        <v>45195</v>
      </c>
      <c r="C702" s="73">
        <v>0.47638888888888892</v>
      </c>
      <c r="D702" s="66" t="s">
        <v>2992</v>
      </c>
      <c r="E702" s="67" t="s">
        <v>2993</v>
      </c>
      <c r="F702" s="66">
        <v>8</v>
      </c>
      <c r="G702" s="66" t="s">
        <v>2773</v>
      </c>
      <c r="H702" s="68">
        <v>45208</v>
      </c>
      <c r="I702" s="68" t="s">
        <v>749</v>
      </c>
      <c r="J702" s="68" t="s">
        <v>1225</v>
      </c>
      <c r="K702" s="66">
        <f>IFERROR(VLOOKUP(J702,Jueces!$A$1:$B$11,2,FALSE),"")</f>
        <v>6</v>
      </c>
      <c r="L702" s="66" t="s">
        <v>2431</v>
      </c>
      <c r="M702" s="66" t="s">
        <v>3019</v>
      </c>
      <c r="N702" s="66" t="s">
        <v>577</v>
      </c>
      <c r="O702" s="66" t="str">
        <f t="shared" ca="1" si="42"/>
        <v>SI</v>
      </c>
      <c r="P702" s="66" t="str">
        <f t="shared" si="40"/>
        <v>DIANOSOL</v>
      </c>
      <c r="Q702" s="66" t="s">
        <v>151</v>
      </c>
      <c r="R702" s="66" t="str">
        <f>VLOOKUP($Q702,Resultados!$A$1:$B$49,2,FALSE)</f>
        <v>Prisión Preventiva</v>
      </c>
      <c r="S702" s="66" t="s">
        <v>1429</v>
      </c>
      <c r="T702" s="75" t="str">
        <f t="shared" si="43"/>
        <v>NO</v>
      </c>
      <c r="U702" s="75"/>
      <c r="V702" s="66"/>
      <c r="W702" s="66" t="s">
        <v>1193</v>
      </c>
      <c r="X702" s="66" t="s">
        <v>2382</v>
      </c>
      <c r="Y702" s="66"/>
      <c r="Z702" s="121" t="s">
        <v>748</v>
      </c>
      <c r="AA702" s="121" t="s">
        <v>1171</v>
      </c>
      <c r="AB702" s="121" t="s">
        <v>1175</v>
      </c>
      <c r="AC702" s="361"/>
    </row>
    <row r="703" spans="1:29" ht="38.25" x14ac:dyDescent="0.2">
      <c r="A703" s="66">
        <v>640</v>
      </c>
      <c r="B703" s="68">
        <v>45181</v>
      </c>
      <c r="C703" s="66" t="s">
        <v>2764</v>
      </c>
      <c r="D703" s="66" t="s">
        <v>2765</v>
      </c>
      <c r="E703" s="67" t="s">
        <v>3036</v>
      </c>
      <c r="F703" s="66">
        <v>4</v>
      </c>
      <c r="G703" s="66" t="s">
        <v>568</v>
      </c>
      <c r="H703" s="68">
        <v>45208</v>
      </c>
      <c r="I703" s="68" t="s">
        <v>1086</v>
      </c>
      <c r="J703" s="68" t="s">
        <v>2951</v>
      </c>
      <c r="K703" s="66" t="s">
        <v>2343</v>
      </c>
      <c r="L703" s="66" t="s">
        <v>800</v>
      </c>
      <c r="M703" s="66" t="s">
        <v>700</v>
      </c>
      <c r="N703" s="66" t="s">
        <v>3264</v>
      </c>
      <c r="O703" s="66" t="str">
        <f t="shared" ca="1" si="42"/>
        <v>SI</v>
      </c>
      <c r="P703" s="66" t="str">
        <f t="shared" si="40"/>
        <v>DIANOSOL</v>
      </c>
      <c r="Q703" s="66" t="s">
        <v>904</v>
      </c>
      <c r="R703" s="66" t="str">
        <f>VLOOKUP($Q703,Resultados!$A$1:$B$49,2,FALSE)</f>
        <v>Juicio Abreviado</v>
      </c>
      <c r="S703" s="66" t="s">
        <v>1210</v>
      </c>
      <c r="T703" s="75" t="str">
        <f t="shared" si="43"/>
        <v>NO</v>
      </c>
      <c r="U703" s="75"/>
      <c r="V703" s="66"/>
      <c r="W703" s="66" t="s">
        <v>1337</v>
      </c>
      <c r="X703" s="66" t="s">
        <v>3196</v>
      </c>
      <c r="Y703" s="66"/>
      <c r="Z703" s="121" t="s">
        <v>2867</v>
      </c>
      <c r="AA703" s="121" t="s">
        <v>1169</v>
      </c>
      <c r="AB703" s="121" t="s">
        <v>1177</v>
      </c>
      <c r="AC703" s="361"/>
    </row>
    <row r="704" spans="1:29" ht="38.25" x14ac:dyDescent="0.2">
      <c r="A704" s="66">
        <v>713</v>
      </c>
      <c r="B704" s="68">
        <v>45196</v>
      </c>
      <c r="C704" s="73">
        <v>0.42777777777777781</v>
      </c>
      <c r="D704" s="66" t="s">
        <v>3012</v>
      </c>
      <c r="E704" s="67" t="s">
        <v>3013</v>
      </c>
      <c r="F704" s="66">
        <v>8</v>
      </c>
      <c r="G704" s="66" t="s">
        <v>2838</v>
      </c>
      <c r="H704" s="68">
        <v>45208</v>
      </c>
      <c r="I704" s="68" t="s">
        <v>1086</v>
      </c>
      <c r="J704" s="68" t="s">
        <v>33</v>
      </c>
      <c r="K704" s="66">
        <f>IFERROR(VLOOKUP(J704,Jueces!$A$1:$B$11,2,FALSE),"")</f>
        <v>4</v>
      </c>
      <c r="L704" s="66" t="s">
        <v>1070</v>
      </c>
      <c r="M704" s="66" t="s">
        <v>1087</v>
      </c>
      <c r="N704" s="66" t="s">
        <v>577</v>
      </c>
      <c r="O704" s="66" t="str">
        <f t="shared" ca="1" si="42"/>
        <v>SI</v>
      </c>
      <c r="P704" s="66" t="str">
        <f t="shared" si="40"/>
        <v>DIANOSOL</v>
      </c>
      <c r="Q704" s="66" t="s">
        <v>151</v>
      </c>
      <c r="R704" s="66" t="str">
        <f>VLOOKUP($Q704,Resultados!$A$1:$B$49,2,FALSE)</f>
        <v>Prisión Preventiva</v>
      </c>
      <c r="S704" s="66" t="s">
        <v>3274</v>
      </c>
      <c r="T704" s="75" t="str">
        <f t="shared" si="43"/>
        <v>NO</v>
      </c>
      <c r="U704" s="75"/>
      <c r="V704" s="66"/>
      <c r="W704" s="66" t="s">
        <v>1274</v>
      </c>
      <c r="X704" s="66" t="s">
        <v>3275</v>
      </c>
      <c r="Y704" s="66"/>
      <c r="Z704" s="121" t="s">
        <v>770</v>
      </c>
      <c r="AA704" s="121" t="s">
        <v>2852</v>
      </c>
      <c r="AB704" s="121" t="s">
        <v>1174</v>
      </c>
      <c r="AC704" s="361"/>
    </row>
    <row r="705" spans="1:29" ht="51" x14ac:dyDescent="0.2">
      <c r="A705" s="66">
        <v>729</v>
      </c>
      <c r="B705" s="68">
        <v>45198</v>
      </c>
      <c r="C705" s="66" t="s">
        <v>1466</v>
      </c>
      <c r="D705" s="66" t="s">
        <v>3084</v>
      </c>
      <c r="E705" s="67" t="s">
        <v>3085</v>
      </c>
      <c r="F705" s="66">
        <v>1</v>
      </c>
      <c r="G705" s="66" t="s">
        <v>2788</v>
      </c>
      <c r="H705" s="68">
        <v>45208</v>
      </c>
      <c r="I705" s="68" t="s">
        <v>1086</v>
      </c>
      <c r="J705" s="68" t="s">
        <v>1221</v>
      </c>
      <c r="K705" s="66" t="s">
        <v>1925</v>
      </c>
      <c r="L705" s="66" t="s">
        <v>796</v>
      </c>
      <c r="M705" s="66" t="s">
        <v>711</v>
      </c>
      <c r="N705" s="66" t="s">
        <v>577</v>
      </c>
      <c r="O705" s="66" t="str">
        <f t="shared" ca="1" si="42"/>
        <v>SI</v>
      </c>
      <c r="P705" s="66" t="str">
        <f t="shared" si="40"/>
        <v>DIANOSOL</v>
      </c>
      <c r="Q705" s="66" t="s">
        <v>151</v>
      </c>
      <c r="R705" s="66" t="str">
        <f>VLOOKUP($Q705,Resultados!$A$1:$B$49,2,FALSE)</f>
        <v>Prisión Preventiva</v>
      </c>
      <c r="S705" s="66" t="s">
        <v>1310</v>
      </c>
      <c r="T705" s="75" t="str">
        <f t="shared" si="43"/>
        <v>NO</v>
      </c>
      <c r="U705" s="75"/>
      <c r="V705" s="66"/>
      <c r="W705" s="66" t="s">
        <v>1274</v>
      </c>
      <c r="X705" s="66" t="s">
        <v>3196</v>
      </c>
      <c r="Y705" s="66"/>
      <c r="Z705" s="121" t="s">
        <v>2895</v>
      </c>
      <c r="AA705" s="121" t="s">
        <v>1171</v>
      </c>
      <c r="AB705" s="121" t="s">
        <v>1173</v>
      </c>
      <c r="AC705" s="361"/>
    </row>
    <row r="706" spans="1:29" ht="89.25" x14ac:dyDescent="0.2">
      <c r="A706" s="66">
        <v>756</v>
      </c>
      <c r="B706" s="68">
        <v>45202</v>
      </c>
      <c r="C706" s="73">
        <v>0.54791666666666672</v>
      </c>
      <c r="D706" s="66" t="s">
        <v>3174</v>
      </c>
      <c r="E706" s="67" t="s">
        <v>3242</v>
      </c>
      <c r="F706" s="66">
        <v>8</v>
      </c>
      <c r="G706" s="66" t="s">
        <v>2774</v>
      </c>
      <c r="H706" s="68">
        <v>45208</v>
      </c>
      <c r="I706" s="68" t="s">
        <v>1086</v>
      </c>
      <c r="J706" s="68" t="s">
        <v>2954</v>
      </c>
      <c r="K706" s="66" t="s">
        <v>2394</v>
      </c>
      <c r="L706" s="66" t="s">
        <v>798</v>
      </c>
      <c r="M706" s="66" t="s">
        <v>1031</v>
      </c>
      <c r="N706" s="66" t="s">
        <v>3276</v>
      </c>
      <c r="O706" s="66" t="str">
        <f t="shared" ca="1" si="42"/>
        <v>SI</v>
      </c>
      <c r="P706" s="66" t="str">
        <f t="shared" si="40"/>
        <v>DIANOSOL</v>
      </c>
      <c r="Q706" s="66" t="s">
        <v>905</v>
      </c>
      <c r="R706" s="66" t="str">
        <f>VLOOKUP($Q706,Resultados!$A$1:$B$49,2,FALSE)</f>
        <v>Juicio Abreviado</v>
      </c>
      <c r="S706" s="66" t="s">
        <v>3277</v>
      </c>
      <c r="T706" s="75" t="str">
        <f t="shared" si="43"/>
        <v>NO</v>
      </c>
      <c r="U706" s="75"/>
      <c r="V706" s="66"/>
      <c r="W706" s="66" t="s">
        <v>3278</v>
      </c>
      <c r="X706" s="66" t="s">
        <v>3279</v>
      </c>
      <c r="Y706" s="66"/>
      <c r="Z706" s="121" t="s">
        <v>748</v>
      </c>
      <c r="AA706" s="336" t="s">
        <v>2852</v>
      </c>
      <c r="AB706" s="121" t="s">
        <v>1175</v>
      </c>
      <c r="AC706" s="361"/>
    </row>
    <row r="707" spans="1:29" ht="63.75" x14ac:dyDescent="0.2">
      <c r="A707" s="66">
        <v>667</v>
      </c>
      <c r="B707" s="68">
        <v>45189</v>
      </c>
      <c r="C707" s="73">
        <v>0.47569444444444442</v>
      </c>
      <c r="D707" s="66" t="s">
        <v>2844</v>
      </c>
      <c r="E707" s="67" t="s">
        <v>2845</v>
      </c>
      <c r="F707" s="66">
        <v>1</v>
      </c>
      <c r="G707" s="66" t="s">
        <v>2775</v>
      </c>
      <c r="H707" s="68">
        <v>45209</v>
      </c>
      <c r="I707" s="68" t="s">
        <v>73</v>
      </c>
      <c r="J707" s="68" t="s">
        <v>33</v>
      </c>
      <c r="K707" s="66">
        <f>IFERROR(VLOOKUP(J707,Jueces!$A$1:$B$11,2,FALSE),"")</f>
        <v>4</v>
      </c>
      <c r="L707" s="66" t="s">
        <v>811</v>
      </c>
      <c r="M707" s="66" t="s">
        <v>711</v>
      </c>
      <c r="N707" s="66" t="s">
        <v>577</v>
      </c>
      <c r="O707" s="81" t="str">
        <f t="shared" ca="1" si="42"/>
        <v>SI</v>
      </c>
      <c r="P707" s="81" t="str">
        <f t="shared" ref="P707:P770" si="44">IF($P$1=H707,"DIASOL", "DIANOSOL")</f>
        <v>DIANOSOL</v>
      </c>
      <c r="Q707" s="66" t="s">
        <v>151</v>
      </c>
      <c r="R707" s="66" t="str">
        <f>VLOOKUP($Q707,Resultados!$A$1:$B$49,2,FALSE)</f>
        <v>Prisión Preventiva</v>
      </c>
      <c r="S707" s="66" t="s">
        <v>3288</v>
      </c>
      <c r="T707" s="84" t="str">
        <f t="shared" si="43"/>
        <v>NO</v>
      </c>
      <c r="U707" s="84"/>
      <c r="V707" s="81"/>
      <c r="W707" s="66" t="s">
        <v>3134</v>
      </c>
      <c r="X707" s="66" t="s">
        <v>3315</v>
      </c>
      <c r="Y707" s="66"/>
      <c r="Z707" s="121" t="s">
        <v>2867</v>
      </c>
      <c r="AA707" s="121" t="s">
        <v>2852</v>
      </c>
      <c r="AB707" s="121" t="s">
        <v>1177</v>
      </c>
      <c r="AC707" s="361"/>
    </row>
    <row r="708" spans="1:29" ht="38.25" x14ac:dyDescent="0.2">
      <c r="A708" s="66">
        <v>688</v>
      </c>
      <c r="B708" s="68">
        <v>45190</v>
      </c>
      <c r="C708" s="73">
        <v>0.44513888888888892</v>
      </c>
      <c r="D708" s="66" t="s">
        <v>2919</v>
      </c>
      <c r="E708" s="67" t="s">
        <v>2920</v>
      </c>
      <c r="F708" s="66">
        <v>8</v>
      </c>
      <c r="G708" s="66" t="s">
        <v>29</v>
      </c>
      <c r="H708" s="68">
        <v>45209</v>
      </c>
      <c r="I708" s="68" t="s">
        <v>73</v>
      </c>
      <c r="J708" s="68" t="s">
        <v>1221</v>
      </c>
      <c r="K708" s="66" t="s">
        <v>1925</v>
      </c>
      <c r="L708" s="66" t="s">
        <v>802</v>
      </c>
      <c r="M708" s="66" t="s">
        <v>3023</v>
      </c>
      <c r="N708" s="66" t="s">
        <v>3316</v>
      </c>
      <c r="O708" s="81" t="str">
        <f t="shared" ca="1" si="42"/>
        <v>SI</v>
      </c>
      <c r="P708" s="81" t="str">
        <f t="shared" si="44"/>
        <v>DIANOSOL</v>
      </c>
      <c r="Q708" s="66" t="s">
        <v>151</v>
      </c>
      <c r="R708" s="66" t="str">
        <f>VLOOKUP($Q708,Resultados!$A$1:$B$49,2,FALSE)</f>
        <v>Prisión Preventiva</v>
      </c>
      <c r="S708" s="66" t="s">
        <v>1296</v>
      </c>
      <c r="T708" s="84" t="str">
        <f t="shared" si="43"/>
        <v>NO</v>
      </c>
      <c r="U708" s="84"/>
      <c r="V708" s="81"/>
      <c r="W708" s="66" t="s">
        <v>1138</v>
      </c>
      <c r="X708" s="66" t="s">
        <v>3292</v>
      </c>
      <c r="Y708" s="66"/>
      <c r="Z708" s="121" t="s">
        <v>770</v>
      </c>
      <c r="AA708" s="121" t="s">
        <v>2852</v>
      </c>
      <c r="AB708" s="121" t="s">
        <v>1174</v>
      </c>
      <c r="AC708" s="361"/>
    </row>
    <row r="709" spans="1:29" ht="63.75" x14ac:dyDescent="0.2">
      <c r="A709" s="66">
        <v>718</v>
      </c>
      <c r="B709" s="68">
        <v>45197</v>
      </c>
      <c r="C709" s="73">
        <v>0.33333333333333331</v>
      </c>
      <c r="D709" s="66" t="s">
        <v>3037</v>
      </c>
      <c r="E709" s="67" t="s">
        <v>3107</v>
      </c>
      <c r="F709" s="66">
        <v>1</v>
      </c>
      <c r="G709" s="66" t="s">
        <v>43</v>
      </c>
      <c r="H709" s="68">
        <v>45209</v>
      </c>
      <c r="I709" s="68" t="s">
        <v>73</v>
      </c>
      <c r="J709" s="68" t="s">
        <v>2954</v>
      </c>
      <c r="K709" s="66" t="s">
        <v>2343</v>
      </c>
      <c r="L709" s="66" t="s">
        <v>2237</v>
      </c>
      <c r="M709" s="66" t="s">
        <v>700</v>
      </c>
      <c r="N709" s="66" t="s">
        <v>3290</v>
      </c>
      <c r="O709" s="81" t="str">
        <f t="shared" ca="1" si="42"/>
        <v>SI</v>
      </c>
      <c r="P709" s="81" t="str">
        <f t="shared" si="44"/>
        <v>DIANOSOL</v>
      </c>
      <c r="Q709" s="66" t="s">
        <v>905</v>
      </c>
      <c r="R709" s="66" t="str">
        <f>VLOOKUP($Q709,Resultados!$A$1:$B$49,2,FALSE)</f>
        <v>Juicio Abreviado</v>
      </c>
      <c r="S709" s="66" t="s">
        <v>1429</v>
      </c>
      <c r="T709" s="84" t="str">
        <f t="shared" si="43"/>
        <v>NO</v>
      </c>
      <c r="U709" s="84"/>
      <c r="V709" s="81"/>
      <c r="W709" s="66" t="s">
        <v>1497</v>
      </c>
      <c r="X709" s="66" t="s">
        <v>3291</v>
      </c>
      <c r="Y709" s="66"/>
      <c r="Z709" s="121" t="s">
        <v>748</v>
      </c>
      <c r="AA709" s="121" t="s">
        <v>1171</v>
      </c>
      <c r="AB709" s="121" t="s">
        <v>1173</v>
      </c>
      <c r="AC709" s="361"/>
    </row>
    <row r="710" spans="1:29" ht="76.5" x14ac:dyDescent="0.2">
      <c r="A710" s="66">
        <v>727</v>
      </c>
      <c r="B710" s="68">
        <v>45197</v>
      </c>
      <c r="C710" s="73">
        <v>0.50138888888888888</v>
      </c>
      <c r="D710" s="66" t="s">
        <v>3076</v>
      </c>
      <c r="E710" s="67" t="s">
        <v>3101</v>
      </c>
      <c r="F710" s="66">
        <v>1</v>
      </c>
      <c r="G710" s="66" t="s">
        <v>2838</v>
      </c>
      <c r="H710" s="68">
        <v>45209</v>
      </c>
      <c r="I710" s="68" t="s">
        <v>73</v>
      </c>
      <c r="J710" s="68" t="s">
        <v>1220</v>
      </c>
      <c r="K710" s="66">
        <f>IFERROR(VLOOKUP(J710,Jueces!$A$1:$B$11,2,FALSE),"")</f>
        <v>1</v>
      </c>
      <c r="L710" s="66" t="s">
        <v>2090</v>
      </c>
      <c r="M710" s="66" t="s">
        <v>712</v>
      </c>
      <c r="N710" s="66" t="s">
        <v>577</v>
      </c>
      <c r="O710" s="81" t="str">
        <f t="shared" ca="1" si="42"/>
        <v>SI</v>
      </c>
      <c r="P710" s="81" t="str">
        <f t="shared" si="44"/>
        <v>DIANOSOL</v>
      </c>
      <c r="Q710" s="66" t="s">
        <v>151</v>
      </c>
      <c r="R710" s="66" t="str">
        <f>VLOOKUP($Q710,Resultados!$A$1:$B$49,2,FALSE)</f>
        <v>Prisión Preventiva</v>
      </c>
      <c r="S710" s="66" t="s">
        <v>1231</v>
      </c>
      <c r="T710" s="84" t="str">
        <f t="shared" si="43"/>
        <v>NO</v>
      </c>
      <c r="U710" s="84"/>
      <c r="V710" s="81"/>
      <c r="W710" s="66" t="s">
        <v>1135</v>
      </c>
      <c r="X710" s="66" t="s">
        <v>3289</v>
      </c>
      <c r="Y710" s="66"/>
      <c r="Z710" s="121" t="s">
        <v>2895</v>
      </c>
      <c r="AA710" s="121" t="s">
        <v>2852</v>
      </c>
      <c r="AB710" s="121" t="s">
        <v>1175</v>
      </c>
      <c r="AC710" s="361"/>
    </row>
    <row r="711" spans="1:29" ht="51" x14ac:dyDescent="0.2">
      <c r="A711" s="66">
        <v>733</v>
      </c>
      <c r="B711" s="68">
        <v>45197</v>
      </c>
      <c r="C711" s="66" t="s">
        <v>1274</v>
      </c>
      <c r="D711" s="66" t="s">
        <v>3089</v>
      </c>
      <c r="E711" s="67" t="s">
        <v>3090</v>
      </c>
      <c r="F711" s="66">
        <v>8</v>
      </c>
      <c r="G711" s="66" t="s">
        <v>283</v>
      </c>
      <c r="H711" s="68">
        <v>45209</v>
      </c>
      <c r="I711" s="68" t="s">
        <v>749</v>
      </c>
      <c r="J711" s="68" t="s">
        <v>1225</v>
      </c>
      <c r="K711" s="66">
        <f>IFERROR(VLOOKUP(J711,Jueces!$A$1:$B$11,2,FALSE),"")</f>
        <v>6</v>
      </c>
      <c r="L711" s="66" t="s">
        <v>799</v>
      </c>
      <c r="M711" s="66" t="s">
        <v>711</v>
      </c>
      <c r="N711" s="351" t="s">
        <v>577</v>
      </c>
      <c r="O711" s="81" t="str">
        <f t="shared" ca="1" si="42"/>
        <v>SI</v>
      </c>
      <c r="P711" s="81" t="str">
        <f t="shared" si="44"/>
        <v>DIANOSOL</v>
      </c>
      <c r="Q711" s="66" t="s">
        <v>151</v>
      </c>
      <c r="R711" s="66" t="str">
        <f>VLOOKUP($Q711,Resultados!$A$1:$B$49,2,FALSE)</f>
        <v>Prisión Preventiva</v>
      </c>
      <c r="S711" s="66" t="s">
        <v>1246</v>
      </c>
      <c r="T711" s="84" t="str">
        <f t="shared" si="43"/>
        <v>NO</v>
      </c>
      <c r="U711" s="84"/>
      <c r="V711" s="81"/>
      <c r="W711" s="66" t="s">
        <v>1538</v>
      </c>
      <c r="X711" s="66"/>
      <c r="Y711" s="66"/>
      <c r="Z711" s="121" t="s">
        <v>743</v>
      </c>
      <c r="AA711" s="121" t="s">
        <v>1169</v>
      </c>
      <c r="AB711" s="121" t="s">
        <v>1174</v>
      </c>
      <c r="AC711" s="361"/>
    </row>
    <row r="712" spans="1:29" ht="63.75" x14ac:dyDescent="0.2">
      <c r="A712" s="66">
        <v>712</v>
      </c>
      <c r="B712" s="68">
        <v>45196</v>
      </c>
      <c r="C712" s="73">
        <v>0.34236111111111112</v>
      </c>
      <c r="D712" s="66" t="s">
        <v>3011</v>
      </c>
      <c r="E712" s="67" t="s">
        <v>3099</v>
      </c>
      <c r="F712" s="66">
        <v>1</v>
      </c>
      <c r="G712" s="66" t="s">
        <v>2788</v>
      </c>
      <c r="H712" s="68">
        <v>45209</v>
      </c>
      <c r="I712" s="68" t="s">
        <v>1086</v>
      </c>
      <c r="J712" s="68" t="s">
        <v>1221</v>
      </c>
      <c r="K712" s="66" t="s">
        <v>2343</v>
      </c>
      <c r="L712" s="66" t="s">
        <v>812</v>
      </c>
      <c r="M712" s="66" t="s">
        <v>712</v>
      </c>
      <c r="N712" s="66" t="s">
        <v>3284</v>
      </c>
      <c r="O712" s="66" t="str">
        <f t="shared" ca="1" si="42"/>
        <v>SI</v>
      </c>
      <c r="P712" s="66" t="str">
        <f t="shared" si="44"/>
        <v>DIANOSOL</v>
      </c>
      <c r="Q712" s="66" t="s">
        <v>904</v>
      </c>
      <c r="R712" s="66" t="str">
        <f>VLOOKUP($Q712,Resultados!$A$1:$B$49,2,FALSE)</f>
        <v>Juicio Abreviado</v>
      </c>
      <c r="S712" s="66" t="s">
        <v>1238</v>
      </c>
      <c r="T712" s="75" t="str">
        <f t="shared" si="43"/>
        <v>NO</v>
      </c>
      <c r="U712" s="75"/>
      <c r="V712" s="66"/>
      <c r="W712" s="66" t="s">
        <v>1746</v>
      </c>
      <c r="X712" s="66" t="s">
        <v>3285</v>
      </c>
      <c r="Y712" s="66"/>
      <c r="Z712" s="121" t="s">
        <v>748</v>
      </c>
      <c r="AA712" s="121" t="s">
        <v>1171</v>
      </c>
      <c r="AB712" s="121" t="s">
        <v>1173</v>
      </c>
      <c r="AC712" s="361"/>
    </row>
    <row r="713" spans="1:29" ht="63.75" x14ac:dyDescent="0.2">
      <c r="A713" s="66">
        <v>715</v>
      </c>
      <c r="B713" s="68">
        <v>45196</v>
      </c>
      <c r="C713" s="73">
        <v>0.49791666666666662</v>
      </c>
      <c r="D713" s="66" t="s">
        <v>3027</v>
      </c>
      <c r="E713" s="67" t="s">
        <v>3265</v>
      </c>
      <c r="F713" s="66">
        <v>8</v>
      </c>
      <c r="G713" s="66" t="s">
        <v>1443</v>
      </c>
      <c r="H713" s="68">
        <v>45209</v>
      </c>
      <c r="I713" s="68" t="s">
        <v>1086</v>
      </c>
      <c r="J713" s="68" t="s">
        <v>2951</v>
      </c>
      <c r="K713" s="66" t="s">
        <v>1925</v>
      </c>
      <c r="L713" s="66" t="s">
        <v>798</v>
      </c>
      <c r="M713" s="66" t="s">
        <v>1087</v>
      </c>
      <c r="N713" s="66" t="s">
        <v>577</v>
      </c>
      <c r="O713" s="81" t="str">
        <f t="shared" ca="1" si="42"/>
        <v>SI</v>
      </c>
      <c r="P713" s="81" t="str">
        <f t="shared" si="44"/>
        <v>DIANOSOL</v>
      </c>
      <c r="Q713" s="66" t="s">
        <v>151</v>
      </c>
      <c r="R713" s="66" t="str">
        <f>VLOOKUP($Q713,Resultados!$A$1:$B$49,2,FALSE)</f>
        <v>Prisión Preventiva</v>
      </c>
      <c r="S713" s="66" t="s">
        <v>1243</v>
      </c>
      <c r="T713" s="84" t="str">
        <f t="shared" si="43"/>
        <v>NO</v>
      </c>
      <c r="U713" s="84"/>
      <c r="V713" s="81"/>
      <c r="W713" s="66" t="s">
        <v>2908</v>
      </c>
      <c r="X713" s="66" t="s">
        <v>2571</v>
      </c>
      <c r="Y713" s="66"/>
      <c r="Z713" s="121" t="s">
        <v>770</v>
      </c>
      <c r="AA713" s="121" t="s">
        <v>1171</v>
      </c>
      <c r="AB713" s="121" t="s">
        <v>1175</v>
      </c>
      <c r="AC713" s="361"/>
    </row>
    <row r="714" spans="1:29" ht="51" x14ac:dyDescent="0.2">
      <c r="A714" s="66">
        <v>721</v>
      </c>
      <c r="B714" s="68">
        <v>45197</v>
      </c>
      <c r="C714" s="66" t="s">
        <v>1570</v>
      </c>
      <c r="D714" s="66" t="s">
        <v>3043</v>
      </c>
      <c r="E714" s="67" t="s">
        <v>3128</v>
      </c>
      <c r="F714" s="66">
        <v>1</v>
      </c>
      <c r="G714" s="66" t="s">
        <v>2773</v>
      </c>
      <c r="H714" s="68">
        <v>45209</v>
      </c>
      <c r="I714" s="68" t="s">
        <v>1086</v>
      </c>
      <c r="J714" s="68" t="s">
        <v>33</v>
      </c>
      <c r="K714" s="66">
        <f>IFERROR(VLOOKUP(J714,Jueces!$A$1:$B$11,2,FALSE),"")</f>
        <v>4</v>
      </c>
      <c r="L714" s="66" t="s">
        <v>791</v>
      </c>
      <c r="M714" s="66" t="s">
        <v>711</v>
      </c>
      <c r="N714" s="66" t="s">
        <v>3293</v>
      </c>
      <c r="O714" s="81" t="str">
        <f t="shared" ca="1" si="42"/>
        <v>SI</v>
      </c>
      <c r="P714" s="81" t="str">
        <f t="shared" si="44"/>
        <v>DIANOSOL</v>
      </c>
      <c r="Q714" s="66" t="s">
        <v>904</v>
      </c>
      <c r="R714" s="66" t="str">
        <f>VLOOKUP($Q714,Resultados!$A$1:$B$49,2,FALSE)</f>
        <v>Juicio Abreviado</v>
      </c>
      <c r="S714" s="66" t="s">
        <v>1189</v>
      </c>
      <c r="T714" s="84" t="str">
        <f t="shared" si="43"/>
        <v>NO</v>
      </c>
      <c r="U714" s="84"/>
      <c r="V714" s="81"/>
      <c r="W714" s="66" t="s">
        <v>1592</v>
      </c>
      <c r="X714" s="66" t="s">
        <v>3294</v>
      </c>
      <c r="Y714" s="66"/>
      <c r="Z714" s="121" t="s">
        <v>2867</v>
      </c>
      <c r="AA714" s="121" t="s">
        <v>1169</v>
      </c>
      <c r="AB714" s="121" t="s">
        <v>1177</v>
      </c>
      <c r="AC714" s="361"/>
    </row>
    <row r="715" spans="1:29" ht="38.25" x14ac:dyDescent="0.2">
      <c r="A715" s="66">
        <v>772</v>
      </c>
      <c r="B715" s="68"/>
      <c r="C715" s="66"/>
      <c r="D715" s="66" t="s">
        <v>2712</v>
      </c>
      <c r="E715" s="67" t="s">
        <v>2713</v>
      </c>
      <c r="F715" s="66">
        <v>7</v>
      </c>
      <c r="G715" s="66" t="s">
        <v>2775</v>
      </c>
      <c r="H715" s="68">
        <v>45209</v>
      </c>
      <c r="I715" s="68" t="s">
        <v>75</v>
      </c>
      <c r="J715" s="68" t="s">
        <v>33</v>
      </c>
      <c r="K715" s="66" t="s">
        <v>2304</v>
      </c>
      <c r="L715" s="66" t="s">
        <v>809</v>
      </c>
      <c r="M715" s="66" t="s">
        <v>700</v>
      </c>
      <c r="N715" s="66" t="s">
        <v>3317</v>
      </c>
      <c r="O715" s="81" t="str">
        <f t="shared" ca="1" si="42"/>
        <v>SI</v>
      </c>
      <c r="P715" s="81" t="str">
        <f t="shared" si="44"/>
        <v>DIANOSOL</v>
      </c>
      <c r="Q715" s="66" t="s">
        <v>904</v>
      </c>
      <c r="R715" s="66" t="str">
        <f>VLOOKUP($Q715,Resultados!$A$1:$B$49,2,FALSE)</f>
        <v>Juicio Abreviado</v>
      </c>
      <c r="S715" s="66" t="s">
        <v>3295</v>
      </c>
      <c r="T715" s="84" t="str">
        <f t="shared" si="43"/>
        <v>NO</v>
      </c>
      <c r="U715" s="84"/>
      <c r="V715" s="81"/>
      <c r="W715" s="66" t="s">
        <v>3296</v>
      </c>
      <c r="X715" s="66" t="s">
        <v>3297</v>
      </c>
      <c r="Y715" s="66"/>
      <c r="Z715" s="121" t="s">
        <v>2895</v>
      </c>
      <c r="AA715" s="66"/>
      <c r="AB715" s="121" t="s">
        <v>1174</v>
      </c>
      <c r="AC715" s="361"/>
    </row>
    <row r="716" spans="1:29" ht="38.25" x14ac:dyDescent="0.2">
      <c r="A716" s="66">
        <v>702</v>
      </c>
      <c r="B716" s="68">
        <v>45194</v>
      </c>
      <c r="C716" s="73">
        <v>0.38472222222222219</v>
      </c>
      <c r="D716" s="66" t="s">
        <v>2972</v>
      </c>
      <c r="E716" s="67" t="s">
        <v>2973</v>
      </c>
      <c r="F716" s="66">
        <v>8</v>
      </c>
      <c r="G716" s="66" t="s">
        <v>2774</v>
      </c>
      <c r="H716" s="68">
        <v>45210</v>
      </c>
      <c r="I716" s="68" t="s">
        <v>73</v>
      </c>
      <c r="J716" s="68" t="s">
        <v>1221</v>
      </c>
      <c r="K716" s="66" t="s">
        <v>1925</v>
      </c>
      <c r="L716" s="66" t="s">
        <v>796</v>
      </c>
      <c r="M716" s="66" t="s">
        <v>3102</v>
      </c>
      <c r="N716" s="66" t="s">
        <v>3360</v>
      </c>
      <c r="O716" s="81" t="str">
        <f t="shared" ca="1" si="42"/>
        <v>SI</v>
      </c>
      <c r="P716" s="81" t="str">
        <f t="shared" si="44"/>
        <v>DIANOSOL</v>
      </c>
      <c r="Q716" s="66" t="s">
        <v>151</v>
      </c>
      <c r="R716" s="66" t="str">
        <f>VLOOKUP($Q716,Resultados!$A$1:$B$49,2,FALSE)</f>
        <v>Prisión Preventiva</v>
      </c>
      <c r="S716" s="73">
        <v>0.35347222222222219</v>
      </c>
      <c r="T716" s="84" t="str">
        <f t="shared" si="43"/>
        <v>NO</v>
      </c>
      <c r="U716" s="84"/>
      <c r="V716" s="81"/>
      <c r="W716" s="66" t="s">
        <v>1130</v>
      </c>
      <c r="X716" s="66"/>
      <c r="Y716" s="66"/>
      <c r="Z716" s="121" t="s">
        <v>2867</v>
      </c>
      <c r="AA716" s="121" t="s">
        <v>2852</v>
      </c>
      <c r="AB716" s="121" t="s">
        <v>3301</v>
      </c>
      <c r="AC716" s="361"/>
    </row>
    <row r="717" spans="1:29" ht="89.25" x14ac:dyDescent="0.2">
      <c r="A717" s="66">
        <v>704</v>
      </c>
      <c r="B717" s="68">
        <v>45195</v>
      </c>
      <c r="C717" s="73">
        <v>0.4055555555555555</v>
      </c>
      <c r="D717" s="66" t="s">
        <v>2978</v>
      </c>
      <c r="E717" s="67" t="s">
        <v>3158</v>
      </c>
      <c r="F717" s="66">
        <v>1</v>
      </c>
      <c r="G717" s="66" t="s">
        <v>2773</v>
      </c>
      <c r="H717" s="68">
        <v>45210</v>
      </c>
      <c r="I717" s="68" t="s">
        <v>73</v>
      </c>
      <c r="J717" s="68" t="s">
        <v>2954</v>
      </c>
      <c r="K717" s="66" t="s">
        <v>2394</v>
      </c>
      <c r="L717" s="66" t="s">
        <v>791</v>
      </c>
      <c r="M717" s="66" t="s">
        <v>711</v>
      </c>
      <c r="N717" s="66" t="s">
        <v>1753</v>
      </c>
      <c r="O717" s="81" t="str">
        <f t="shared" ca="1" si="42"/>
        <v>SI</v>
      </c>
      <c r="P717" s="81" t="str">
        <f t="shared" si="44"/>
        <v>DIANOSOL</v>
      </c>
      <c r="Q717" s="66" t="s">
        <v>151</v>
      </c>
      <c r="R717" s="66" t="str">
        <f>VLOOKUP($Q717,Resultados!$A$1:$B$49,2,FALSE)</f>
        <v>Prisión Preventiva</v>
      </c>
      <c r="S717" s="66" t="s">
        <v>2711</v>
      </c>
      <c r="T717" s="84" t="str">
        <f t="shared" si="43"/>
        <v>NO</v>
      </c>
      <c r="U717" s="84"/>
      <c r="V717" s="81"/>
      <c r="W717" s="66" t="s">
        <v>1034</v>
      </c>
      <c r="X717" s="382"/>
      <c r="Y717" s="66"/>
      <c r="Z717" s="121" t="s">
        <v>748</v>
      </c>
      <c r="AA717" s="121" t="s">
        <v>1169</v>
      </c>
      <c r="AB717" s="121" t="s">
        <v>1173</v>
      </c>
      <c r="AC717" s="361"/>
    </row>
    <row r="718" spans="1:29" ht="63.75" x14ac:dyDescent="0.2">
      <c r="A718" s="66">
        <v>714</v>
      </c>
      <c r="B718" s="68">
        <v>45196</v>
      </c>
      <c r="C718" s="73">
        <v>0.48194444444444445</v>
      </c>
      <c r="D718" s="66" t="s">
        <v>3024</v>
      </c>
      <c r="E718" s="67" t="s">
        <v>3311</v>
      </c>
      <c r="F718" s="66">
        <v>1</v>
      </c>
      <c r="G718" s="66" t="s">
        <v>568</v>
      </c>
      <c r="H718" s="68">
        <v>45210</v>
      </c>
      <c r="I718" s="68" t="s">
        <v>73</v>
      </c>
      <c r="J718" s="68" t="s">
        <v>35</v>
      </c>
      <c r="K718" s="66">
        <f>IFERROR(VLOOKUP(J718,Jueces!$A$1:$B$11,2,FALSE),"")</f>
        <v>3</v>
      </c>
      <c r="L718" s="66" t="s">
        <v>2088</v>
      </c>
      <c r="M718" s="66" t="s">
        <v>712</v>
      </c>
      <c r="N718" s="66" t="s">
        <v>3348</v>
      </c>
      <c r="O718" s="81" t="str">
        <f t="shared" ca="1" si="42"/>
        <v>SI</v>
      </c>
      <c r="P718" s="81" t="str">
        <f t="shared" si="44"/>
        <v>DIANOSOL</v>
      </c>
      <c r="Q718" s="66" t="s">
        <v>905</v>
      </c>
      <c r="R718" s="66" t="str">
        <f>VLOOKUP($Q718,Resultados!$A$1:$B$49,2,FALSE)</f>
        <v>Juicio Abreviado</v>
      </c>
      <c r="S718" s="73">
        <v>0.3576388888888889</v>
      </c>
      <c r="T718" s="84" t="str">
        <f t="shared" si="43"/>
        <v>NO</v>
      </c>
      <c r="U718" s="84"/>
      <c r="V718" s="81"/>
      <c r="W718" s="66" t="s">
        <v>1458</v>
      </c>
      <c r="X718" s="385" t="s">
        <v>3349</v>
      </c>
      <c r="Y718" s="66"/>
      <c r="Z718" s="121" t="s">
        <v>770</v>
      </c>
      <c r="AA718" s="121" t="s">
        <v>1169</v>
      </c>
      <c r="AB718" s="121" t="s">
        <v>3300</v>
      </c>
      <c r="AC718" s="361"/>
    </row>
    <row r="719" spans="1:29" ht="51" x14ac:dyDescent="0.2">
      <c r="A719" s="66">
        <v>717</v>
      </c>
      <c r="B719" s="68">
        <v>45197</v>
      </c>
      <c r="C719" s="73">
        <v>0.33333333333333331</v>
      </c>
      <c r="D719" s="66" t="s">
        <v>3038</v>
      </c>
      <c r="E719" s="67" t="s">
        <v>3103</v>
      </c>
      <c r="F719" s="66">
        <v>8</v>
      </c>
      <c r="G719" s="66" t="s">
        <v>2838</v>
      </c>
      <c r="H719" s="68">
        <v>45210</v>
      </c>
      <c r="I719" s="68" t="s">
        <v>73</v>
      </c>
      <c r="J719" s="68" t="s">
        <v>1732</v>
      </c>
      <c r="K719" s="66" t="s">
        <v>1346</v>
      </c>
      <c r="L719" s="66" t="s">
        <v>809</v>
      </c>
      <c r="M719" s="66"/>
      <c r="N719" s="66" t="s">
        <v>3411</v>
      </c>
      <c r="O719" s="81" t="str">
        <f t="shared" ca="1" si="42"/>
        <v>SI</v>
      </c>
      <c r="P719" s="81" t="str">
        <f t="shared" si="44"/>
        <v>DIANOSOL</v>
      </c>
      <c r="Q719" s="66" t="s">
        <v>905</v>
      </c>
      <c r="R719" s="66" t="s">
        <v>100</v>
      </c>
      <c r="S719" s="66" t="s">
        <v>3354</v>
      </c>
      <c r="T719" s="84" t="str">
        <f t="shared" si="43"/>
        <v>NO</v>
      </c>
      <c r="U719" s="84"/>
      <c r="V719" s="81"/>
      <c r="W719" s="66" t="s">
        <v>3355</v>
      </c>
      <c r="X719" s="230"/>
      <c r="Y719" s="66"/>
      <c r="Z719" s="121" t="s">
        <v>2895</v>
      </c>
      <c r="AA719" s="121" t="s">
        <v>2852</v>
      </c>
      <c r="AB719" s="121" t="s">
        <v>1175</v>
      </c>
      <c r="AC719" s="361"/>
    </row>
    <row r="720" spans="1:29" ht="51" x14ac:dyDescent="0.2">
      <c r="A720" s="66">
        <v>707</v>
      </c>
      <c r="B720" s="68">
        <v>45195</v>
      </c>
      <c r="C720" s="73">
        <v>0.5395833333333333</v>
      </c>
      <c r="D720" s="66" t="s">
        <v>2997</v>
      </c>
      <c r="E720" s="67" t="s">
        <v>3100</v>
      </c>
      <c r="F720" s="66">
        <v>1</v>
      </c>
      <c r="G720" s="66" t="s">
        <v>1442</v>
      </c>
      <c r="H720" s="68">
        <v>45210</v>
      </c>
      <c r="I720" s="68" t="s">
        <v>1086</v>
      </c>
      <c r="J720" s="68" t="s">
        <v>2951</v>
      </c>
      <c r="K720" s="66" t="s">
        <v>1925</v>
      </c>
      <c r="L720" s="66" t="s">
        <v>2237</v>
      </c>
      <c r="M720" s="66" t="s">
        <v>712</v>
      </c>
      <c r="N720" s="66" t="s">
        <v>3350</v>
      </c>
      <c r="O720" s="81" t="str">
        <f t="shared" ca="1" si="42"/>
        <v>SI</v>
      </c>
      <c r="P720" s="81" t="str">
        <f t="shared" si="44"/>
        <v>DIANOSOL</v>
      </c>
      <c r="Q720" s="66" t="s">
        <v>899</v>
      </c>
      <c r="R720" s="66" t="str">
        <f>VLOOKUP($Q720,Resultados!$A$1:$B$49,2,FALSE)</f>
        <v>Libertad</v>
      </c>
      <c r="S720" s="66" t="s">
        <v>1050</v>
      </c>
      <c r="T720" s="84" t="str">
        <f t="shared" si="43"/>
        <v>SI</v>
      </c>
      <c r="U720" s="84"/>
      <c r="V720" s="81"/>
      <c r="W720" s="66" t="s">
        <v>1276</v>
      </c>
      <c r="X720" s="66"/>
      <c r="Y720" s="66"/>
      <c r="Z720" s="121" t="s">
        <v>2867</v>
      </c>
      <c r="AA720" s="121" t="s">
        <v>1171</v>
      </c>
      <c r="AB720" s="121" t="s">
        <v>1177</v>
      </c>
      <c r="AC720" s="361"/>
    </row>
    <row r="721" spans="1:29" ht="51" x14ac:dyDescent="0.2">
      <c r="A721" s="66">
        <v>751</v>
      </c>
      <c r="B721" s="68">
        <v>45202</v>
      </c>
      <c r="C721" s="73">
        <v>0.44861111111111113</v>
      </c>
      <c r="D721" s="66" t="s">
        <v>3167</v>
      </c>
      <c r="E721" s="67" t="s">
        <v>3207</v>
      </c>
      <c r="F721" s="66">
        <v>2</v>
      </c>
      <c r="G721" s="66" t="s">
        <v>1443</v>
      </c>
      <c r="H721" s="68">
        <v>45210</v>
      </c>
      <c r="I721" s="68" t="s">
        <v>1086</v>
      </c>
      <c r="J721" s="68" t="s">
        <v>1225</v>
      </c>
      <c r="K721" s="66">
        <f>IFERROR(VLOOKUP(J721,Jueces!$A$1:$B$11,2,FALSE),"")</f>
        <v>6</v>
      </c>
      <c r="L721" s="66" t="s">
        <v>791</v>
      </c>
      <c r="M721" s="66" t="s">
        <v>692</v>
      </c>
      <c r="N721" s="66" t="s">
        <v>3361</v>
      </c>
      <c r="O721" s="81" t="str">
        <f t="shared" ca="1" si="42"/>
        <v>SI</v>
      </c>
      <c r="P721" s="81" t="str">
        <f t="shared" si="44"/>
        <v>DIANOSOL</v>
      </c>
      <c r="Q721" s="66" t="s">
        <v>151</v>
      </c>
      <c r="R721" s="66" t="str">
        <f>VLOOKUP($Q721,Resultados!$A$1:$B$49,2,FALSE)</f>
        <v>Prisión Preventiva</v>
      </c>
      <c r="S721" s="66" t="s">
        <v>1065</v>
      </c>
      <c r="T721" s="84" t="str">
        <f t="shared" si="43"/>
        <v>NO</v>
      </c>
      <c r="U721" s="84"/>
      <c r="V721" s="81"/>
      <c r="W721" s="66" t="s">
        <v>1125</v>
      </c>
      <c r="X721" s="66"/>
      <c r="Y721" s="66"/>
      <c r="Z721" s="121" t="s">
        <v>748</v>
      </c>
      <c r="AA721" s="336" t="s">
        <v>1171</v>
      </c>
      <c r="AB721" s="121" t="s">
        <v>1174</v>
      </c>
      <c r="AC721" s="361"/>
    </row>
    <row r="722" spans="1:29" ht="76.5" x14ac:dyDescent="0.2">
      <c r="A722" s="66">
        <v>709</v>
      </c>
      <c r="B722" s="68">
        <v>45195</v>
      </c>
      <c r="C722" s="73">
        <v>0.53194444444444444</v>
      </c>
      <c r="D722" s="66" t="s">
        <v>2999</v>
      </c>
      <c r="E722" s="67" t="s">
        <v>3111</v>
      </c>
      <c r="F722" s="66">
        <v>1</v>
      </c>
      <c r="G722" s="66" t="s">
        <v>283</v>
      </c>
      <c r="H722" s="68">
        <v>45210</v>
      </c>
      <c r="I722" s="68" t="s">
        <v>547</v>
      </c>
      <c r="J722" s="68" t="s">
        <v>33</v>
      </c>
      <c r="K722" s="66">
        <f>IFERROR(VLOOKUP(J722,Jueces!$A$1:$B$11,2,FALSE),"")</f>
        <v>4</v>
      </c>
      <c r="L722" s="66" t="s">
        <v>812</v>
      </c>
      <c r="M722" s="66" t="s">
        <v>711</v>
      </c>
      <c r="N722" s="66" t="s">
        <v>3352</v>
      </c>
      <c r="O722" s="81" t="str">
        <f t="shared" ca="1" si="42"/>
        <v>SI</v>
      </c>
      <c r="P722" s="81" t="str">
        <f t="shared" si="44"/>
        <v>DIANOSOL</v>
      </c>
      <c r="Q722" s="66" t="s">
        <v>904</v>
      </c>
      <c r="R722" s="66" t="str">
        <f>VLOOKUP($Q722,Resultados!$A$1:$B$49,2,FALSE)</f>
        <v>Juicio Abreviado</v>
      </c>
      <c r="S722" s="66" t="s">
        <v>3351</v>
      </c>
      <c r="T722" s="84" t="str">
        <f t="shared" si="43"/>
        <v>NO</v>
      </c>
      <c r="U722" s="84"/>
      <c r="V722" s="81"/>
      <c r="W722" s="66" t="s">
        <v>1639</v>
      </c>
      <c r="X722" s="268" t="s">
        <v>3353</v>
      </c>
      <c r="Y722" s="66"/>
      <c r="Z722" s="121" t="s">
        <v>2895</v>
      </c>
      <c r="AA722" s="121" t="s">
        <v>2852</v>
      </c>
      <c r="AB722" s="121" t="s">
        <v>1173</v>
      </c>
      <c r="AC722" s="361"/>
    </row>
    <row r="723" spans="1:29" ht="63.75" x14ac:dyDescent="0.2">
      <c r="A723" s="66">
        <v>730</v>
      </c>
      <c r="B723" s="68">
        <v>45198</v>
      </c>
      <c r="C723" s="66" t="s">
        <v>2277</v>
      </c>
      <c r="D723" s="66" t="s">
        <v>3086</v>
      </c>
      <c r="E723" s="67" t="s">
        <v>3283</v>
      </c>
      <c r="F723" s="66">
        <v>1</v>
      </c>
      <c r="G723" s="66" t="s">
        <v>29</v>
      </c>
      <c r="H723" s="68">
        <v>45210</v>
      </c>
      <c r="I723" s="68" t="s">
        <v>1562</v>
      </c>
      <c r="J723" s="68" t="s">
        <v>1221</v>
      </c>
      <c r="K723" s="66" t="s">
        <v>1346</v>
      </c>
      <c r="L723" s="66" t="s">
        <v>2737</v>
      </c>
      <c r="M723" s="66" t="s">
        <v>711</v>
      </c>
      <c r="N723" s="66" t="s">
        <v>1753</v>
      </c>
      <c r="O723" s="81" t="str">
        <f t="shared" ca="1" si="42"/>
        <v>SI</v>
      </c>
      <c r="P723" s="81" t="str">
        <f t="shared" si="44"/>
        <v>DIANOSOL</v>
      </c>
      <c r="Q723" s="66" t="s">
        <v>151</v>
      </c>
      <c r="R723" s="66" t="str">
        <f>VLOOKUP($Q723,Resultados!$A$1:$B$49,2,FALSE)</f>
        <v>Prisión Preventiva</v>
      </c>
      <c r="S723" s="66" t="s">
        <v>1239</v>
      </c>
      <c r="T723" s="84" t="str">
        <f t="shared" si="43"/>
        <v>NO</v>
      </c>
      <c r="U723" s="84"/>
      <c r="V723" s="81"/>
      <c r="W723" s="66" t="s">
        <v>3358</v>
      </c>
      <c r="X723" s="404" t="s">
        <v>3359</v>
      </c>
      <c r="Y723" s="66"/>
      <c r="Z723" s="121" t="s">
        <v>770</v>
      </c>
      <c r="AA723" s="121" t="s">
        <v>1171</v>
      </c>
      <c r="AB723" s="121" t="s">
        <v>3300</v>
      </c>
      <c r="AC723" s="361"/>
    </row>
    <row r="724" spans="1:29" ht="63.75" x14ac:dyDescent="0.2">
      <c r="A724" s="66">
        <v>736</v>
      </c>
      <c r="B724" s="68">
        <v>45197</v>
      </c>
      <c r="C724" s="66" t="s">
        <v>1465</v>
      </c>
      <c r="D724" s="66" t="s">
        <v>3105</v>
      </c>
      <c r="E724" s="67" t="s">
        <v>3112</v>
      </c>
      <c r="F724" s="66">
        <v>1</v>
      </c>
      <c r="G724" s="66" t="s">
        <v>1441</v>
      </c>
      <c r="H724" s="68">
        <v>45210</v>
      </c>
      <c r="I724" s="68" t="s">
        <v>1562</v>
      </c>
      <c r="J724" s="68" t="s">
        <v>33</v>
      </c>
      <c r="K724" s="66">
        <f>IFERROR(VLOOKUP(J724,Jueces!$A$1:$B$11,2,FALSE),"")</f>
        <v>4</v>
      </c>
      <c r="L724" s="66" t="s">
        <v>799</v>
      </c>
      <c r="M724" s="66" t="s">
        <v>1179</v>
      </c>
      <c r="N724" s="66" t="s">
        <v>3356</v>
      </c>
      <c r="O724" s="81" t="str">
        <f t="shared" ca="1" si="42"/>
        <v>SI</v>
      </c>
      <c r="P724" s="81" t="str">
        <f t="shared" si="44"/>
        <v>DIANOSOL</v>
      </c>
      <c r="Q724" s="66" t="s">
        <v>905</v>
      </c>
      <c r="R724" s="66" t="str">
        <f>VLOOKUP($Q724,Resultados!$A$1:$B$49,2,FALSE)</f>
        <v>Juicio Abreviado</v>
      </c>
      <c r="S724" s="66" t="s">
        <v>3354</v>
      </c>
      <c r="T724" s="66" t="s">
        <v>3355</v>
      </c>
      <c r="U724" s="84"/>
      <c r="V724" s="81"/>
      <c r="W724" s="66" t="s">
        <v>3355</v>
      </c>
      <c r="X724" s="385" t="s">
        <v>3357</v>
      </c>
      <c r="Y724" s="66"/>
      <c r="Z724" s="121" t="s">
        <v>743</v>
      </c>
      <c r="AA724" s="121" t="s">
        <v>1169</v>
      </c>
      <c r="AB724" s="121" t="s">
        <v>1175</v>
      </c>
      <c r="AC724" s="361"/>
    </row>
    <row r="725" spans="1:29" ht="178.5" x14ac:dyDescent="0.2">
      <c r="A725" s="66">
        <v>671</v>
      </c>
      <c r="B725" s="68">
        <v>45189</v>
      </c>
      <c r="C725" s="73">
        <v>0.43472222222222223</v>
      </c>
      <c r="D725" s="66" t="s">
        <v>2850</v>
      </c>
      <c r="E725" s="67" t="s">
        <v>2887</v>
      </c>
      <c r="F725" s="66">
        <v>7</v>
      </c>
      <c r="G725" s="66" t="s">
        <v>283</v>
      </c>
      <c r="H725" s="68">
        <v>45211</v>
      </c>
      <c r="I725" s="68" t="s">
        <v>73</v>
      </c>
      <c r="J725" s="68" t="s">
        <v>35</v>
      </c>
      <c r="K725" s="66">
        <f>IFERROR(VLOOKUP(J725,Jueces!$A$1:$B$11,2,FALSE),"")</f>
        <v>3</v>
      </c>
      <c r="L725" s="66" t="s">
        <v>1070</v>
      </c>
      <c r="M725" s="66" t="s">
        <v>2886</v>
      </c>
      <c r="N725" s="66" t="s">
        <v>3408</v>
      </c>
      <c r="O725" s="66" t="str">
        <f t="shared" ca="1" si="42"/>
        <v>SI</v>
      </c>
      <c r="P725" s="66" t="str">
        <f t="shared" si="44"/>
        <v>DIANOSOL</v>
      </c>
      <c r="Q725" s="66" t="s">
        <v>151</v>
      </c>
      <c r="R725" s="66" t="s">
        <v>151</v>
      </c>
      <c r="S725" s="66" t="s">
        <v>1187</v>
      </c>
      <c r="T725" s="75" t="str">
        <f t="shared" ref="T725:T756" si="45">IF(G725=$J$1,"SI","NO")</f>
        <v>NO</v>
      </c>
      <c r="U725" s="75"/>
      <c r="V725" s="66"/>
      <c r="W725" s="66" t="s">
        <v>3409</v>
      </c>
      <c r="X725" s="66" t="s">
        <v>3410</v>
      </c>
      <c r="Y725" s="66"/>
      <c r="Z725" s="336" t="s">
        <v>770</v>
      </c>
      <c r="AA725" s="121" t="s">
        <v>2852</v>
      </c>
      <c r="AB725" s="75" t="s">
        <v>3364</v>
      </c>
      <c r="AC725" s="361"/>
    </row>
    <row r="726" spans="1:29" ht="39.950000000000003" customHeight="1" x14ac:dyDescent="0.2">
      <c r="A726" s="66">
        <v>734</v>
      </c>
      <c r="B726" s="68">
        <v>45197</v>
      </c>
      <c r="C726" s="66" t="s">
        <v>1372</v>
      </c>
      <c r="D726" s="66" t="s">
        <v>3091</v>
      </c>
      <c r="E726" s="67" t="s">
        <v>3092</v>
      </c>
      <c r="F726" s="66">
        <v>8</v>
      </c>
      <c r="G726" s="66" t="s">
        <v>43</v>
      </c>
      <c r="H726" s="68">
        <v>45211</v>
      </c>
      <c r="I726" s="68" t="s">
        <v>73</v>
      </c>
      <c r="J726" s="68" t="s">
        <v>1220</v>
      </c>
      <c r="K726" s="66">
        <f>IFERROR(VLOOKUP(J726,Jueces!$A$1:$B$11,2,FALSE),"")</f>
        <v>1</v>
      </c>
      <c r="L726" s="66" t="s">
        <v>811</v>
      </c>
      <c r="M726" s="66" t="s">
        <v>1087</v>
      </c>
      <c r="N726" s="66" t="s">
        <v>3412</v>
      </c>
      <c r="O726" s="66" t="str">
        <f t="shared" ca="1" si="42"/>
        <v>SI</v>
      </c>
      <c r="P726" s="66" t="str">
        <f t="shared" si="44"/>
        <v>DIANOSOL</v>
      </c>
      <c r="Q726" s="66" t="s">
        <v>905</v>
      </c>
      <c r="R726" s="66" t="str">
        <f>VLOOKUP($Q726,Resultados!$A$1:$B$49,2,FALSE)</f>
        <v>Juicio Abreviado</v>
      </c>
      <c r="S726" s="66" t="s">
        <v>1210</v>
      </c>
      <c r="T726" s="75" t="str">
        <f t="shared" si="45"/>
        <v>NO</v>
      </c>
      <c r="U726" s="75"/>
      <c r="V726" s="66"/>
      <c r="W726" s="66" t="s">
        <v>2567</v>
      </c>
      <c r="X726" s="66" t="s">
        <v>3413</v>
      </c>
      <c r="Y726" s="66"/>
      <c r="Z726" s="336" t="s">
        <v>3362</v>
      </c>
      <c r="AA726" s="121" t="s">
        <v>1169</v>
      </c>
      <c r="AB726" s="121" t="s">
        <v>1173</v>
      </c>
      <c r="AC726" s="361"/>
    </row>
    <row r="727" spans="1:29" ht="39.950000000000003" customHeight="1" x14ac:dyDescent="0.2">
      <c r="A727" s="66">
        <v>742</v>
      </c>
      <c r="B727" s="68">
        <v>45201</v>
      </c>
      <c r="C727" s="73">
        <v>0.38958333333333334</v>
      </c>
      <c r="D727" s="66" t="s">
        <v>2690</v>
      </c>
      <c r="E727" s="67" t="s">
        <v>2729</v>
      </c>
      <c r="F727" s="66">
        <v>8</v>
      </c>
      <c r="G727" s="66" t="s">
        <v>2774</v>
      </c>
      <c r="H727" s="68">
        <v>45211</v>
      </c>
      <c r="I727" s="68" t="s">
        <v>73</v>
      </c>
      <c r="J727" s="68" t="s">
        <v>1221</v>
      </c>
      <c r="K727" s="66" t="s">
        <v>2343</v>
      </c>
      <c r="L727" s="66" t="s">
        <v>789</v>
      </c>
      <c r="M727" s="66" t="s">
        <v>887</v>
      </c>
      <c r="N727" s="66" t="s">
        <v>3401</v>
      </c>
      <c r="O727" s="66" t="str">
        <f t="shared" ca="1" si="42"/>
        <v>SI</v>
      </c>
      <c r="P727" s="66" t="str">
        <f t="shared" si="44"/>
        <v>DIANOSOL</v>
      </c>
      <c r="Q727" s="66" t="s">
        <v>904</v>
      </c>
      <c r="R727" s="66" t="str">
        <f>VLOOKUP($Q727,Resultados!$A$1:$B$49,2,FALSE)</f>
        <v>Juicio Abreviado</v>
      </c>
      <c r="S727" s="73" t="s">
        <v>1129</v>
      </c>
      <c r="T727" s="75" t="str">
        <f t="shared" si="45"/>
        <v>NO</v>
      </c>
      <c r="U727" s="75"/>
      <c r="V727" s="66"/>
      <c r="W727" s="66" t="s">
        <v>1135</v>
      </c>
      <c r="X727" s="66" t="s">
        <v>2984</v>
      </c>
      <c r="Y727" s="66"/>
      <c r="Z727" s="336" t="s">
        <v>2895</v>
      </c>
      <c r="AA727" s="121" t="s">
        <v>2852</v>
      </c>
      <c r="AB727" s="121" t="s">
        <v>3300</v>
      </c>
      <c r="AC727" s="361"/>
    </row>
    <row r="728" spans="1:29" ht="39.950000000000003" customHeight="1" x14ac:dyDescent="0.2">
      <c r="A728" s="66">
        <v>752</v>
      </c>
      <c r="B728" s="68">
        <v>45202</v>
      </c>
      <c r="C728" s="73">
        <v>0.47500000000000003</v>
      </c>
      <c r="D728" s="66" t="s">
        <v>3168</v>
      </c>
      <c r="E728" s="67" t="s">
        <v>3169</v>
      </c>
      <c r="F728" s="66">
        <v>1</v>
      </c>
      <c r="G728" s="66" t="s">
        <v>2788</v>
      </c>
      <c r="H728" s="68">
        <v>45211</v>
      </c>
      <c r="I728" s="68" t="s">
        <v>73</v>
      </c>
      <c r="J728" s="68" t="s">
        <v>1732</v>
      </c>
      <c r="K728" s="66" t="s">
        <v>1925</v>
      </c>
      <c r="L728" s="66" t="s">
        <v>801</v>
      </c>
      <c r="M728" s="66" t="s">
        <v>711</v>
      </c>
      <c r="N728" s="66" t="s">
        <v>3402</v>
      </c>
      <c r="O728" s="66" t="str">
        <f t="shared" ca="1" si="42"/>
        <v>SI</v>
      </c>
      <c r="P728" s="66" t="str">
        <f t="shared" si="44"/>
        <v>DIANOSOL</v>
      </c>
      <c r="Q728" s="66" t="s">
        <v>905</v>
      </c>
      <c r="R728" s="66" t="str">
        <f>VLOOKUP($Q728,Resultados!$A$1:$B$49,2,FALSE)</f>
        <v>Juicio Abreviado</v>
      </c>
      <c r="S728" s="66" t="s">
        <v>1587</v>
      </c>
      <c r="T728" s="75" t="str">
        <f t="shared" si="45"/>
        <v>NO</v>
      </c>
      <c r="U728" s="75"/>
      <c r="V728" s="66"/>
      <c r="W728" s="66" t="s">
        <v>1009</v>
      </c>
      <c r="X728" s="66" t="s">
        <v>2571</v>
      </c>
      <c r="Y728" s="66"/>
      <c r="Z728" s="336" t="s">
        <v>2867</v>
      </c>
      <c r="AA728" s="336" t="s">
        <v>1171</v>
      </c>
      <c r="AB728" s="121" t="s">
        <v>1175</v>
      </c>
      <c r="AC728" s="361"/>
    </row>
    <row r="729" spans="1:29" ht="39.950000000000003" customHeight="1" x14ac:dyDescent="0.2">
      <c r="A729" s="66">
        <v>661</v>
      </c>
      <c r="B729" s="68">
        <v>45188</v>
      </c>
      <c r="C729" s="73">
        <v>0.50624999999999998</v>
      </c>
      <c r="D729" s="66" t="s">
        <v>2818</v>
      </c>
      <c r="E729" s="67" t="s">
        <v>2819</v>
      </c>
      <c r="F729" s="66">
        <v>8</v>
      </c>
      <c r="G729" s="66" t="s">
        <v>1441</v>
      </c>
      <c r="H729" s="68">
        <v>45211</v>
      </c>
      <c r="I729" s="68" t="s">
        <v>1086</v>
      </c>
      <c r="J729" s="68" t="s">
        <v>2951</v>
      </c>
      <c r="K729" s="66" t="s">
        <v>1925</v>
      </c>
      <c r="L729" s="66" t="s">
        <v>813</v>
      </c>
      <c r="M729" s="66" t="s">
        <v>1087</v>
      </c>
      <c r="N729" s="230" t="s">
        <v>3403</v>
      </c>
      <c r="O729" s="66" t="str">
        <f t="shared" ca="1" si="42"/>
        <v>SI</v>
      </c>
      <c r="P729" s="66" t="str">
        <f t="shared" si="44"/>
        <v>DIANOSOL</v>
      </c>
      <c r="Q729" s="66" t="s">
        <v>904</v>
      </c>
      <c r="R729" s="66" t="str">
        <f>VLOOKUP($Q729,Resultados!$A$1:$B$49,2,FALSE)</f>
        <v>Juicio Abreviado</v>
      </c>
      <c r="S729" s="66" t="s">
        <v>3404</v>
      </c>
      <c r="T729" s="75" t="str">
        <f t="shared" si="45"/>
        <v>NO</v>
      </c>
      <c r="U729" s="75"/>
      <c r="V729" s="66"/>
      <c r="W729" s="66" t="s">
        <v>1133</v>
      </c>
      <c r="X729" s="66" t="s">
        <v>2155</v>
      </c>
      <c r="Y729" s="66"/>
      <c r="Z729" s="336" t="s">
        <v>2867</v>
      </c>
      <c r="AA729" s="121" t="s">
        <v>1171</v>
      </c>
      <c r="AB729" s="121" t="s">
        <v>3364</v>
      </c>
      <c r="AC729" s="361"/>
    </row>
    <row r="730" spans="1:29" ht="39.950000000000003" customHeight="1" x14ac:dyDescent="0.2">
      <c r="A730" s="66">
        <v>679</v>
      </c>
      <c r="B730" s="68">
        <v>45190</v>
      </c>
      <c r="C730" s="73">
        <v>0.3840277777777778</v>
      </c>
      <c r="D730" s="66" t="s">
        <v>2882</v>
      </c>
      <c r="E730" s="67" t="s">
        <v>2883</v>
      </c>
      <c r="F730" s="66">
        <v>8</v>
      </c>
      <c r="G730" s="66" t="s">
        <v>1442</v>
      </c>
      <c r="H730" s="68">
        <v>45211</v>
      </c>
      <c r="I730" s="68" t="s">
        <v>1086</v>
      </c>
      <c r="J730" s="68" t="s">
        <v>1221</v>
      </c>
      <c r="K730" s="66" t="s">
        <v>2343</v>
      </c>
      <c r="L730" s="66" t="s">
        <v>807</v>
      </c>
      <c r="M730" s="66" t="s">
        <v>887</v>
      </c>
      <c r="N730" s="230" t="s">
        <v>3405</v>
      </c>
      <c r="O730" s="66" t="str">
        <f t="shared" ca="1" si="42"/>
        <v>SI</v>
      </c>
      <c r="P730" s="66" t="str">
        <f t="shared" si="44"/>
        <v>DIANOSOL</v>
      </c>
      <c r="Q730" s="66" t="s">
        <v>904</v>
      </c>
      <c r="R730" s="66" t="str">
        <f>VLOOKUP($Q730,Resultados!$A$1:$B$49,2,FALSE)</f>
        <v>Juicio Abreviado</v>
      </c>
      <c r="S730" s="66" t="s">
        <v>1036</v>
      </c>
      <c r="T730" s="75" t="str">
        <f t="shared" si="45"/>
        <v>SI</v>
      </c>
      <c r="U730" s="75"/>
      <c r="V730" s="66"/>
      <c r="W730" s="66" t="s">
        <v>3406</v>
      </c>
      <c r="X730" s="66" t="s">
        <v>3196</v>
      </c>
      <c r="Y730" s="66"/>
      <c r="Z730" s="336" t="s">
        <v>2895</v>
      </c>
      <c r="AA730" s="121" t="s">
        <v>2852</v>
      </c>
      <c r="AB730" s="121" t="s">
        <v>1173</v>
      </c>
      <c r="AC730" s="361"/>
    </row>
    <row r="731" spans="1:29" ht="39.950000000000003" customHeight="1" x14ac:dyDescent="0.2">
      <c r="A731" s="66">
        <v>720</v>
      </c>
      <c r="B731" s="68">
        <v>45197</v>
      </c>
      <c r="C731" s="66" t="s">
        <v>1450</v>
      </c>
      <c r="D731" s="66" t="s">
        <v>3042</v>
      </c>
      <c r="E731" s="67" t="s">
        <v>3109</v>
      </c>
      <c r="F731" s="66">
        <v>1</v>
      </c>
      <c r="G731" s="66" t="s">
        <v>2775</v>
      </c>
      <c r="H731" s="68">
        <v>45211</v>
      </c>
      <c r="I731" s="68" t="s">
        <v>2020</v>
      </c>
      <c r="J731" s="68" t="s">
        <v>33</v>
      </c>
      <c r="K731" s="66" t="s">
        <v>1925</v>
      </c>
      <c r="L731" s="66" t="s">
        <v>806</v>
      </c>
      <c r="M731" s="66" t="s">
        <v>711</v>
      </c>
      <c r="N731" s="66" t="s">
        <v>577</v>
      </c>
      <c r="O731" s="66" t="str">
        <f t="shared" ca="1" si="42"/>
        <v>SI</v>
      </c>
      <c r="P731" s="66" t="str">
        <f t="shared" si="44"/>
        <v>DIANOSOL</v>
      </c>
      <c r="Q731" s="66" t="s">
        <v>151</v>
      </c>
      <c r="R731" s="66" t="str">
        <f>VLOOKUP($Q731,Resultados!$A$1:$B$49,2,FALSE)</f>
        <v>Prisión Preventiva</v>
      </c>
      <c r="S731" s="66" t="s">
        <v>1039</v>
      </c>
      <c r="T731" s="75" t="str">
        <f t="shared" si="45"/>
        <v>NO</v>
      </c>
      <c r="U731" s="75"/>
      <c r="V731" s="66"/>
      <c r="W731" s="66" t="s">
        <v>2518</v>
      </c>
      <c r="X731" s="66" t="s">
        <v>3407</v>
      </c>
      <c r="Y731" s="66"/>
      <c r="Z731" s="336" t="s">
        <v>3363</v>
      </c>
      <c r="AA731" s="121" t="s">
        <v>1169</v>
      </c>
      <c r="AB731" s="121" t="s">
        <v>1175</v>
      </c>
      <c r="AC731" s="361"/>
    </row>
    <row r="732" spans="1:29" ht="39.950000000000003" customHeight="1" x14ac:dyDescent="0.2">
      <c r="A732" s="66">
        <v>731</v>
      </c>
      <c r="B732" s="68">
        <v>45198</v>
      </c>
      <c r="C732" s="66" t="s">
        <v>547</v>
      </c>
      <c r="D732" s="66" t="s">
        <v>3087</v>
      </c>
      <c r="E732" s="67" t="s">
        <v>3119</v>
      </c>
      <c r="F732" s="66">
        <v>1</v>
      </c>
      <c r="G732" s="66" t="s">
        <v>2773</v>
      </c>
      <c r="H732" s="68">
        <v>45216</v>
      </c>
      <c r="I732" s="68" t="s">
        <v>73</v>
      </c>
      <c r="J732" s="68" t="s">
        <v>1221</v>
      </c>
      <c r="K732" s="66" t="s">
        <v>2343</v>
      </c>
      <c r="L732" s="66" t="s">
        <v>806</v>
      </c>
      <c r="M732" s="66" t="s">
        <v>711</v>
      </c>
      <c r="N732" s="66" t="s">
        <v>899</v>
      </c>
      <c r="O732" s="66" t="str">
        <f t="shared" ca="1" si="42"/>
        <v>SI</v>
      </c>
      <c r="P732" s="66" t="str">
        <f t="shared" si="44"/>
        <v>DIANOSOL</v>
      </c>
      <c r="Q732" s="66" t="s">
        <v>899</v>
      </c>
      <c r="R732" s="66" t="str">
        <f>VLOOKUP($Q732,Resultados!$A$1:$B$49,2,FALSE)</f>
        <v>Libertad</v>
      </c>
      <c r="S732" s="66" t="s">
        <v>686</v>
      </c>
      <c r="T732" s="75" t="str">
        <f t="shared" si="45"/>
        <v>NO</v>
      </c>
      <c r="U732" s="75"/>
      <c r="V732" s="66"/>
      <c r="W732" s="66" t="s">
        <v>1237</v>
      </c>
      <c r="X732" s="66" t="s">
        <v>2984</v>
      </c>
      <c r="Y732" s="66"/>
      <c r="Z732" s="336" t="s">
        <v>3415</v>
      </c>
      <c r="AA732" s="336" t="s">
        <v>1171</v>
      </c>
      <c r="AB732" s="336" t="s">
        <v>3364</v>
      </c>
      <c r="AC732" s="361"/>
    </row>
    <row r="733" spans="1:29" ht="39.950000000000003" customHeight="1" x14ac:dyDescent="0.2">
      <c r="A733" s="66">
        <v>747</v>
      </c>
      <c r="B733" s="68">
        <v>45202</v>
      </c>
      <c r="C733" s="66" t="s">
        <v>1783</v>
      </c>
      <c r="D733" s="66" t="s">
        <v>3153</v>
      </c>
      <c r="E733" s="67" t="s">
        <v>3209</v>
      </c>
      <c r="F733" s="66">
        <v>1</v>
      </c>
      <c r="G733" s="66" t="s">
        <v>1443</v>
      </c>
      <c r="H733" s="68">
        <v>45216</v>
      </c>
      <c r="I733" s="68" t="s">
        <v>73</v>
      </c>
      <c r="J733" s="68" t="s">
        <v>2954</v>
      </c>
      <c r="K733" s="66" t="s">
        <v>1346</v>
      </c>
      <c r="L733" s="66" t="s">
        <v>793</v>
      </c>
      <c r="M733" s="66" t="s">
        <v>1087</v>
      </c>
      <c r="N733" s="66" t="s">
        <v>2982</v>
      </c>
      <c r="O733" s="66" t="str">
        <f t="shared" ca="1" si="42"/>
        <v>SI</v>
      </c>
      <c r="P733" s="66" t="str">
        <f t="shared" si="44"/>
        <v>DIANOSOL</v>
      </c>
      <c r="Q733" s="66" t="s">
        <v>905</v>
      </c>
      <c r="R733" s="66" t="str">
        <f>VLOOKUP($Q733,Resultados!$A$1:$B$49,2,FALSE)</f>
        <v>Juicio Abreviado</v>
      </c>
      <c r="S733" s="66" t="s">
        <v>1650</v>
      </c>
      <c r="T733" s="75" t="str">
        <f t="shared" si="45"/>
        <v>NO</v>
      </c>
      <c r="U733" s="75"/>
      <c r="V733" s="66"/>
      <c r="W733" s="66" t="s">
        <v>1084</v>
      </c>
      <c r="X733" s="66" t="s">
        <v>3437</v>
      </c>
      <c r="Y733" s="66"/>
      <c r="Z733" s="336" t="s">
        <v>748</v>
      </c>
      <c r="AA733" s="336" t="s">
        <v>1171</v>
      </c>
      <c r="AB733" s="336" t="s">
        <v>1177</v>
      </c>
      <c r="AC733" s="361"/>
    </row>
    <row r="734" spans="1:29" ht="39.950000000000003" customHeight="1" x14ac:dyDescent="0.2">
      <c r="A734" s="66">
        <v>750</v>
      </c>
      <c r="B734" s="68">
        <v>45202</v>
      </c>
      <c r="C734" s="73">
        <v>0.45208333333333334</v>
      </c>
      <c r="D734" s="66" t="s">
        <v>3166</v>
      </c>
      <c r="E734" s="67" t="s">
        <v>3206</v>
      </c>
      <c r="F734" s="66">
        <v>2</v>
      </c>
      <c r="G734" s="66" t="s">
        <v>2774</v>
      </c>
      <c r="H734" s="68">
        <v>45216</v>
      </c>
      <c r="I734" s="68" t="s">
        <v>73</v>
      </c>
      <c r="J734" s="68" t="s">
        <v>2951</v>
      </c>
      <c r="K734" s="66" t="s">
        <v>1925</v>
      </c>
      <c r="L734" s="66" t="s">
        <v>809</v>
      </c>
      <c r="M734" s="66" t="s">
        <v>692</v>
      </c>
      <c r="N734" s="66" t="s">
        <v>577</v>
      </c>
      <c r="O734" s="66" t="str">
        <f t="shared" ca="1" si="42"/>
        <v>SI</v>
      </c>
      <c r="P734" s="66" t="str">
        <f t="shared" si="44"/>
        <v>DIANOSOL</v>
      </c>
      <c r="Q734" s="66" t="s">
        <v>151</v>
      </c>
      <c r="R734" s="66" t="str">
        <f>VLOOKUP($Q734,Resultados!$A$1:$B$49,2,FALSE)</f>
        <v>Prisión Preventiva</v>
      </c>
      <c r="S734" s="73">
        <v>0.34513888888888888</v>
      </c>
      <c r="T734" s="75" t="str">
        <f t="shared" si="45"/>
        <v>NO</v>
      </c>
      <c r="U734" s="75"/>
      <c r="V734" s="66"/>
      <c r="W734" s="66" t="s">
        <v>3134</v>
      </c>
      <c r="X734" s="66"/>
      <c r="Y734" s="66"/>
      <c r="Z734" s="336" t="s">
        <v>2867</v>
      </c>
      <c r="AA734" s="336" t="s">
        <v>1169</v>
      </c>
      <c r="AB734" s="336" t="s">
        <v>1174</v>
      </c>
      <c r="AC734" s="361"/>
    </row>
    <row r="735" spans="1:29" ht="39.950000000000003" customHeight="1" x14ac:dyDescent="0.2">
      <c r="A735" s="66">
        <v>744</v>
      </c>
      <c r="B735" s="68">
        <v>45201</v>
      </c>
      <c r="C735" s="66" t="s">
        <v>2761</v>
      </c>
      <c r="D735" s="66" t="s">
        <v>3146</v>
      </c>
      <c r="E735" s="67" t="s">
        <v>3147</v>
      </c>
      <c r="F735" s="66">
        <v>1</v>
      </c>
      <c r="G735" s="66" t="s">
        <v>1441</v>
      </c>
      <c r="H735" s="68">
        <v>45216</v>
      </c>
      <c r="I735" s="68" t="s">
        <v>749</v>
      </c>
      <c r="J735" s="68" t="s">
        <v>1225</v>
      </c>
      <c r="K735" s="66" t="s">
        <v>2394</v>
      </c>
      <c r="L735" s="66" t="s">
        <v>812</v>
      </c>
      <c r="M735" s="66" t="s">
        <v>712</v>
      </c>
      <c r="N735" s="66" t="s">
        <v>3435</v>
      </c>
      <c r="O735" s="66" t="str">
        <f t="shared" ca="1" si="42"/>
        <v>SI</v>
      </c>
      <c r="P735" s="66" t="str">
        <f t="shared" si="44"/>
        <v>DIANOSOL</v>
      </c>
      <c r="Q735" s="66" t="s">
        <v>151</v>
      </c>
      <c r="R735" s="66" t="str">
        <f>VLOOKUP($Q735,Resultados!$A$1:$B$49,2,FALSE)</f>
        <v>Prisión Preventiva</v>
      </c>
      <c r="S735" s="66" t="s">
        <v>1086</v>
      </c>
      <c r="T735" s="75" t="str">
        <f t="shared" si="45"/>
        <v>NO</v>
      </c>
      <c r="U735" s="75"/>
      <c r="V735" s="66"/>
      <c r="W735" s="66" t="s">
        <v>1392</v>
      </c>
      <c r="X735" s="66" t="s">
        <v>3436</v>
      </c>
      <c r="Y735" s="66"/>
      <c r="Z735" s="336" t="s">
        <v>2895</v>
      </c>
      <c r="AA735" s="336" t="s">
        <v>1169</v>
      </c>
      <c r="AB735" s="336" t="s">
        <v>1173</v>
      </c>
      <c r="AC735" s="361"/>
    </row>
    <row r="736" spans="1:29" ht="39.950000000000003" customHeight="1" x14ac:dyDescent="0.2">
      <c r="A736" s="66">
        <v>725</v>
      </c>
      <c r="B736" s="68">
        <v>45197</v>
      </c>
      <c r="C736" s="73">
        <v>0.42222222222222222</v>
      </c>
      <c r="D736" s="66" t="s">
        <v>3075</v>
      </c>
      <c r="E736" s="67" t="s">
        <v>3438</v>
      </c>
      <c r="F736" s="66">
        <v>1</v>
      </c>
      <c r="G736" s="66" t="s">
        <v>2838</v>
      </c>
      <c r="H736" s="68">
        <v>45216</v>
      </c>
      <c r="I736" s="68" t="s">
        <v>1086</v>
      </c>
      <c r="J736" s="68" t="s">
        <v>1221</v>
      </c>
      <c r="K736" s="66" t="s">
        <v>2343</v>
      </c>
      <c r="L736" s="66" t="s">
        <v>813</v>
      </c>
      <c r="M736" s="66" t="s">
        <v>711</v>
      </c>
      <c r="N736" s="66" t="s">
        <v>3439</v>
      </c>
      <c r="O736" s="66" t="str">
        <f t="shared" ca="1" si="42"/>
        <v>SI</v>
      </c>
      <c r="P736" s="66" t="str">
        <f t="shared" si="44"/>
        <v>DIANOSOL</v>
      </c>
      <c r="Q736" s="66" t="s">
        <v>151</v>
      </c>
      <c r="R736" s="66" t="str">
        <f>VLOOKUP($Q736,Resultados!$A$1:$B$49,2,FALSE)</f>
        <v>Prisión Preventiva</v>
      </c>
      <c r="S736" s="66" t="s">
        <v>1538</v>
      </c>
      <c r="T736" s="75" t="str">
        <f t="shared" si="45"/>
        <v>NO</v>
      </c>
      <c r="U736" s="75"/>
      <c r="V736" s="66"/>
      <c r="W736" s="66" t="s">
        <v>2685</v>
      </c>
      <c r="X736" s="66" t="s">
        <v>2948</v>
      </c>
      <c r="Y736" s="66"/>
      <c r="Z736" s="336" t="s">
        <v>3415</v>
      </c>
      <c r="AA736" s="336" t="s">
        <v>2852</v>
      </c>
      <c r="AB736" s="336" t="s">
        <v>3300</v>
      </c>
      <c r="AC736" s="361"/>
    </row>
    <row r="737" spans="1:29" ht="39.950000000000003" customHeight="1" x14ac:dyDescent="0.2">
      <c r="A737" s="66">
        <v>743</v>
      </c>
      <c r="B737" s="68">
        <v>45202</v>
      </c>
      <c r="C737" s="66" t="s">
        <v>73</v>
      </c>
      <c r="D737" s="66" t="s">
        <v>3144</v>
      </c>
      <c r="E737" s="67" t="s">
        <v>3145</v>
      </c>
      <c r="F737" s="66">
        <v>1</v>
      </c>
      <c r="G737" s="66" t="s">
        <v>29</v>
      </c>
      <c r="H737" s="68">
        <v>45216</v>
      </c>
      <c r="I737" s="68" t="s">
        <v>1086</v>
      </c>
      <c r="J737" s="68" t="s">
        <v>1220</v>
      </c>
      <c r="K737" s="66" t="s">
        <v>1925</v>
      </c>
      <c r="L737" s="66" t="s">
        <v>793</v>
      </c>
      <c r="M737" s="66" t="s">
        <v>712</v>
      </c>
      <c r="N737" s="66" t="s">
        <v>3440</v>
      </c>
      <c r="O737" s="66" t="str">
        <f t="shared" ca="1" si="42"/>
        <v>SI</v>
      </c>
      <c r="P737" s="66" t="str">
        <f t="shared" si="44"/>
        <v>DIANOSOL</v>
      </c>
      <c r="Q737" s="66" t="s">
        <v>151</v>
      </c>
      <c r="R737" s="66" t="str">
        <f>VLOOKUP($Q737,Resultados!$A$1:$B$49,2,FALSE)</f>
        <v>Prisión Preventiva</v>
      </c>
      <c r="S737" s="66" t="s">
        <v>1570</v>
      </c>
      <c r="T737" s="75" t="str">
        <f t="shared" si="45"/>
        <v>NO</v>
      </c>
      <c r="U737" s="75"/>
      <c r="V737" s="66"/>
      <c r="W737" s="66" t="s">
        <v>3151</v>
      </c>
      <c r="X737" s="66" t="s">
        <v>3441</v>
      </c>
      <c r="Y737" s="66"/>
      <c r="Z737" s="336" t="s">
        <v>2867</v>
      </c>
      <c r="AA737" s="336" t="s">
        <v>1171</v>
      </c>
      <c r="AB737" s="336" t="s">
        <v>1175</v>
      </c>
      <c r="AC737" s="361"/>
    </row>
    <row r="738" spans="1:29" ht="39.950000000000003" customHeight="1" x14ac:dyDescent="0.2">
      <c r="A738" s="66">
        <v>765</v>
      </c>
      <c r="B738" s="68">
        <v>45205</v>
      </c>
      <c r="C738" s="73">
        <v>0.48333333333333334</v>
      </c>
      <c r="D738" s="66" t="s">
        <v>3234</v>
      </c>
      <c r="E738" s="67" t="s">
        <v>3250</v>
      </c>
      <c r="F738" s="66">
        <v>2</v>
      </c>
      <c r="G738" s="66" t="s">
        <v>1442</v>
      </c>
      <c r="H738" s="68">
        <v>45216</v>
      </c>
      <c r="I738" s="68" t="s">
        <v>1086</v>
      </c>
      <c r="J738" s="68" t="s">
        <v>31</v>
      </c>
      <c r="K738" s="66">
        <f>IFERROR(VLOOKUP(J738,Jueces!$A$1:$B$11,2,FALSE),"")</f>
        <v>2</v>
      </c>
      <c r="L738" s="66" t="s">
        <v>812</v>
      </c>
      <c r="M738" s="66" t="s">
        <v>692</v>
      </c>
      <c r="N738" s="66" t="s">
        <v>577</v>
      </c>
      <c r="O738" s="66" t="str">
        <f t="shared" ca="1" si="42"/>
        <v>SI</v>
      </c>
      <c r="P738" s="66" t="str">
        <f t="shared" si="44"/>
        <v>DIANOSOL</v>
      </c>
      <c r="Q738" s="66" t="s">
        <v>151</v>
      </c>
      <c r="R738" s="66" t="str">
        <f>VLOOKUP($Q738,Resultados!$A$1:$B$49,2,FALSE)</f>
        <v>Prisión Preventiva</v>
      </c>
      <c r="S738" s="66" t="s">
        <v>1337</v>
      </c>
      <c r="T738" s="75" t="str">
        <f t="shared" si="45"/>
        <v>SI</v>
      </c>
      <c r="U738" s="75"/>
      <c r="V738" s="66"/>
      <c r="W738" s="66" t="s">
        <v>3212</v>
      </c>
      <c r="X738" s="66" t="s">
        <v>2571</v>
      </c>
      <c r="Y738" s="66"/>
      <c r="Z738" s="336" t="s">
        <v>770</v>
      </c>
      <c r="AA738" s="336" t="s">
        <v>2852</v>
      </c>
      <c r="AB738" s="336" t="s">
        <v>3364</v>
      </c>
      <c r="AC738" s="361"/>
    </row>
    <row r="739" spans="1:29" ht="39.950000000000003" customHeight="1" x14ac:dyDescent="0.2">
      <c r="A739" s="66">
        <v>773</v>
      </c>
      <c r="B739" s="68">
        <v>45208</v>
      </c>
      <c r="C739" s="66" t="s">
        <v>3266</v>
      </c>
      <c r="D739" s="66" t="s">
        <v>3267</v>
      </c>
      <c r="E739" s="67" t="s">
        <v>3330</v>
      </c>
      <c r="F739" s="66">
        <v>8</v>
      </c>
      <c r="G739" s="66" t="s">
        <v>1443</v>
      </c>
      <c r="H739" s="68">
        <v>45216</v>
      </c>
      <c r="I739" s="68" t="s">
        <v>77</v>
      </c>
      <c r="J739" s="68" t="s">
        <v>1221</v>
      </c>
      <c r="K739" s="66" t="s">
        <v>1520</v>
      </c>
      <c r="L739" s="66" t="s">
        <v>790</v>
      </c>
      <c r="M739" s="66" t="s">
        <v>1416</v>
      </c>
      <c r="N739" s="66" t="s">
        <v>3442</v>
      </c>
      <c r="O739" s="66" t="str">
        <f t="shared" ca="1" si="42"/>
        <v>SI</v>
      </c>
      <c r="P739" s="66" t="str">
        <f t="shared" si="44"/>
        <v>DIANOSOL</v>
      </c>
      <c r="Q739" s="66" t="s">
        <v>905</v>
      </c>
      <c r="R739" s="66" t="str">
        <f>VLOOKUP($Q739,Resultados!$A$1:$B$49,2,FALSE)</f>
        <v>Juicio Abreviado</v>
      </c>
      <c r="S739" s="66" t="s">
        <v>3443</v>
      </c>
      <c r="T739" s="75" t="str">
        <f t="shared" si="45"/>
        <v>NO</v>
      </c>
      <c r="U739" s="75"/>
      <c r="V739" s="66"/>
      <c r="W739" s="66" t="s">
        <v>1207</v>
      </c>
      <c r="X739" s="66" t="s">
        <v>2571</v>
      </c>
      <c r="Y739" s="66"/>
      <c r="Z739" s="336" t="s">
        <v>770</v>
      </c>
      <c r="AA739" s="121" t="s">
        <v>3347</v>
      </c>
      <c r="AB739" s="121" t="s">
        <v>1177</v>
      </c>
      <c r="AC739" s="361"/>
    </row>
    <row r="740" spans="1:29" ht="39.950000000000003" customHeight="1" x14ac:dyDescent="0.2">
      <c r="A740" s="66">
        <v>741</v>
      </c>
      <c r="B740" s="68">
        <v>45201</v>
      </c>
      <c r="C740" s="73">
        <v>0.49374999999999997</v>
      </c>
      <c r="D740" s="66" t="s">
        <v>3118</v>
      </c>
      <c r="E740" s="67" t="s">
        <v>3205</v>
      </c>
      <c r="F740" s="66">
        <v>1</v>
      </c>
      <c r="G740" s="66" t="s">
        <v>1441</v>
      </c>
      <c r="H740" s="68">
        <v>45217</v>
      </c>
      <c r="I740" s="68" t="s">
        <v>73</v>
      </c>
      <c r="J740" s="68" t="s">
        <v>2954</v>
      </c>
      <c r="K740" s="66" t="s">
        <v>1520</v>
      </c>
      <c r="L740" s="66" t="s">
        <v>809</v>
      </c>
      <c r="M740" s="66" t="s">
        <v>1179</v>
      </c>
      <c r="N740" s="66" t="s">
        <v>3484</v>
      </c>
      <c r="O740" s="66" t="str">
        <f t="shared" ca="1" si="42"/>
        <v>SI</v>
      </c>
      <c r="P740" s="66" t="str">
        <f t="shared" si="44"/>
        <v>DIANOSOL</v>
      </c>
      <c r="Q740" s="66" t="s">
        <v>904</v>
      </c>
      <c r="R740" s="66" t="str">
        <f>VLOOKUP($Q740,Resultados!$A$1:$B$49,2,FALSE)</f>
        <v>Juicio Abreviado</v>
      </c>
      <c r="S740" s="66" t="s">
        <v>1064</v>
      </c>
      <c r="T740" s="75" t="str">
        <f t="shared" si="45"/>
        <v>NO</v>
      </c>
      <c r="U740" s="75"/>
      <c r="V740" s="66"/>
      <c r="W740" s="66" t="s">
        <v>679</v>
      </c>
      <c r="X740" s="66" t="s">
        <v>3485</v>
      </c>
      <c r="Y740" s="66"/>
      <c r="Z740" s="364" t="s">
        <v>3415</v>
      </c>
      <c r="AA740" s="364" t="s">
        <v>1169</v>
      </c>
      <c r="AB740" s="364" t="s">
        <v>1174</v>
      </c>
      <c r="AC740" s="365"/>
    </row>
    <row r="741" spans="1:29" ht="39.950000000000003" customHeight="1" x14ac:dyDescent="0.2">
      <c r="A741" s="66">
        <v>762</v>
      </c>
      <c r="B741" s="68">
        <v>45204</v>
      </c>
      <c r="C741" s="73">
        <v>0.36944444444444446</v>
      </c>
      <c r="D741" s="66" t="s">
        <v>2477</v>
      </c>
      <c r="E741" s="67" t="s">
        <v>3426</v>
      </c>
      <c r="F741" s="66">
        <v>7</v>
      </c>
      <c r="G741" s="66" t="s">
        <v>283</v>
      </c>
      <c r="H741" s="68">
        <v>45217</v>
      </c>
      <c r="I741" s="68" t="s">
        <v>73</v>
      </c>
      <c r="J741" s="68" t="s">
        <v>1221</v>
      </c>
      <c r="K741" s="66" t="s">
        <v>2343</v>
      </c>
      <c r="L741" s="66" t="s">
        <v>800</v>
      </c>
      <c r="M741" s="66" t="s">
        <v>725</v>
      </c>
      <c r="N741" s="66" t="s">
        <v>3487</v>
      </c>
      <c r="O741" s="66" t="str">
        <f t="shared" ca="1" si="42"/>
        <v>SI</v>
      </c>
      <c r="P741" s="66" t="str">
        <f t="shared" si="44"/>
        <v>DIANOSOL</v>
      </c>
      <c r="Q741" s="66" t="s">
        <v>904</v>
      </c>
      <c r="R741" s="66" t="s">
        <v>100</v>
      </c>
      <c r="S741" s="66" t="s">
        <v>1065</v>
      </c>
      <c r="T741" s="75" t="str">
        <f t="shared" si="45"/>
        <v>NO</v>
      </c>
      <c r="U741" s="75"/>
      <c r="V741" s="66"/>
      <c r="W741" s="66" t="s">
        <v>1130</v>
      </c>
      <c r="X741" s="66" t="s">
        <v>2571</v>
      </c>
      <c r="Y741" s="66"/>
      <c r="Z741" s="364" t="s">
        <v>2867</v>
      </c>
      <c r="AA741" s="364" t="s">
        <v>1171</v>
      </c>
      <c r="AB741" s="364" t="s">
        <v>1173</v>
      </c>
      <c r="AC741" s="365"/>
    </row>
    <row r="742" spans="1:29" ht="39.950000000000003" customHeight="1" x14ac:dyDescent="0.2">
      <c r="A742" s="66">
        <v>769</v>
      </c>
      <c r="B742" s="68">
        <v>45196</v>
      </c>
      <c r="C742" s="73">
        <v>0.4861111111111111</v>
      </c>
      <c r="D742" s="66" t="s">
        <v>3191</v>
      </c>
      <c r="E742" s="67" t="s">
        <v>3192</v>
      </c>
      <c r="F742" s="66">
        <v>8</v>
      </c>
      <c r="G742" s="66" t="s">
        <v>1443</v>
      </c>
      <c r="H742" s="68">
        <v>45217</v>
      </c>
      <c r="I742" s="68" t="s">
        <v>73</v>
      </c>
      <c r="J742" s="68" t="s">
        <v>2951</v>
      </c>
      <c r="K742" s="66" t="s">
        <v>1925</v>
      </c>
      <c r="L742" s="66" t="s">
        <v>2090</v>
      </c>
      <c r="M742" s="66" t="s">
        <v>1087</v>
      </c>
      <c r="N742" s="66" t="s">
        <v>2569</v>
      </c>
      <c r="O742" s="66" t="str">
        <f t="shared" ca="1" si="42"/>
        <v>SI</v>
      </c>
      <c r="P742" s="66" t="str">
        <f t="shared" si="44"/>
        <v>DIANOSOL</v>
      </c>
      <c r="Q742" s="66" t="s">
        <v>899</v>
      </c>
      <c r="R742" s="66" t="s">
        <v>902</v>
      </c>
      <c r="S742" s="66" t="s">
        <v>2421</v>
      </c>
      <c r="T742" s="75" t="str">
        <f t="shared" si="45"/>
        <v>NO</v>
      </c>
      <c r="U742" s="75"/>
      <c r="V742" s="66"/>
      <c r="W742" s="66" t="s">
        <v>1566</v>
      </c>
      <c r="X742" s="66" t="s">
        <v>3486</v>
      </c>
      <c r="Y742" s="66"/>
      <c r="Z742" s="364" t="s">
        <v>2895</v>
      </c>
      <c r="AA742" s="364" t="s">
        <v>2852</v>
      </c>
      <c r="AB742" s="364" t="s">
        <v>3300</v>
      </c>
      <c r="AC742" s="365"/>
    </row>
    <row r="743" spans="1:29" ht="39.950000000000003" customHeight="1" x14ac:dyDescent="0.2">
      <c r="A743" s="66">
        <v>738</v>
      </c>
      <c r="B743" s="68">
        <v>45201</v>
      </c>
      <c r="C743" s="73">
        <v>0.3972222222222222</v>
      </c>
      <c r="D743" s="66" t="s">
        <v>2111</v>
      </c>
      <c r="E743" s="67" t="s">
        <v>3115</v>
      </c>
      <c r="F743" s="66">
        <v>1</v>
      </c>
      <c r="G743" s="66" t="s">
        <v>568</v>
      </c>
      <c r="H743" s="68">
        <v>45217</v>
      </c>
      <c r="I743" s="68" t="s">
        <v>1086</v>
      </c>
      <c r="J743" s="68" t="s">
        <v>1220</v>
      </c>
      <c r="K743" s="66">
        <f>IFERROR(VLOOKUP(J743,Jueces!$A$1:$B$11,2,FALSE),"")</f>
        <v>1</v>
      </c>
      <c r="L743" s="66" t="s">
        <v>192</v>
      </c>
      <c r="M743" s="66" t="s">
        <v>712</v>
      </c>
      <c r="N743" s="66" t="s">
        <v>3488</v>
      </c>
      <c r="O743" s="81" t="str">
        <f t="shared" ca="1" si="42"/>
        <v>SI</v>
      </c>
      <c r="P743" s="81" t="str">
        <f t="shared" si="44"/>
        <v>DIANOSOL</v>
      </c>
      <c r="Q743" s="66" t="s">
        <v>151</v>
      </c>
      <c r="R743" s="66" t="s">
        <v>151</v>
      </c>
      <c r="S743" s="66" t="s">
        <v>2710</v>
      </c>
      <c r="T743" s="84" t="str">
        <f t="shared" si="45"/>
        <v>NO</v>
      </c>
      <c r="U743" s="84"/>
      <c r="V743" s="81"/>
      <c r="W743" s="66" t="s">
        <v>1005</v>
      </c>
      <c r="X743" s="66" t="s">
        <v>3081</v>
      </c>
      <c r="Y743" s="66"/>
      <c r="Z743" s="364" t="s">
        <v>748</v>
      </c>
      <c r="AA743" s="364" t="s">
        <v>1169</v>
      </c>
      <c r="AB743" s="364" t="s">
        <v>1175</v>
      </c>
      <c r="AC743" s="365"/>
    </row>
    <row r="744" spans="1:29" ht="39.950000000000003" customHeight="1" x14ac:dyDescent="0.2">
      <c r="A744" s="66">
        <v>764</v>
      </c>
      <c r="B744" s="68">
        <v>45204</v>
      </c>
      <c r="C744" s="73">
        <v>0.51666666666666672</v>
      </c>
      <c r="D744" s="66" t="s">
        <v>3231</v>
      </c>
      <c r="E744" s="67" t="s">
        <v>3232</v>
      </c>
      <c r="F744" s="66">
        <v>2</v>
      </c>
      <c r="G744" s="66" t="s">
        <v>2774</v>
      </c>
      <c r="H744" s="68">
        <v>45217</v>
      </c>
      <c r="I744" s="68" t="s">
        <v>1086</v>
      </c>
      <c r="J744" s="68" t="s">
        <v>1225</v>
      </c>
      <c r="K744" s="66">
        <f>IFERROR(VLOOKUP(J744,Jueces!$A$1:$B$11,2,FALSE),"")</f>
        <v>6</v>
      </c>
      <c r="L744" s="66" t="s">
        <v>809</v>
      </c>
      <c r="M744" s="66" t="s">
        <v>692</v>
      </c>
      <c r="N744" s="66" t="s">
        <v>577</v>
      </c>
      <c r="O744" s="66" t="str">
        <f t="shared" ca="1" si="42"/>
        <v>SI</v>
      </c>
      <c r="P744" s="66" t="str">
        <f t="shared" si="44"/>
        <v>DIANOSOL</v>
      </c>
      <c r="Q744" s="66" t="s">
        <v>151</v>
      </c>
      <c r="R744" s="66" t="str">
        <f>VLOOKUP($Q744,Resultados!$A$1:$B$49,2,FALSE)</f>
        <v>Prisión Preventiva</v>
      </c>
      <c r="S744" s="66" t="s">
        <v>1065</v>
      </c>
      <c r="T744" s="75" t="str">
        <f t="shared" si="45"/>
        <v>NO</v>
      </c>
      <c r="U744" s="75"/>
      <c r="V744" s="66"/>
      <c r="W744" s="66" t="s">
        <v>1168</v>
      </c>
      <c r="X744" s="66"/>
      <c r="Y744" s="66"/>
      <c r="Z744" s="364" t="s">
        <v>770</v>
      </c>
      <c r="AA744" s="364" t="s">
        <v>1171</v>
      </c>
      <c r="AB744" s="364" t="s">
        <v>3364</v>
      </c>
      <c r="AC744" s="365"/>
    </row>
    <row r="745" spans="1:29" ht="39.950000000000003" customHeight="1" x14ac:dyDescent="0.2">
      <c r="A745" s="66">
        <v>757</v>
      </c>
      <c r="B745" s="68">
        <v>45202</v>
      </c>
      <c r="C745" s="73">
        <v>0.55694444444444446</v>
      </c>
      <c r="D745" s="66" t="s">
        <v>3175</v>
      </c>
      <c r="E745" s="67" t="s">
        <v>3208</v>
      </c>
      <c r="F745" s="66">
        <v>1</v>
      </c>
      <c r="G745" s="66" t="s">
        <v>2773</v>
      </c>
      <c r="H745" s="68">
        <v>45217</v>
      </c>
      <c r="I745" s="68" t="s">
        <v>3212</v>
      </c>
      <c r="J745" s="68" t="s">
        <v>31</v>
      </c>
      <c r="K745" s="66">
        <f>IFERROR(VLOOKUP(J745,Jueces!$A$1:$B$11,2,FALSE),"")</f>
        <v>2</v>
      </c>
      <c r="L745" s="66" t="s">
        <v>806</v>
      </c>
      <c r="M745" s="66" t="s">
        <v>712</v>
      </c>
      <c r="N745" s="66" t="s">
        <v>3489</v>
      </c>
      <c r="O745" s="81" t="str">
        <f t="shared" ca="1" si="42"/>
        <v>SI</v>
      </c>
      <c r="P745" s="81" t="str">
        <f t="shared" si="44"/>
        <v>DIANOSOL</v>
      </c>
      <c r="Q745" s="66" t="s">
        <v>904</v>
      </c>
      <c r="R745" s="66" t="str">
        <f>VLOOKUP($Q745,Resultados!$A$1:$B$49,2,FALSE)</f>
        <v>Juicio Abreviado</v>
      </c>
      <c r="S745" s="66" t="s">
        <v>3490</v>
      </c>
      <c r="T745" s="84" t="str">
        <f t="shared" si="45"/>
        <v>NO</v>
      </c>
      <c r="U745" s="84"/>
      <c r="V745" s="81"/>
      <c r="W745" s="66" t="s">
        <v>3491</v>
      </c>
      <c r="X745" s="66" t="s">
        <v>3492</v>
      </c>
      <c r="Y745" s="66"/>
      <c r="Z745" s="364" t="s">
        <v>3415</v>
      </c>
      <c r="AA745" s="364" t="s">
        <v>2852</v>
      </c>
      <c r="AB745" s="364" t="s">
        <v>1177</v>
      </c>
      <c r="AC745" s="365"/>
    </row>
    <row r="746" spans="1:29" ht="39.950000000000003" customHeight="1" x14ac:dyDescent="0.2">
      <c r="A746" s="66">
        <v>722</v>
      </c>
      <c r="B746" s="68">
        <v>45197</v>
      </c>
      <c r="C746" s="66" t="s">
        <v>1193</v>
      </c>
      <c r="D746" s="66" t="s">
        <v>3074</v>
      </c>
      <c r="E746" s="67" t="s">
        <v>3062</v>
      </c>
      <c r="F746" s="66">
        <v>4</v>
      </c>
      <c r="G746" s="66" t="s">
        <v>2775</v>
      </c>
      <c r="H746" s="68">
        <v>45217</v>
      </c>
      <c r="I746" s="68" t="s">
        <v>989</v>
      </c>
      <c r="J746" s="68" t="s">
        <v>33</v>
      </c>
      <c r="K746" s="66">
        <f>IFERROR(VLOOKUP(J746,Jueces!$A$1:$B$11,2,FALSE),"")</f>
        <v>4</v>
      </c>
      <c r="L746" s="66" t="s">
        <v>1070</v>
      </c>
      <c r="M746" s="66" t="s">
        <v>3063</v>
      </c>
      <c r="N746" s="66" t="s">
        <v>3495</v>
      </c>
      <c r="O746" s="81" t="str">
        <f t="shared" ca="1" si="42"/>
        <v>SI</v>
      </c>
      <c r="P746" s="81" t="str">
        <f t="shared" si="44"/>
        <v>DIANOSOL</v>
      </c>
      <c r="Q746" s="66" t="s">
        <v>151</v>
      </c>
      <c r="R746" s="66" t="s">
        <v>151</v>
      </c>
      <c r="S746" s="66" t="s">
        <v>3493</v>
      </c>
      <c r="T746" s="84" t="str">
        <f t="shared" si="45"/>
        <v>NO</v>
      </c>
      <c r="U746" s="84"/>
      <c r="V746" s="81"/>
      <c r="W746" s="66" t="s">
        <v>3494</v>
      </c>
      <c r="X746" s="66"/>
      <c r="Y746" s="66"/>
      <c r="Z746" s="364" t="s">
        <v>2867</v>
      </c>
      <c r="AA746" s="364" t="s">
        <v>1171</v>
      </c>
      <c r="AB746" s="364" t="s">
        <v>1174</v>
      </c>
      <c r="AC746" s="365"/>
    </row>
    <row r="747" spans="1:29" ht="39.950000000000003" customHeight="1" x14ac:dyDescent="0.2">
      <c r="A747" s="66">
        <v>740</v>
      </c>
      <c r="B747" s="68">
        <v>45201</v>
      </c>
      <c r="C747" s="73">
        <v>0.4916666666666667</v>
      </c>
      <c r="D747" s="66" t="s">
        <v>3117</v>
      </c>
      <c r="E747" s="67" t="s">
        <v>3214</v>
      </c>
      <c r="F747" s="66">
        <v>1</v>
      </c>
      <c r="G747" s="66" t="s">
        <v>2775</v>
      </c>
      <c r="H747" s="68">
        <v>45218</v>
      </c>
      <c r="I747" s="68" t="s">
        <v>73</v>
      </c>
      <c r="J747" s="68" t="s">
        <v>33</v>
      </c>
      <c r="K747" s="66">
        <f>IFERROR(VLOOKUP(J747,Jueces!$A$1:$B$11,2,FALSE),"")</f>
        <v>4</v>
      </c>
      <c r="L747" s="66" t="s">
        <v>809</v>
      </c>
      <c r="M747" s="66" t="s">
        <v>711</v>
      </c>
      <c r="N747" s="66" t="s">
        <v>899</v>
      </c>
      <c r="O747" s="66" t="str">
        <f t="shared" ca="1" si="42"/>
        <v>SI</v>
      </c>
      <c r="P747" s="66" t="str">
        <f t="shared" si="44"/>
        <v>DIANOSOL</v>
      </c>
      <c r="Q747" s="66" t="s">
        <v>899</v>
      </c>
      <c r="R747" s="66" t="str">
        <f>VLOOKUP($Q747,Resultados!$A$1:$B$49,2,FALSE)</f>
        <v>Libertad</v>
      </c>
      <c r="S747" s="66" t="s">
        <v>1532</v>
      </c>
      <c r="T747" s="75" t="str">
        <f t="shared" si="45"/>
        <v>NO</v>
      </c>
      <c r="U747" s="75"/>
      <c r="V747" s="66"/>
      <c r="W747" s="66" t="s">
        <v>1086</v>
      </c>
      <c r="X747" s="66" t="s">
        <v>3486</v>
      </c>
      <c r="Y747" s="66"/>
      <c r="Z747" s="121" t="s">
        <v>3482</v>
      </c>
      <c r="AA747" s="336" t="s">
        <v>1169</v>
      </c>
      <c r="AB747" s="121" t="s">
        <v>1173</v>
      </c>
      <c r="AC747" s="365"/>
    </row>
    <row r="748" spans="1:29" ht="39.950000000000003" customHeight="1" x14ac:dyDescent="0.2">
      <c r="A748" s="66">
        <v>746</v>
      </c>
      <c r="B748" s="68">
        <v>45202</v>
      </c>
      <c r="C748" s="66" t="s">
        <v>3151</v>
      </c>
      <c r="D748" s="66" t="s">
        <v>3152</v>
      </c>
      <c r="E748" s="67" t="s">
        <v>3216</v>
      </c>
      <c r="F748" s="66">
        <v>1</v>
      </c>
      <c r="G748" s="66" t="s">
        <v>1441</v>
      </c>
      <c r="H748" s="68">
        <v>45218</v>
      </c>
      <c r="I748" s="68" t="s">
        <v>73</v>
      </c>
      <c r="J748" s="68" t="s">
        <v>1732</v>
      </c>
      <c r="K748" s="66" t="s">
        <v>1925</v>
      </c>
      <c r="L748" s="66" t="s">
        <v>789</v>
      </c>
      <c r="M748" s="66" t="s">
        <v>1179</v>
      </c>
      <c r="N748" s="66" t="s">
        <v>3513</v>
      </c>
      <c r="O748" s="66" t="str">
        <f t="shared" ref="O748:O811" ca="1" si="46">IF(H748&lt;&gt;"",IF(H748&lt;=TODAY(),"SI","NO"),"LIMBO")</f>
        <v>SI</v>
      </c>
      <c r="P748" s="66" t="str">
        <f t="shared" si="44"/>
        <v>DIANOSOL</v>
      </c>
      <c r="Q748" s="66" t="s">
        <v>151</v>
      </c>
      <c r="R748" s="66" t="s">
        <v>151</v>
      </c>
      <c r="S748" s="66" t="s">
        <v>1296</v>
      </c>
      <c r="T748" s="75" t="str">
        <f t="shared" si="45"/>
        <v>NO</v>
      </c>
      <c r="U748" s="75"/>
      <c r="V748" s="66"/>
      <c r="W748" s="66" t="s">
        <v>1499</v>
      </c>
      <c r="X748" s="66" t="s">
        <v>3514</v>
      </c>
      <c r="Y748" s="66"/>
      <c r="Z748" s="121" t="s">
        <v>1041</v>
      </c>
      <c r="AA748" s="336" t="s">
        <v>1171</v>
      </c>
      <c r="AB748" s="121" t="s">
        <v>3300</v>
      </c>
      <c r="AC748" s="365"/>
    </row>
    <row r="749" spans="1:29" ht="39.950000000000003" customHeight="1" x14ac:dyDescent="0.2">
      <c r="A749" s="66">
        <v>778</v>
      </c>
      <c r="B749" s="68">
        <v>45205</v>
      </c>
      <c r="C749" s="66" t="s">
        <v>3281</v>
      </c>
      <c r="D749" s="66" t="s">
        <v>3282</v>
      </c>
      <c r="E749" s="67" t="s">
        <v>3460</v>
      </c>
      <c r="F749" s="66">
        <v>8</v>
      </c>
      <c r="G749" s="66" t="s">
        <v>29</v>
      </c>
      <c r="H749" s="68">
        <v>45218</v>
      </c>
      <c r="I749" s="68" t="s">
        <v>73</v>
      </c>
      <c r="J749" s="68" t="s">
        <v>2951</v>
      </c>
      <c r="K749" s="66" t="s">
        <v>2343</v>
      </c>
      <c r="L749" s="66" t="s">
        <v>789</v>
      </c>
      <c r="M749" s="66" t="s">
        <v>2121</v>
      </c>
      <c r="N749" s="66" t="s">
        <v>3193</v>
      </c>
      <c r="O749" s="66" t="str">
        <f t="shared" ca="1" si="46"/>
        <v>SI</v>
      </c>
      <c r="P749" s="66" t="str">
        <f t="shared" si="44"/>
        <v>DIANOSOL</v>
      </c>
      <c r="Q749" s="66" t="s">
        <v>904</v>
      </c>
      <c r="R749" s="66" t="str">
        <f>VLOOKUP($Q749,Resultados!$A$1:$B$49,2,FALSE)</f>
        <v>Juicio Abreviado</v>
      </c>
      <c r="S749" s="66" t="s">
        <v>1130</v>
      </c>
      <c r="T749" s="75" t="str">
        <f t="shared" si="45"/>
        <v>NO</v>
      </c>
      <c r="U749" s="75"/>
      <c r="V749" s="66"/>
      <c r="W749" s="66" t="s">
        <v>2684</v>
      </c>
      <c r="X749" s="66" t="s">
        <v>3517</v>
      </c>
      <c r="Y749" s="66"/>
      <c r="Z749" s="121" t="s">
        <v>748</v>
      </c>
      <c r="AA749" s="121" t="s">
        <v>3347</v>
      </c>
      <c r="AB749" s="121" t="s">
        <v>1175</v>
      </c>
      <c r="AC749" s="365"/>
    </row>
    <row r="750" spans="1:29" ht="39.950000000000003" customHeight="1" x14ac:dyDescent="0.2">
      <c r="A750" s="66">
        <v>745</v>
      </c>
      <c r="B750" s="68">
        <v>45202</v>
      </c>
      <c r="C750" s="66" t="s">
        <v>3148</v>
      </c>
      <c r="D750" s="66" t="s">
        <v>3149</v>
      </c>
      <c r="E750" s="67" t="s">
        <v>3150</v>
      </c>
      <c r="F750" s="66">
        <v>1</v>
      </c>
      <c r="G750" s="66" t="s">
        <v>3365</v>
      </c>
      <c r="H750" s="68">
        <v>45218</v>
      </c>
      <c r="I750" s="68" t="s">
        <v>1086</v>
      </c>
      <c r="J750" s="68" t="s">
        <v>1225</v>
      </c>
      <c r="K750" s="66">
        <f>IFERROR(VLOOKUP(J750,Jueces!$A$1:$B$11,2,FALSE),"")</f>
        <v>6</v>
      </c>
      <c r="L750" s="66" t="s">
        <v>2088</v>
      </c>
      <c r="M750" s="66" t="s">
        <v>712</v>
      </c>
      <c r="N750" s="66" t="s">
        <v>577</v>
      </c>
      <c r="O750" s="66" t="str">
        <f t="shared" ca="1" si="46"/>
        <v>SI</v>
      </c>
      <c r="P750" s="66" t="str">
        <f t="shared" si="44"/>
        <v>DIANOSOL</v>
      </c>
      <c r="Q750" s="66" t="s">
        <v>151</v>
      </c>
      <c r="R750" s="66" t="str">
        <f>VLOOKUP($Q750,Resultados!$A$1:$B$49,2,FALSE)</f>
        <v>Prisión Preventiva</v>
      </c>
      <c r="S750" s="66" t="s">
        <v>1138</v>
      </c>
      <c r="T750" s="75" t="str">
        <f t="shared" si="45"/>
        <v>NO</v>
      </c>
      <c r="U750" s="75"/>
      <c r="V750" s="66"/>
      <c r="W750" s="66" t="s">
        <v>1193</v>
      </c>
      <c r="X750" s="66"/>
      <c r="Y750" s="66"/>
      <c r="Z750" s="121" t="s">
        <v>2895</v>
      </c>
      <c r="AA750" s="336" t="s">
        <v>1169</v>
      </c>
      <c r="AB750" s="121" t="s">
        <v>3364</v>
      </c>
      <c r="AC750" s="365"/>
    </row>
    <row r="751" spans="1:29" ht="39.950000000000003" customHeight="1" x14ac:dyDescent="0.2">
      <c r="A751" s="66">
        <v>770</v>
      </c>
      <c r="B751" s="68">
        <v>45203</v>
      </c>
      <c r="C751" s="66" t="s">
        <v>3202</v>
      </c>
      <c r="D751" s="66" t="s">
        <v>3203</v>
      </c>
      <c r="E751" s="67" t="s">
        <v>3252</v>
      </c>
      <c r="F751" s="66">
        <v>2</v>
      </c>
      <c r="G751" s="66" t="s">
        <v>43</v>
      </c>
      <c r="H751" s="68">
        <v>45218</v>
      </c>
      <c r="I751" s="68" t="s">
        <v>1086</v>
      </c>
      <c r="J751" s="68" t="s">
        <v>1221</v>
      </c>
      <c r="K751" s="66" t="s">
        <v>1326</v>
      </c>
      <c r="L751" s="66" t="s">
        <v>809</v>
      </c>
      <c r="M751" s="66" t="s">
        <v>692</v>
      </c>
      <c r="N751" s="66" t="s">
        <v>577</v>
      </c>
      <c r="O751" s="66" t="str">
        <f t="shared" ca="1" si="46"/>
        <v>SI</v>
      </c>
      <c r="P751" s="66" t="str">
        <f t="shared" si="44"/>
        <v>DIANOSOL</v>
      </c>
      <c r="Q751" s="66" t="s">
        <v>151</v>
      </c>
      <c r="R751" s="66" t="str">
        <f>VLOOKUP($Q751,Resultados!$A$1:$B$49,2,FALSE)</f>
        <v>Prisión Preventiva</v>
      </c>
      <c r="S751" s="66" t="s">
        <v>1396</v>
      </c>
      <c r="T751" s="75" t="str">
        <f t="shared" si="45"/>
        <v>NO</v>
      </c>
      <c r="U751" s="75"/>
      <c r="V751" s="66"/>
      <c r="W751" s="66" t="s">
        <v>1132</v>
      </c>
      <c r="X751" s="66" t="s">
        <v>3516</v>
      </c>
      <c r="Y751" s="66"/>
      <c r="Z751" s="121" t="s">
        <v>3415</v>
      </c>
      <c r="AA751" s="336" t="s">
        <v>2852</v>
      </c>
      <c r="AB751" s="121" t="s">
        <v>1177</v>
      </c>
      <c r="AC751" s="365"/>
    </row>
    <row r="752" spans="1:29" ht="39.950000000000003" customHeight="1" x14ac:dyDescent="0.2">
      <c r="A752" s="66">
        <v>771</v>
      </c>
      <c r="B752" s="68">
        <v>45203</v>
      </c>
      <c r="C752" s="73">
        <v>0.4777777777777778</v>
      </c>
      <c r="D752" s="66" t="s">
        <v>3204</v>
      </c>
      <c r="E752" s="67" t="s">
        <v>3458</v>
      </c>
      <c r="F752" s="66">
        <v>8</v>
      </c>
      <c r="G752" s="66" t="s">
        <v>568</v>
      </c>
      <c r="H752" s="68">
        <v>45218</v>
      </c>
      <c r="I752" s="68" t="s">
        <v>1086</v>
      </c>
      <c r="J752" s="68" t="s">
        <v>1220</v>
      </c>
      <c r="K752" s="66" t="s">
        <v>2343</v>
      </c>
      <c r="L752" s="66" t="s">
        <v>791</v>
      </c>
      <c r="M752" s="66" t="s">
        <v>1031</v>
      </c>
      <c r="N752" s="66" t="s">
        <v>2198</v>
      </c>
      <c r="O752" s="66" t="str">
        <f t="shared" ca="1" si="46"/>
        <v>SI</v>
      </c>
      <c r="P752" s="66" t="str">
        <f t="shared" si="44"/>
        <v>DIANOSOL</v>
      </c>
      <c r="Q752" s="66" t="s">
        <v>904</v>
      </c>
      <c r="R752" s="66" t="str">
        <f>VLOOKUP($Q752,Resultados!$A$1:$B$49,2,FALSE)</f>
        <v>Juicio Abreviado</v>
      </c>
      <c r="S752" s="66" t="s">
        <v>1130</v>
      </c>
      <c r="T752" s="75" t="str">
        <f t="shared" si="45"/>
        <v>NO</v>
      </c>
      <c r="U752" s="75"/>
      <c r="V752" s="66"/>
      <c r="W752" s="66" t="s">
        <v>1746</v>
      </c>
      <c r="X752" s="66" t="s">
        <v>3515</v>
      </c>
      <c r="Y752" s="66"/>
      <c r="Z752" s="121" t="s">
        <v>748</v>
      </c>
      <c r="AA752" s="336" t="s">
        <v>1171</v>
      </c>
      <c r="AB752" s="121" t="s">
        <v>1174</v>
      </c>
      <c r="AC752" s="365"/>
    </row>
    <row r="753" spans="1:29" ht="39.950000000000003" customHeight="1" x14ac:dyDescent="0.2">
      <c r="A753" s="66">
        <v>768</v>
      </c>
      <c r="B753" s="68">
        <v>45203</v>
      </c>
      <c r="C753" s="73">
        <v>0.33333333333333331</v>
      </c>
      <c r="D753" s="66" t="s">
        <v>3178</v>
      </c>
      <c r="E753" s="67" t="s">
        <v>3483</v>
      </c>
      <c r="F753" s="66">
        <v>2</v>
      </c>
      <c r="G753" s="66" t="s">
        <v>283</v>
      </c>
      <c r="H753" s="68">
        <v>45218</v>
      </c>
      <c r="I753" s="68" t="s">
        <v>1210</v>
      </c>
      <c r="J753" s="68" t="s">
        <v>31</v>
      </c>
      <c r="K753" s="66">
        <f>IFERROR(VLOOKUP(J753,Jueces!$A$1:$B$11,2,FALSE),"")</f>
        <v>2</v>
      </c>
      <c r="L753" s="66" t="s">
        <v>789</v>
      </c>
      <c r="M753" s="66" t="s">
        <v>692</v>
      </c>
      <c r="N753" s="66" t="s">
        <v>3518</v>
      </c>
      <c r="O753" s="66" t="str">
        <f t="shared" ca="1" si="46"/>
        <v>SI</v>
      </c>
      <c r="P753" s="66" t="str">
        <f t="shared" si="44"/>
        <v>DIANOSOL</v>
      </c>
      <c r="Q753" s="66" t="s">
        <v>904</v>
      </c>
      <c r="R753" s="66" t="str">
        <f>VLOOKUP($Q753,Resultados!$A$1:$B$49,2,FALSE)</f>
        <v>Juicio Abreviado</v>
      </c>
      <c r="S753" s="66" t="s">
        <v>1802</v>
      </c>
      <c r="T753" s="75" t="str">
        <f t="shared" si="45"/>
        <v>NO</v>
      </c>
      <c r="U753" s="75"/>
      <c r="V753" s="66"/>
      <c r="W753" s="66" t="s">
        <v>547</v>
      </c>
      <c r="X753" s="66" t="s">
        <v>3517</v>
      </c>
      <c r="Y753" s="66"/>
      <c r="Z753" s="121" t="s">
        <v>3415</v>
      </c>
      <c r="AA753" s="336" t="s">
        <v>2852</v>
      </c>
      <c r="AB753" s="121" t="s">
        <v>1173</v>
      </c>
      <c r="AC753" s="365"/>
    </row>
    <row r="754" spans="1:29" ht="39.950000000000003" customHeight="1" x14ac:dyDescent="0.2">
      <c r="A754" s="66">
        <v>735</v>
      </c>
      <c r="B754" s="68">
        <v>45197</v>
      </c>
      <c r="C754" s="66" t="s">
        <v>2057</v>
      </c>
      <c r="D754" s="66" t="s">
        <v>3093</v>
      </c>
      <c r="E754" s="67" t="s">
        <v>3094</v>
      </c>
      <c r="F754" s="66">
        <v>8</v>
      </c>
      <c r="G754" s="66" t="s">
        <v>1441</v>
      </c>
      <c r="H754" s="68">
        <v>45218</v>
      </c>
      <c r="I754" s="68" t="s">
        <v>3212</v>
      </c>
      <c r="J754" s="68" t="s">
        <v>31</v>
      </c>
      <c r="K754" s="66">
        <f>IFERROR(VLOOKUP(J754,Jueces!$A$1:$B$11,2,FALSE),"")</f>
        <v>2</v>
      </c>
      <c r="L754" s="66" t="s">
        <v>809</v>
      </c>
      <c r="M754" s="66" t="s">
        <v>1416</v>
      </c>
      <c r="N754" s="66" t="s">
        <v>3519</v>
      </c>
      <c r="O754" s="66" t="str">
        <f t="shared" ca="1" si="46"/>
        <v>SI</v>
      </c>
      <c r="P754" s="66" t="str">
        <f t="shared" si="44"/>
        <v>DIANOSOL</v>
      </c>
      <c r="Q754" s="66" t="s">
        <v>899</v>
      </c>
      <c r="R754" s="66" t="str">
        <f>VLOOKUP($Q754,Resultados!$A$1:$B$49,2,FALSE)</f>
        <v>Libertad</v>
      </c>
      <c r="S754" s="66" t="s">
        <v>3520</v>
      </c>
      <c r="T754" s="75" t="str">
        <f t="shared" si="45"/>
        <v>NO</v>
      </c>
      <c r="U754" s="75"/>
      <c r="V754" s="66"/>
      <c r="W754" s="66" t="s">
        <v>3521</v>
      </c>
      <c r="X754" s="66" t="s">
        <v>3196</v>
      </c>
      <c r="Y754" s="66"/>
      <c r="Z754" s="121" t="s">
        <v>3415</v>
      </c>
      <c r="AA754" s="121" t="s">
        <v>1169</v>
      </c>
      <c r="AB754" s="121" t="s">
        <v>3300</v>
      </c>
      <c r="AC754" s="365"/>
    </row>
    <row r="755" spans="1:29" ht="39.950000000000003" customHeight="1" x14ac:dyDescent="0.2">
      <c r="A755" s="66">
        <v>737</v>
      </c>
      <c r="B755" s="68">
        <v>45201</v>
      </c>
      <c r="C755" s="66" t="s">
        <v>1538</v>
      </c>
      <c r="D755" s="66" t="s">
        <v>3114</v>
      </c>
      <c r="E755" s="67" t="s">
        <v>3215</v>
      </c>
      <c r="F755" s="66">
        <v>1</v>
      </c>
      <c r="G755" s="66" t="s">
        <v>1442</v>
      </c>
      <c r="H755" s="68">
        <v>45219</v>
      </c>
      <c r="I755" s="68" t="s">
        <v>73</v>
      </c>
      <c r="J755" s="68" t="s">
        <v>2951</v>
      </c>
      <c r="K755" s="66" t="s">
        <v>1925</v>
      </c>
      <c r="L755" s="66" t="s">
        <v>806</v>
      </c>
      <c r="M755" s="66" t="s">
        <v>711</v>
      </c>
      <c r="N755" s="66" t="s">
        <v>913</v>
      </c>
      <c r="O755" s="81" t="str">
        <f t="shared" ca="1" si="46"/>
        <v>SI</v>
      </c>
      <c r="P755" s="81" t="str">
        <f t="shared" si="44"/>
        <v>DIANOSOL</v>
      </c>
      <c r="Q755" s="66" t="s">
        <v>913</v>
      </c>
      <c r="R755" s="66" t="str">
        <f>VLOOKUP($Q755,Resultados!$A$1:$B$49,2,FALSE)</f>
        <v>Prision domiciliaria</v>
      </c>
      <c r="S755" s="66" t="s">
        <v>2060</v>
      </c>
      <c r="T755" s="84" t="str">
        <f t="shared" si="45"/>
        <v>SI</v>
      </c>
      <c r="U755" s="84"/>
      <c r="V755" s="81"/>
      <c r="W755" s="66" t="s">
        <v>1210</v>
      </c>
      <c r="X755" s="66" t="s">
        <v>3539</v>
      </c>
      <c r="Y755" s="66"/>
      <c r="Z755" s="121" t="s">
        <v>2867</v>
      </c>
      <c r="AA755" s="336" t="s">
        <v>1169</v>
      </c>
      <c r="AB755" s="121" t="s">
        <v>1177</v>
      </c>
      <c r="AC755" s="365"/>
    </row>
    <row r="756" spans="1:29" ht="39.950000000000003" customHeight="1" x14ac:dyDescent="0.2">
      <c r="A756" s="66">
        <v>755</v>
      </c>
      <c r="B756" s="68">
        <v>45202</v>
      </c>
      <c r="C756" s="73">
        <v>0.54513888888888895</v>
      </c>
      <c r="D756" s="66" t="s">
        <v>3173</v>
      </c>
      <c r="E756" s="67" t="s">
        <v>3213</v>
      </c>
      <c r="F756" s="66">
        <v>8</v>
      </c>
      <c r="G756" s="66" t="s">
        <v>3365</v>
      </c>
      <c r="H756" s="68">
        <v>45219</v>
      </c>
      <c r="I756" s="68" t="s">
        <v>73</v>
      </c>
      <c r="J756" s="68" t="s">
        <v>2954</v>
      </c>
      <c r="K756" s="66" t="s">
        <v>2343</v>
      </c>
      <c r="L756" s="66" t="s">
        <v>789</v>
      </c>
      <c r="M756" s="66" t="s">
        <v>1087</v>
      </c>
      <c r="N756" s="66" t="s">
        <v>3540</v>
      </c>
      <c r="O756" s="81" t="str">
        <f t="shared" ca="1" si="46"/>
        <v>SI</v>
      </c>
      <c r="P756" s="81" t="str">
        <f t="shared" si="44"/>
        <v>DIANOSOL</v>
      </c>
      <c r="Q756" s="66" t="s">
        <v>899</v>
      </c>
      <c r="R756" s="66" t="str">
        <f>VLOOKUP($Q756,Resultados!$A$1:$B$49,2,FALSE)</f>
        <v>Libertad</v>
      </c>
      <c r="S756" s="66" t="s">
        <v>1129</v>
      </c>
      <c r="T756" s="84" t="str">
        <f t="shared" si="45"/>
        <v>NO</v>
      </c>
      <c r="U756" s="84"/>
      <c r="V756" s="81"/>
      <c r="W756" s="66" t="s">
        <v>1564</v>
      </c>
      <c r="X756" s="66" t="s">
        <v>3541</v>
      </c>
      <c r="Y756" s="66"/>
      <c r="Z756" s="121" t="s">
        <v>3415</v>
      </c>
      <c r="AA756" s="336" t="s">
        <v>2852</v>
      </c>
      <c r="AB756" s="121" t="s">
        <v>3364</v>
      </c>
      <c r="AC756" s="365"/>
    </row>
    <row r="757" spans="1:29" ht="39.950000000000003" customHeight="1" x14ac:dyDescent="0.2">
      <c r="A757" s="66">
        <v>763</v>
      </c>
      <c r="B757" s="68">
        <v>45204</v>
      </c>
      <c r="C757" s="73">
        <v>0.4201388888888889</v>
      </c>
      <c r="D757" s="66" t="s">
        <v>3223</v>
      </c>
      <c r="E757" s="67" t="s">
        <v>3504</v>
      </c>
      <c r="F757" s="66">
        <v>1</v>
      </c>
      <c r="G757" s="66" t="s">
        <v>283</v>
      </c>
      <c r="H757" s="68">
        <v>45219</v>
      </c>
      <c r="I757" s="68" t="s">
        <v>73</v>
      </c>
      <c r="J757" s="68" t="s">
        <v>31</v>
      </c>
      <c r="K757" s="66">
        <f>IFERROR(VLOOKUP(J757,Jueces!$A$1:$B$11,2,FALSE),"")</f>
        <v>2</v>
      </c>
      <c r="L757" s="66" t="s">
        <v>800</v>
      </c>
      <c r="M757" s="66" t="s">
        <v>712</v>
      </c>
      <c r="N757" s="66" t="s">
        <v>3545</v>
      </c>
      <c r="O757" s="81" t="str">
        <f t="shared" ca="1" si="46"/>
        <v>SI</v>
      </c>
      <c r="P757" s="81" t="str">
        <f t="shared" si="44"/>
        <v>DIANOSOL</v>
      </c>
      <c r="Q757" s="66" t="s">
        <v>905</v>
      </c>
      <c r="R757" s="66" t="str">
        <f>VLOOKUP($Q757,Resultados!$A$1:$B$49,2,FALSE)</f>
        <v>Juicio Abreviado</v>
      </c>
      <c r="S757" s="66" t="s">
        <v>1341</v>
      </c>
      <c r="T757" s="84" t="str">
        <f t="shared" ref="T757:T788" si="47">IF(G757=$J$1,"SI","NO")</f>
        <v>NO</v>
      </c>
      <c r="U757" s="84"/>
      <c r="V757" s="81"/>
      <c r="W757" s="66" t="s">
        <v>1236</v>
      </c>
      <c r="X757" s="66" t="s">
        <v>3546</v>
      </c>
      <c r="Y757" s="66"/>
      <c r="Z757" s="121" t="s">
        <v>3482</v>
      </c>
      <c r="AA757" s="336" t="s">
        <v>1171</v>
      </c>
      <c r="AB757" s="121" t="s">
        <v>1175</v>
      </c>
      <c r="AC757" s="365"/>
    </row>
    <row r="758" spans="1:29" ht="39.950000000000003" customHeight="1" x14ac:dyDescent="0.2">
      <c r="A758" s="66">
        <v>739</v>
      </c>
      <c r="B758" s="68">
        <v>45201</v>
      </c>
      <c r="C758" s="73">
        <v>0.47916666666666669</v>
      </c>
      <c r="D758" s="66" t="s">
        <v>3116</v>
      </c>
      <c r="E758" s="67" t="s">
        <v>3217</v>
      </c>
      <c r="F758" s="66">
        <v>1</v>
      </c>
      <c r="G758" s="66" t="s">
        <v>2788</v>
      </c>
      <c r="H758" s="68">
        <v>45219</v>
      </c>
      <c r="I758" s="68" t="s">
        <v>1086</v>
      </c>
      <c r="J758" s="68" t="s">
        <v>1732</v>
      </c>
      <c r="K758" s="66" t="s">
        <v>1925</v>
      </c>
      <c r="L758" s="66" t="s">
        <v>789</v>
      </c>
      <c r="M758" s="66" t="s">
        <v>3218</v>
      </c>
      <c r="N758" s="66" t="s">
        <v>3542</v>
      </c>
      <c r="O758" s="81" t="str">
        <f t="shared" ca="1" si="46"/>
        <v>SI</v>
      </c>
      <c r="P758" s="81" t="str">
        <f t="shared" si="44"/>
        <v>DIANOSOL</v>
      </c>
      <c r="Q758" s="66" t="s">
        <v>151</v>
      </c>
      <c r="R758" s="66" t="str">
        <f>VLOOKUP($Q758,Resultados!$A$1:$B$49,2,FALSE)</f>
        <v>Prisión Preventiva</v>
      </c>
      <c r="S758" s="66" t="s">
        <v>1230</v>
      </c>
      <c r="T758" s="84" t="str">
        <f t="shared" si="47"/>
        <v>NO</v>
      </c>
      <c r="U758" s="84"/>
      <c r="V758" s="81"/>
      <c r="W758" s="66" t="s">
        <v>1635</v>
      </c>
      <c r="X758" s="66" t="s">
        <v>3543</v>
      </c>
      <c r="Y758" s="66"/>
      <c r="Z758" s="121" t="s">
        <v>2867</v>
      </c>
      <c r="AA758" s="336" t="s">
        <v>1169</v>
      </c>
      <c r="AB758" s="121" t="s">
        <v>1174</v>
      </c>
      <c r="AC758" s="365"/>
    </row>
    <row r="759" spans="1:29" ht="39.950000000000003" customHeight="1" x14ac:dyDescent="0.2">
      <c r="A759" s="66">
        <v>749</v>
      </c>
      <c r="B759" s="68">
        <v>45202</v>
      </c>
      <c r="C759" s="73">
        <v>0.46249999999999997</v>
      </c>
      <c r="D759" s="66" t="s">
        <v>3164</v>
      </c>
      <c r="E759" s="67" t="s">
        <v>3165</v>
      </c>
      <c r="F759" s="66">
        <v>8</v>
      </c>
      <c r="G759" s="66" t="s">
        <v>1441</v>
      </c>
      <c r="H759" s="68">
        <v>45219</v>
      </c>
      <c r="I759" s="68" t="s">
        <v>1086</v>
      </c>
      <c r="J759" s="68" t="s">
        <v>1225</v>
      </c>
      <c r="K759" s="66">
        <f>IFERROR(VLOOKUP(J759,Jueces!$A$1:$B$11,2,FALSE),"")</f>
        <v>6</v>
      </c>
      <c r="L759" s="66" t="s">
        <v>2090</v>
      </c>
      <c r="M759" s="66" t="s">
        <v>711</v>
      </c>
      <c r="N759" s="66" t="s">
        <v>3538</v>
      </c>
      <c r="O759" s="81" t="str">
        <f t="shared" ca="1" si="46"/>
        <v>SI</v>
      </c>
      <c r="P759" s="81" t="str">
        <f t="shared" si="44"/>
        <v>DIANOSOL</v>
      </c>
      <c r="Q759" s="66" t="s">
        <v>911</v>
      </c>
      <c r="R759" s="66" t="str">
        <f>VLOOKUP($Q759,Resultados!$A$1:$B$49,2,FALSE)</f>
        <v>Suspendida</v>
      </c>
      <c r="S759" s="66" t="s">
        <v>1008</v>
      </c>
      <c r="T759" s="84" t="str">
        <f t="shared" si="47"/>
        <v>NO</v>
      </c>
      <c r="U759" s="84"/>
      <c r="V759" s="81"/>
      <c r="W759" s="66" t="s">
        <v>2076</v>
      </c>
      <c r="X759" s="66"/>
      <c r="Y759" s="66"/>
      <c r="Z759" s="121" t="s">
        <v>748</v>
      </c>
      <c r="AA759" s="336" t="s">
        <v>1171</v>
      </c>
      <c r="AB759" s="121" t="s">
        <v>1173</v>
      </c>
      <c r="AC759" s="365"/>
    </row>
    <row r="760" spans="1:29" ht="39.950000000000003" customHeight="1" x14ac:dyDescent="0.2">
      <c r="A760" s="66">
        <v>767</v>
      </c>
      <c r="B760" s="68">
        <v>45205</v>
      </c>
      <c r="C760" s="73">
        <v>0.4548611111111111</v>
      </c>
      <c r="D760" s="66" t="s">
        <v>3237</v>
      </c>
      <c r="E760" s="67" t="s">
        <v>3253</v>
      </c>
      <c r="F760" s="66">
        <v>1</v>
      </c>
      <c r="G760" s="66" t="s">
        <v>2774</v>
      </c>
      <c r="H760" s="68">
        <v>45219</v>
      </c>
      <c r="I760" s="68" t="s">
        <v>1086</v>
      </c>
      <c r="J760" s="68" t="s">
        <v>1220</v>
      </c>
      <c r="K760" s="66">
        <f>IFERROR(VLOOKUP(J760,Jueces!$A$1:$B$11,2,FALSE),"")</f>
        <v>1</v>
      </c>
      <c r="L760" s="66" t="s">
        <v>809</v>
      </c>
      <c r="M760" s="66" t="s">
        <v>697</v>
      </c>
      <c r="N760" s="66" t="s">
        <v>577</v>
      </c>
      <c r="O760" s="81" t="str">
        <f t="shared" ca="1" si="46"/>
        <v>SI</v>
      </c>
      <c r="P760" s="81" t="str">
        <f t="shared" si="44"/>
        <v>DIANOSOL</v>
      </c>
      <c r="Q760" s="66" t="s">
        <v>151</v>
      </c>
      <c r="R760" s="66" t="str">
        <f>VLOOKUP($Q760,Resultados!$A$1:$B$49,2,FALSE)</f>
        <v>Prisión Preventiva</v>
      </c>
      <c r="S760" s="66" t="s">
        <v>1231</v>
      </c>
      <c r="T760" s="84" t="str">
        <f t="shared" si="47"/>
        <v>NO</v>
      </c>
      <c r="U760" s="84"/>
      <c r="V760" s="81"/>
      <c r="W760" s="66" t="s">
        <v>2904</v>
      </c>
      <c r="X760" s="66"/>
      <c r="Y760" s="66"/>
      <c r="Z760" s="121" t="s">
        <v>2895</v>
      </c>
      <c r="AA760" s="336" t="s">
        <v>2852</v>
      </c>
      <c r="AB760" s="121" t="s">
        <v>3300</v>
      </c>
      <c r="AC760" s="365"/>
    </row>
    <row r="761" spans="1:29" ht="39.950000000000003" customHeight="1" x14ac:dyDescent="0.2">
      <c r="A761" s="66">
        <v>761</v>
      </c>
      <c r="B761" s="68">
        <v>45204</v>
      </c>
      <c r="C761" s="73">
        <v>0.37291666666666662</v>
      </c>
      <c r="D761" s="362" t="s">
        <v>3221</v>
      </c>
      <c r="E761" s="67" t="s">
        <v>3222</v>
      </c>
      <c r="F761" s="66">
        <v>1</v>
      </c>
      <c r="G761" s="66" t="s">
        <v>2838</v>
      </c>
      <c r="H761" s="68">
        <v>45219</v>
      </c>
      <c r="I761" s="68" t="s">
        <v>1210</v>
      </c>
      <c r="J761" s="68" t="s">
        <v>33</v>
      </c>
      <c r="K761" s="66" t="s">
        <v>3306</v>
      </c>
      <c r="L761" s="66" t="s">
        <v>807</v>
      </c>
      <c r="M761" s="66" t="s">
        <v>712</v>
      </c>
      <c r="N761" s="66" t="s">
        <v>3547</v>
      </c>
      <c r="O761" s="81" t="str">
        <f t="shared" ca="1" si="46"/>
        <v>SI</v>
      </c>
      <c r="P761" s="81" t="str">
        <f t="shared" si="44"/>
        <v>DIANOSOL</v>
      </c>
      <c r="Q761" s="66" t="s">
        <v>911</v>
      </c>
      <c r="R761" s="66" t="str">
        <f>VLOOKUP($Q761,Resultados!$A$1:$B$49,2,FALSE)</f>
        <v>Suspendida</v>
      </c>
      <c r="S761" s="66"/>
      <c r="T761" s="84" t="str">
        <f t="shared" si="47"/>
        <v>NO</v>
      </c>
      <c r="U761" s="84"/>
      <c r="V761" s="81"/>
      <c r="W761" s="66"/>
      <c r="X761" s="66" t="s">
        <v>3548</v>
      </c>
      <c r="Y761" s="66"/>
      <c r="Z761" s="121" t="s">
        <v>3415</v>
      </c>
      <c r="AA761" s="121" t="s">
        <v>3347</v>
      </c>
      <c r="AB761" s="121" t="s">
        <v>1175</v>
      </c>
      <c r="AC761" s="365" t="s">
        <v>1801</v>
      </c>
    </row>
    <row r="762" spans="1:29" ht="39.950000000000003" customHeight="1" x14ac:dyDescent="0.2">
      <c r="A762" s="66">
        <v>846</v>
      </c>
      <c r="B762" s="68"/>
      <c r="C762" s="66"/>
      <c r="D762" s="66" t="s">
        <v>3509</v>
      </c>
      <c r="E762" s="67" t="s">
        <v>3510</v>
      </c>
      <c r="F762" s="66">
        <v>2</v>
      </c>
      <c r="G762" s="66" t="s">
        <v>29</v>
      </c>
      <c r="H762" s="68">
        <v>45219</v>
      </c>
      <c r="I762" s="68" t="s">
        <v>228</v>
      </c>
      <c r="J762" s="68" t="s">
        <v>31</v>
      </c>
      <c r="K762" s="66">
        <v>2</v>
      </c>
      <c r="L762" s="66" t="s">
        <v>1306</v>
      </c>
      <c r="M762" s="66" t="s">
        <v>3511</v>
      </c>
      <c r="N762" s="66" t="s">
        <v>3544</v>
      </c>
      <c r="O762" s="81" t="str">
        <f t="shared" ca="1" si="46"/>
        <v>SI</v>
      </c>
      <c r="P762" s="81" t="str">
        <f t="shared" si="44"/>
        <v>DIANOSOL</v>
      </c>
      <c r="Q762" s="66" t="s">
        <v>905</v>
      </c>
      <c r="R762" s="66" t="str">
        <f>VLOOKUP($Q762,Resultados!$A$1:$B$49,2,FALSE)</f>
        <v>Juicio Abreviado</v>
      </c>
      <c r="S762" s="66" t="s">
        <v>3409</v>
      </c>
      <c r="T762" s="84" t="str">
        <f t="shared" si="47"/>
        <v>NO</v>
      </c>
      <c r="U762" s="84"/>
      <c r="V762" s="81"/>
      <c r="W762" s="66" t="s">
        <v>3281</v>
      </c>
      <c r="X762" s="66" t="s">
        <v>3081</v>
      </c>
      <c r="Y762" s="66"/>
      <c r="Z762" s="121" t="s">
        <v>748</v>
      </c>
      <c r="AA762" s="66"/>
      <c r="AB762" s="121" t="s">
        <v>3364</v>
      </c>
      <c r="AC762" s="365"/>
    </row>
    <row r="763" spans="1:29" ht="39.950000000000003" customHeight="1" x14ac:dyDescent="0.2">
      <c r="A763" s="66">
        <v>754</v>
      </c>
      <c r="B763" s="68">
        <v>45202</v>
      </c>
      <c r="C763" s="73">
        <v>0.53194444444444444</v>
      </c>
      <c r="D763" s="66" t="s">
        <v>3171</v>
      </c>
      <c r="E763" s="67" t="s">
        <v>3172</v>
      </c>
      <c r="F763" s="66">
        <v>1</v>
      </c>
      <c r="G763" s="66" t="s">
        <v>1442</v>
      </c>
      <c r="H763" s="68">
        <v>45222</v>
      </c>
      <c r="I763" s="68" t="s">
        <v>73</v>
      </c>
      <c r="J763" s="68" t="s">
        <v>2951</v>
      </c>
      <c r="K763" s="66" t="s">
        <v>1925</v>
      </c>
      <c r="L763" s="66" t="s">
        <v>814</v>
      </c>
      <c r="M763" s="66" t="s">
        <v>711</v>
      </c>
      <c r="N763" s="66" t="s">
        <v>3573</v>
      </c>
      <c r="O763" s="66" t="str">
        <f t="shared" ca="1" si="46"/>
        <v>SI</v>
      </c>
      <c r="P763" s="66" t="str">
        <f t="shared" si="44"/>
        <v>DIANOSOL</v>
      </c>
      <c r="Q763" s="66" t="s">
        <v>151</v>
      </c>
      <c r="R763" s="66" t="str">
        <f>VLOOKUP($Q763,Resultados!$A$1:$B$49,2,FALSE)</f>
        <v>Prisión Preventiva</v>
      </c>
      <c r="S763" s="66" t="s">
        <v>1292</v>
      </c>
      <c r="T763" s="75" t="str">
        <f t="shared" si="47"/>
        <v>SI</v>
      </c>
      <c r="U763" s="75"/>
      <c r="V763" s="66"/>
      <c r="W763" s="66" t="s">
        <v>1252</v>
      </c>
      <c r="X763" s="66" t="s">
        <v>3574</v>
      </c>
      <c r="Y763" s="66"/>
      <c r="Z763" s="121" t="s">
        <v>748</v>
      </c>
      <c r="AA763" s="336" t="s">
        <v>1171</v>
      </c>
      <c r="AB763" s="121" t="s">
        <v>1177</v>
      </c>
      <c r="AC763" s="365"/>
    </row>
    <row r="764" spans="1:29" ht="39.950000000000003" customHeight="1" x14ac:dyDescent="0.2">
      <c r="A764" s="66">
        <v>780</v>
      </c>
      <c r="B764" s="68">
        <v>45209</v>
      </c>
      <c r="C764" s="73">
        <v>0.40069444444444446</v>
      </c>
      <c r="D764" s="362" t="s">
        <v>3298</v>
      </c>
      <c r="E764" s="67" t="s">
        <v>3341</v>
      </c>
      <c r="F764" s="66">
        <v>1</v>
      </c>
      <c r="G764" s="66" t="s">
        <v>2838</v>
      </c>
      <c r="H764" s="68">
        <v>45222</v>
      </c>
      <c r="I764" s="68" t="s">
        <v>73</v>
      </c>
      <c r="J764" s="68" t="s">
        <v>2954</v>
      </c>
      <c r="K764" s="66" t="s">
        <v>1346</v>
      </c>
      <c r="L764" s="66" t="s">
        <v>569</v>
      </c>
      <c r="M764" s="66" t="s">
        <v>3342</v>
      </c>
      <c r="N764" s="66" t="s">
        <v>3580</v>
      </c>
      <c r="O764" s="66" t="str">
        <f t="shared" ca="1" si="46"/>
        <v>SI</v>
      </c>
      <c r="P764" s="66" t="str">
        <f t="shared" si="44"/>
        <v>DIANOSOL</v>
      </c>
      <c r="Q764" s="66" t="s">
        <v>904</v>
      </c>
      <c r="R764" s="66" t="str">
        <f>VLOOKUP($Q764,Resultados!$A$1:$B$49,2,FALSE)</f>
        <v>Juicio Abreviado</v>
      </c>
      <c r="S764" s="66" t="s">
        <v>2421</v>
      </c>
      <c r="T764" s="75" t="str">
        <f t="shared" si="47"/>
        <v>NO</v>
      </c>
      <c r="U764" s="75"/>
      <c r="V764" s="66"/>
      <c r="W764" s="66" t="s">
        <v>1138</v>
      </c>
      <c r="X764" s="66" t="s">
        <v>3581</v>
      </c>
      <c r="Y764" s="66"/>
      <c r="Z764" s="121" t="s">
        <v>3482</v>
      </c>
      <c r="AA764" s="121"/>
      <c r="AB764" s="121" t="s">
        <v>1174</v>
      </c>
      <c r="AC764" s="365" t="s">
        <v>1801</v>
      </c>
    </row>
    <row r="765" spans="1:29" ht="39.950000000000003" customHeight="1" x14ac:dyDescent="0.2">
      <c r="A765" s="66">
        <v>782</v>
      </c>
      <c r="B765" s="68"/>
      <c r="C765" s="66"/>
      <c r="D765" s="66" t="s">
        <v>3304</v>
      </c>
      <c r="E765" s="67" t="s">
        <v>3305</v>
      </c>
      <c r="F765" s="66">
        <v>1</v>
      </c>
      <c r="G765" s="66" t="s">
        <v>1443</v>
      </c>
      <c r="H765" s="68">
        <v>45222</v>
      </c>
      <c r="I765" s="68" t="s">
        <v>73</v>
      </c>
      <c r="J765" s="68" t="s">
        <v>1732</v>
      </c>
      <c r="K765" s="66" t="s">
        <v>2343</v>
      </c>
      <c r="L765" s="66" t="s">
        <v>812</v>
      </c>
      <c r="M765" s="368" t="s">
        <v>2238</v>
      </c>
      <c r="N765" s="66" t="s">
        <v>3579</v>
      </c>
      <c r="O765" s="66" t="str">
        <f t="shared" ca="1" si="46"/>
        <v>SI</v>
      </c>
      <c r="P765" s="66" t="str">
        <f t="shared" si="44"/>
        <v>DIANOSOL</v>
      </c>
      <c r="Q765" s="66" t="s">
        <v>151</v>
      </c>
      <c r="R765" s="66" t="str">
        <f>VLOOKUP($Q765,Resultados!$A$1:$B$49,2,FALSE)</f>
        <v>Prisión Preventiva</v>
      </c>
      <c r="S765" s="66" t="s">
        <v>1134</v>
      </c>
      <c r="T765" s="75" t="str">
        <f t="shared" si="47"/>
        <v>NO</v>
      </c>
      <c r="U765" s="75"/>
      <c r="V765" s="66"/>
      <c r="W765" s="66" t="s">
        <v>76</v>
      </c>
      <c r="X765" s="66" t="s">
        <v>2571</v>
      </c>
      <c r="Y765" s="66"/>
      <c r="Z765" s="121" t="s">
        <v>2867</v>
      </c>
      <c r="AA765" s="336" t="s">
        <v>2852</v>
      </c>
      <c r="AB765" s="121" t="s">
        <v>1173</v>
      </c>
      <c r="AC765" s="365"/>
    </row>
    <row r="766" spans="1:29" ht="39.950000000000003" customHeight="1" x14ac:dyDescent="0.2">
      <c r="A766" s="66">
        <v>774</v>
      </c>
      <c r="B766" s="68">
        <v>45208</v>
      </c>
      <c r="C766" s="66" t="s">
        <v>3268</v>
      </c>
      <c r="D766" s="66" t="s">
        <v>3269</v>
      </c>
      <c r="E766" s="67" t="s">
        <v>3337</v>
      </c>
      <c r="F766" s="66">
        <v>2</v>
      </c>
      <c r="G766" s="66" t="s">
        <v>3366</v>
      </c>
      <c r="H766" s="68">
        <v>45222</v>
      </c>
      <c r="I766" s="68" t="s">
        <v>1210</v>
      </c>
      <c r="J766" s="68" t="s">
        <v>78</v>
      </c>
      <c r="K766" s="66">
        <f>IFERROR(VLOOKUP(J766,Jueces!$A$1:$B$11,2,FALSE),"")</f>
        <v>8</v>
      </c>
      <c r="L766" s="66" t="s">
        <v>806</v>
      </c>
      <c r="M766" s="6" t="s">
        <v>692</v>
      </c>
      <c r="N766" s="66" t="s">
        <v>3575</v>
      </c>
      <c r="O766" s="66" t="str">
        <f t="shared" ca="1" si="46"/>
        <v>SI</v>
      </c>
      <c r="P766" s="66" t="str">
        <f t="shared" si="44"/>
        <v>DIANOSOL</v>
      </c>
      <c r="Q766" s="66" t="s">
        <v>904</v>
      </c>
      <c r="R766" s="66" t="str">
        <f>VLOOKUP($Q766,Resultados!$A$1:$B$49,2,FALSE)</f>
        <v>Juicio Abreviado</v>
      </c>
      <c r="S766" s="66" t="s">
        <v>3576</v>
      </c>
      <c r="T766" s="75" t="str">
        <f t="shared" si="47"/>
        <v>NO</v>
      </c>
      <c r="U766" s="75"/>
      <c r="V766" s="66"/>
      <c r="W766" s="66" t="s">
        <v>3577</v>
      </c>
      <c r="X766" s="66" t="s">
        <v>3578</v>
      </c>
      <c r="Y766" s="66"/>
      <c r="Z766" s="121" t="s">
        <v>3415</v>
      </c>
      <c r="AA766" s="121" t="s">
        <v>3427</v>
      </c>
      <c r="AB766" s="121" t="s">
        <v>3300</v>
      </c>
      <c r="AC766" s="365"/>
    </row>
    <row r="767" spans="1:29" ht="39.950000000000003" customHeight="1" x14ac:dyDescent="0.2">
      <c r="A767" s="66">
        <v>776</v>
      </c>
      <c r="B767" s="68">
        <v>45209</v>
      </c>
      <c r="C767" s="73">
        <v>0.33333333333333331</v>
      </c>
      <c r="D767" s="66" t="s">
        <v>3272</v>
      </c>
      <c r="E767" s="67" t="s">
        <v>3273</v>
      </c>
      <c r="F767" s="66">
        <v>1</v>
      </c>
      <c r="G767" s="66" t="s">
        <v>3365</v>
      </c>
      <c r="H767" s="68">
        <v>45222</v>
      </c>
      <c r="I767" s="68" t="s">
        <v>3212</v>
      </c>
      <c r="J767" s="68" t="s">
        <v>33</v>
      </c>
      <c r="K767" s="66" t="s">
        <v>2343</v>
      </c>
      <c r="L767" s="66" t="s">
        <v>806</v>
      </c>
      <c r="M767" s="66" t="s">
        <v>1179</v>
      </c>
      <c r="N767" s="66" t="s">
        <v>3590</v>
      </c>
      <c r="O767" s="66" t="str">
        <f t="shared" ca="1" si="46"/>
        <v>SI</v>
      </c>
      <c r="P767" s="66" t="str">
        <f t="shared" si="44"/>
        <v>DIANOSOL</v>
      </c>
      <c r="Q767" s="66" t="s">
        <v>905</v>
      </c>
      <c r="R767" s="66" t="str">
        <f>VLOOKUP($Q767,Resultados!$A$1:$B$49,2,FALSE)</f>
        <v>Juicio Abreviado</v>
      </c>
      <c r="S767" s="66" t="s">
        <v>989</v>
      </c>
      <c r="T767" s="75" t="str">
        <f t="shared" si="47"/>
        <v>NO</v>
      </c>
      <c r="U767" s="75"/>
      <c r="V767" s="66"/>
      <c r="W767" s="66" t="s">
        <v>3589</v>
      </c>
      <c r="X767" s="385" t="s">
        <v>3591</v>
      </c>
      <c r="Y767" s="66"/>
      <c r="Z767" s="121" t="s">
        <v>748</v>
      </c>
      <c r="AA767" s="121" t="s">
        <v>1171</v>
      </c>
      <c r="AB767" s="121" t="s">
        <v>3364</v>
      </c>
      <c r="AC767" s="365"/>
    </row>
    <row r="768" spans="1:29" ht="39.950000000000003" customHeight="1" x14ac:dyDescent="0.2">
      <c r="A768" s="66">
        <v>753</v>
      </c>
      <c r="B768" s="68">
        <v>45202</v>
      </c>
      <c r="C768" s="73">
        <v>0.47638888888888892</v>
      </c>
      <c r="D768" s="66" t="s">
        <v>3170</v>
      </c>
      <c r="E768" s="67" t="s">
        <v>3329</v>
      </c>
      <c r="F768" s="66">
        <v>1</v>
      </c>
      <c r="G768" s="66" t="s">
        <v>568</v>
      </c>
      <c r="H768" s="68">
        <v>45222</v>
      </c>
      <c r="I768" s="68" t="s">
        <v>989</v>
      </c>
      <c r="J768" s="68" t="s">
        <v>1221</v>
      </c>
      <c r="K768" s="66" t="s">
        <v>1925</v>
      </c>
      <c r="L768" s="66" t="s">
        <v>812</v>
      </c>
      <c r="M768" s="66" t="s">
        <v>712</v>
      </c>
      <c r="N768" s="66" t="s">
        <v>3582</v>
      </c>
      <c r="O768" s="66" t="str">
        <f t="shared" ca="1" si="46"/>
        <v>SI</v>
      </c>
      <c r="P768" s="66" t="str">
        <f t="shared" si="44"/>
        <v>DIANOSOL</v>
      </c>
      <c r="Q768" s="66" t="s">
        <v>904</v>
      </c>
      <c r="R768" s="66" t="str">
        <f>VLOOKUP($Q768,Resultados!$A$1:$B$49,2,FALSE)</f>
        <v>Juicio Abreviado</v>
      </c>
      <c r="S768" s="66" t="s">
        <v>3583</v>
      </c>
      <c r="T768" s="75" t="str">
        <f t="shared" si="47"/>
        <v>NO</v>
      </c>
      <c r="U768" s="75"/>
      <c r="V768" s="66"/>
      <c r="W768" s="66" t="s">
        <v>77</v>
      </c>
      <c r="X768" s="66" t="s">
        <v>3584</v>
      </c>
      <c r="Y768" s="66"/>
      <c r="Z768" s="121" t="s">
        <v>3482</v>
      </c>
      <c r="AA768" s="336" t="s">
        <v>1169</v>
      </c>
      <c r="AB768" s="121" t="s">
        <v>1177</v>
      </c>
      <c r="AC768" s="365"/>
    </row>
    <row r="769" spans="1:29" ht="39.950000000000003" customHeight="1" x14ac:dyDescent="0.2">
      <c r="A769" s="66">
        <v>728</v>
      </c>
      <c r="B769" s="68">
        <v>45197</v>
      </c>
      <c r="C769" s="73">
        <v>0.50138888888888888</v>
      </c>
      <c r="D769" s="66" t="s">
        <v>3078</v>
      </c>
      <c r="E769" s="67" t="s">
        <v>3079</v>
      </c>
      <c r="F769" s="66">
        <v>1</v>
      </c>
      <c r="G769" s="66" t="s">
        <v>3365</v>
      </c>
      <c r="H769" s="68">
        <v>45223</v>
      </c>
      <c r="I769" s="68" t="s">
        <v>73</v>
      </c>
      <c r="J769" s="68" t="s">
        <v>31</v>
      </c>
      <c r="K769" s="66">
        <f>IFERROR(VLOOKUP(J769,Jueces!$A$1:$B$11,2,FALSE),"")</f>
        <v>2</v>
      </c>
      <c r="L769" s="66" t="s">
        <v>2094</v>
      </c>
      <c r="M769" s="66" t="s">
        <v>3251</v>
      </c>
      <c r="N769" s="66" t="s">
        <v>3610</v>
      </c>
      <c r="O769" s="66" t="str">
        <f t="shared" ca="1" si="46"/>
        <v>SI</v>
      </c>
      <c r="P769" s="66" t="str">
        <f t="shared" si="44"/>
        <v>DIANOSOL</v>
      </c>
      <c r="Q769" s="66" t="s">
        <v>151</v>
      </c>
      <c r="R769" s="66" t="str">
        <f>VLOOKUP($Q769,Resultados!$A$1:$B$49,2,FALSE)</f>
        <v>Prisión Preventiva</v>
      </c>
      <c r="S769" s="66" t="s">
        <v>3134</v>
      </c>
      <c r="T769" s="75" t="str">
        <f t="shared" si="47"/>
        <v>NO</v>
      </c>
      <c r="U769" s="75"/>
      <c r="V769" s="66"/>
      <c r="W769" s="66" t="s">
        <v>1135</v>
      </c>
      <c r="X769" s="66" t="s">
        <v>3611</v>
      </c>
      <c r="Y769" s="66"/>
      <c r="Z769" s="121" t="s">
        <v>3482</v>
      </c>
      <c r="AA769" s="336" t="s">
        <v>1169</v>
      </c>
      <c r="AB769" s="121" t="s">
        <v>1174</v>
      </c>
      <c r="AC769" s="365"/>
    </row>
    <row r="770" spans="1:29" ht="39.950000000000003" customHeight="1" x14ac:dyDescent="0.2">
      <c r="A770" s="66">
        <v>748</v>
      </c>
      <c r="B770" s="68">
        <v>45202</v>
      </c>
      <c r="C770" s="73">
        <v>0.47083333333333338</v>
      </c>
      <c r="D770" s="66" t="s">
        <v>3162</v>
      </c>
      <c r="E770" s="67" t="s">
        <v>3163</v>
      </c>
      <c r="F770" s="66">
        <v>8</v>
      </c>
      <c r="G770" s="66" t="s">
        <v>3366</v>
      </c>
      <c r="H770" s="68">
        <v>45223</v>
      </c>
      <c r="I770" s="68" t="s">
        <v>73</v>
      </c>
      <c r="J770" s="68" t="s">
        <v>2951</v>
      </c>
      <c r="K770" s="66" t="s">
        <v>1346</v>
      </c>
      <c r="L770" s="66" t="s">
        <v>791</v>
      </c>
      <c r="M770" s="66" t="s">
        <v>887</v>
      </c>
      <c r="N770" s="66" t="s">
        <v>3604</v>
      </c>
      <c r="O770" s="81" t="str">
        <f t="shared" ca="1" si="46"/>
        <v>SI</v>
      </c>
      <c r="P770" s="81" t="str">
        <f t="shared" si="44"/>
        <v>DIANOSOL</v>
      </c>
      <c r="Q770" s="66" t="s">
        <v>905</v>
      </c>
      <c r="R770" s="66" t="str">
        <f>VLOOKUP($Q770,Resultados!$A$1:$B$49,2,FALSE)</f>
        <v>Juicio Abreviado</v>
      </c>
      <c r="S770" s="66" t="s">
        <v>2256</v>
      </c>
      <c r="T770" s="84" t="str">
        <f t="shared" si="47"/>
        <v>NO</v>
      </c>
      <c r="U770" s="84"/>
      <c r="V770" s="81"/>
      <c r="W770" s="66" t="s">
        <v>1499</v>
      </c>
      <c r="X770" s="66" t="s">
        <v>3727</v>
      </c>
      <c r="Y770" s="66"/>
      <c r="Z770" s="121" t="s">
        <v>748</v>
      </c>
      <c r="AA770" s="336" t="s">
        <v>2852</v>
      </c>
      <c r="AB770" s="121" t="s">
        <v>1173</v>
      </c>
      <c r="AC770" s="365"/>
    </row>
    <row r="771" spans="1:29" ht="39.950000000000003" customHeight="1" x14ac:dyDescent="0.2">
      <c r="A771" s="66">
        <v>781</v>
      </c>
      <c r="B771" s="68">
        <v>45208</v>
      </c>
      <c r="C771" s="66" t="s">
        <v>73</v>
      </c>
      <c r="D771" s="66" t="s">
        <v>3299</v>
      </c>
      <c r="E771" s="67" t="s">
        <v>3339</v>
      </c>
      <c r="F771" s="66">
        <v>2</v>
      </c>
      <c r="G771" s="66" t="s">
        <v>1441</v>
      </c>
      <c r="H771" s="68">
        <v>45223</v>
      </c>
      <c r="I771" s="68" t="s">
        <v>73</v>
      </c>
      <c r="J771" s="68" t="s">
        <v>33</v>
      </c>
      <c r="K771" s="66">
        <f>IFERROR(VLOOKUP(J771,Jueces!$A$1:$B$11,2,FALSE),"")</f>
        <v>4</v>
      </c>
      <c r="L771" s="66" t="s">
        <v>813</v>
      </c>
      <c r="M771" s="66" t="s">
        <v>692</v>
      </c>
      <c r="N771" s="66" t="s">
        <v>151</v>
      </c>
      <c r="O771" s="81" t="str">
        <f t="shared" ca="1" si="46"/>
        <v>SI</v>
      </c>
      <c r="P771" s="81" t="str">
        <f t="shared" ref="P771:P834" si="48">IF($P$1=H771,"DIASOL", "DIANOSOL")</f>
        <v>DIANOSOL</v>
      </c>
      <c r="Q771" s="66" t="s">
        <v>151</v>
      </c>
      <c r="R771" s="66" t="str">
        <f>VLOOKUP($Q771,Resultados!$A$1:$B$49,2,FALSE)</f>
        <v>Prisión Preventiva</v>
      </c>
      <c r="S771" s="66" t="s">
        <v>1034</v>
      </c>
      <c r="T771" s="84" t="str">
        <f t="shared" si="47"/>
        <v>NO</v>
      </c>
      <c r="U771" s="84"/>
      <c r="V771" s="81"/>
      <c r="W771" s="66" t="s">
        <v>1231</v>
      </c>
      <c r="X771" s="66" t="s">
        <v>2571</v>
      </c>
      <c r="Y771" s="66"/>
      <c r="Z771" s="121" t="s">
        <v>2867</v>
      </c>
      <c r="AA771" s="121" t="s">
        <v>3427</v>
      </c>
      <c r="AB771" s="121" t="s">
        <v>3300</v>
      </c>
      <c r="AC771" s="365"/>
    </row>
    <row r="772" spans="1:29" ht="39.950000000000003" customHeight="1" x14ac:dyDescent="0.2">
      <c r="A772" s="66">
        <v>792</v>
      </c>
      <c r="B772" s="68">
        <v>45209</v>
      </c>
      <c r="C772" s="73">
        <v>0.38958333333333334</v>
      </c>
      <c r="D772" s="66" t="s">
        <v>3322</v>
      </c>
      <c r="E772" s="67" t="s">
        <v>3323</v>
      </c>
      <c r="F772" s="66">
        <v>1</v>
      </c>
      <c r="G772" s="66" t="s">
        <v>1442</v>
      </c>
      <c r="H772" s="68">
        <v>45223</v>
      </c>
      <c r="I772" s="68" t="s">
        <v>73</v>
      </c>
      <c r="J772" s="68" t="s">
        <v>78</v>
      </c>
      <c r="K772" s="66">
        <f>IFERROR(VLOOKUP(J772,Jueces!$A$1:$B$11,2,FALSE),"")</f>
        <v>8</v>
      </c>
      <c r="L772" s="66" t="s">
        <v>811</v>
      </c>
      <c r="M772" s="66" t="s">
        <v>712</v>
      </c>
      <c r="N772" s="66" t="s">
        <v>2586</v>
      </c>
      <c r="O772" s="81" t="str">
        <f t="shared" ca="1" si="46"/>
        <v>SI</v>
      </c>
      <c r="P772" s="81" t="str">
        <f t="shared" si="48"/>
        <v>DIANOSOL</v>
      </c>
      <c r="Q772" s="66" t="s">
        <v>904</v>
      </c>
      <c r="R772" s="66" t="str">
        <f>VLOOKUP($Q772,Resultados!$A$1:$B$49,2,FALSE)</f>
        <v>Juicio Abreviado</v>
      </c>
      <c r="S772" s="66" t="s">
        <v>1564</v>
      </c>
      <c r="T772" s="84" t="str">
        <f t="shared" si="47"/>
        <v>SI</v>
      </c>
      <c r="U772" s="84"/>
      <c r="V772" s="81"/>
      <c r="W772" s="66" t="s">
        <v>3605</v>
      </c>
      <c r="X772" s="66" t="s">
        <v>3606</v>
      </c>
      <c r="Y772" s="66"/>
      <c r="Z772" s="121" t="s">
        <v>3415</v>
      </c>
      <c r="AA772" s="336" t="s">
        <v>2852</v>
      </c>
      <c r="AB772" s="121" t="s">
        <v>2891</v>
      </c>
      <c r="AC772" s="365"/>
    </row>
    <row r="773" spans="1:29" ht="39.950000000000003" customHeight="1" x14ac:dyDescent="0.2">
      <c r="A773" s="66">
        <v>779</v>
      </c>
      <c r="B773" s="68">
        <v>45209</v>
      </c>
      <c r="C773" s="66" t="s">
        <v>3286</v>
      </c>
      <c r="D773" s="66" t="s">
        <v>3287</v>
      </c>
      <c r="E773" s="67" t="s">
        <v>3328</v>
      </c>
      <c r="F773" s="66">
        <v>1</v>
      </c>
      <c r="G773" s="66" t="s">
        <v>2838</v>
      </c>
      <c r="H773" s="68">
        <v>45223</v>
      </c>
      <c r="I773" s="68" t="s">
        <v>1086</v>
      </c>
      <c r="J773" s="68" t="s">
        <v>1220</v>
      </c>
      <c r="K773" s="66">
        <f>IFERROR(VLOOKUP(J773,Jueces!$A$1:$B$11,2,FALSE),"")</f>
        <v>1</v>
      </c>
      <c r="L773" s="66" t="s">
        <v>806</v>
      </c>
      <c r="M773" s="66" t="s">
        <v>1179</v>
      </c>
      <c r="N773" s="66" t="s">
        <v>621</v>
      </c>
      <c r="O773" s="81" t="str">
        <f t="shared" ca="1" si="46"/>
        <v>SI</v>
      </c>
      <c r="P773" s="81" t="str">
        <f t="shared" si="48"/>
        <v>DIANOSOL</v>
      </c>
      <c r="Q773" s="66" t="s">
        <v>151</v>
      </c>
      <c r="R773" s="66" t="str">
        <f>VLOOKUP($Q773,Resultados!$A$1:$B$49,2,FALSE)</f>
        <v>Prisión Preventiva</v>
      </c>
      <c r="S773" s="66" t="s">
        <v>1036</v>
      </c>
      <c r="T773" s="84" t="str">
        <f t="shared" si="47"/>
        <v>NO</v>
      </c>
      <c r="U773" s="84"/>
      <c r="V773" s="81"/>
      <c r="W773" s="66" t="s">
        <v>1005</v>
      </c>
      <c r="X773" s="66" t="s">
        <v>2571</v>
      </c>
      <c r="Y773" s="66"/>
      <c r="Z773" s="121" t="s">
        <v>748</v>
      </c>
      <c r="AA773" s="121" t="s">
        <v>1171</v>
      </c>
      <c r="AB773" s="121" t="s">
        <v>3364</v>
      </c>
      <c r="AC773" s="365"/>
    </row>
    <row r="774" spans="1:29" ht="39.950000000000003" customHeight="1" x14ac:dyDescent="0.2">
      <c r="A774" s="66">
        <v>796</v>
      </c>
      <c r="B774" s="68">
        <v>45210</v>
      </c>
      <c r="C774" s="73">
        <v>0.41250000000000003</v>
      </c>
      <c r="D774" s="66" t="s">
        <v>3336</v>
      </c>
      <c r="E774" s="67" t="s">
        <v>3335</v>
      </c>
      <c r="F774" s="66">
        <v>2</v>
      </c>
      <c r="G774" s="66" t="s">
        <v>568</v>
      </c>
      <c r="H774" s="68">
        <v>45223</v>
      </c>
      <c r="I774" s="68" t="s">
        <v>1086</v>
      </c>
      <c r="J774" s="68" t="s">
        <v>1221</v>
      </c>
      <c r="K774" s="66" t="s">
        <v>1925</v>
      </c>
      <c r="L774" s="66" t="s">
        <v>813</v>
      </c>
      <c r="M774" s="66" t="s">
        <v>693</v>
      </c>
      <c r="N774" s="66" t="s">
        <v>2196</v>
      </c>
      <c r="O774" s="81" t="str">
        <f t="shared" ca="1" si="46"/>
        <v>SI</v>
      </c>
      <c r="P774" s="81" t="str">
        <f t="shared" si="48"/>
        <v>DIANOSOL</v>
      </c>
      <c r="Q774" s="66" t="s">
        <v>904</v>
      </c>
      <c r="R774" s="66" t="str">
        <f>VLOOKUP($Q774,Resultados!$A$1:$B$49,2,FALSE)</f>
        <v>Juicio Abreviado</v>
      </c>
      <c r="S774" s="66" t="s">
        <v>1609</v>
      </c>
      <c r="T774" s="84" t="str">
        <f t="shared" si="47"/>
        <v>NO</v>
      </c>
      <c r="U774" s="84"/>
      <c r="V774" s="81"/>
      <c r="W774" s="66" t="s">
        <v>1003</v>
      </c>
      <c r="X774" s="66" t="s">
        <v>2571</v>
      </c>
      <c r="Y774" s="66"/>
      <c r="Z774" s="121" t="s">
        <v>3415</v>
      </c>
      <c r="AA774" s="336" t="s">
        <v>1169</v>
      </c>
      <c r="AB774" s="121" t="s">
        <v>1177</v>
      </c>
      <c r="AC774" s="365"/>
    </row>
    <row r="775" spans="1:29" ht="39.950000000000003" customHeight="1" x14ac:dyDescent="0.2">
      <c r="A775" s="66">
        <v>804</v>
      </c>
      <c r="B775" s="68">
        <v>45210</v>
      </c>
      <c r="C775" s="73">
        <v>0.38472222222222219</v>
      </c>
      <c r="D775" s="66" t="s">
        <v>3383</v>
      </c>
      <c r="E775" s="67" t="s">
        <v>3384</v>
      </c>
      <c r="F775" s="66">
        <v>2</v>
      </c>
      <c r="G775" s="66" t="s">
        <v>2774</v>
      </c>
      <c r="H775" s="68">
        <v>45223</v>
      </c>
      <c r="I775" s="68" t="s">
        <v>1086</v>
      </c>
      <c r="J775" s="68" t="s">
        <v>1225</v>
      </c>
      <c r="K775" s="66">
        <f>IFERROR(VLOOKUP(J775,Jueces!$A$1:$B$11,2,FALSE),"")</f>
        <v>6</v>
      </c>
      <c r="L775" s="66" t="s">
        <v>812</v>
      </c>
      <c r="M775" s="66" t="s">
        <v>692</v>
      </c>
      <c r="N775" s="66" t="s">
        <v>621</v>
      </c>
      <c r="O775" s="81" t="str">
        <f t="shared" ca="1" si="46"/>
        <v>SI</v>
      </c>
      <c r="P775" s="81" t="str">
        <f t="shared" si="48"/>
        <v>DIANOSOL</v>
      </c>
      <c r="Q775" s="66" t="s">
        <v>151</v>
      </c>
      <c r="R775" s="66" t="str">
        <f>VLOOKUP($Q775,Resultados!$A$1:$B$49,2,FALSE)</f>
        <v>Prisión Preventiva</v>
      </c>
      <c r="S775" s="66" t="s">
        <v>2076</v>
      </c>
      <c r="T775" s="84" t="str">
        <f t="shared" si="47"/>
        <v>NO</v>
      </c>
      <c r="U775" s="84"/>
      <c r="V775" s="81"/>
      <c r="W775" s="66" t="s">
        <v>1578</v>
      </c>
      <c r="X775" s="66"/>
      <c r="Y775" s="66"/>
      <c r="Z775" s="121" t="s">
        <v>3482</v>
      </c>
      <c r="AA775" s="121" t="s">
        <v>3427</v>
      </c>
      <c r="AB775" s="121" t="s">
        <v>1174</v>
      </c>
      <c r="AC775" s="365"/>
    </row>
    <row r="776" spans="1:29" ht="39.950000000000003" customHeight="1" x14ac:dyDescent="0.2">
      <c r="A776" s="66">
        <v>787</v>
      </c>
      <c r="B776" s="68">
        <v>45209</v>
      </c>
      <c r="C776" s="66" t="s">
        <v>1040</v>
      </c>
      <c r="D776" s="66" t="s">
        <v>3314</v>
      </c>
      <c r="E776" s="67" t="s">
        <v>3343</v>
      </c>
      <c r="F776" s="66">
        <v>2</v>
      </c>
      <c r="G776" s="66" t="s">
        <v>283</v>
      </c>
      <c r="H776" s="68">
        <v>45223</v>
      </c>
      <c r="I776" s="68" t="s">
        <v>1450</v>
      </c>
      <c r="J776" s="68" t="s">
        <v>31</v>
      </c>
      <c r="K776" s="66" t="s">
        <v>2304</v>
      </c>
      <c r="L776" s="66" t="s">
        <v>806</v>
      </c>
      <c r="M776" s="66" t="s">
        <v>692</v>
      </c>
      <c r="N776" s="66" t="s">
        <v>3607</v>
      </c>
      <c r="O776" s="81" t="str">
        <f t="shared" ca="1" si="46"/>
        <v>SI</v>
      </c>
      <c r="P776" s="81" t="str">
        <f t="shared" si="48"/>
        <v>DIANOSOL</v>
      </c>
      <c r="Q776" s="66" t="s">
        <v>905</v>
      </c>
      <c r="R776" s="66" t="str">
        <f>VLOOKUP($Q776,Resultados!$A$1:$B$49,2,FALSE)</f>
        <v>Juicio Abreviado</v>
      </c>
      <c r="S776" s="66" t="s">
        <v>3278</v>
      </c>
      <c r="T776" s="84" t="str">
        <f t="shared" si="47"/>
        <v>NO</v>
      </c>
      <c r="U776" s="84"/>
      <c r="V776" s="81"/>
      <c r="W776" s="66" t="s">
        <v>3608</v>
      </c>
      <c r="X776" s="66" t="s">
        <v>2571</v>
      </c>
      <c r="Y776" s="66"/>
      <c r="Z776" s="121" t="s">
        <v>2867</v>
      </c>
      <c r="AA776" s="121" t="s">
        <v>1171</v>
      </c>
      <c r="AB776" s="121" t="s">
        <v>1173</v>
      </c>
      <c r="AC776" s="365"/>
    </row>
    <row r="777" spans="1:29" ht="39.950000000000003" customHeight="1" x14ac:dyDescent="0.2">
      <c r="A777" s="66">
        <v>786</v>
      </c>
      <c r="B777" s="68">
        <v>45209</v>
      </c>
      <c r="C777" s="66" t="s">
        <v>3312</v>
      </c>
      <c r="D777" s="66" t="s">
        <v>3313</v>
      </c>
      <c r="E777" s="67" t="s">
        <v>3346</v>
      </c>
      <c r="F777" s="66">
        <v>2</v>
      </c>
      <c r="G777" s="66" t="s">
        <v>1441</v>
      </c>
      <c r="H777" s="68">
        <v>45224</v>
      </c>
      <c r="I777" s="68" t="s">
        <v>73</v>
      </c>
      <c r="J777" s="68" t="s">
        <v>33</v>
      </c>
      <c r="K777" s="66">
        <f>IFERROR(VLOOKUP(J777,Jueces!$A$1:$B$11,2,FALSE),"")</f>
        <v>4</v>
      </c>
      <c r="L777" s="66" t="s">
        <v>806</v>
      </c>
      <c r="M777" s="66" t="s">
        <v>692</v>
      </c>
      <c r="N777" s="66" t="s">
        <v>3631</v>
      </c>
      <c r="O777" s="81" t="str">
        <f t="shared" ca="1" si="46"/>
        <v>SI</v>
      </c>
      <c r="P777" s="81" t="str">
        <f t="shared" si="48"/>
        <v>DIANOSOL</v>
      </c>
      <c r="Q777" s="66" t="s">
        <v>905</v>
      </c>
      <c r="R777" s="66" t="str">
        <f>VLOOKUP($Q777,Resultados!$A$1:$B$49,2,FALSE)</f>
        <v>Juicio Abreviado</v>
      </c>
      <c r="S777" s="66" t="s">
        <v>1008</v>
      </c>
      <c r="T777" s="84" t="str">
        <f t="shared" si="47"/>
        <v>NO</v>
      </c>
      <c r="U777" s="84"/>
      <c r="V777" s="81"/>
      <c r="W777" s="66" t="s">
        <v>1396</v>
      </c>
      <c r="X777" s="66" t="s">
        <v>2571</v>
      </c>
      <c r="Y777" s="66"/>
      <c r="Z777" s="121" t="s">
        <v>3415</v>
      </c>
      <c r="AA777" s="121" t="s">
        <v>1169</v>
      </c>
      <c r="AB777" s="121" t="s">
        <v>3300</v>
      </c>
      <c r="AC777" s="365"/>
    </row>
    <row r="778" spans="1:29" ht="39.950000000000003" customHeight="1" x14ac:dyDescent="0.2">
      <c r="A778" s="66">
        <v>797</v>
      </c>
      <c r="B778" s="68"/>
      <c r="C778" s="66"/>
      <c r="D778" s="66" t="s">
        <v>3367</v>
      </c>
      <c r="E778" s="67" t="s">
        <v>3368</v>
      </c>
      <c r="F778" s="66">
        <v>5</v>
      </c>
      <c r="G778" s="66" t="s">
        <v>2774</v>
      </c>
      <c r="H778" s="68">
        <v>45224</v>
      </c>
      <c r="I778" s="68" t="s">
        <v>73</v>
      </c>
      <c r="J778" s="68" t="s">
        <v>31</v>
      </c>
      <c r="K778" s="66">
        <f>IFERROR(VLOOKUP(J778,Jueces!$A$1:$B$11,2,FALSE),"")</f>
        <v>2</v>
      </c>
      <c r="L778" s="66" t="s">
        <v>796</v>
      </c>
      <c r="M778" s="66" t="s">
        <v>3369</v>
      </c>
      <c r="N778" s="66" t="s">
        <v>3629</v>
      </c>
      <c r="O778" s="81" t="str">
        <f t="shared" ca="1" si="46"/>
        <v>SI</v>
      </c>
      <c r="P778" s="81" t="str">
        <f t="shared" si="48"/>
        <v>DIANOSOL</v>
      </c>
      <c r="Q778" s="66" t="s">
        <v>151</v>
      </c>
      <c r="R778" s="66" t="str">
        <f>VLOOKUP($Q778,Resultados!$A$1:$B$49,2,FALSE)</f>
        <v>Prisión Preventiva</v>
      </c>
      <c r="S778" s="66" t="s">
        <v>1009</v>
      </c>
      <c r="T778" s="84" t="str">
        <f t="shared" si="47"/>
        <v>NO</v>
      </c>
      <c r="U778" s="84"/>
      <c r="V778" s="81"/>
      <c r="W778" s="66" t="s">
        <v>1210</v>
      </c>
      <c r="X778" s="66" t="s">
        <v>3630</v>
      </c>
      <c r="Y778" s="66"/>
      <c r="Z778" s="121" t="s">
        <v>3482</v>
      </c>
      <c r="AA778" s="121" t="s">
        <v>2852</v>
      </c>
      <c r="AB778" s="121" t="s">
        <v>1175</v>
      </c>
      <c r="AC778" s="365"/>
    </row>
    <row r="779" spans="1:29" ht="39.950000000000003" customHeight="1" x14ac:dyDescent="0.2">
      <c r="A779" s="66">
        <v>807</v>
      </c>
      <c r="B779" s="68">
        <v>45210</v>
      </c>
      <c r="C779" s="73">
        <v>0.3840277777777778</v>
      </c>
      <c r="D779" s="66" t="s">
        <v>3388</v>
      </c>
      <c r="E779" s="67" t="s">
        <v>3389</v>
      </c>
      <c r="F779" s="66">
        <v>1</v>
      </c>
      <c r="G779" s="66" t="s">
        <v>3365</v>
      </c>
      <c r="H779" s="68">
        <v>45224</v>
      </c>
      <c r="I779" s="68" t="s">
        <v>73</v>
      </c>
      <c r="J779" s="68" t="s">
        <v>78</v>
      </c>
      <c r="K779" s="66">
        <f>IFERROR(VLOOKUP(J779,Jueces!$A$1:$B$11,2,FALSE),"")</f>
        <v>8</v>
      </c>
      <c r="L779" s="66" t="s">
        <v>829</v>
      </c>
      <c r="M779" s="66" t="s">
        <v>1179</v>
      </c>
      <c r="N779" s="66" t="s">
        <v>3634</v>
      </c>
      <c r="O779" s="81" t="str">
        <f t="shared" ca="1" si="46"/>
        <v>SI</v>
      </c>
      <c r="P779" s="81" t="str">
        <f t="shared" si="48"/>
        <v>DIANOSOL</v>
      </c>
      <c r="Q779" s="66" t="s">
        <v>911</v>
      </c>
      <c r="R779" s="66" t="str">
        <f>VLOOKUP($Q779,Resultados!$A$1:$B$49,2,FALSE)</f>
        <v>Suspendida</v>
      </c>
      <c r="S779" s="66" t="s">
        <v>3635</v>
      </c>
      <c r="T779" s="84" t="str">
        <f t="shared" si="47"/>
        <v>NO</v>
      </c>
      <c r="U779" s="84"/>
      <c r="V779" s="81"/>
      <c r="W779" s="66" t="s">
        <v>989</v>
      </c>
      <c r="X779" s="66" t="s">
        <v>2155</v>
      </c>
      <c r="Y779" s="66"/>
      <c r="Z779" s="121" t="s">
        <v>748</v>
      </c>
      <c r="AA779" s="121" t="s">
        <v>3427</v>
      </c>
      <c r="AB779" s="121" t="s">
        <v>3364</v>
      </c>
      <c r="AC779" s="365"/>
    </row>
    <row r="780" spans="1:29" ht="39.950000000000003" customHeight="1" x14ac:dyDescent="0.2">
      <c r="A780" s="66">
        <v>818</v>
      </c>
      <c r="B780" s="68">
        <v>45211</v>
      </c>
      <c r="C780" s="73">
        <v>0.54166666666666663</v>
      </c>
      <c r="D780" s="66" t="s">
        <v>3424</v>
      </c>
      <c r="E780" s="67" t="s">
        <v>3425</v>
      </c>
      <c r="F780" s="66">
        <v>1</v>
      </c>
      <c r="G780" s="66" t="s">
        <v>283</v>
      </c>
      <c r="H780" s="68">
        <v>45224</v>
      </c>
      <c r="I780" s="68" t="s">
        <v>1086</v>
      </c>
      <c r="J780" s="68" t="s">
        <v>1220</v>
      </c>
      <c r="K780" s="66">
        <f>IFERROR(VLOOKUP(J780,Jueces!$A$1:$B$11,2,FALSE),"")</f>
        <v>1</v>
      </c>
      <c r="L780" s="66" t="s">
        <v>811</v>
      </c>
      <c r="M780" s="66" t="s">
        <v>712</v>
      </c>
      <c r="N780" s="66" t="s">
        <v>3620</v>
      </c>
      <c r="O780" s="81" t="str">
        <f t="shared" ca="1" si="46"/>
        <v>SI</v>
      </c>
      <c r="P780" s="81" t="str">
        <f t="shared" si="48"/>
        <v>DIANOSOL</v>
      </c>
      <c r="Q780" s="66" t="s">
        <v>151</v>
      </c>
      <c r="R780" s="66" t="str">
        <f>VLOOKUP($Q780,Resultados!$A$1:$B$49,2,FALSE)</f>
        <v>Prisión Preventiva</v>
      </c>
      <c r="S780" s="66" t="s">
        <v>1006</v>
      </c>
      <c r="T780" s="84" t="str">
        <f t="shared" si="47"/>
        <v>NO</v>
      </c>
      <c r="U780" s="84"/>
      <c r="V780" s="81"/>
      <c r="W780" s="66" t="s">
        <v>1243</v>
      </c>
      <c r="X780" s="66" t="s">
        <v>3621</v>
      </c>
      <c r="Y780" s="66"/>
      <c r="Z780" s="121" t="s">
        <v>2867</v>
      </c>
      <c r="AA780" s="121" t="s">
        <v>3603</v>
      </c>
      <c r="AB780" s="121" t="s">
        <v>1174</v>
      </c>
      <c r="AC780" s="365"/>
    </row>
    <row r="781" spans="1:29" ht="39.950000000000003" customHeight="1" x14ac:dyDescent="0.2">
      <c r="A781" s="66">
        <v>775</v>
      </c>
      <c r="B781" s="68">
        <v>45208</v>
      </c>
      <c r="C781" s="66" t="s">
        <v>3270</v>
      </c>
      <c r="D781" s="66" t="s">
        <v>3271</v>
      </c>
      <c r="E781" s="67" t="s">
        <v>3338</v>
      </c>
      <c r="F781" s="66">
        <v>2</v>
      </c>
      <c r="G781" s="66" t="s">
        <v>2838</v>
      </c>
      <c r="H781" s="68">
        <v>45224</v>
      </c>
      <c r="I781" s="68" t="s">
        <v>547</v>
      </c>
      <c r="J781" s="68" t="s">
        <v>33</v>
      </c>
      <c r="K781" s="66" t="s">
        <v>3502</v>
      </c>
      <c r="L781" s="66" t="s">
        <v>192</v>
      </c>
      <c r="M781" s="66" t="s">
        <v>3444</v>
      </c>
      <c r="N781" s="66" t="s">
        <v>3632</v>
      </c>
      <c r="O781" s="81" t="str">
        <f t="shared" ca="1" si="46"/>
        <v>SI</v>
      </c>
      <c r="P781" s="81" t="str">
        <f t="shared" si="48"/>
        <v>DIANOSOL</v>
      </c>
      <c r="Q781" s="66" t="s">
        <v>151</v>
      </c>
      <c r="R781" s="66" t="str">
        <f>VLOOKUP($Q781,Resultados!$A$1:$B$49,2,FALSE)</f>
        <v>Prisión Preventiva</v>
      </c>
      <c r="S781" s="66" t="s">
        <v>1404</v>
      </c>
      <c r="T781" s="84" t="str">
        <f t="shared" si="47"/>
        <v>NO</v>
      </c>
      <c r="U781" s="84"/>
      <c r="V781" s="81"/>
      <c r="W781" s="66" t="s">
        <v>3633</v>
      </c>
      <c r="X781" s="66"/>
      <c r="Y781" s="66"/>
      <c r="Z781" s="121" t="s">
        <v>3613</v>
      </c>
      <c r="AA781" s="121" t="s">
        <v>1171</v>
      </c>
      <c r="AB781" s="121" t="s">
        <v>1173</v>
      </c>
      <c r="AC781" s="365"/>
    </row>
    <row r="782" spans="1:29" ht="39.950000000000003" customHeight="1" x14ac:dyDescent="0.2">
      <c r="A782" s="66">
        <v>785</v>
      </c>
      <c r="B782" s="68">
        <v>45209</v>
      </c>
      <c r="C782" s="66" t="s">
        <v>1274</v>
      </c>
      <c r="D782" s="66" t="s">
        <v>3310</v>
      </c>
      <c r="E782" s="67" t="s">
        <v>3399</v>
      </c>
      <c r="F782" s="66">
        <v>1</v>
      </c>
      <c r="G782" s="66" t="s">
        <v>283</v>
      </c>
      <c r="H782" s="68">
        <v>45225</v>
      </c>
      <c r="I782" s="68" t="s">
        <v>73</v>
      </c>
      <c r="J782" s="68" t="s">
        <v>2954</v>
      </c>
      <c r="K782" s="66" t="s">
        <v>1925</v>
      </c>
      <c r="L782" s="66" t="s">
        <v>811</v>
      </c>
      <c r="M782" s="66" t="s">
        <v>712</v>
      </c>
      <c r="N782" s="66" t="s">
        <v>3679</v>
      </c>
      <c r="O782" s="81" t="str">
        <f t="shared" ca="1" si="46"/>
        <v>SI</v>
      </c>
      <c r="P782" s="81" t="str">
        <f t="shared" si="48"/>
        <v>DIANOSOL</v>
      </c>
      <c r="Q782" s="66" t="s">
        <v>905</v>
      </c>
      <c r="R782" s="66" t="str">
        <f>VLOOKUP($Q782,Resultados!$A$1:$B$49,2,FALSE)</f>
        <v>Juicio Abreviado</v>
      </c>
      <c r="S782" s="66" t="s">
        <v>1138</v>
      </c>
      <c r="T782" s="84" t="str">
        <f t="shared" si="47"/>
        <v>NO</v>
      </c>
      <c r="U782" s="84"/>
      <c r="V782" s="81"/>
      <c r="W782" s="66" t="s">
        <v>1130</v>
      </c>
      <c r="X782" s="66" t="s">
        <v>2156</v>
      </c>
      <c r="Y782" s="66"/>
      <c r="Z782" s="121" t="s">
        <v>2867</v>
      </c>
      <c r="AA782" s="121" t="s">
        <v>3428</v>
      </c>
      <c r="AB782" s="121" t="s">
        <v>3300</v>
      </c>
      <c r="AC782" s="365"/>
    </row>
    <row r="783" spans="1:29" ht="39.950000000000003" customHeight="1" x14ac:dyDescent="0.2">
      <c r="A783" s="66">
        <v>793</v>
      </c>
      <c r="B783" s="68">
        <v>45209</v>
      </c>
      <c r="C783" s="73">
        <v>0.38819444444444445</v>
      </c>
      <c r="D783" s="66" t="s">
        <v>3324</v>
      </c>
      <c r="E783" s="67" t="s">
        <v>3325</v>
      </c>
      <c r="F783" s="66">
        <v>1</v>
      </c>
      <c r="G783" s="66" t="s">
        <v>1443</v>
      </c>
      <c r="H783" s="68">
        <v>45225</v>
      </c>
      <c r="I783" s="68" t="s">
        <v>73</v>
      </c>
      <c r="J783" s="68" t="s">
        <v>78</v>
      </c>
      <c r="K783" s="66">
        <f>IFERROR(VLOOKUP(J783,Jueces!$A$1:$B$11,2,FALSE),"")</f>
        <v>8</v>
      </c>
      <c r="L783" s="66" t="s">
        <v>801</v>
      </c>
      <c r="M783" s="66" t="s">
        <v>692</v>
      </c>
      <c r="N783" s="66" t="s">
        <v>3097</v>
      </c>
      <c r="O783" s="81" t="str">
        <f t="shared" ca="1" si="46"/>
        <v>SI</v>
      </c>
      <c r="P783" s="81" t="str">
        <f t="shared" si="48"/>
        <v>DIANOSOL</v>
      </c>
      <c r="Q783" s="66" t="s">
        <v>904</v>
      </c>
      <c r="R783" s="66" t="s">
        <v>100</v>
      </c>
      <c r="S783" s="66" t="s">
        <v>1129</v>
      </c>
      <c r="T783" s="84" t="str">
        <f t="shared" si="47"/>
        <v>NO</v>
      </c>
      <c r="U783" s="84"/>
      <c r="V783" s="81"/>
      <c r="W783" s="66" t="s">
        <v>1006</v>
      </c>
      <c r="X783" s="66" t="s">
        <v>2571</v>
      </c>
      <c r="Y783" s="66"/>
      <c r="Z783" s="121" t="s">
        <v>748</v>
      </c>
      <c r="AA783" s="121" t="s">
        <v>1171</v>
      </c>
      <c r="AB783" s="121" t="s">
        <v>1175</v>
      </c>
      <c r="AC783" s="365"/>
    </row>
    <row r="784" spans="1:29" ht="39.950000000000003" customHeight="1" x14ac:dyDescent="0.2">
      <c r="A784" s="66">
        <v>814</v>
      </c>
      <c r="B784" s="68"/>
      <c r="C784" s="66"/>
      <c r="D784" s="362" t="s">
        <v>2928</v>
      </c>
      <c r="E784" s="67" t="s">
        <v>2880</v>
      </c>
      <c r="F784" s="66">
        <v>1</v>
      </c>
      <c r="G784" s="66" t="s">
        <v>1441</v>
      </c>
      <c r="H784" s="68">
        <v>45225</v>
      </c>
      <c r="I784" s="68" t="s">
        <v>749</v>
      </c>
      <c r="J784" s="68" t="s">
        <v>1225</v>
      </c>
      <c r="K784" s="66">
        <f>IFERROR(VLOOKUP(J784,Jueces!$A$1:$B$11,2,FALSE),"")</f>
        <v>6</v>
      </c>
      <c r="L784" s="66" t="s">
        <v>569</v>
      </c>
      <c r="M784" s="66" t="s">
        <v>1087</v>
      </c>
      <c r="N784" s="371" t="s">
        <v>2569</v>
      </c>
      <c r="O784" s="81" t="str">
        <f t="shared" ca="1" si="46"/>
        <v>SI</v>
      </c>
      <c r="P784" s="81" t="str">
        <f t="shared" si="48"/>
        <v>DIANOSOL</v>
      </c>
      <c r="Q784" s="66" t="s">
        <v>899</v>
      </c>
      <c r="R784" s="66" t="str">
        <f>VLOOKUP($Q784,Resultados!$A$1:$B$49,2,FALSE)</f>
        <v>Libertad</v>
      </c>
      <c r="S784" s="66" t="s">
        <v>2812</v>
      </c>
      <c r="T784" s="84" t="str">
        <f t="shared" si="47"/>
        <v>NO</v>
      </c>
      <c r="U784" s="84"/>
      <c r="V784" s="81"/>
      <c r="W784" s="66" t="s">
        <v>1123</v>
      </c>
      <c r="X784" s="66"/>
      <c r="Y784" s="66"/>
      <c r="Z784" s="121" t="s">
        <v>770</v>
      </c>
      <c r="AA784" s="121"/>
      <c r="AB784" s="121" t="s">
        <v>3364</v>
      </c>
      <c r="AC784" s="365" t="s">
        <v>1801</v>
      </c>
    </row>
    <row r="785" spans="1:29" ht="39.950000000000003" customHeight="1" x14ac:dyDescent="0.2">
      <c r="A785" s="66">
        <v>788</v>
      </c>
      <c r="B785" s="68">
        <v>45209</v>
      </c>
      <c r="C785" s="73">
        <v>0.52361111111111114</v>
      </c>
      <c r="D785" s="66" t="s">
        <v>3318</v>
      </c>
      <c r="E785" s="67" t="s">
        <v>3344</v>
      </c>
      <c r="F785" s="66">
        <v>2</v>
      </c>
      <c r="G785" s="66" t="s">
        <v>3365</v>
      </c>
      <c r="H785" s="68">
        <v>45225</v>
      </c>
      <c r="I785" s="68" t="s">
        <v>1086</v>
      </c>
      <c r="J785" s="68" t="s">
        <v>33</v>
      </c>
      <c r="K785" s="66">
        <f>IFERROR(VLOOKUP(J785,Jueces!$A$1:$B$11,2,FALSE),"")</f>
        <v>4</v>
      </c>
      <c r="L785" s="66" t="s">
        <v>811</v>
      </c>
      <c r="M785" s="66" t="s">
        <v>692</v>
      </c>
      <c r="N785" s="66" t="s">
        <v>3681</v>
      </c>
      <c r="O785" s="81" t="str">
        <f t="shared" ca="1" si="46"/>
        <v>SI</v>
      </c>
      <c r="P785" s="81" t="str">
        <f t="shared" si="48"/>
        <v>DIANOSOL</v>
      </c>
      <c r="Q785" s="66" t="s">
        <v>904</v>
      </c>
      <c r="R785" s="66" t="str">
        <f>VLOOKUP($Q785,Resultados!$A$1:$B$49,2,FALSE)</f>
        <v>Juicio Abreviado</v>
      </c>
      <c r="S785" s="66" t="s">
        <v>1230</v>
      </c>
      <c r="T785" s="84" t="str">
        <f t="shared" si="47"/>
        <v>NO</v>
      </c>
      <c r="U785" s="84"/>
      <c r="V785" s="81"/>
      <c r="W785" s="66" t="s">
        <v>1465</v>
      </c>
      <c r="X785" s="66" t="s">
        <v>3196</v>
      </c>
      <c r="Y785" s="66"/>
      <c r="Z785" s="121" t="s">
        <v>3415</v>
      </c>
      <c r="AA785" s="121" t="s">
        <v>2895</v>
      </c>
      <c r="AB785" s="121" t="s">
        <v>1174</v>
      </c>
      <c r="AC785" s="365"/>
    </row>
    <row r="786" spans="1:29" ht="39.950000000000003" customHeight="1" x14ac:dyDescent="0.2">
      <c r="A786" s="66">
        <v>820</v>
      </c>
      <c r="B786" s="68">
        <v>45216</v>
      </c>
      <c r="C786" s="73">
        <v>0.50972222222222219</v>
      </c>
      <c r="D786" s="362" t="s">
        <v>3432</v>
      </c>
      <c r="E786" s="67" t="s">
        <v>3433</v>
      </c>
      <c r="F786" s="66">
        <v>5</v>
      </c>
      <c r="G786" s="66" t="s">
        <v>2774</v>
      </c>
      <c r="H786" s="68">
        <v>45225</v>
      </c>
      <c r="I786" s="68" t="s">
        <v>1086</v>
      </c>
      <c r="J786" s="68" t="s">
        <v>78</v>
      </c>
      <c r="K786" s="66">
        <f>IFERROR(VLOOKUP(J786,Jueces!$A$1:$B$11,2,FALSE),"")</f>
        <v>8</v>
      </c>
      <c r="L786" s="66" t="s">
        <v>582</v>
      </c>
      <c r="M786" s="66" t="s">
        <v>3434</v>
      </c>
      <c r="N786" s="66" t="s">
        <v>3680</v>
      </c>
      <c r="O786" s="81" t="str">
        <f t="shared" ca="1" si="46"/>
        <v>SI</v>
      </c>
      <c r="P786" s="81" t="str">
        <f t="shared" si="48"/>
        <v>DIANOSOL</v>
      </c>
      <c r="Q786" s="66" t="s">
        <v>905</v>
      </c>
      <c r="R786" s="66" t="str">
        <f>VLOOKUP($Q786,Resultados!$A$1:$B$49,2,FALSE)</f>
        <v>Juicio Abreviado</v>
      </c>
      <c r="S786" s="66" t="s">
        <v>1189</v>
      </c>
      <c r="T786" s="84" t="str">
        <f t="shared" si="47"/>
        <v>NO</v>
      </c>
      <c r="U786" s="84"/>
      <c r="V786" s="81"/>
      <c r="W786" s="66" t="s">
        <v>1564</v>
      </c>
      <c r="X786" s="66" t="s">
        <v>3196</v>
      </c>
      <c r="Y786" s="66"/>
      <c r="Z786" s="121" t="s">
        <v>748</v>
      </c>
      <c r="AA786" s="121"/>
      <c r="AB786" s="121" t="s">
        <v>1173</v>
      </c>
      <c r="AC786" s="365" t="s">
        <v>1801</v>
      </c>
    </row>
    <row r="787" spans="1:29" ht="39.950000000000003" customHeight="1" x14ac:dyDescent="0.2">
      <c r="A787" s="66">
        <v>800</v>
      </c>
      <c r="B787" s="68">
        <v>45210</v>
      </c>
      <c r="C787" s="73">
        <v>0.51597222222222217</v>
      </c>
      <c r="D787" s="362" t="s">
        <v>3373</v>
      </c>
      <c r="E787" s="67" t="s">
        <v>3382</v>
      </c>
      <c r="F787" s="66">
        <v>1</v>
      </c>
      <c r="G787" s="66" t="s">
        <v>1442</v>
      </c>
      <c r="H787" s="68">
        <v>45225</v>
      </c>
      <c r="I787" s="68" t="s">
        <v>228</v>
      </c>
      <c r="J787" s="68" t="s">
        <v>31</v>
      </c>
      <c r="K787" s="66">
        <f>IFERROR(VLOOKUP(J787,Jueces!$A$1:$B$11,2,FALSE),"")</f>
        <v>2</v>
      </c>
      <c r="L787" s="66" t="s">
        <v>582</v>
      </c>
      <c r="M787" s="66" t="s">
        <v>783</v>
      </c>
      <c r="N787" s="66" t="s">
        <v>3682</v>
      </c>
      <c r="O787" s="81" t="str">
        <f t="shared" ca="1" si="46"/>
        <v>SI</v>
      </c>
      <c r="P787" s="81" t="str">
        <f t="shared" si="48"/>
        <v>DIANOSOL</v>
      </c>
      <c r="Q787" s="66" t="s">
        <v>904</v>
      </c>
      <c r="R787" s="66" t="str">
        <f>VLOOKUP($Q787,Resultados!$A$1:$B$49,2,FALSE)</f>
        <v>Juicio Abreviado</v>
      </c>
      <c r="S787" s="66" t="s">
        <v>2761</v>
      </c>
      <c r="T787" s="84" t="str">
        <f t="shared" si="47"/>
        <v>SI</v>
      </c>
      <c r="U787" s="84"/>
      <c r="V787" s="81"/>
      <c r="W787" s="66" t="s">
        <v>3683</v>
      </c>
      <c r="X787" s="66" t="s">
        <v>3258</v>
      </c>
      <c r="Y787" s="66"/>
      <c r="Z787" s="121" t="s">
        <v>2867</v>
      </c>
      <c r="AA787" s="121"/>
      <c r="AB787" s="121" t="s">
        <v>3300</v>
      </c>
      <c r="AC787" s="365" t="s">
        <v>1801</v>
      </c>
    </row>
    <row r="788" spans="1:29" ht="39.950000000000003" customHeight="1" x14ac:dyDescent="0.2">
      <c r="A788" s="66">
        <v>803</v>
      </c>
      <c r="B788" s="68">
        <v>45209</v>
      </c>
      <c r="C788" s="73">
        <v>0.4458333333333333</v>
      </c>
      <c r="D788" s="66" t="s">
        <v>3380</v>
      </c>
      <c r="E788" s="67" t="s">
        <v>3381</v>
      </c>
      <c r="F788" s="66">
        <v>1</v>
      </c>
      <c r="G788" s="66" t="s">
        <v>1443</v>
      </c>
      <c r="H788" s="68">
        <v>45226</v>
      </c>
      <c r="I788" s="68" t="s">
        <v>73</v>
      </c>
      <c r="J788" s="68" t="s">
        <v>2951</v>
      </c>
      <c r="K788" s="66" t="s">
        <v>1925</v>
      </c>
      <c r="L788" s="66" t="s">
        <v>793</v>
      </c>
      <c r="M788" s="66" t="s">
        <v>692</v>
      </c>
      <c r="N788" s="66" t="s">
        <v>3711</v>
      </c>
      <c r="O788" s="66" t="str">
        <f t="shared" ca="1" si="46"/>
        <v>SI</v>
      </c>
      <c r="P788" s="66" t="str">
        <f t="shared" si="48"/>
        <v>DIANOSOL</v>
      </c>
      <c r="Q788" s="66" t="s">
        <v>904</v>
      </c>
      <c r="R788" s="66" t="str">
        <f>VLOOKUP($Q788,Resultados!$A$1:$B$49,2,FALSE)</f>
        <v>Juicio Abreviado</v>
      </c>
      <c r="S788" s="66" t="s">
        <v>1612</v>
      </c>
      <c r="T788" s="75" t="str">
        <f t="shared" si="47"/>
        <v>NO</v>
      </c>
      <c r="U788" s="75"/>
      <c r="V788" s="66"/>
      <c r="W788" s="66" t="s">
        <v>2060</v>
      </c>
      <c r="X788" s="66" t="s">
        <v>2571</v>
      </c>
      <c r="Y788" s="66"/>
      <c r="Z788" s="121" t="s">
        <v>2867</v>
      </c>
      <c r="AA788" s="121" t="s">
        <v>1171</v>
      </c>
      <c r="AB788" s="121" t="s">
        <v>1175</v>
      </c>
      <c r="AC788" s="365"/>
    </row>
    <row r="789" spans="1:29" ht="39.950000000000003" customHeight="1" x14ac:dyDescent="0.2">
      <c r="A789" s="66">
        <v>799</v>
      </c>
      <c r="B789" s="68">
        <v>45210</v>
      </c>
      <c r="C789" s="73">
        <v>0.51874999999999993</v>
      </c>
      <c r="D789" s="66" t="s">
        <v>3372</v>
      </c>
      <c r="E789" s="67" t="s">
        <v>3374</v>
      </c>
      <c r="F789" s="66">
        <v>1</v>
      </c>
      <c r="G789" s="66" t="s">
        <v>1441</v>
      </c>
      <c r="H789" s="68">
        <v>45226</v>
      </c>
      <c r="I789" s="68" t="s">
        <v>749</v>
      </c>
      <c r="J789" s="68" t="s">
        <v>2954</v>
      </c>
      <c r="K789" s="66" t="s">
        <v>2394</v>
      </c>
      <c r="L789" s="66" t="s">
        <v>582</v>
      </c>
      <c r="M789" s="66" t="s">
        <v>783</v>
      </c>
      <c r="N789" s="210" t="s">
        <v>3710</v>
      </c>
      <c r="O789" s="66" t="str">
        <f t="shared" ca="1" si="46"/>
        <v>SI</v>
      </c>
      <c r="P789" s="66" t="str">
        <f t="shared" si="48"/>
        <v>DIANOSOL</v>
      </c>
      <c r="Q789" s="66" t="s">
        <v>904</v>
      </c>
      <c r="R789" s="66" t="str">
        <f>VLOOKUP($Q789,Resultados!$A$1:$B$49,2,FALSE)</f>
        <v>Juicio Abreviado</v>
      </c>
      <c r="S789" s="66" t="s">
        <v>1584</v>
      </c>
      <c r="T789" s="75" t="str">
        <f t="shared" ref="T789:T820" si="49">IF(G789=$J$1,"SI","NO")</f>
        <v>NO</v>
      </c>
      <c r="U789" s="75"/>
      <c r="V789" s="66"/>
      <c r="W789" s="66" t="s">
        <v>3134</v>
      </c>
      <c r="X789" s="66"/>
      <c r="Y789" s="66"/>
      <c r="Z789" s="121" t="s">
        <v>748</v>
      </c>
      <c r="AA789" s="121"/>
      <c r="AB789" s="121" t="s">
        <v>3364</v>
      </c>
      <c r="AC789" s="365"/>
    </row>
    <row r="790" spans="1:29" ht="39.950000000000003" customHeight="1" x14ac:dyDescent="0.2">
      <c r="A790" s="66">
        <v>791</v>
      </c>
      <c r="B790" s="68">
        <v>45209</v>
      </c>
      <c r="C790" s="73">
        <v>0.44861111111111113</v>
      </c>
      <c r="D790" s="66" t="s">
        <v>3321</v>
      </c>
      <c r="E790" s="67" t="s">
        <v>1196</v>
      </c>
      <c r="F790" s="66">
        <v>2</v>
      </c>
      <c r="G790" s="66" t="s">
        <v>3365</v>
      </c>
      <c r="H790" s="68">
        <v>45226</v>
      </c>
      <c r="I790" s="68" t="s">
        <v>1086</v>
      </c>
      <c r="J790" s="68" t="s">
        <v>78</v>
      </c>
      <c r="K790" s="66">
        <v>8</v>
      </c>
      <c r="L790" s="66" t="s">
        <v>801</v>
      </c>
      <c r="M790" s="66" t="s">
        <v>692</v>
      </c>
      <c r="N790" s="66" t="s">
        <v>3716</v>
      </c>
      <c r="O790" s="66" t="str">
        <f t="shared" ca="1" si="46"/>
        <v>SI</v>
      </c>
      <c r="P790" s="66" t="str">
        <f t="shared" si="48"/>
        <v>DIANOSOL</v>
      </c>
      <c r="Q790" s="66" t="s">
        <v>904</v>
      </c>
      <c r="R790" s="66" t="str">
        <f>VLOOKUP($Q790,Resultados!$A$1:$B$49,2,FALSE)</f>
        <v>Juicio Abreviado</v>
      </c>
      <c r="S790" s="66" t="s">
        <v>1009</v>
      </c>
      <c r="T790" s="75" t="str">
        <f t="shared" si="49"/>
        <v>NO</v>
      </c>
      <c r="U790" s="75"/>
      <c r="V790" s="66"/>
      <c r="W790" s="66" t="s">
        <v>1570</v>
      </c>
      <c r="X790" s="66" t="s">
        <v>2571</v>
      </c>
      <c r="Y790" s="66"/>
      <c r="Z790" s="121" t="s">
        <v>770</v>
      </c>
      <c r="AA790" s="121" t="s">
        <v>2895</v>
      </c>
      <c r="AB790" s="121" t="s">
        <v>1177</v>
      </c>
      <c r="AC790" s="365"/>
    </row>
    <row r="791" spans="1:29" ht="39.950000000000003" customHeight="1" x14ac:dyDescent="0.2">
      <c r="A791" s="66">
        <v>795</v>
      </c>
      <c r="B791" s="68">
        <v>45210</v>
      </c>
      <c r="C791" s="73">
        <v>0.36249999999999999</v>
      </c>
      <c r="D791" s="66" t="s">
        <v>3332</v>
      </c>
      <c r="E791" s="67" t="s">
        <v>3333</v>
      </c>
      <c r="F791" s="66">
        <v>1</v>
      </c>
      <c r="G791" s="66" t="s">
        <v>283</v>
      </c>
      <c r="H791" s="68">
        <v>45226</v>
      </c>
      <c r="I791" s="68" t="s">
        <v>1086</v>
      </c>
      <c r="J791" s="68" t="s">
        <v>1221</v>
      </c>
      <c r="K791" s="66" t="s">
        <v>1925</v>
      </c>
      <c r="L791" s="66" t="s">
        <v>508</v>
      </c>
      <c r="M791" s="66" t="s">
        <v>711</v>
      </c>
      <c r="N791" s="66" t="s">
        <v>3402</v>
      </c>
      <c r="O791" s="66" t="str">
        <f t="shared" ca="1" si="46"/>
        <v>SI</v>
      </c>
      <c r="P791" s="66" t="str">
        <f t="shared" si="48"/>
        <v>DIANOSOL</v>
      </c>
      <c r="Q791" s="66" t="s">
        <v>905</v>
      </c>
      <c r="R791" s="66" t="str">
        <f>VLOOKUP($Q791,Resultados!$A$1:$B$49,2,FALSE)</f>
        <v>Juicio Abreviado</v>
      </c>
      <c r="S791" s="66" t="s">
        <v>2684</v>
      </c>
      <c r="T791" s="75" t="str">
        <f t="shared" si="49"/>
        <v>NO</v>
      </c>
      <c r="U791" s="75"/>
      <c r="V791" s="66"/>
      <c r="W791" s="66" t="s">
        <v>3717</v>
      </c>
      <c r="X791" s="66" t="s">
        <v>3196</v>
      </c>
      <c r="Y791" s="66"/>
      <c r="Z791" s="121" t="s">
        <v>2867</v>
      </c>
      <c r="AA791" s="121" t="s">
        <v>2852</v>
      </c>
      <c r="AB791" s="121" t="s">
        <v>1174</v>
      </c>
      <c r="AC791" s="365"/>
    </row>
    <row r="792" spans="1:29" ht="39.950000000000003" customHeight="1" x14ac:dyDescent="0.2">
      <c r="A792" s="66">
        <v>806</v>
      </c>
      <c r="B792" s="68">
        <v>45210</v>
      </c>
      <c r="C792" s="73">
        <v>0.38819444444444445</v>
      </c>
      <c r="D792" s="66" t="s">
        <v>3386</v>
      </c>
      <c r="E792" s="67" t="s">
        <v>3387</v>
      </c>
      <c r="F792" s="66">
        <v>1</v>
      </c>
      <c r="G792" s="66" t="s">
        <v>568</v>
      </c>
      <c r="H792" s="68">
        <v>45226</v>
      </c>
      <c r="I792" s="68" t="s">
        <v>1086</v>
      </c>
      <c r="J792" s="68" t="s">
        <v>31</v>
      </c>
      <c r="K792" s="66">
        <f>IFERROR(VLOOKUP(J792,Jueces!$A$1:$B$11,2,FALSE),"")</f>
        <v>2</v>
      </c>
      <c r="L792" s="66" t="s">
        <v>582</v>
      </c>
      <c r="M792" s="66" t="s">
        <v>712</v>
      </c>
      <c r="N792" s="104" t="s">
        <v>3712</v>
      </c>
      <c r="O792" s="66" t="str">
        <f t="shared" ca="1" si="46"/>
        <v>SI</v>
      </c>
      <c r="P792" s="66" t="str">
        <f t="shared" si="48"/>
        <v>DIANOSOL</v>
      </c>
      <c r="Q792" s="66" t="s">
        <v>904</v>
      </c>
      <c r="R792" s="66" t="str">
        <f>VLOOKUP($Q792,Resultados!$A$1:$B$49,2,FALSE)</f>
        <v>Juicio Abreviado</v>
      </c>
      <c r="S792" s="66" t="s">
        <v>2964</v>
      </c>
      <c r="T792" s="75" t="str">
        <f t="shared" si="49"/>
        <v>NO</v>
      </c>
      <c r="U792" s="75"/>
      <c r="V792" s="66"/>
      <c r="W792" s="66" t="s">
        <v>75</v>
      </c>
      <c r="X792" s="66" t="s">
        <v>3713</v>
      </c>
      <c r="Y792" s="66"/>
      <c r="Z792" s="121" t="s">
        <v>748</v>
      </c>
      <c r="AA792" s="121"/>
      <c r="AB792" s="121" t="s">
        <v>1173</v>
      </c>
      <c r="AC792" s="365"/>
    </row>
    <row r="793" spans="1:29" ht="39.950000000000003" customHeight="1" x14ac:dyDescent="0.2">
      <c r="A793" s="66">
        <v>811</v>
      </c>
      <c r="B793" s="68">
        <v>45211</v>
      </c>
      <c r="C793" s="66" t="s">
        <v>1235</v>
      </c>
      <c r="D793" s="66" t="s">
        <v>3397</v>
      </c>
      <c r="E793" s="67" t="s">
        <v>3400</v>
      </c>
      <c r="F793" s="66">
        <v>1</v>
      </c>
      <c r="G793" s="66" t="s">
        <v>1442</v>
      </c>
      <c r="H793" s="68">
        <v>45226</v>
      </c>
      <c r="I793" s="68" t="s">
        <v>1210</v>
      </c>
      <c r="J793" s="68" t="s">
        <v>33</v>
      </c>
      <c r="K793" s="66">
        <f>IFERROR(VLOOKUP(J793,Jueces!$A$1:$B$11,2,FALSE),"")</f>
        <v>4</v>
      </c>
      <c r="L793" s="66" t="s">
        <v>812</v>
      </c>
      <c r="M793" s="66" t="s">
        <v>1179</v>
      </c>
      <c r="N793" s="66" t="s">
        <v>577</v>
      </c>
      <c r="O793" s="66" t="str">
        <f t="shared" ca="1" si="46"/>
        <v>SI</v>
      </c>
      <c r="P793" s="66" t="str">
        <f t="shared" si="48"/>
        <v>DIANOSOL</v>
      </c>
      <c r="Q793" s="66" t="s">
        <v>151</v>
      </c>
      <c r="R793" s="66" t="str">
        <f>VLOOKUP($Q793,Resultados!$A$1:$B$49,2,FALSE)</f>
        <v>Prisión Preventiva</v>
      </c>
      <c r="S793" s="66" t="s">
        <v>1337</v>
      </c>
      <c r="T793" s="75" t="str">
        <f t="shared" si="49"/>
        <v>SI</v>
      </c>
      <c r="U793" s="75"/>
      <c r="V793" s="66"/>
      <c r="W793" s="66" t="s">
        <v>2685</v>
      </c>
      <c r="X793" s="66" t="s">
        <v>2571</v>
      </c>
      <c r="Y793" s="66"/>
      <c r="Z793" s="121" t="s">
        <v>3415</v>
      </c>
      <c r="AA793" s="121" t="s">
        <v>3427</v>
      </c>
      <c r="AB793" s="121" t="s">
        <v>3300</v>
      </c>
      <c r="AC793" s="365"/>
    </row>
    <row r="794" spans="1:29" ht="39.950000000000003" customHeight="1" x14ac:dyDescent="0.2">
      <c r="A794" s="66">
        <v>869</v>
      </c>
      <c r="B794" s="68">
        <v>45222</v>
      </c>
      <c r="C794" s="73">
        <v>0.50555555555555554</v>
      </c>
      <c r="D794" s="66" t="s">
        <v>3592</v>
      </c>
      <c r="E794" s="67" t="s">
        <v>3594</v>
      </c>
      <c r="F794" s="66">
        <v>2</v>
      </c>
      <c r="G794" s="66" t="s">
        <v>2774</v>
      </c>
      <c r="H794" s="68">
        <v>45226</v>
      </c>
      <c r="I794" s="68" t="s">
        <v>75</v>
      </c>
      <c r="J794" s="68" t="s">
        <v>31</v>
      </c>
      <c r="K794" s="66">
        <f>IFERROR(VLOOKUP(J794,Jueces!$A$1:$B$11,2,FALSE),"")</f>
        <v>2</v>
      </c>
      <c r="L794" s="66" t="s">
        <v>813</v>
      </c>
      <c r="M794" s="66" t="s">
        <v>692</v>
      </c>
      <c r="N794" s="66" t="s">
        <v>3719</v>
      </c>
      <c r="O794" s="66" t="str">
        <f t="shared" ca="1" si="46"/>
        <v>SI</v>
      </c>
      <c r="P794" s="66" t="str">
        <f t="shared" si="48"/>
        <v>DIANOSOL</v>
      </c>
      <c r="Q794" s="66" t="s">
        <v>909</v>
      </c>
      <c r="R794" s="66" t="s">
        <v>909</v>
      </c>
      <c r="S794" s="66" t="s">
        <v>3718</v>
      </c>
      <c r="T794" s="75" t="str">
        <f t="shared" si="49"/>
        <v>NO</v>
      </c>
      <c r="U794" s="75"/>
      <c r="V794" s="66"/>
      <c r="W794" s="66" t="s">
        <v>2346</v>
      </c>
      <c r="X794" s="66" t="s">
        <v>2571</v>
      </c>
      <c r="Y794" s="66"/>
      <c r="Z794" s="121" t="s">
        <v>770</v>
      </c>
      <c r="AA794" s="121" t="s">
        <v>1171</v>
      </c>
      <c r="AB794" s="121" t="s">
        <v>1175</v>
      </c>
      <c r="AC794" s="365"/>
    </row>
    <row r="795" spans="1:29" ht="39.950000000000003" customHeight="1" x14ac:dyDescent="0.2">
      <c r="A795" s="66">
        <v>817</v>
      </c>
      <c r="B795" s="68">
        <v>45211</v>
      </c>
      <c r="C795" s="73">
        <v>0.55069444444444449</v>
      </c>
      <c r="D795" s="66" t="s">
        <v>3422</v>
      </c>
      <c r="E795" s="67" t="s">
        <v>3423</v>
      </c>
      <c r="F795" s="66">
        <v>1</v>
      </c>
      <c r="G795" s="66" t="s">
        <v>3366</v>
      </c>
      <c r="H795" s="68">
        <v>45226</v>
      </c>
      <c r="I795" s="68" t="s">
        <v>547</v>
      </c>
      <c r="J795" s="68" t="s">
        <v>1220</v>
      </c>
      <c r="K795" s="66" t="s">
        <v>1925</v>
      </c>
      <c r="L795" s="66" t="s">
        <v>812</v>
      </c>
      <c r="M795" s="66" t="s">
        <v>712</v>
      </c>
      <c r="N795" s="66" t="s">
        <v>3714</v>
      </c>
      <c r="O795" s="66" t="str">
        <f t="shared" ca="1" si="46"/>
        <v>SI</v>
      </c>
      <c r="P795" s="66" t="str">
        <f t="shared" si="48"/>
        <v>DIANOSOL</v>
      </c>
      <c r="Q795" s="66" t="s">
        <v>151</v>
      </c>
      <c r="R795" s="66" t="str">
        <f>VLOOKUP($Q795,Resultados!$A$1:$B$49,2,FALSE)</f>
        <v>Prisión Preventiva</v>
      </c>
      <c r="S795" s="66" t="s">
        <v>1805</v>
      </c>
      <c r="T795" s="75" t="str">
        <f t="shared" si="49"/>
        <v>NO</v>
      </c>
      <c r="U795" s="75"/>
      <c r="V795" s="66"/>
      <c r="W795" s="66" t="s">
        <v>3715</v>
      </c>
      <c r="X795" s="66" t="s">
        <v>2571</v>
      </c>
      <c r="Y795" s="66"/>
      <c r="Z795" s="121" t="s">
        <v>2867</v>
      </c>
      <c r="AA795" s="121" t="s">
        <v>3428</v>
      </c>
      <c r="AB795" s="121" t="s">
        <v>3364</v>
      </c>
      <c r="AC795" s="365"/>
    </row>
    <row r="796" spans="1:29" ht="39.950000000000003" customHeight="1" x14ac:dyDescent="0.2">
      <c r="A796" s="81">
        <v>790</v>
      </c>
      <c r="B796" s="83">
        <v>45209</v>
      </c>
      <c r="C796" s="323">
        <v>0.52361111111111114</v>
      </c>
      <c r="D796" s="81" t="s">
        <v>3345</v>
      </c>
      <c r="E796" s="82" t="s">
        <v>3320</v>
      </c>
      <c r="F796" s="81">
        <v>2</v>
      </c>
      <c r="G796" s="81" t="s">
        <v>3365</v>
      </c>
      <c r="H796" s="83">
        <v>45229</v>
      </c>
      <c r="I796" s="83" t="s">
        <v>73</v>
      </c>
      <c r="J796" s="83" t="s">
        <v>78</v>
      </c>
      <c r="K796" s="81">
        <f>IFERROR(VLOOKUP(J796,Jueces!$A$1:$B$11,2,FALSE),"")</f>
        <v>8</v>
      </c>
      <c r="L796" s="81" t="s">
        <v>810</v>
      </c>
      <c r="M796" s="81" t="s">
        <v>693</v>
      </c>
      <c r="N796" s="81"/>
      <c r="O796" s="81" t="str">
        <f t="shared" ca="1" si="46"/>
        <v>NO</v>
      </c>
      <c r="P796" s="81" t="str">
        <f t="shared" si="48"/>
        <v>DIASOL</v>
      </c>
      <c r="Q796" s="81" t="s">
        <v>951</v>
      </c>
      <c r="R796" s="81" t="str">
        <f>VLOOKUP($Q796,Resultados!$A$1:$B$49,2,FALSE)</f>
        <v xml:space="preserve"> _</v>
      </c>
      <c r="S796" s="81"/>
      <c r="T796" s="84" t="str">
        <f t="shared" si="49"/>
        <v>NO</v>
      </c>
      <c r="U796" s="84"/>
      <c r="V796" s="81"/>
      <c r="W796" s="81"/>
      <c r="X796" s="81"/>
      <c r="Y796" s="81"/>
      <c r="Z796" s="81"/>
      <c r="AA796" s="321" t="s">
        <v>3428</v>
      </c>
      <c r="AB796" s="81"/>
      <c r="AC796" s="361"/>
    </row>
    <row r="797" spans="1:29" ht="39.950000000000003" customHeight="1" x14ac:dyDescent="0.2">
      <c r="A797" s="81">
        <v>801</v>
      </c>
      <c r="B797" s="83">
        <v>45210</v>
      </c>
      <c r="C797" s="323">
        <v>0.49652777777777773</v>
      </c>
      <c r="D797" s="362" t="s">
        <v>3375</v>
      </c>
      <c r="E797" s="82" t="s">
        <v>3376</v>
      </c>
      <c r="F797" s="81">
        <v>4</v>
      </c>
      <c r="G797" s="81" t="s">
        <v>283</v>
      </c>
      <c r="H797" s="83">
        <v>45229</v>
      </c>
      <c r="I797" s="83" t="s">
        <v>73</v>
      </c>
      <c r="J797" s="83" t="s">
        <v>2954</v>
      </c>
      <c r="K797" s="81" t="s">
        <v>1925</v>
      </c>
      <c r="L797" s="81" t="s">
        <v>812</v>
      </c>
      <c r="M797" s="81" t="s">
        <v>1965</v>
      </c>
      <c r="N797" s="81" t="s">
        <v>3595</v>
      </c>
      <c r="O797" s="81" t="str">
        <f t="shared" ca="1" si="46"/>
        <v>NO</v>
      </c>
      <c r="P797" s="81" t="str">
        <f t="shared" si="48"/>
        <v>DIASOL</v>
      </c>
      <c r="Q797" s="81" t="s">
        <v>951</v>
      </c>
      <c r="R797" s="81" t="str">
        <f>VLOOKUP($Q797,Resultados!$A$1:$B$49,2,FALSE)</f>
        <v xml:space="preserve"> _</v>
      </c>
      <c r="S797" s="81"/>
      <c r="T797" s="84" t="str">
        <f t="shared" si="49"/>
        <v>NO</v>
      </c>
      <c r="U797" s="84"/>
      <c r="V797" s="81"/>
      <c r="W797" s="81"/>
      <c r="X797" s="81"/>
      <c r="Y797" s="81"/>
      <c r="Z797" s="81"/>
      <c r="AA797" s="321" t="s">
        <v>1171</v>
      </c>
      <c r="AB797" s="81"/>
      <c r="AC797" s="361" t="s">
        <v>1801</v>
      </c>
    </row>
    <row r="798" spans="1:29" ht="39.950000000000003" customHeight="1" x14ac:dyDescent="0.2">
      <c r="A798" s="81">
        <v>808</v>
      </c>
      <c r="B798" s="83">
        <v>45210</v>
      </c>
      <c r="C798" s="323">
        <v>0.37013888888888885</v>
      </c>
      <c r="D798" s="81" t="s">
        <v>3390</v>
      </c>
      <c r="E798" s="82" t="s">
        <v>3391</v>
      </c>
      <c r="F798" s="81">
        <v>1</v>
      </c>
      <c r="G798" s="81" t="s">
        <v>1443</v>
      </c>
      <c r="H798" s="83">
        <v>45229</v>
      </c>
      <c r="I798" s="83" t="s">
        <v>73</v>
      </c>
      <c r="J798" s="83" t="s">
        <v>2951</v>
      </c>
      <c r="K798" s="81" t="s">
        <v>1346</v>
      </c>
      <c r="L798" s="81" t="s">
        <v>813</v>
      </c>
      <c r="M798" s="81" t="s">
        <v>711</v>
      </c>
      <c r="N798" s="81"/>
      <c r="O798" s="81" t="str">
        <f t="shared" ca="1" si="46"/>
        <v>NO</v>
      </c>
      <c r="P798" s="81" t="str">
        <f t="shared" si="48"/>
        <v>DIASOL</v>
      </c>
      <c r="Q798" s="81" t="s">
        <v>951</v>
      </c>
      <c r="R798" s="81" t="str">
        <f>VLOOKUP($Q798,Resultados!$A$1:$B$49,2,FALSE)</f>
        <v xml:space="preserve"> _</v>
      </c>
      <c r="S798" s="81"/>
      <c r="T798" s="84" t="str">
        <f t="shared" si="49"/>
        <v>NO</v>
      </c>
      <c r="U798" s="84"/>
      <c r="V798" s="81"/>
      <c r="W798" s="81"/>
      <c r="X798" s="81"/>
      <c r="Y798" s="81"/>
      <c r="Z798" s="81"/>
      <c r="AA798" s="321" t="s">
        <v>2895</v>
      </c>
      <c r="AB798" s="81"/>
      <c r="AC798" s="361"/>
    </row>
    <row r="799" spans="1:29" ht="39.950000000000003" customHeight="1" x14ac:dyDescent="0.2">
      <c r="A799" s="81">
        <v>851</v>
      </c>
      <c r="B799" s="83">
        <v>45219</v>
      </c>
      <c r="C799" s="323">
        <v>0.53055555555555556</v>
      </c>
      <c r="D799" s="81" t="s">
        <v>3534</v>
      </c>
      <c r="E799" s="82" t="s">
        <v>3536</v>
      </c>
      <c r="F799" s="81">
        <v>2</v>
      </c>
      <c r="G799" s="81" t="s">
        <v>1442</v>
      </c>
      <c r="H799" s="83">
        <v>45229</v>
      </c>
      <c r="I799" s="83" t="s">
        <v>73</v>
      </c>
      <c r="J799" s="83" t="s">
        <v>31</v>
      </c>
      <c r="K799" s="81">
        <f>IFERROR(VLOOKUP(J799,Jueces!$A$1:$B$11,2,FALSE),"")</f>
        <v>2</v>
      </c>
      <c r="L799" s="81" t="s">
        <v>790</v>
      </c>
      <c r="M799" s="81" t="s">
        <v>692</v>
      </c>
      <c r="N799" s="81"/>
      <c r="O799" s="81" t="str">
        <f t="shared" ca="1" si="46"/>
        <v>NO</v>
      </c>
      <c r="P799" s="81" t="str">
        <f t="shared" si="48"/>
        <v>DIASOL</v>
      </c>
      <c r="Q799" s="81" t="s">
        <v>951</v>
      </c>
      <c r="R799" s="81" t="str">
        <f>VLOOKUP($Q799,Resultados!$A$1:$B$49,2,FALSE)</f>
        <v xml:space="preserve"> _</v>
      </c>
      <c r="S799" s="81"/>
      <c r="T799" s="84" t="str">
        <f t="shared" si="49"/>
        <v>SI</v>
      </c>
      <c r="U799" s="84"/>
      <c r="V799" s="81"/>
      <c r="W799" s="81"/>
      <c r="X799" s="81"/>
      <c r="Y799" s="81"/>
      <c r="Z799" s="81"/>
      <c r="AA799" s="321" t="s">
        <v>3427</v>
      </c>
      <c r="AB799" s="81"/>
      <c r="AC799" s="88"/>
    </row>
    <row r="800" spans="1:29" ht="39.950000000000003" customHeight="1" x14ac:dyDescent="0.2">
      <c r="A800" s="81">
        <v>794</v>
      </c>
      <c r="B800" s="83">
        <v>45209</v>
      </c>
      <c r="C800" s="323">
        <v>0.37986111111111115</v>
      </c>
      <c r="D800" s="81" t="s">
        <v>3326</v>
      </c>
      <c r="E800" s="82" t="s">
        <v>3327</v>
      </c>
      <c r="F800" s="81">
        <v>7</v>
      </c>
      <c r="G800" s="81" t="s">
        <v>1441</v>
      </c>
      <c r="H800" s="83">
        <v>45229</v>
      </c>
      <c r="I800" s="83" t="s">
        <v>749</v>
      </c>
      <c r="J800" s="83" t="s">
        <v>1225</v>
      </c>
      <c r="K800" s="81">
        <f>IFERROR(VLOOKUP(J800,Jueces!$A$1:$B$11,2,FALSE),"")</f>
        <v>6</v>
      </c>
      <c r="L800" s="81" t="s">
        <v>800</v>
      </c>
      <c r="M800" s="81" t="s">
        <v>712</v>
      </c>
      <c r="N800" s="84"/>
      <c r="O800" s="81" t="str">
        <f t="shared" ca="1" si="46"/>
        <v>NO</v>
      </c>
      <c r="P800" s="81" t="str">
        <f t="shared" si="48"/>
        <v>DIASOL</v>
      </c>
      <c r="Q800" s="81" t="s">
        <v>951</v>
      </c>
      <c r="R800" s="81" t="str">
        <f>VLOOKUP($Q800,Resultados!$A$1:$B$49,2,FALSE)</f>
        <v xml:space="preserve"> _</v>
      </c>
      <c r="S800" s="81"/>
      <c r="T800" s="84" t="str">
        <f t="shared" si="49"/>
        <v>NO</v>
      </c>
      <c r="U800" s="84"/>
      <c r="V800" s="81"/>
      <c r="W800" s="81"/>
      <c r="X800" s="81"/>
      <c r="Y800" s="81"/>
      <c r="Z800" s="81"/>
      <c r="AA800" s="337" t="s">
        <v>1169</v>
      </c>
      <c r="AB800" s="81"/>
      <c r="AC800" s="361"/>
    </row>
    <row r="801" spans="1:29" ht="39.950000000000003" customHeight="1" x14ac:dyDescent="0.2">
      <c r="A801" s="81">
        <v>777</v>
      </c>
      <c r="B801" s="83">
        <v>45209</v>
      </c>
      <c r="C801" s="81" t="s">
        <v>73</v>
      </c>
      <c r="D801" s="81" t="s">
        <v>3280</v>
      </c>
      <c r="E801" s="82" t="s">
        <v>3331</v>
      </c>
      <c r="F801" s="81">
        <v>6</v>
      </c>
      <c r="G801" s="81" t="s">
        <v>2788</v>
      </c>
      <c r="H801" s="83">
        <v>45229</v>
      </c>
      <c r="I801" s="83" t="s">
        <v>1086</v>
      </c>
      <c r="J801" s="83" t="s">
        <v>31</v>
      </c>
      <c r="K801" s="81">
        <f>IFERROR(VLOOKUP(J801,Jueces!$A$1:$B$11,2,FALSE),"")</f>
        <v>2</v>
      </c>
      <c r="L801" s="81" t="s">
        <v>800</v>
      </c>
      <c r="M801" s="81" t="s">
        <v>712</v>
      </c>
      <c r="N801" s="81"/>
      <c r="O801" s="81" t="str">
        <f t="shared" ca="1" si="46"/>
        <v>NO</v>
      </c>
      <c r="P801" s="81" t="str">
        <f t="shared" si="48"/>
        <v>DIASOL</v>
      </c>
      <c r="Q801" s="81" t="s">
        <v>951</v>
      </c>
      <c r="R801" s="81" t="str">
        <f>VLOOKUP($Q801,Resultados!$A$1:$B$49,2,FALSE)</f>
        <v xml:space="preserve"> _</v>
      </c>
      <c r="S801" s="81"/>
      <c r="T801" s="84" t="str">
        <f t="shared" si="49"/>
        <v>NO</v>
      </c>
      <c r="U801" s="84"/>
      <c r="V801" s="81"/>
      <c r="W801" s="81"/>
      <c r="X801" s="81"/>
      <c r="Y801" s="81"/>
      <c r="Z801" s="81"/>
      <c r="AA801" s="321" t="s">
        <v>3347</v>
      </c>
      <c r="AB801" s="81"/>
      <c r="AC801" s="361"/>
    </row>
    <row r="802" spans="1:29" ht="39.950000000000003" customHeight="1" x14ac:dyDescent="0.2">
      <c r="A802" s="81">
        <v>783</v>
      </c>
      <c r="B802" s="83">
        <v>45205</v>
      </c>
      <c r="C802" s="81" t="s">
        <v>3307</v>
      </c>
      <c r="D802" s="362" t="s">
        <v>3308</v>
      </c>
      <c r="E802" s="82" t="s">
        <v>3340</v>
      </c>
      <c r="F802" s="81">
        <v>2</v>
      </c>
      <c r="G802" s="81" t="s">
        <v>568</v>
      </c>
      <c r="H802" s="83">
        <v>45229</v>
      </c>
      <c r="I802" s="83" t="s">
        <v>1086</v>
      </c>
      <c r="J802" s="83" t="s">
        <v>1732</v>
      </c>
      <c r="K802" s="81" t="s">
        <v>1925</v>
      </c>
      <c r="L802" s="81" t="s">
        <v>807</v>
      </c>
      <c r="M802" s="81" t="s">
        <v>692</v>
      </c>
      <c r="N802" s="81" t="s">
        <v>3626</v>
      </c>
      <c r="O802" s="81" t="str">
        <f t="shared" ca="1" si="46"/>
        <v>NO</v>
      </c>
      <c r="P802" s="81" t="str">
        <f t="shared" si="48"/>
        <v>DIASOL</v>
      </c>
      <c r="Q802" s="81" t="s">
        <v>951</v>
      </c>
      <c r="R802" s="81" t="str">
        <f>VLOOKUP($Q802,Resultados!$A$1:$B$49,2,FALSE)</f>
        <v xml:space="preserve"> _</v>
      </c>
      <c r="S802" s="81"/>
      <c r="T802" s="84" t="str">
        <f t="shared" si="49"/>
        <v>NO</v>
      </c>
      <c r="U802" s="84"/>
      <c r="V802" s="81"/>
      <c r="W802" s="81"/>
      <c r="X802" s="81"/>
      <c r="Y802" s="81"/>
      <c r="Z802" s="321" t="s">
        <v>748</v>
      </c>
      <c r="AA802" s="321" t="s">
        <v>2895</v>
      </c>
      <c r="AB802" s="321" t="s">
        <v>1177</v>
      </c>
      <c r="AC802" s="88" t="s">
        <v>1801</v>
      </c>
    </row>
    <row r="803" spans="1:29" ht="39.950000000000003" customHeight="1" x14ac:dyDescent="0.2">
      <c r="A803" s="81">
        <v>829</v>
      </c>
      <c r="B803" s="83">
        <v>45217</v>
      </c>
      <c r="C803" s="323">
        <v>0.34583333333333338</v>
      </c>
      <c r="D803" s="81" t="s">
        <v>3463</v>
      </c>
      <c r="E803" s="82" t="s">
        <v>3464</v>
      </c>
      <c r="F803" s="81">
        <v>2</v>
      </c>
      <c r="G803" s="81" t="s">
        <v>2774</v>
      </c>
      <c r="H803" s="83">
        <v>45229</v>
      </c>
      <c r="I803" s="83" t="s">
        <v>1086</v>
      </c>
      <c r="J803" s="83" t="s">
        <v>33</v>
      </c>
      <c r="K803" s="81">
        <f>IFERROR(VLOOKUP(J803,Jueces!$A$1:$B$11,2,FALSE),"")</f>
        <v>4</v>
      </c>
      <c r="L803" s="81" t="s">
        <v>791</v>
      </c>
      <c r="M803" s="81" t="s">
        <v>692</v>
      </c>
      <c r="N803" s="81"/>
      <c r="O803" s="81" t="str">
        <f t="shared" ca="1" si="46"/>
        <v>NO</v>
      </c>
      <c r="P803" s="81" t="str">
        <f t="shared" si="48"/>
        <v>DIASOL</v>
      </c>
      <c r="Q803" s="81" t="s">
        <v>951</v>
      </c>
      <c r="R803" s="81" t="str">
        <f>VLOOKUP($Q803,Resultados!$A$1:$B$49,2,FALSE)</f>
        <v xml:space="preserve"> _</v>
      </c>
      <c r="S803" s="81"/>
      <c r="T803" s="84" t="str">
        <f t="shared" si="49"/>
        <v>NO</v>
      </c>
      <c r="U803" s="84"/>
      <c r="V803" s="81"/>
      <c r="W803" s="81"/>
      <c r="X803" s="81"/>
      <c r="Y803" s="81"/>
      <c r="Z803" s="81"/>
      <c r="AA803" s="321" t="s">
        <v>2852</v>
      </c>
      <c r="AB803" s="81"/>
      <c r="AC803" s="88"/>
    </row>
    <row r="804" spans="1:29" ht="39.950000000000003" customHeight="1" x14ac:dyDescent="0.2">
      <c r="A804" s="81">
        <v>766</v>
      </c>
      <c r="B804" s="83">
        <v>45205</v>
      </c>
      <c r="C804" s="323">
        <v>0.45347222222222222</v>
      </c>
      <c r="D804" s="81" t="s">
        <v>3235</v>
      </c>
      <c r="E804" s="82" t="s">
        <v>3236</v>
      </c>
      <c r="F804" s="81">
        <v>1</v>
      </c>
      <c r="G804" s="81" t="s">
        <v>2788</v>
      </c>
      <c r="H804" s="83">
        <v>45229</v>
      </c>
      <c r="I804" s="83" t="s">
        <v>76</v>
      </c>
      <c r="J804" s="83" t="s">
        <v>1221</v>
      </c>
      <c r="K804" s="81" t="s">
        <v>2343</v>
      </c>
      <c r="L804" s="81" t="s">
        <v>812</v>
      </c>
      <c r="M804" s="81" t="s">
        <v>712</v>
      </c>
      <c r="N804" s="81" t="s">
        <v>3672</v>
      </c>
      <c r="O804" s="81" t="str">
        <f t="shared" ca="1" si="46"/>
        <v>NO</v>
      </c>
      <c r="P804" s="81" t="str">
        <f t="shared" si="48"/>
        <v>DIASOL</v>
      </c>
      <c r="Q804" s="81" t="s">
        <v>951</v>
      </c>
      <c r="R804" s="81" t="str">
        <f>VLOOKUP($Q804,Resultados!$A$1:$B$49,2,FALSE)</f>
        <v xml:space="preserve"> _</v>
      </c>
      <c r="S804" s="81"/>
      <c r="T804" s="84" t="str">
        <f t="shared" si="49"/>
        <v>NO</v>
      </c>
      <c r="U804" s="84"/>
      <c r="V804" s="81"/>
      <c r="W804" s="81"/>
      <c r="X804" s="81"/>
      <c r="Y804" s="81"/>
      <c r="Z804" s="321" t="s">
        <v>2867</v>
      </c>
      <c r="AA804" s="321" t="s">
        <v>3427</v>
      </c>
      <c r="AB804" s="321" t="s">
        <v>1177</v>
      </c>
      <c r="AC804" s="361"/>
    </row>
    <row r="805" spans="1:29" ht="39.950000000000003" customHeight="1" x14ac:dyDescent="0.2">
      <c r="A805" s="81">
        <v>716</v>
      </c>
      <c r="B805" s="83">
        <v>45196</v>
      </c>
      <c r="C805" s="323">
        <v>0.48819444444444443</v>
      </c>
      <c r="D805" s="81" t="s">
        <v>3028</v>
      </c>
      <c r="E805" s="82" t="s">
        <v>3129</v>
      </c>
      <c r="F805" s="81">
        <v>1</v>
      </c>
      <c r="G805" s="81" t="s">
        <v>2838</v>
      </c>
      <c r="H805" s="83">
        <v>45229</v>
      </c>
      <c r="I805" s="83" t="s">
        <v>77</v>
      </c>
      <c r="J805" s="83" t="s">
        <v>33</v>
      </c>
      <c r="K805" s="81">
        <f>IFERROR(VLOOKUP(J805,Jueces!$A$1:$B$11,2,FALSE),"")</f>
        <v>4</v>
      </c>
      <c r="L805" s="81" t="s">
        <v>811</v>
      </c>
      <c r="M805" s="81" t="s">
        <v>712</v>
      </c>
      <c r="N805" s="81" t="s">
        <v>3525</v>
      </c>
      <c r="O805" s="81" t="str">
        <f t="shared" ca="1" si="46"/>
        <v>NO</v>
      </c>
      <c r="P805" s="81" t="str">
        <f t="shared" si="48"/>
        <v>DIASOL</v>
      </c>
      <c r="Q805" s="81"/>
      <c r="R805" s="81" t="e">
        <f>VLOOKUP($Q805,Resultados!$A$1:$B$49,2,FALSE)</f>
        <v>#N/A</v>
      </c>
      <c r="S805" s="81"/>
      <c r="T805" s="84" t="str">
        <f t="shared" si="49"/>
        <v>NO</v>
      </c>
      <c r="U805" s="84"/>
      <c r="V805" s="81"/>
      <c r="W805" s="81"/>
      <c r="X805" s="81"/>
      <c r="Y805" s="81"/>
      <c r="Z805" s="337" t="s">
        <v>770</v>
      </c>
      <c r="AA805" s="321" t="s">
        <v>1169</v>
      </c>
      <c r="AB805" s="321" t="s">
        <v>3300</v>
      </c>
      <c r="AC805" s="88"/>
    </row>
    <row r="806" spans="1:29" ht="39.950000000000003" customHeight="1" x14ac:dyDescent="0.2">
      <c r="A806" s="211">
        <v>759</v>
      </c>
      <c r="B806" s="317"/>
      <c r="C806" s="211"/>
      <c r="D806" s="362" t="s">
        <v>2901</v>
      </c>
      <c r="E806" s="212" t="s">
        <v>2902</v>
      </c>
      <c r="F806" s="211">
        <v>1</v>
      </c>
      <c r="G806" s="211" t="s">
        <v>2774</v>
      </c>
      <c r="H806" s="317">
        <v>45230</v>
      </c>
      <c r="I806" s="317" t="s">
        <v>73</v>
      </c>
      <c r="J806" s="317" t="s">
        <v>33</v>
      </c>
      <c r="K806" s="211">
        <f>IFERROR(VLOOKUP(J806,Jueces!$A$1:$B$11,2,FALSE),"")</f>
        <v>4</v>
      </c>
      <c r="L806" s="211" t="s">
        <v>803</v>
      </c>
      <c r="M806" s="211" t="s">
        <v>1386</v>
      </c>
      <c r="N806" s="211" t="s">
        <v>3177</v>
      </c>
      <c r="O806" s="211" t="str">
        <f t="shared" ca="1" si="46"/>
        <v>NO</v>
      </c>
      <c r="P806" s="211" t="str">
        <f t="shared" si="48"/>
        <v>DIANOSOL</v>
      </c>
      <c r="Q806" s="211" t="s">
        <v>951</v>
      </c>
      <c r="R806" s="211" t="str">
        <f>VLOOKUP($Q806,Resultados!$A$1:$B$49,2,FALSE)</f>
        <v xml:space="preserve"> _</v>
      </c>
      <c r="S806" s="211"/>
      <c r="T806" s="276" t="str">
        <f t="shared" si="49"/>
        <v>NO</v>
      </c>
      <c r="U806" s="276"/>
      <c r="V806" s="211"/>
      <c r="W806" s="211"/>
      <c r="X806" s="211"/>
      <c r="Y806" s="211"/>
      <c r="Z806" s="211"/>
      <c r="AA806" s="334" t="s">
        <v>1171</v>
      </c>
      <c r="AB806" s="211"/>
      <c r="AC806" s="361" t="s">
        <v>1801</v>
      </c>
    </row>
    <row r="807" spans="1:29" ht="39.950000000000003" customHeight="1" x14ac:dyDescent="0.2">
      <c r="A807" s="81">
        <v>809</v>
      </c>
      <c r="B807" s="83">
        <v>45210</v>
      </c>
      <c r="C807" s="323">
        <v>0.3659722222222222</v>
      </c>
      <c r="D807" s="81" t="s">
        <v>3392</v>
      </c>
      <c r="E807" s="82" t="s">
        <v>3393</v>
      </c>
      <c r="F807" s="81">
        <v>1</v>
      </c>
      <c r="G807" s="81" t="s">
        <v>3366</v>
      </c>
      <c r="H807" s="83">
        <v>45230</v>
      </c>
      <c r="I807" s="83" t="s">
        <v>73</v>
      </c>
      <c r="J807" s="83" t="s">
        <v>2951</v>
      </c>
      <c r="K807" s="81" t="s">
        <v>1925</v>
      </c>
      <c r="L807" s="81" t="s">
        <v>810</v>
      </c>
      <c r="M807" s="81" t="s">
        <v>3394</v>
      </c>
      <c r="N807" s="81" t="s">
        <v>3619</v>
      </c>
      <c r="O807" s="81" t="str">
        <f t="shared" ca="1" si="46"/>
        <v>NO</v>
      </c>
      <c r="P807" s="81" t="str">
        <f t="shared" si="48"/>
        <v>DIANOSOL</v>
      </c>
      <c r="Q807" s="81" t="s">
        <v>951</v>
      </c>
      <c r="R807" s="81" t="str">
        <f>VLOOKUP($Q807,Resultados!$A$1:$B$49,2,FALSE)</f>
        <v xml:space="preserve"> _</v>
      </c>
      <c r="S807" s="81"/>
      <c r="T807" s="84" t="str">
        <f t="shared" si="49"/>
        <v>NO</v>
      </c>
      <c r="U807" s="84"/>
      <c r="V807" s="81"/>
      <c r="W807" s="81"/>
      <c r="X807" s="81"/>
      <c r="Y807" s="81"/>
      <c r="Z807" s="81"/>
      <c r="AA807" s="321" t="s">
        <v>2895</v>
      </c>
      <c r="AB807" s="81"/>
      <c r="AC807" s="361"/>
    </row>
    <row r="808" spans="1:29" ht="39.950000000000003" customHeight="1" x14ac:dyDescent="0.2">
      <c r="A808" s="81">
        <v>815</v>
      </c>
      <c r="B808" s="83">
        <v>45211</v>
      </c>
      <c r="C808" s="323">
        <v>0.53472222222222221</v>
      </c>
      <c r="D808" s="81" t="s">
        <v>3418</v>
      </c>
      <c r="E808" s="82" t="s">
        <v>3419</v>
      </c>
      <c r="F808" s="81">
        <v>2</v>
      </c>
      <c r="G808" s="81" t="s">
        <v>2838</v>
      </c>
      <c r="H808" s="83">
        <v>45230</v>
      </c>
      <c r="I808" s="83" t="s">
        <v>73</v>
      </c>
      <c r="J808" s="83" t="s">
        <v>31</v>
      </c>
      <c r="K808" s="81">
        <v>2</v>
      </c>
      <c r="L808" s="81" t="s">
        <v>798</v>
      </c>
      <c r="M808" s="81" t="s">
        <v>711</v>
      </c>
      <c r="N808" s="81"/>
      <c r="O808" s="81" t="str">
        <f t="shared" ca="1" si="46"/>
        <v>NO</v>
      </c>
      <c r="P808" s="81" t="str">
        <f t="shared" si="48"/>
        <v>DIANOSOL</v>
      </c>
      <c r="Q808" s="81" t="s">
        <v>951</v>
      </c>
      <c r="R808" s="81" t="str">
        <f>VLOOKUP($Q808,Resultados!$A$1:$B$49,2,FALSE)</f>
        <v xml:space="preserve"> _</v>
      </c>
      <c r="S808" s="81"/>
      <c r="T808" s="84" t="str">
        <f t="shared" si="49"/>
        <v>NO</v>
      </c>
      <c r="U808" s="84"/>
      <c r="V808" s="81"/>
      <c r="W808" s="81"/>
      <c r="X808" s="81"/>
      <c r="Y808" s="81"/>
      <c r="Z808" s="81"/>
      <c r="AA808" s="321" t="s">
        <v>3428</v>
      </c>
      <c r="AB808" s="81"/>
      <c r="AC808" s="361"/>
    </row>
    <row r="809" spans="1:29" ht="39.950000000000003" customHeight="1" x14ac:dyDescent="0.2">
      <c r="A809" s="81">
        <v>821</v>
      </c>
      <c r="B809" s="83">
        <v>45216</v>
      </c>
      <c r="C809" s="323">
        <v>0.40763888888888888</v>
      </c>
      <c r="D809" s="81" t="s">
        <v>3445</v>
      </c>
      <c r="E809" s="82" t="s">
        <v>3446</v>
      </c>
      <c r="F809" s="81">
        <v>2</v>
      </c>
      <c r="G809" s="81" t="s">
        <v>2788</v>
      </c>
      <c r="H809" s="83">
        <v>45230</v>
      </c>
      <c r="I809" s="83" t="s">
        <v>73</v>
      </c>
      <c r="J809" s="83" t="s">
        <v>78</v>
      </c>
      <c r="K809" s="81">
        <f>IFERROR(VLOOKUP(J809,Jueces!$A$1:$B$11,2,FALSE),"")</f>
        <v>8</v>
      </c>
      <c r="L809" s="81" t="s">
        <v>791</v>
      </c>
      <c r="M809" s="81" t="s">
        <v>692</v>
      </c>
      <c r="N809" s="81"/>
      <c r="O809" s="81" t="str">
        <f t="shared" ca="1" si="46"/>
        <v>NO</v>
      </c>
      <c r="P809" s="81" t="str">
        <f t="shared" si="48"/>
        <v>DIANOSOL</v>
      </c>
      <c r="Q809" s="81" t="s">
        <v>951</v>
      </c>
      <c r="R809" s="81" t="str">
        <f>VLOOKUP($Q809,Resultados!$A$1:$B$49,2,FALSE)</f>
        <v xml:space="preserve"> _</v>
      </c>
      <c r="S809" s="81"/>
      <c r="T809" s="84" t="str">
        <f t="shared" si="49"/>
        <v>NO</v>
      </c>
      <c r="U809" s="84"/>
      <c r="V809" s="81"/>
      <c r="W809" s="81"/>
      <c r="X809" s="81"/>
      <c r="Y809" s="81"/>
      <c r="Z809" s="81"/>
      <c r="AA809" s="321" t="s">
        <v>1171</v>
      </c>
      <c r="AB809" s="81"/>
      <c r="AC809" s="88"/>
    </row>
    <row r="810" spans="1:29" ht="39.950000000000003" customHeight="1" x14ac:dyDescent="0.2">
      <c r="A810" s="81">
        <v>816</v>
      </c>
      <c r="B810" s="83">
        <v>45211</v>
      </c>
      <c r="C810" s="323">
        <v>0.5444444444444444</v>
      </c>
      <c r="D810" s="362" t="s">
        <v>3420</v>
      </c>
      <c r="E810" s="82" t="s">
        <v>3421</v>
      </c>
      <c r="F810" s="81">
        <v>1</v>
      </c>
      <c r="G810" s="81" t="s">
        <v>1441</v>
      </c>
      <c r="H810" s="83">
        <v>45230</v>
      </c>
      <c r="I810" s="83" t="s">
        <v>749</v>
      </c>
      <c r="J810" s="83" t="s">
        <v>1225</v>
      </c>
      <c r="K810" s="81">
        <f>IFERROR(VLOOKUP(J810,Jueces!$A$1:$B$11,2,FALSE),"")</f>
        <v>6</v>
      </c>
      <c r="L810" s="81" t="s">
        <v>582</v>
      </c>
      <c r="M810" s="81" t="s">
        <v>2055</v>
      </c>
      <c r="N810" s="81"/>
      <c r="O810" s="81" t="str">
        <f t="shared" ca="1" si="46"/>
        <v>NO</v>
      </c>
      <c r="P810" s="81" t="str">
        <f t="shared" si="48"/>
        <v>DIANOSOL</v>
      </c>
      <c r="Q810" s="81" t="s">
        <v>951</v>
      </c>
      <c r="R810" s="81" t="str">
        <f>VLOOKUP($Q810,Resultados!$A$1:$B$49,2,FALSE)</f>
        <v xml:space="preserve"> _</v>
      </c>
      <c r="S810" s="81"/>
      <c r="T810" s="84" t="str">
        <f t="shared" si="49"/>
        <v>NO</v>
      </c>
      <c r="U810" s="84"/>
      <c r="V810" s="81"/>
      <c r="W810" s="81"/>
      <c r="X810" s="81"/>
      <c r="Y810" s="81"/>
      <c r="Z810" s="81"/>
      <c r="AA810" s="321" t="s">
        <v>3427</v>
      </c>
      <c r="AB810" s="81"/>
      <c r="AC810" s="88" t="s">
        <v>1801</v>
      </c>
    </row>
    <row r="811" spans="1:29" ht="39.950000000000003" customHeight="1" x14ac:dyDescent="0.2">
      <c r="A811" s="81">
        <v>784</v>
      </c>
      <c r="B811" s="83">
        <v>45209</v>
      </c>
      <c r="C811" s="81" t="s">
        <v>1193</v>
      </c>
      <c r="D811" s="81" t="s">
        <v>3309</v>
      </c>
      <c r="E811" s="82" t="s">
        <v>3457</v>
      </c>
      <c r="F811" s="81">
        <v>1</v>
      </c>
      <c r="G811" s="81" t="s">
        <v>1442</v>
      </c>
      <c r="H811" s="83">
        <v>45230</v>
      </c>
      <c r="I811" s="83" t="s">
        <v>1086</v>
      </c>
      <c r="J811" s="83" t="s">
        <v>78</v>
      </c>
      <c r="K811" s="81">
        <f>IFERROR(VLOOKUP(J811,Jueces!$A$1:$B$11,2,FALSE),"")</f>
        <v>8</v>
      </c>
      <c r="L811" s="81" t="s">
        <v>811</v>
      </c>
      <c r="M811" s="81" t="s">
        <v>712</v>
      </c>
      <c r="N811" s="81"/>
      <c r="O811" s="81" t="str">
        <f t="shared" ca="1" si="46"/>
        <v>NO</v>
      </c>
      <c r="P811" s="81" t="str">
        <f t="shared" si="48"/>
        <v>DIANOSOL</v>
      </c>
      <c r="Q811" s="81" t="s">
        <v>951</v>
      </c>
      <c r="R811" s="81" t="str">
        <f>VLOOKUP($Q811,Resultados!$A$1:$B$49,2,FALSE)</f>
        <v xml:space="preserve"> _</v>
      </c>
      <c r="S811" s="81"/>
      <c r="T811" s="84" t="str">
        <f t="shared" si="49"/>
        <v>SI</v>
      </c>
      <c r="U811" s="84"/>
      <c r="V811" s="81"/>
      <c r="W811" s="81"/>
      <c r="X811" s="81"/>
      <c r="Y811" s="81"/>
      <c r="Z811" s="81"/>
      <c r="AA811" s="321" t="s">
        <v>2852</v>
      </c>
      <c r="AB811" s="81"/>
      <c r="AC811" s="88"/>
    </row>
    <row r="812" spans="1:29" ht="39.950000000000003" customHeight="1" x14ac:dyDescent="0.2">
      <c r="A812" s="81">
        <v>830</v>
      </c>
      <c r="B812" s="83">
        <v>45217</v>
      </c>
      <c r="C812" s="323">
        <v>0.3520833333333333</v>
      </c>
      <c r="D812" s="81" t="s">
        <v>3466</v>
      </c>
      <c r="E812" s="82" t="s">
        <v>3465</v>
      </c>
      <c r="F812" s="81">
        <v>2</v>
      </c>
      <c r="G812" s="81" t="s">
        <v>3365</v>
      </c>
      <c r="H812" s="83">
        <v>45230</v>
      </c>
      <c r="I812" s="83" t="s">
        <v>1086</v>
      </c>
      <c r="J812" s="83" t="s">
        <v>1220</v>
      </c>
      <c r="K812" s="81">
        <f>IFERROR(VLOOKUP(J812,Jueces!$A$1:$B$11,2,FALSE),"")</f>
        <v>1</v>
      </c>
      <c r="L812" s="81" t="s">
        <v>798</v>
      </c>
      <c r="M812" s="81" t="s">
        <v>692</v>
      </c>
      <c r="N812" s="81"/>
      <c r="O812" s="81" t="str">
        <f t="shared" ref="O812:O875" ca="1" si="50">IF(H812&lt;&gt;"",IF(H812&lt;=TODAY(),"SI","NO"),"LIMBO")</f>
        <v>NO</v>
      </c>
      <c r="P812" s="81" t="str">
        <f t="shared" si="48"/>
        <v>DIANOSOL</v>
      </c>
      <c r="Q812" s="81" t="s">
        <v>951</v>
      </c>
      <c r="R812" s="81" t="str">
        <f>VLOOKUP($Q812,Resultados!$A$1:$B$49,2,FALSE)</f>
        <v xml:space="preserve"> _</v>
      </c>
      <c r="S812" s="81"/>
      <c r="T812" s="84" t="str">
        <f t="shared" si="49"/>
        <v>NO</v>
      </c>
      <c r="U812" s="84"/>
      <c r="V812" s="81"/>
      <c r="W812" s="81"/>
      <c r="X812" s="81"/>
      <c r="Y812" s="81"/>
      <c r="Z812" s="81"/>
      <c r="AA812" s="321" t="s">
        <v>2895</v>
      </c>
      <c r="AB812" s="81"/>
      <c r="AC812" s="88"/>
    </row>
    <row r="813" spans="1:29" ht="39.950000000000003" customHeight="1" x14ac:dyDescent="0.2">
      <c r="A813" s="81">
        <v>871</v>
      </c>
      <c r="B813" s="83">
        <v>45223</v>
      </c>
      <c r="C813" s="323">
        <v>0.33333333333333331</v>
      </c>
      <c r="D813" s="81" t="s">
        <v>3164</v>
      </c>
      <c r="E813" s="82" t="s">
        <v>3165</v>
      </c>
      <c r="F813" s="81">
        <v>8</v>
      </c>
      <c r="G813" s="81" t="s">
        <v>1441</v>
      </c>
      <c r="H813" s="83">
        <v>45230</v>
      </c>
      <c r="I813" s="83" t="s">
        <v>1086</v>
      </c>
      <c r="J813" s="83" t="s">
        <v>31</v>
      </c>
      <c r="K813" s="81">
        <v>2</v>
      </c>
      <c r="L813" s="81" t="s">
        <v>2090</v>
      </c>
      <c r="M813" s="81" t="s">
        <v>711</v>
      </c>
      <c r="N813" s="81"/>
      <c r="O813" s="81" t="str">
        <f t="shared" ca="1" si="50"/>
        <v>NO</v>
      </c>
      <c r="P813" s="81" t="str">
        <f t="shared" si="48"/>
        <v>DIANOSOL</v>
      </c>
      <c r="Q813" s="81" t="s">
        <v>951</v>
      </c>
      <c r="R813" s="81" t="str">
        <f>VLOOKUP($Q813,Resultados!$A$1:$B$49,2,FALSE)</f>
        <v xml:space="preserve"> _</v>
      </c>
      <c r="S813" s="81"/>
      <c r="T813" s="84" t="str">
        <f t="shared" si="49"/>
        <v>NO</v>
      </c>
      <c r="U813" s="84"/>
      <c r="V813" s="81"/>
      <c r="W813" s="81"/>
      <c r="X813" s="81"/>
      <c r="Y813" s="81"/>
      <c r="Z813" s="81"/>
      <c r="AA813" s="321" t="s">
        <v>2852</v>
      </c>
      <c r="AB813" s="81"/>
      <c r="AC813" s="88"/>
    </row>
    <row r="814" spans="1:29" ht="39.950000000000003" customHeight="1" x14ac:dyDescent="0.2">
      <c r="A814" s="81">
        <v>837</v>
      </c>
      <c r="B814" s="83">
        <v>45217</v>
      </c>
      <c r="C814" s="323">
        <v>0.35000000000000003</v>
      </c>
      <c r="D814" s="81" t="s">
        <v>3476</v>
      </c>
      <c r="E814" s="82" t="s">
        <v>3477</v>
      </c>
      <c r="F814" s="81">
        <v>1</v>
      </c>
      <c r="G814" s="81" t="s">
        <v>2838</v>
      </c>
      <c r="H814" s="83">
        <v>45230</v>
      </c>
      <c r="I814" s="83" t="s">
        <v>1210</v>
      </c>
      <c r="J814" s="83" t="s">
        <v>31</v>
      </c>
      <c r="K814" s="81" t="s">
        <v>1520</v>
      </c>
      <c r="L814" s="81" t="s">
        <v>809</v>
      </c>
      <c r="M814" s="81" t="s">
        <v>712</v>
      </c>
      <c r="N814" s="81" t="s">
        <v>3709</v>
      </c>
      <c r="O814" s="81" t="str">
        <f t="shared" ca="1" si="50"/>
        <v>NO</v>
      </c>
      <c r="P814" s="81" t="str">
        <f t="shared" si="48"/>
        <v>DIANOSOL</v>
      </c>
      <c r="Q814" s="81" t="s">
        <v>951</v>
      </c>
      <c r="R814" s="81" t="str">
        <f>VLOOKUP($Q814,Resultados!$A$1:$B$49,2,FALSE)</f>
        <v xml:space="preserve"> _</v>
      </c>
      <c r="S814" s="81"/>
      <c r="T814" s="84" t="str">
        <f t="shared" si="49"/>
        <v>NO</v>
      </c>
      <c r="U814" s="84"/>
      <c r="V814" s="81"/>
      <c r="W814" s="81"/>
      <c r="X814" s="81"/>
      <c r="Y814" s="81"/>
      <c r="Z814" s="321" t="s">
        <v>3415</v>
      </c>
      <c r="AA814" s="321" t="s">
        <v>2852</v>
      </c>
      <c r="AB814" s="321" t="s">
        <v>1177</v>
      </c>
      <c r="AC814" s="88"/>
    </row>
    <row r="815" spans="1:29" ht="39.950000000000003" customHeight="1" x14ac:dyDescent="0.2">
      <c r="A815" s="81">
        <v>845</v>
      </c>
      <c r="B815" s="83">
        <v>45218</v>
      </c>
      <c r="C815" s="323">
        <v>0.47013888888888888</v>
      </c>
      <c r="D815" s="81" t="s">
        <v>3505</v>
      </c>
      <c r="E815" s="82" t="s">
        <v>3506</v>
      </c>
      <c r="F815" s="81">
        <v>3</v>
      </c>
      <c r="G815" s="81" t="s">
        <v>568</v>
      </c>
      <c r="H815" s="83">
        <v>45230</v>
      </c>
      <c r="I815" s="83" t="s">
        <v>1210</v>
      </c>
      <c r="J815" s="83" t="s">
        <v>1220</v>
      </c>
      <c r="K815" s="81">
        <f>IFERROR(VLOOKUP(J815,Jueces!$A$1:$B$11,2,FALSE),"")</f>
        <v>1</v>
      </c>
      <c r="L815" s="81" t="s">
        <v>812</v>
      </c>
      <c r="M815" s="81" t="s">
        <v>694</v>
      </c>
      <c r="N815" s="81"/>
      <c r="O815" s="81" t="str">
        <f t="shared" ca="1" si="50"/>
        <v>NO</v>
      </c>
      <c r="P815" s="81" t="str">
        <f t="shared" si="48"/>
        <v>DIANOSOL</v>
      </c>
      <c r="Q815" s="81" t="s">
        <v>951</v>
      </c>
      <c r="R815" s="81" t="str">
        <f>VLOOKUP($Q815,Resultados!$A$1:$B$49,2,FALSE)</f>
        <v xml:space="preserve"> _</v>
      </c>
      <c r="S815" s="81"/>
      <c r="T815" s="84" t="str">
        <f t="shared" si="49"/>
        <v>NO</v>
      </c>
      <c r="U815" s="84"/>
      <c r="V815" s="81"/>
      <c r="W815" s="81"/>
      <c r="X815" s="81"/>
      <c r="Y815" s="81"/>
      <c r="Z815" s="81"/>
      <c r="AA815" s="321" t="s">
        <v>3428</v>
      </c>
      <c r="AB815" s="81"/>
      <c r="AC815" s="88"/>
    </row>
    <row r="816" spans="1:29" ht="39.950000000000003" customHeight="1" x14ac:dyDescent="0.2">
      <c r="A816" s="211">
        <v>758</v>
      </c>
      <c r="B816" s="317">
        <v>45202</v>
      </c>
      <c r="C816" s="318">
        <v>0.33333333333333331</v>
      </c>
      <c r="D816" s="211" t="s">
        <v>2971</v>
      </c>
      <c r="E816" s="212" t="s">
        <v>3176</v>
      </c>
      <c r="F816" s="211">
        <v>6</v>
      </c>
      <c r="G816" s="211" t="s">
        <v>43</v>
      </c>
      <c r="H816" s="317">
        <v>45231</v>
      </c>
      <c r="I816" s="317" t="s">
        <v>73</v>
      </c>
      <c r="J816" s="317" t="s">
        <v>1732</v>
      </c>
      <c r="K816" s="211" t="s">
        <v>1925</v>
      </c>
      <c r="L816" s="211" t="s">
        <v>791</v>
      </c>
      <c r="M816" s="211" t="s">
        <v>725</v>
      </c>
      <c r="N816" s="211" t="s">
        <v>3177</v>
      </c>
      <c r="O816" s="211" t="str">
        <f t="shared" ca="1" si="50"/>
        <v>NO</v>
      </c>
      <c r="P816" s="211" t="str">
        <f t="shared" si="48"/>
        <v>DIANOSOL</v>
      </c>
      <c r="Q816" s="211" t="s">
        <v>951</v>
      </c>
      <c r="R816" s="211" t="str">
        <f>VLOOKUP($Q816,Resultados!$A$1:$B$49,2,FALSE)</f>
        <v xml:space="preserve"> _</v>
      </c>
      <c r="S816" s="211"/>
      <c r="T816" s="276" t="str">
        <f t="shared" si="49"/>
        <v>NO</v>
      </c>
      <c r="U816" s="276"/>
      <c r="V816" s="211"/>
      <c r="W816" s="211"/>
      <c r="X816" s="211"/>
      <c r="Y816" s="211"/>
      <c r="Z816" s="211"/>
      <c r="AA816" s="334" t="s">
        <v>3427</v>
      </c>
      <c r="AB816" s="211"/>
      <c r="AC816" s="361"/>
    </row>
    <row r="817" spans="1:29" ht="39.950000000000003" customHeight="1" x14ac:dyDescent="0.2">
      <c r="A817" s="81">
        <v>822</v>
      </c>
      <c r="B817" s="83">
        <v>45216</v>
      </c>
      <c r="C817" s="323">
        <v>0.4069444444444445</v>
      </c>
      <c r="D817" s="81" t="s">
        <v>3447</v>
      </c>
      <c r="E817" s="82" t="s">
        <v>3448</v>
      </c>
      <c r="F817" s="81">
        <v>2</v>
      </c>
      <c r="G817" s="81" t="s">
        <v>1442</v>
      </c>
      <c r="H817" s="83">
        <v>45231</v>
      </c>
      <c r="I817" s="83" t="s">
        <v>73</v>
      </c>
      <c r="J817" s="83" t="s">
        <v>78</v>
      </c>
      <c r="K817" s="81">
        <f>IFERROR(VLOOKUP(J817,Jueces!$A$1:$B$11,2,FALSE),"")</f>
        <v>8</v>
      </c>
      <c r="L817" s="81" t="s">
        <v>806</v>
      </c>
      <c r="M817" s="81" t="s">
        <v>1290</v>
      </c>
      <c r="N817" s="81"/>
      <c r="O817" s="81" t="str">
        <f t="shared" ca="1" si="50"/>
        <v>NO</v>
      </c>
      <c r="P817" s="81" t="str">
        <f t="shared" si="48"/>
        <v>DIANOSOL</v>
      </c>
      <c r="Q817" s="81" t="s">
        <v>951</v>
      </c>
      <c r="R817" s="81" t="str">
        <f>VLOOKUP($Q817,Resultados!$A$1:$B$49,2,FALSE)</f>
        <v xml:space="preserve"> _</v>
      </c>
      <c r="S817" s="81"/>
      <c r="T817" s="84" t="str">
        <f t="shared" si="49"/>
        <v>SI</v>
      </c>
      <c r="U817" s="84"/>
      <c r="V817" s="81"/>
      <c r="W817" s="81"/>
      <c r="X817" s="81"/>
      <c r="Y817" s="81"/>
      <c r="Z817" s="81"/>
      <c r="AA817" s="321" t="s">
        <v>3427</v>
      </c>
      <c r="AB817" s="81"/>
      <c r="AC817" s="88"/>
    </row>
    <row r="818" spans="1:29" ht="39.950000000000003" customHeight="1" x14ac:dyDescent="0.2">
      <c r="A818" s="81">
        <v>825</v>
      </c>
      <c r="B818" s="83">
        <v>45216</v>
      </c>
      <c r="C818" s="323">
        <v>0.40208333333333335</v>
      </c>
      <c r="D818" s="81" t="s">
        <v>3453</v>
      </c>
      <c r="E818" s="82" t="s">
        <v>3454</v>
      </c>
      <c r="F818" s="81">
        <v>1</v>
      </c>
      <c r="G818" s="81" t="s">
        <v>568</v>
      </c>
      <c r="H818" s="83">
        <v>45231</v>
      </c>
      <c r="I818" s="83" t="s">
        <v>73</v>
      </c>
      <c r="J818" s="83" t="s">
        <v>2951</v>
      </c>
      <c r="K818" s="81" t="s">
        <v>1520</v>
      </c>
      <c r="L818" s="81" t="s">
        <v>802</v>
      </c>
      <c r="M818" s="81" t="s">
        <v>711</v>
      </c>
      <c r="N818" s="81"/>
      <c r="O818" s="81" t="str">
        <f t="shared" ca="1" si="50"/>
        <v>NO</v>
      </c>
      <c r="P818" s="81" t="str">
        <f t="shared" si="48"/>
        <v>DIANOSOL</v>
      </c>
      <c r="Q818" s="81" t="s">
        <v>951</v>
      </c>
      <c r="R818" s="81" t="str">
        <f>VLOOKUP($Q818,Resultados!$A$1:$B$49,2,FALSE)</f>
        <v xml:space="preserve"> _</v>
      </c>
      <c r="S818" s="81"/>
      <c r="T818" s="84" t="str">
        <f t="shared" si="49"/>
        <v>NO</v>
      </c>
      <c r="U818" s="84"/>
      <c r="V818" s="81"/>
      <c r="W818" s="81"/>
      <c r="X818" s="81"/>
      <c r="Y818" s="81"/>
      <c r="Z818" s="81"/>
      <c r="AA818" s="321" t="s">
        <v>3428</v>
      </c>
      <c r="AB818" s="81"/>
      <c r="AC818" s="88"/>
    </row>
    <row r="819" spans="1:29" ht="39.950000000000003" customHeight="1" x14ac:dyDescent="0.2">
      <c r="A819" s="81">
        <v>860</v>
      </c>
      <c r="B819" s="83">
        <v>45222</v>
      </c>
      <c r="C819" s="323">
        <v>0.42083333333333334</v>
      </c>
      <c r="D819" s="81" t="s">
        <v>3565</v>
      </c>
      <c r="E819" s="82" t="s">
        <v>3566</v>
      </c>
      <c r="F819" s="81">
        <v>2</v>
      </c>
      <c r="G819" s="81" t="s">
        <v>2788</v>
      </c>
      <c r="H819" s="83">
        <v>45231</v>
      </c>
      <c r="I819" s="83" t="s">
        <v>73</v>
      </c>
      <c r="J819" s="83" t="s">
        <v>35</v>
      </c>
      <c r="K819" s="81">
        <f>IFERROR(VLOOKUP(J819,Jueces!$A$1:$B$11,2,FALSE),"")</f>
        <v>3</v>
      </c>
      <c r="L819" s="81" t="s">
        <v>809</v>
      </c>
      <c r="M819" s="81" t="s">
        <v>693</v>
      </c>
      <c r="N819" s="81"/>
      <c r="O819" s="81" t="str">
        <f t="shared" ca="1" si="50"/>
        <v>NO</v>
      </c>
      <c r="P819" s="81" t="str">
        <f t="shared" si="48"/>
        <v>DIANOSOL</v>
      </c>
      <c r="Q819" s="81" t="s">
        <v>951</v>
      </c>
      <c r="R819" s="81" t="str">
        <f>VLOOKUP($Q819,Resultados!$A$1:$B$49,2,FALSE)</f>
        <v xml:space="preserve"> _</v>
      </c>
      <c r="S819" s="81"/>
      <c r="T819" s="84" t="str">
        <f t="shared" si="49"/>
        <v>NO</v>
      </c>
      <c r="U819" s="84"/>
      <c r="V819" s="81"/>
      <c r="W819" s="81"/>
      <c r="X819" s="81"/>
      <c r="Y819" s="81"/>
      <c r="Z819" s="81"/>
      <c r="AA819" s="321" t="s">
        <v>1171</v>
      </c>
      <c r="AB819" s="81"/>
      <c r="AC819" s="88"/>
    </row>
    <row r="820" spans="1:29" ht="39.950000000000003" customHeight="1" x14ac:dyDescent="0.2">
      <c r="A820" s="81">
        <v>798</v>
      </c>
      <c r="B820" s="83">
        <v>45211</v>
      </c>
      <c r="C820" s="323">
        <v>0.33333333333333331</v>
      </c>
      <c r="D820" s="81" t="s">
        <v>3370</v>
      </c>
      <c r="E820" s="82" t="s">
        <v>3371</v>
      </c>
      <c r="F820" s="81">
        <v>1</v>
      </c>
      <c r="G820" s="81" t="s">
        <v>1441</v>
      </c>
      <c r="H820" s="83">
        <v>45231</v>
      </c>
      <c r="I820" s="83" t="s">
        <v>749</v>
      </c>
      <c r="J820" s="83" t="s">
        <v>1225</v>
      </c>
      <c r="K820" s="81">
        <f>IFERROR(VLOOKUP(J820,Jueces!$A$1:$B$11,2,FALSE),"")</f>
        <v>6</v>
      </c>
      <c r="L820" s="81" t="s">
        <v>829</v>
      </c>
      <c r="M820" s="81" t="s">
        <v>712</v>
      </c>
      <c r="N820" s="81"/>
      <c r="O820" s="81" t="str">
        <f t="shared" ca="1" si="50"/>
        <v>NO</v>
      </c>
      <c r="P820" s="81" t="str">
        <f t="shared" si="48"/>
        <v>DIANOSOL</v>
      </c>
      <c r="Q820" s="81" t="s">
        <v>951</v>
      </c>
      <c r="R820" s="81" t="str">
        <f>VLOOKUP($Q820,Resultados!$A$1:$B$49,2,FALSE)</f>
        <v xml:space="preserve"> _</v>
      </c>
      <c r="S820" s="81"/>
      <c r="T820" s="84" t="str">
        <f t="shared" si="49"/>
        <v>NO</v>
      </c>
      <c r="U820" s="84"/>
      <c r="V820" s="81"/>
      <c r="W820" s="81"/>
      <c r="X820" s="81"/>
      <c r="Y820" s="81"/>
      <c r="Z820" s="81"/>
      <c r="AA820" s="321" t="s">
        <v>2895</v>
      </c>
      <c r="AB820" s="81"/>
      <c r="AC820" s="88"/>
    </row>
    <row r="821" spans="1:29" ht="39.950000000000003" customHeight="1" x14ac:dyDescent="0.2">
      <c r="A821" s="81">
        <v>824</v>
      </c>
      <c r="B821" s="83">
        <v>45216</v>
      </c>
      <c r="C821" s="323">
        <v>0.40416666666666662</v>
      </c>
      <c r="D821" s="81" t="s">
        <v>3452</v>
      </c>
      <c r="E821" s="82" t="s">
        <v>3451</v>
      </c>
      <c r="F821" s="81">
        <v>2</v>
      </c>
      <c r="G821" s="81" t="s">
        <v>2838</v>
      </c>
      <c r="H821" s="83">
        <v>45231</v>
      </c>
      <c r="I821" s="83" t="s">
        <v>1086</v>
      </c>
      <c r="J821" s="83" t="s">
        <v>2954</v>
      </c>
      <c r="K821" s="81" t="s">
        <v>1520</v>
      </c>
      <c r="L821" s="81" t="s">
        <v>809</v>
      </c>
      <c r="M821" s="81" t="s">
        <v>692</v>
      </c>
      <c r="N821" s="81"/>
      <c r="O821" s="81" t="str">
        <f t="shared" ca="1" si="50"/>
        <v>NO</v>
      </c>
      <c r="P821" s="81" t="str">
        <f t="shared" si="48"/>
        <v>DIANOSOL</v>
      </c>
      <c r="Q821" s="81" t="s">
        <v>951</v>
      </c>
      <c r="R821" s="81" t="str">
        <f>VLOOKUP($Q821,Resultados!$A$1:$B$49,2,FALSE)</f>
        <v xml:space="preserve"> _</v>
      </c>
      <c r="S821" s="81"/>
      <c r="T821" s="84" t="str">
        <f t="shared" ref="T821:T852" si="51">IF(G821=$J$1,"SI","NO")</f>
        <v>NO</v>
      </c>
      <c r="U821" s="84"/>
      <c r="V821" s="81"/>
      <c r="W821" s="81"/>
      <c r="X821" s="81"/>
      <c r="Y821" s="81"/>
      <c r="Z821" s="81"/>
      <c r="AA821" s="321" t="s">
        <v>1171</v>
      </c>
      <c r="AB821" s="81"/>
      <c r="AC821" s="88"/>
    </row>
    <row r="822" spans="1:29" ht="39.950000000000003" customHeight="1" x14ac:dyDescent="0.2">
      <c r="A822" s="81">
        <v>862</v>
      </c>
      <c r="B822" s="83">
        <v>45222</v>
      </c>
      <c r="C822" s="323">
        <v>0.42152777777777778</v>
      </c>
      <c r="D822" s="81" t="s">
        <v>3569</v>
      </c>
      <c r="E822" s="82" t="s">
        <v>3570</v>
      </c>
      <c r="F822" s="81">
        <v>2</v>
      </c>
      <c r="G822" s="81" t="s">
        <v>1443</v>
      </c>
      <c r="H822" s="83">
        <v>45231</v>
      </c>
      <c r="I822" s="83" t="s">
        <v>1086</v>
      </c>
      <c r="J822" s="83" t="s">
        <v>78</v>
      </c>
      <c r="K822" s="81">
        <f>IFERROR(VLOOKUP(J822,Jueces!$A$1:$B$11,2,FALSE),"")</f>
        <v>8</v>
      </c>
      <c r="L822" s="81" t="s">
        <v>799</v>
      </c>
      <c r="M822" s="81" t="s">
        <v>693</v>
      </c>
      <c r="N822" s="81"/>
      <c r="O822" s="81" t="str">
        <f t="shared" ca="1" si="50"/>
        <v>NO</v>
      </c>
      <c r="P822" s="81" t="str">
        <f t="shared" si="48"/>
        <v>DIANOSOL</v>
      </c>
      <c r="Q822" s="81" t="s">
        <v>951</v>
      </c>
      <c r="R822" s="81" t="str">
        <f>VLOOKUP($Q822,Resultados!$A$1:$B$49,2,FALSE)</f>
        <v xml:space="preserve"> _</v>
      </c>
      <c r="S822" s="81"/>
      <c r="T822" s="84" t="str">
        <f t="shared" si="51"/>
        <v>NO</v>
      </c>
      <c r="U822" s="84"/>
      <c r="V822" s="81"/>
      <c r="W822" s="81"/>
      <c r="X822" s="81"/>
      <c r="Y822" s="81"/>
      <c r="Z822" s="81"/>
      <c r="AA822" s="321" t="s">
        <v>3428</v>
      </c>
      <c r="AB822" s="81"/>
      <c r="AC822" s="88"/>
    </row>
    <row r="823" spans="1:29" ht="39.950000000000003" customHeight="1" x14ac:dyDescent="0.2">
      <c r="A823" s="81">
        <v>840</v>
      </c>
      <c r="B823" s="83">
        <v>45218</v>
      </c>
      <c r="C823" s="323">
        <v>0.34375</v>
      </c>
      <c r="D823" s="81" t="s">
        <v>3527</v>
      </c>
      <c r="E823" s="82" t="s">
        <v>3496</v>
      </c>
      <c r="F823" s="81">
        <v>2</v>
      </c>
      <c r="G823" s="81" t="s">
        <v>283</v>
      </c>
      <c r="H823" s="83">
        <v>45231</v>
      </c>
      <c r="I823" s="83" t="s">
        <v>1210</v>
      </c>
      <c r="J823" s="83" t="s">
        <v>1221</v>
      </c>
      <c r="K823" s="81" t="s">
        <v>2304</v>
      </c>
      <c r="L823" s="81" t="s">
        <v>811</v>
      </c>
      <c r="M823" s="81" t="s">
        <v>693</v>
      </c>
      <c r="N823" s="81"/>
      <c r="O823" s="81" t="str">
        <f t="shared" ca="1" si="50"/>
        <v>NO</v>
      </c>
      <c r="P823" s="81" t="str">
        <f t="shared" si="48"/>
        <v>DIANOSOL</v>
      </c>
      <c r="Q823" s="81" t="s">
        <v>951</v>
      </c>
      <c r="R823" s="81" t="str">
        <f>VLOOKUP($Q823,Resultados!$A$1:$B$49,2,FALSE)</f>
        <v xml:space="preserve"> _</v>
      </c>
      <c r="S823" s="81"/>
      <c r="T823" s="84" t="str">
        <f t="shared" si="51"/>
        <v>NO</v>
      </c>
      <c r="U823" s="84"/>
      <c r="V823" s="81"/>
      <c r="W823" s="81"/>
      <c r="X823" s="81"/>
      <c r="Y823" s="81"/>
      <c r="Z823" s="81"/>
      <c r="AA823" s="321" t="s">
        <v>2852</v>
      </c>
      <c r="AB823" s="81"/>
      <c r="AC823" s="88"/>
    </row>
    <row r="824" spans="1:29" ht="39.950000000000003" customHeight="1" x14ac:dyDescent="0.2">
      <c r="A824" s="81">
        <v>836</v>
      </c>
      <c r="B824" s="83">
        <v>45217</v>
      </c>
      <c r="C824" s="323">
        <v>0.4861111111111111</v>
      </c>
      <c r="D824" s="81" t="s">
        <v>3474</v>
      </c>
      <c r="E824" s="82" t="s">
        <v>3475</v>
      </c>
      <c r="F824" s="81">
        <v>8</v>
      </c>
      <c r="G824" s="81" t="s">
        <v>2774</v>
      </c>
      <c r="H824" s="83">
        <v>45231</v>
      </c>
      <c r="I824" s="83" t="s">
        <v>3212</v>
      </c>
      <c r="J824" s="83" t="s">
        <v>1220</v>
      </c>
      <c r="K824" s="81" t="s">
        <v>1925</v>
      </c>
      <c r="L824" s="81" t="s">
        <v>790</v>
      </c>
      <c r="M824" s="81" t="s">
        <v>3497</v>
      </c>
      <c r="N824" s="81"/>
      <c r="O824" s="81" t="str">
        <f t="shared" ca="1" si="50"/>
        <v>NO</v>
      </c>
      <c r="P824" s="81" t="str">
        <f t="shared" si="48"/>
        <v>DIANOSOL</v>
      </c>
      <c r="Q824" s="81" t="s">
        <v>951</v>
      </c>
      <c r="R824" s="81" t="str">
        <f>VLOOKUP($Q824,Resultados!$A$1:$B$49,2,FALSE)</f>
        <v xml:space="preserve"> _</v>
      </c>
      <c r="S824" s="81"/>
      <c r="T824" s="84" t="str">
        <f t="shared" si="51"/>
        <v>NO</v>
      </c>
      <c r="U824" s="84"/>
      <c r="V824" s="81"/>
      <c r="W824" s="81"/>
      <c r="X824" s="81"/>
      <c r="Y824" s="81"/>
      <c r="Z824" s="81"/>
      <c r="AA824" s="321" t="s">
        <v>2895</v>
      </c>
      <c r="AB824" s="81"/>
      <c r="AC824" s="88"/>
    </row>
    <row r="825" spans="1:29" ht="39.950000000000003" customHeight="1" x14ac:dyDescent="0.2">
      <c r="A825" s="81">
        <v>835</v>
      </c>
      <c r="B825" s="83">
        <v>45217</v>
      </c>
      <c r="C825" s="323">
        <v>0.48402777777777778</v>
      </c>
      <c r="D825" s="81" t="s">
        <v>3472</v>
      </c>
      <c r="E825" s="82" t="s">
        <v>3473</v>
      </c>
      <c r="F825" s="81">
        <v>1</v>
      </c>
      <c r="G825" s="81" t="s">
        <v>3366</v>
      </c>
      <c r="H825" s="83">
        <v>45231</v>
      </c>
      <c r="I825" s="83" t="s">
        <v>77</v>
      </c>
      <c r="J825" s="83" t="s">
        <v>1221</v>
      </c>
      <c r="K825" s="81" t="s">
        <v>2304</v>
      </c>
      <c r="L825" s="81" t="s">
        <v>812</v>
      </c>
      <c r="M825" s="367" t="s">
        <v>783</v>
      </c>
      <c r="N825" s="81" t="s">
        <v>3533</v>
      </c>
      <c r="O825" s="81" t="str">
        <f t="shared" ca="1" si="50"/>
        <v>NO</v>
      </c>
      <c r="P825" s="81" t="str">
        <f t="shared" si="48"/>
        <v>DIANOSOL</v>
      </c>
      <c r="Q825" s="81" t="s">
        <v>951</v>
      </c>
      <c r="R825" s="81" t="str">
        <f>VLOOKUP($Q825,Resultados!$A$1:$B$49,2,FALSE)</f>
        <v xml:space="preserve"> _</v>
      </c>
      <c r="S825" s="81"/>
      <c r="T825" s="84" t="str">
        <f t="shared" si="51"/>
        <v>NO</v>
      </c>
      <c r="U825" s="84"/>
      <c r="V825" s="81"/>
      <c r="W825" s="81"/>
      <c r="X825" s="81"/>
      <c r="Y825" s="81"/>
      <c r="Z825" s="81"/>
      <c r="AA825" s="321" t="s">
        <v>2852</v>
      </c>
      <c r="AB825" s="81"/>
      <c r="AC825" s="88"/>
    </row>
    <row r="826" spans="1:29" ht="39.950000000000003" customHeight="1" x14ac:dyDescent="0.2">
      <c r="A826" s="211">
        <v>899</v>
      </c>
      <c r="B826" s="317"/>
      <c r="C826" s="211"/>
      <c r="D826" s="211" t="s">
        <v>1449</v>
      </c>
      <c r="E826" s="212" t="s">
        <v>1452</v>
      </c>
      <c r="F826" s="211">
        <v>2</v>
      </c>
      <c r="G826" s="211" t="s">
        <v>43</v>
      </c>
      <c r="H826" s="317">
        <v>45231</v>
      </c>
      <c r="I826" s="317" t="s">
        <v>77</v>
      </c>
      <c r="J826" s="317" t="s">
        <v>1220</v>
      </c>
      <c r="K826" s="211">
        <f>IFERROR(VLOOKUP(J826,Jueces!$A$1:$B$11,2,FALSE),"")</f>
        <v>1</v>
      </c>
      <c r="L826" s="211" t="s">
        <v>801</v>
      </c>
      <c r="M826" s="211" t="s">
        <v>692</v>
      </c>
      <c r="N826" s="211" t="s">
        <v>3701</v>
      </c>
      <c r="O826" s="211" t="str">
        <f t="shared" ca="1" si="50"/>
        <v>NO</v>
      </c>
      <c r="P826" s="211" t="str">
        <f t="shared" si="48"/>
        <v>DIANOSOL</v>
      </c>
      <c r="Q826" s="211" t="s">
        <v>951</v>
      </c>
      <c r="R826" s="211" t="str">
        <f>VLOOKUP($Q826,Resultados!$A$1:$B$49,2,FALSE)</f>
        <v xml:space="preserve"> _</v>
      </c>
      <c r="S826" s="211"/>
      <c r="T826" s="276" t="str">
        <f t="shared" si="51"/>
        <v>NO</v>
      </c>
      <c r="U826" s="276"/>
      <c r="V826" s="211"/>
      <c r="W826" s="211"/>
      <c r="X826" s="211"/>
      <c r="Y826" s="211"/>
      <c r="Z826" s="211"/>
      <c r="AA826" s="334" t="s">
        <v>2895</v>
      </c>
      <c r="AB826" s="211"/>
      <c r="AC826" s="406"/>
    </row>
    <row r="827" spans="1:29" ht="39.950000000000003" customHeight="1" x14ac:dyDescent="0.2">
      <c r="A827" s="81">
        <v>823</v>
      </c>
      <c r="B827" s="83">
        <v>45216</v>
      </c>
      <c r="C827" s="323">
        <v>0.40625</v>
      </c>
      <c r="D827" s="81" t="s">
        <v>3449</v>
      </c>
      <c r="E827" s="82" t="s">
        <v>3450</v>
      </c>
      <c r="F827" s="81">
        <v>2</v>
      </c>
      <c r="G827" s="81" t="s">
        <v>1442</v>
      </c>
      <c r="H827" s="83">
        <v>45232</v>
      </c>
      <c r="I827" s="83" t="s">
        <v>73</v>
      </c>
      <c r="J827" s="83" t="s">
        <v>2951</v>
      </c>
      <c r="K827" s="81" t="s">
        <v>1520</v>
      </c>
      <c r="L827" s="81" t="s">
        <v>810</v>
      </c>
      <c r="M827" s="81" t="s">
        <v>692</v>
      </c>
      <c r="N827" s="81"/>
      <c r="O827" s="81" t="str">
        <f t="shared" ca="1" si="50"/>
        <v>NO</v>
      </c>
      <c r="P827" s="81" t="str">
        <f t="shared" si="48"/>
        <v>DIANOSOL</v>
      </c>
      <c r="Q827" s="81" t="s">
        <v>951</v>
      </c>
      <c r="R827" s="81" t="str">
        <f>VLOOKUP($Q827,Resultados!$A$1:$B$49,2,FALSE)</f>
        <v xml:space="preserve"> _</v>
      </c>
      <c r="S827" s="81"/>
      <c r="T827" s="84" t="str">
        <f t="shared" si="51"/>
        <v>SI</v>
      </c>
      <c r="U827" s="84"/>
      <c r="V827" s="81"/>
      <c r="W827" s="81"/>
      <c r="X827" s="81"/>
      <c r="Y827" s="81"/>
      <c r="Z827" s="81"/>
      <c r="AA827" s="321" t="s">
        <v>2852</v>
      </c>
      <c r="AB827" s="81"/>
      <c r="AC827" s="88"/>
    </row>
    <row r="828" spans="1:29" ht="39.950000000000003" customHeight="1" x14ac:dyDescent="0.2">
      <c r="A828" s="81">
        <v>855</v>
      </c>
      <c r="B828" s="83">
        <v>45222</v>
      </c>
      <c r="C828" s="323">
        <v>0.4236111111111111</v>
      </c>
      <c r="D828" s="81" t="s">
        <v>3553</v>
      </c>
      <c r="E828" s="82" t="s">
        <v>3554</v>
      </c>
      <c r="F828" s="81">
        <v>3</v>
      </c>
      <c r="G828" s="81" t="s">
        <v>568</v>
      </c>
      <c r="H828" s="83">
        <v>45232</v>
      </c>
      <c r="I828" s="83" t="s">
        <v>73</v>
      </c>
      <c r="J828" s="83" t="s">
        <v>35</v>
      </c>
      <c r="K828" s="81">
        <f>IFERROR(VLOOKUP(J828,Jueces!$A$1:$B$11,2,FALSE),"")</f>
        <v>3</v>
      </c>
      <c r="L828" s="81" t="s">
        <v>811</v>
      </c>
      <c r="M828" s="81" t="s">
        <v>694</v>
      </c>
      <c r="N828" s="81"/>
      <c r="O828" s="81" t="str">
        <f t="shared" ca="1" si="50"/>
        <v>NO</v>
      </c>
      <c r="P828" s="81" t="str">
        <f t="shared" si="48"/>
        <v>DIANOSOL</v>
      </c>
      <c r="Q828" s="81" t="s">
        <v>951</v>
      </c>
      <c r="R828" s="81" t="str">
        <f>VLOOKUP($Q828,Resultados!$A$1:$B$49,2,FALSE)</f>
        <v xml:space="preserve"> _</v>
      </c>
      <c r="S828" s="81"/>
      <c r="T828" s="84" t="str">
        <f t="shared" si="51"/>
        <v>NO</v>
      </c>
      <c r="U828" s="84"/>
      <c r="V828" s="81"/>
      <c r="W828" s="81"/>
      <c r="X828" s="81"/>
      <c r="Y828" s="81"/>
      <c r="Z828" s="81"/>
      <c r="AA828" s="321" t="s">
        <v>1171</v>
      </c>
      <c r="AB828" s="81"/>
      <c r="AC828" s="88"/>
    </row>
    <row r="829" spans="1:29" ht="39.950000000000003" customHeight="1" x14ac:dyDescent="0.2">
      <c r="A829" s="81">
        <v>865</v>
      </c>
      <c r="B829" s="83">
        <v>45222</v>
      </c>
      <c r="C829" s="323">
        <v>0.4680555555555555</v>
      </c>
      <c r="D829" s="81" t="s">
        <v>3585</v>
      </c>
      <c r="E829" s="82" t="s">
        <v>3586</v>
      </c>
      <c r="F829" s="81">
        <v>2</v>
      </c>
      <c r="G829" s="81" t="s">
        <v>3365</v>
      </c>
      <c r="H829" s="83">
        <v>45232</v>
      </c>
      <c r="I829" s="83" t="s">
        <v>73</v>
      </c>
      <c r="J829" s="83" t="s">
        <v>1221</v>
      </c>
      <c r="K829" s="81" t="s">
        <v>1925</v>
      </c>
      <c r="L829" s="81" t="s">
        <v>802</v>
      </c>
      <c r="M829" s="81" t="s">
        <v>693</v>
      </c>
      <c r="N829" s="81"/>
      <c r="O829" s="81" t="str">
        <f t="shared" ca="1" si="50"/>
        <v>NO</v>
      </c>
      <c r="P829" s="81" t="str">
        <f t="shared" si="48"/>
        <v>DIANOSOL</v>
      </c>
      <c r="Q829" s="81" t="s">
        <v>951</v>
      </c>
      <c r="R829" s="81" t="str">
        <f>VLOOKUP($Q829,Resultados!$A$1:$B$49,2,FALSE)</f>
        <v xml:space="preserve"> _</v>
      </c>
      <c r="S829" s="81"/>
      <c r="T829" s="84" t="str">
        <f t="shared" si="51"/>
        <v>NO</v>
      </c>
      <c r="U829" s="84"/>
      <c r="V829" s="81"/>
      <c r="W829" s="81"/>
      <c r="X829" s="81"/>
      <c r="Y829" s="81"/>
      <c r="Z829" s="81"/>
      <c r="AA829" s="321" t="s">
        <v>2895</v>
      </c>
      <c r="AB829" s="81"/>
      <c r="AC829" s="78"/>
    </row>
    <row r="830" spans="1:29" ht="39.950000000000003" customHeight="1" x14ac:dyDescent="0.2">
      <c r="A830" s="81">
        <v>852</v>
      </c>
      <c r="B830" s="83">
        <v>45219</v>
      </c>
      <c r="C830" s="81" t="s">
        <v>1015</v>
      </c>
      <c r="D830" s="81" t="s">
        <v>3531</v>
      </c>
      <c r="E830" s="82" t="s">
        <v>3532</v>
      </c>
      <c r="F830" s="81">
        <v>2</v>
      </c>
      <c r="G830" s="81" t="s">
        <v>1441</v>
      </c>
      <c r="H830" s="83">
        <v>45232</v>
      </c>
      <c r="I830" s="83" t="s">
        <v>1086</v>
      </c>
      <c r="J830" s="83" t="s">
        <v>31</v>
      </c>
      <c r="K830" s="81">
        <f>IFERROR(VLOOKUP(J830,Jueces!$A$1:$B$11,2,FALSE),"")</f>
        <v>2</v>
      </c>
      <c r="L830" s="81" t="s">
        <v>1702</v>
      </c>
      <c r="M830" s="81" t="s">
        <v>692</v>
      </c>
      <c r="N830" s="81" t="s">
        <v>3559</v>
      </c>
      <c r="O830" s="81" t="str">
        <f t="shared" ca="1" si="50"/>
        <v>NO</v>
      </c>
      <c r="P830" s="81" t="str">
        <f t="shared" si="48"/>
        <v>DIANOSOL</v>
      </c>
      <c r="Q830" s="81" t="s">
        <v>951</v>
      </c>
      <c r="R830" s="81" t="str">
        <f>VLOOKUP($Q830,Resultados!$A$1:$B$49,2,FALSE)</f>
        <v xml:space="preserve"> _</v>
      </c>
      <c r="S830" s="81"/>
      <c r="T830" s="84" t="str">
        <f t="shared" si="51"/>
        <v>NO</v>
      </c>
      <c r="U830" s="84"/>
      <c r="V830" s="81"/>
      <c r="W830" s="81"/>
      <c r="X830" s="81"/>
      <c r="Y830" s="81"/>
      <c r="Z830" s="81"/>
      <c r="AA830" s="321" t="s">
        <v>3428</v>
      </c>
      <c r="AB830" s="81"/>
      <c r="AC830" s="78"/>
    </row>
    <row r="831" spans="1:29" ht="39.950000000000003" customHeight="1" x14ac:dyDescent="0.2">
      <c r="A831" s="81">
        <v>859</v>
      </c>
      <c r="B831" s="83">
        <v>45222</v>
      </c>
      <c r="C831" s="323">
        <v>0.42083333333333334</v>
      </c>
      <c r="D831" s="81" t="s">
        <v>3563</v>
      </c>
      <c r="E831" s="82" t="s">
        <v>3564</v>
      </c>
      <c r="F831" s="81">
        <v>2</v>
      </c>
      <c r="G831" s="81" t="s">
        <v>1443</v>
      </c>
      <c r="H831" s="83">
        <v>45232</v>
      </c>
      <c r="I831" s="83" t="s">
        <v>1086</v>
      </c>
      <c r="J831" s="83" t="s">
        <v>1225</v>
      </c>
      <c r="K831" s="81">
        <f>IFERROR(VLOOKUP(J831,Jueces!$A$1:$B$11,2,FALSE),"")</f>
        <v>6</v>
      </c>
      <c r="L831" s="81" t="s">
        <v>811</v>
      </c>
      <c r="M831" s="81" t="s">
        <v>693</v>
      </c>
      <c r="N831" s="81"/>
      <c r="O831" s="81" t="str">
        <f t="shared" ca="1" si="50"/>
        <v>NO</v>
      </c>
      <c r="P831" s="81" t="str">
        <f t="shared" si="48"/>
        <v>DIANOSOL</v>
      </c>
      <c r="Q831" s="81" t="s">
        <v>951</v>
      </c>
      <c r="R831" s="81" t="str">
        <f>VLOOKUP($Q831,Resultados!$A$1:$B$49,2,FALSE)</f>
        <v xml:space="preserve"> _</v>
      </c>
      <c r="S831" s="81"/>
      <c r="T831" s="84" t="str">
        <f t="shared" si="51"/>
        <v>NO</v>
      </c>
      <c r="U831" s="84"/>
      <c r="V831" s="81"/>
      <c r="W831" s="81"/>
      <c r="X831" s="81"/>
      <c r="Y831" s="81"/>
      <c r="Z831" s="81"/>
      <c r="AA831" s="321" t="s">
        <v>3427</v>
      </c>
      <c r="AB831" s="81"/>
      <c r="AC831" s="78"/>
    </row>
    <row r="832" spans="1:29" ht="39.950000000000003" customHeight="1" x14ac:dyDescent="0.2">
      <c r="A832" s="81">
        <v>861</v>
      </c>
      <c r="B832" s="83">
        <v>45222</v>
      </c>
      <c r="C832" s="323">
        <v>0.42152777777777778</v>
      </c>
      <c r="D832" s="81" t="s">
        <v>3567</v>
      </c>
      <c r="E832" s="82" t="s">
        <v>3568</v>
      </c>
      <c r="F832" s="81">
        <v>2</v>
      </c>
      <c r="G832" s="81" t="s">
        <v>2838</v>
      </c>
      <c r="H832" s="83">
        <v>45232</v>
      </c>
      <c r="I832" s="83" t="s">
        <v>1086</v>
      </c>
      <c r="J832" s="83" t="s">
        <v>78</v>
      </c>
      <c r="K832" s="81">
        <f>IFERROR(VLOOKUP(J832,Jueces!$A$1:$B$11,2,FALSE),"")</f>
        <v>8</v>
      </c>
      <c r="L832" s="81" t="s">
        <v>791</v>
      </c>
      <c r="M832" s="81" t="s">
        <v>2694</v>
      </c>
      <c r="N832" s="81"/>
      <c r="O832" s="81" t="str">
        <f t="shared" ca="1" si="50"/>
        <v>NO</v>
      </c>
      <c r="P832" s="81" t="str">
        <f t="shared" si="48"/>
        <v>DIANOSOL</v>
      </c>
      <c r="Q832" s="81" t="s">
        <v>951</v>
      </c>
      <c r="R832" s="81" t="str">
        <f>VLOOKUP($Q832,Resultados!$A$1:$B$49,2,FALSE)</f>
        <v xml:space="preserve"> _</v>
      </c>
      <c r="S832" s="81"/>
      <c r="T832" s="84" t="str">
        <f t="shared" si="51"/>
        <v>NO</v>
      </c>
      <c r="U832" s="84"/>
      <c r="V832" s="81"/>
      <c r="W832" s="81"/>
      <c r="X832" s="81"/>
      <c r="Y832" s="81"/>
      <c r="Z832" s="81"/>
      <c r="AA832" s="321" t="s">
        <v>1171</v>
      </c>
      <c r="AB832" s="81"/>
      <c r="AC832" s="78"/>
    </row>
    <row r="833" spans="1:29" ht="39.950000000000003" customHeight="1" x14ac:dyDescent="0.2">
      <c r="A833" s="81">
        <v>841</v>
      </c>
      <c r="B833" s="83">
        <v>45218</v>
      </c>
      <c r="C833" s="323">
        <v>0.41597222222222219</v>
      </c>
      <c r="D833" s="81" t="s">
        <v>2306</v>
      </c>
      <c r="E833" s="82" t="s">
        <v>3498</v>
      </c>
      <c r="F833" s="81">
        <v>6</v>
      </c>
      <c r="G833" s="81" t="s">
        <v>283</v>
      </c>
      <c r="H833" s="83">
        <v>45232</v>
      </c>
      <c r="I833" s="83" t="s">
        <v>3212</v>
      </c>
      <c r="J833" s="83" t="s">
        <v>1221</v>
      </c>
      <c r="K833" s="81" t="s">
        <v>1925</v>
      </c>
      <c r="L833" s="81" t="s">
        <v>811</v>
      </c>
      <c r="M833" s="81" t="s">
        <v>2125</v>
      </c>
      <c r="N833" s="81"/>
      <c r="O833" s="81" t="str">
        <f t="shared" ca="1" si="50"/>
        <v>NO</v>
      </c>
      <c r="P833" s="81" t="str">
        <f t="shared" si="48"/>
        <v>DIANOSOL</v>
      </c>
      <c r="Q833" s="81" t="s">
        <v>951</v>
      </c>
      <c r="R833" s="81" t="str">
        <f>VLOOKUP($Q833,Resultados!$A$1:$B$49,2,FALSE)</f>
        <v xml:space="preserve"> _</v>
      </c>
      <c r="S833" s="81"/>
      <c r="T833" s="84" t="str">
        <f t="shared" si="51"/>
        <v>NO</v>
      </c>
      <c r="U833" s="84"/>
      <c r="V833" s="81"/>
      <c r="W833" s="81"/>
      <c r="X833" s="81"/>
      <c r="Y833" s="81"/>
      <c r="Z833" s="81"/>
      <c r="AA833" s="321" t="s">
        <v>2895</v>
      </c>
      <c r="AB833" s="81"/>
      <c r="AC833" s="78"/>
    </row>
    <row r="834" spans="1:29" ht="39.950000000000003" customHeight="1" x14ac:dyDescent="0.2">
      <c r="A834" s="81">
        <v>834</v>
      </c>
      <c r="B834" s="83">
        <v>45217</v>
      </c>
      <c r="C834" s="323">
        <v>0.48333333333333334</v>
      </c>
      <c r="D834" s="81" t="s">
        <v>3471</v>
      </c>
      <c r="E834" s="82" t="s">
        <v>3508</v>
      </c>
      <c r="F834" s="81">
        <v>3</v>
      </c>
      <c r="G834" s="81" t="s">
        <v>2788</v>
      </c>
      <c r="H834" s="83">
        <v>45232</v>
      </c>
      <c r="I834" s="83" t="s">
        <v>989</v>
      </c>
      <c r="J834" s="83" t="s">
        <v>1220</v>
      </c>
      <c r="K834" s="81">
        <v>8</v>
      </c>
      <c r="L834" s="81" t="s">
        <v>809</v>
      </c>
      <c r="M834" s="81" t="s">
        <v>694</v>
      </c>
      <c r="N834" s="81"/>
      <c r="O834" s="81" t="str">
        <f t="shared" ca="1" si="50"/>
        <v>NO</v>
      </c>
      <c r="P834" s="81" t="str">
        <f t="shared" si="48"/>
        <v>DIANOSOL</v>
      </c>
      <c r="Q834" s="81" t="s">
        <v>951</v>
      </c>
      <c r="R834" s="81" t="str">
        <f>VLOOKUP($Q834,Resultados!$A$1:$B$49,2,FALSE)</f>
        <v xml:space="preserve"> _</v>
      </c>
      <c r="S834" s="81"/>
      <c r="T834" s="84" t="str">
        <f t="shared" si="51"/>
        <v>NO</v>
      </c>
      <c r="U834" s="84"/>
      <c r="V834" s="81"/>
      <c r="W834" s="81"/>
      <c r="X834" s="81"/>
      <c r="Y834" s="81"/>
      <c r="Z834" s="81"/>
      <c r="AA834" s="321" t="s">
        <v>3427</v>
      </c>
      <c r="AB834" s="81"/>
      <c r="AC834" s="78"/>
    </row>
    <row r="835" spans="1:29" ht="39.950000000000003" customHeight="1" x14ac:dyDescent="0.2">
      <c r="A835" s="211">
        <v>760</v>
      </c>
      <c r="B835" s="317">
        <v>45206</v>
      </c>
      <c r="C835" s="318">
        <v>0.47013888888888888</v>
      </c>
      <c r="D835" s="352" t="s">
        <v>2495</v>
      </c>
      <c r="E835" s="212" t="s">
        <v>3219</v>
      </c>
      <c r="F835" s="211">
        <v>4</v>
      </c>
      <c r="G835" s="211" t="s">
        <v>568</v>
      </c>
      <c r="H835" s="317">
        <v>45233</v>
      </c>
      <c r="I835" s="317" t="s">
        <v>73</v>
      </c>
      <c r="J835" s="317" t="s">
        <v>31</v>
      </c>
      <c r="K835" s="211">
        <f>IFERROR(VLOOKUP(J835,Jueces!$A$1:$B$11,2,FALSE),"")</f>
        <v>2</v>
      </c>
      <c r="L835" s="211" t="s">
        <v>798</v>
      </c>
      <c r="M835" s="211" t="s">
        <v>695</v>
      </c>
      <c r="N835" s="354" t="s">
        <v>3414</v>
      </c>
      <c r="O835" s="211" t="str">
        <f t="shared" ca="1" si="50"/>
        <v>NO</v>
      </c>
      <c r="P835" s="211" t="str">
        <f t="shared" ref="P835:P898" si="52">IF($P$1=H835,"DIASOL", "DIANOSOL")</f>
        <v>DIANOSOL</v>
      </c>
      <c r="Q835" s="211" t="s">
        <v>951</v>
      </c>
      <c r="R835" s="211" t="str">
        <f>VLOOKUP($Q835,Resultados!$A$1:$B$49,2,FALSE)</f>
        <v xml:space="preserve"> _</v>
      </c>
      <c r="S835" s="211"/>
      <c r="T835" s="276" t="str">
        <f t="shared" si="51"/>
        <v>NO</v>
      </c>
      <c r="U835" s="276"/>
      <c r="V835" s="211"/>
      <c r="W835" s="211"/>
      <c r="X835" s="211"/>
      <c r="Y835" s="211"/>
      <c r="Z835" s="211"/>
      <c r="AA835" s="353" t="s">
        <v>1169</v>
      </c>
      <c r="AB835" s="353" t="s">
        <v>1173</v>
      </c>
      <c r="AC835" s="405"/>
    </row>
    <row r="836" spans="1:29" ht="39.950000000000003" customHeight="1" x14ac:dyDescent="0.2">
      <c r="A836" s="81">
        <v>831</v>
      </c>
      <c r="B836" s="83">
        <v>45210</v>
      </c>
      <c r="C836" s="323">
        <v>0.3972222222222222</v>
      </c>
      <c r="D836" s="81" t="s">
        <v>3378</v>
      </c>
      <c r="E836" s="82" t="s">
        <v>3467</v>
      </c>
      <c r="F836" s="81">
        <v>4</v>
      </c>
      <c r="G836" s="81" t="s">
        <v>2788</v>
      </c>
      <c r="H836" s="83">
        <v>45233</v>
      </c>
      <c r="I836" s="83" t="s">
        <v>73</v>
      </c>
      <c r="J836" s="83" t="s">
        <v>1221</v>
      </c>
      <c r="K836" s="81">
        <f>IFERROR(VLOOKUP(J836,Jueces!$A$1:$B$11,2,FALSE),"")</f>
        <v>7</v>
      </c>
      <c r="L836" s="81" t="s">
        <v>814</v>
      </c>
      <c r="M836" s="81" t="s">
        <v>3468</v>
      </c>
      <c r="N836" s="81"/>
      <c r="O836" s="81" t="str">
        <f t="shared" ca="1" si="50"/>
        <v>NO</v>
      </c>
      <c r="P836" s="81" t="str">
        <f t="shared" si="52"/>
        <v>DIANOSOL</v>
      </c>
      <c r="Q836" s="81" t="s">
        <v>951</v>
      </c>
      <c r="R836" s="81" t="str">
        <f>VLOOKUP($Q836,Resultados!$A$1:$B$49,2,FALSE)</f>
        <v xml:space="preserve"> _</v>
      </c>
      <c r="S836" s="81"/>
      <c r="T836" s="84" t="str">
        <f t="shared" si="51"/>
        <v>NO</v>
      </c>
      <c r="U836" s="84"/>
      <c r="V836" s="81"/>
      <c r="W836" s="81"/>
      <c r="X836" s="81"/>
      <c r="Y836" s="81"/>
      <c r="Z836" s="81"/>
      <c r="AA836" s="321" t="s">
        <v>2895</v>
      </c>
      <c r="AB836" s="81"/>
      <c r="AC836" s="78"/>
    </row>
    <row r="837" spans="1:29" ht="39.950000000000003" customHeight="1" x14ac:dyDescent="0.2">
      <c r="A837" s="81">
        <v>853</v>
      </c>
      <c r="B837" s="83">
        <v>45219</v>
      </c>
      <c r="C837" s="323">
        <v>0.52916666666666667</v>
      </c>
      <c r="D837" s="81" t="s">
        <v>3535</v>
      </c>
      <c r="E837" s="82" t="s">
        <v>3537</v>
      </c>
      <c r="F837" s="81">
        <v>2</v>
      </c>
      <c r="G837" s="81" t="s">
        <v>3365</v>
      </c>
      <c r="H837" s="83">
        <v>45233</v>
      </c>
      <c r="I837" s="83" t="s">
        <v>73</v>
      </c>
      <c r="J837" s="83" t="s">
        <v>1732</v>
      </c>
      <c r="K837" s="81" t="s">
        <v>1346</v>
      </c>
      <c r="L837" s="81" t="s">
        <v>810</v>
      </c>
      <c r="M837" s="81" t="s">
        <v>693</v>
      </c>
      <c r="N837" s="81"/>
      <c r="O837" s="81" t="str">
        <f t="shared" ca="1" si="50"/>
        <v>NO</v>
      </c>
      <c r="P837" s="81" t="str">
        <f t="shared" si="52"/>
        <v>DIANOSOL</v>
      </c>
      <c r="Q837" s="81" t="s">
        <v>951</v>
      </c>
      <c r="R837" s="81" t="str">
        <f>VLOOKUP($Q837,Resultados!$A$1:$B$49,2,FALSE)</f>
        <v xml:space="preserve"> _</v>
      </c>
      <c r="S837" s="81"/>
      <c r="T837" s="84" t="str">
        <f t="shared" si="51"/>
        <v>NO</v>
      </c>
      <c r="U837" s="84"/>
      <c r="V837" s="81"/>
      <c r="W837" s="81"/>
      <c r="X837" s="81"/>
      <c r="Y837" s="81"/>
      <c r="Z837" s="81"/>
      <c r="AA837" s="321" t="s">
        <v>2852</v>
      </c>
      <c r="AB837" s="81"/>
      <c r="AC837" s="78"/>
    </row>
    <row r="838" spans="1:29" ht="39.950000000000003" customHeight="1" x14ac:dyDescent="0.2">
      <c r="A838" s="81">
        <v>856</v>
      </c>
      <c r="B838" s="83">
        <v>45219</v>
      </c>
      <c r="C838" s="323">
        <v>0.46180555555555558</v>
      </c>
      <c r="D838" s="81" t="s">
        <v>3555</v>
      </c>
      <c r="E838" s="82" t="s">
        <v>3556</v>
      </c>
      <c r="F838" s="81">
        <v>3</v>
      </c>
      <c r="G838" s="81" t="s">
        <v>3366</v>
      </c>
      <c r="H838" s="83">
        <v>45233</v>
      </c>
      <c r="I838" s="83" t="s">
        <v>73</v>
      </c>
      <c r="J838" s="83" t="s">
        <v>78</v>
      </c>
      <c r="K838" s="81">
        <f>IFERROR(VLOOKUP(J838,Jueces!$A$1:$B$11,2,FALSE),"")</f>
        <v>8</v>
      </c>
      <c r="L838" s="81" t="s">
        <v>811</v>
      </c>
      <c r="M838" s="81" t="s">
        <v>694</v>
      </c>
      <c r="N838" s="81"/>
      <c r="O838" s="81" t="str">
        <f t="shared" ca="1" si="50"/>
        <v>NO</v>
      </c>
      <c r="P838" s="81" t="str">
        <f t="shared" si="52"/>
        <v>DIANOSOL</v>
      </c>
      <c r="Q838" s="81" t="s">
        <v>951</v>
      </c>
      <c r="R838" s="81" t="str">
        <f>VLOOKUP($Q838,Resultados!$A$1:$B$49,2,FALSE)</f>
        <v xml:space="preserve"> _</v>
      </c>
      <c r="S838" s="81"/>
      <c r="T838" s="84" t="str">
        <f t="shared" si="51"/>
        <v>NO</v>
      </c>
      <c r="U838" s="84"/>
      <c r="V838" s="81"/>
      <c r="W838" s="81"/>
      <c r="X838" s="81"/>
      <c r="Y838" s="81"/>
      <c r="Z838" s="81"/>
      <c r="AA838" s="321" t="s">
        <v>2895</v>
      </c>
      <c r="AB838" s="81"/>
      <c r="AC838" s="78"/>
    </row>
    <row r="839" spans="1:29" ht="39.950000000000003" customHeight="1" x14ac:dyDescent="0.2">
      <c r="A839" s="81">
        <v>844</v>
      </c>
      <c r="B839" s="83">
        <v>45218</v>
      </c>
      <c r="C839" s="323">
        <v>0.42291666666666666</v>
      </c>
      <c r="D839" s="81" t="s">
        <v>981</v>
      </c>
      <c r="E839" s="82" t="s">
        <v>3503</v>
      </c>
      <c r="F839" s="81">
        <v>8</v>
      </c>
      <c r="G839" s="81" t="s">
        <v>1442</v>
      </c>
      <c r="H839" s="83">
        <v>45233</v>
      </c>
      <c r="I839" s="83" t="s">
        <v>749</v>
      </c>
      <c r="J839" s="83" t="s">
        <v>1225</v>
      </c>
      <c r="K839" s="81">
        <f>IFERROR(VLOOKUP(J839,Jueces!$A$1:$B$11,2,FALSE),"")</f>
        <v>6</v>
      </c>
      <c r="L839" s="81" t="s">
        <v>813</v>
      </c>
      <c r="M839" s="81" t="s">
        <v>723</v>
      </c>
      <c r="N839" s="81"/>
      <c r="O839" s="81" t="str">
        <f t="shared" ca="1" si="50"/>
        <v>NO</v>
      </c>
      <c r="P839" s="81" t="str">
        <f t="shared" si="52"/>
        <v>DIANOSOL</v>
      </c>
      <c r="Q839" s="81" t="s">
        <v>951</v>
      </c>
      <c r="R839" s="81" t="str">
        <f>VLOOKUP($Q839,Resultados!$A$1:$B$49,2,FALSE)</f>
        <v xml:space="preserve"> _</v>
      </c>
      <c r="S839" s="81"/>
      <c r="T839" s="84" t="str">
        <f t="shared" si="51"/>
        <v>SI</v>
      </c>
      <c r="U839" s="84"/>
      <c r="V839" s="81"/>
      <c r="W839" s="81"/>
      <c r="X839" s="81"/>
      <c r="Y839" s="81"/>
      <c r="Z839" s="81"/>
      <c r="AA839" s="321" t="s">
        <v>3427</v>
      </c>
      <c r="AB839" s="81"/>
      <c r="AC839" s="78"/>
    </row>
    <row r="840" spans="1:29" ht="39.950000000000003" customHeight="1" x14ac:dyDescent="0.2">
      <c r="A840" s="81">
        <v>810</v>
      </c>
      <c r="B840" s="83">
        <v>45211</v>
      </c>
      <c r="C840" s="323">
        <v>0.38680555555555557</v>
      </c>
      <c r="D840" s="81" t="s">
        <v>3395</v>
      </c>
      <c r="E840" s="82" t="s">
        <v>3396</v>
      </c>
      <c r="F840" s="81">
        <v>7</v>
      </c>
      <c r="G840" s="81" t="s">
        <v>283</v>
      </c>
      <c r="H840" s="83">
        <v>45233</v>
      </c>
      <c r="I840" s="83" t="s">
        <v>1086</v>
      </c>
      <c r="J840" s="83" t="s">
        <v>35</v>
      </c>
      <c r="K840" s="81">
        <f>IFERROR(VLOOKUP(J840,Jueces!$A$1:$B$11,2,FALSE),"")</f>
        <v>3</v>
      </c>
      <c r="L840" s="81" t="s">
        <v>1070</v>
      </c>
      <c r="M840" s="79" t="s">
        <v>692</v>
      </c>
      <c r="N840" s="81" t="s">
        <v>3552</v>
      </c>
      <c r="O840" s="81" t="str">
        <f t="shared" ca="1" si="50"/>
        <v>NO</v>
      </c>
      <c r="P840" s="81" t="str">
        <f t="shared" si="52"/>
        <v>DIANOSOL</v>
      </c>
      <c r="Q840" s="81" t="s">
        <v>951</v>
      </c>
      <c r="R840" s="81" t="str">
        <f>VLOOKUP($Q840,Resultados!$A$1:$B$49,2,FALSE)</f>
        <v xml:space="preserve"> _</v>
      </c>
      <c r="S840" s="81"/>
      <c r="T840" s="84" t="str">
        <f t="shared" si="51"/>
        <v>NO</v>
      </c>
      <c r="U840" s="84"/>
      <c r="V840" s="81"/>
      <c r="W840" s="81"/>
      <c r="X840" s="81"/>
      <c r="Y840" s="81"/>
      <c r="Z840" s="81"/>
      <c r="AA840" s="321" t="s">
        <v>3427</v>
      </c>
      <c r="AB840" s="81"/>
      <c r="AC840" s="78"/>
    </row>
    <row r="841" spans="1:29" ht="39.950000000000003" customHeight="1" x14ac:dyDescent="0.2">
      <c r="A841" s="81">
        <v>838</v>
      </c>
      <c r="B841" s="83">
        <v>45217</v>
      </c>
      <c r="C841" s="323">
        <v>0.46180555555555558</v>
      </c>
      <c r="D841" s="362" t="s">
        <v>1348</v>
      </c>
      <c r="E841" s="82" t="s">
        <v>3480</v>
      </c>
      <c r="F841" s="81">
        <v>4</v>
      </c>
      <c r="G841" s="81" t="s">
        <v>1443</v>
      </c>
      <c r="H841" s="83">
        <v>45233</v>
      </c>
      <c r="I841" s="83" t="s">
        <v>1086</v>
      </c>
      <c r="J841" s="83" t="s">
        <v>31</v>
      </c>
      <c r="K841" s="81">
        <f>IFERROR(VLOOKUP(J841,Jueces!$A$1:$B$11,2,FALSE),"")</f>
        <v>2</v>
      </c>
      <c r="L841" s="81" t="s">
        <v>814</v>
      </c>
      <c r="M841" s="401" t="s">
        <v>1447</v>
      </c>
      <c r="N841" s="81" t="s">
        <v>3524</v>
      </c>
      <c r="O841" s="81" t="str">
        <f t="shared" ca="1" si="50"/>
        <v>NO</v>
      </c>
      <c r="P841" s="81" t="str">
        <f t="shared" si="52"/>
        <v>DIANOSOL</v>
      </c>
      <c r="Q841" s="81" t="s">
        <v>951</v>
      </c>
      <c r="R841" s="81" t="str">
        <f>VLOOKUP($Q841,Resultados!$A$1:$B$49,2,FALSE)</f>
        <v xml:space="preserve"> _</v>
      </c>
      <c r="S841" s="81"/>
      <c r="T841" s="84" t="str">
        <f t="shared" si="51"/>
        <v>NO</v>
      </c>
      <c r="U841" s="84"/>
      <c r="V841" s="81"/>
      <c r="W841" s="81"/>
      <c r="X841" s="81"/>
      <c r="Y841" s="81"/>
      <c r="Z841" s="81"/>
      <c r="AA841" s="321" t="s">
        <v>1171</v>
      </c>
      <c r="AB841" s="81"/>
      <c r="AC841" s="78" t="s">
        <v>1801</v>
      </c>
    </row>
    <row r="842" spans="1:29" ht="39.950000000000003" customHeight="1" x14ac:dyDescent="0.2">
      <c r="A842" s="81">
        <v>839</v>
      </c>
      <c r="B842" s="83">
        <v>45217</v>
      </c>
      <c r="C842" s="323">
        <v>0.4909722222222222</v>
      </c>
      <c r="D842" s="81" t="s">
        <v>3478</v>
      </c>
      <c r="E842" s="82" t="s">
        <v>3708</v>
      </c>
      <c r="F842" s="81">
        <v>2</v>
      </c>
      <c r="G842" s="81" t="s">
        <v>2838</v>
      </c>
      <c r="H842" s="83">
        <v>45233</v>
      </c>
      <c r="I842" s="83" t="s">
        <v>1210</v>
      </c>
      <c r="J842" s="83" t="s">
        <v>1221</v>
      </c>
      <c r="K842" s="81" t="s">
        <v>1925</v>
      </c>
      <c r="L842" s="81" t="s">
        <v>791</v>
      </c>
      <c r="M842" s="81" t="s">
        <v>692</v>
      </c>
      <c r="N842" s="81"/>
      <c r="O842" s="81" t="str">
        <f t="shared" ca="1" si="50"/>
        <v>NO</v>
      </c>
      <c r="P842" s="81" t="str">
        <f t="shared" si="52"/>
        <v>DIANOSOL</v>
      </c>
      <c r="Q842" s="81" t="s">
        <v>951</v>
      </c>
      <c r="R842" s="81" t="str">
        <f>VLOOKUP($Q842,Resultados!$A$1:$B$49,2,FALSE)</f>
        <v xml:space="preserve"> _</v>
      </c>
      <c r="S842" s="81"/>
      <c r="T842" s="84" t="str">
        <f t="shared" si="51"/>
        <v>NO</v>
      </c>
      <c r="U842" s="84"/>
      <c r="V842" s="81"/>
      <c r="W842" s="81"/>
      <c r="X842" s="81"/>
      <c r="Y842" s="81"/>
      <c r="Z842" s="81"/>
      <c r="AA842" s="321" t="s">
        <v>2852</v>
      </c>
      <c r="AB842" s="81"/>
      <c r="AC842" s="78"/>
    </row>
    <row r="843" spans="1:29" ht="39.950000000000003" customHeight="1" x14ac:dyDescent="0.2">
      <c r="A843" s="81">
        <v>789</v>
      </c>
      <c r="B843" s="83">
        <v>45209</v>
      </c>
      <c r="C843" s="323">
        <v>0.4465277777777778</v>
      </c>
      <c r="D843" s="81" t="s">
        <v>3319</v>
      </c>
      <c r="E843" s="82" t="s">
        <v>3593</v>
      </c>
      <c r="F843" s="81">
        <v>1</v>
      </c>
      <c r="G843" s="81" t="s">
        <v>568</v>
      </c>
      <c r="H843" s="83">
        <v>45236</v>
      </c>
      <c r="I843" s="83" t="s">
        <v>73</v>
      </c>
      <c r="J843" s="83" t="s">
        <v>78</v>
      </c>
      <c r="K843" s="81">
        <f>IFERROR(VLOOKUP(J843,Jueces!$A$1:$B$11,2,FALSE),"")</f>
        <v>8</v>
      </c>
      <c r="L843" s="81" t="s">
        <v>806</v>
      </c>
      <c r="M843" s="81" t="s">
        <v>692</v>
      </c>
      <c r="N843" s="81"/>
      <c r="O843" s="81" t="str">
        <f t="shared" ca="1" si="50"/>
        <v>NO</v>
      </c>
      <c r="P843" s="81" t="str">
        <f t="shared" si="52"/>
        <v>DIANOSOL</v>
      </c>
      <c r="Q843" s="81" t="s">
        <v>951</v>
      </c>
      <c r="R843" s="81" t="str">
        <f>VLOOKUP($Q843,Resultados!$A$1:$B$49,2,FALSE)</f>
        <v xml:space="preserve"> _</v>
      </c>
      <c r="S843" s="81"/>
      <c r="T843" s="84" t="str">
        <f t="shared" si="51"/>
        <v>NO</v>
      </c>
      <c r="U843" s="84"/>
      <c r="V843" s="81"/>
      <c r="W843" s="81"/>
      <c r="X843" s="81"/>
      <c r="Y843" s="81"/>
      <c r="Z843" s="81"/>
      <c r="AA843" s="321" t="s">
        <v>3428</v>
      </c>
      <c r="AB843" s="81"/>
      <c r="AC843" s="78"/>
    </row>
    <row r="844" spans="1:29" ht="39.950000000000003" customHeight="1" x14ac:dyDescent="0.2">
      <c r="A844" s="81">
        <v>833</v>
      </c>
      <c r="B844" s="83">
        <v>45217</v>
      </c>
      <c r="C844" s="323">
        <v>0.4826388888888889</v>
      </c>
      <c r="D844" s="81" t="s">
        <v>3469</v>
      </c>
      <c r="E844" s="82" t="s">
        <v>3470</v>
      </c>
      <c r="F844" s="81">
        <v>1</v>
      </c>
      <c r="G844" s="81" t="s">
        <v>3366</v>
      </c>
      <c r="H844" s="83">
        <v>45236</v>
      </c>
      <c r="I844" s="83" t="s">
        <v>73</v>
      </c>
      <c r="J844" s="83" t="s">
        <v>2951</v>
      </c>
      <c r="K844" s="81" t="s">
        <v>1346</v>
      </c>
      <c r="L844" s="81" t="s">
        <v>802</v>
      </c>
      <c r="M844" s="81" t="s">
        <v>712</v>
      </c>
      <c r="N844" s="81"/>
      <c r="O844" s="81" t="str">
        <f t="shared" ca="1" si="50"/>
        <v>NO</v>
      </c>
      <c r="P844" s="81" t="str">
        <f t="shared" si="52"/>
        <v>DIANOSOL</v>
      </c>
      <c r="Q844" s="81" t="s">
        <v>951</v>
      </c>
      <c r="R844" s="81" t="str">
        <f>VLOOKUP($Q844,Resultados!$A$1:$B$49,2,FALSE)</f>
        <v xml:space="preserve"> _</v>
      </c>
      <c r="S844" s="81"/>
      <c r="T844" s="84" t="str">
        <f t="shared" si="51"/>
        <v>NO</v>
      </c>
      <c r="U844" s="84"/>
      <c r="V844" s="81"/>
      <c r="W844" s="81"/>
      <c r="X844" s="81"/>
      <c r="Y844" s="81"/>
      <c r="Z844" s="81"/>
      <c r="AA844" s="321" t="s">
        <v>2895</v>
      </c>
      <c r="AB844" s="81"/>
      <c r="AC844" s="78"/>
    </row>
    <row r="845" spans="1:29" ht="39.950000000000003" customHeight="1" x14ac:dyDescent="0.2">
      <c r="A845" s="81">
        <v>858</v>
      </c>
      <c r="B845" s="83">
        <v>45222</v>
      </c>
      <c r="C845" s="323">
        <v>0.4201388888888889</v>
      </c>
      <c r="D845" s="81" t="s">
        <v>3561</v>
      </c>
      <c r="E845" s="82" t="s">
        <v>3562</v>
      </c>
      <c r="F845" s="81">
        <v>2</v>
      </c>
      <c r="G845" s="81" t="s">
        <v>1441</v>
      </c>
      <c r="H845" s="83">
        <v>45236</v>
      </c>
      <c r="I845" s="83" t="s">
        <v>73</v>
      </c>
      <c r="J845" s="83" t="s">
        <v>31</v>
      </c>
      <c r="K845" s="81">
        <f>IFERROR(VLOOKUP(J845,Jueces!$A$1:$B$11,2,FALSE),"")</f>
        <v>2</v>
      </c>
      <c r="L845" s="81" t="s">
        <v>1702</v>
      </c>
      <c r="M845" s="369" t="s">
        <v>2142</v>
      </c>
      <c r="N845" s="81" t="s">
        <v>3612</v>
      </c>
      <c r="O845" s="81" t="str">
        <f t="shared" ca="1" si="50"/>
        <v>NO</v>
      </c>
      <c r="P845" s="81" t="str">
        <f t="shared" si="52"/>
        <v>DIANOSOL</v>
      </c>
      <c r="Q845" s="81" t="s">
        <v>951</v>
      </c>
      <c r="R845" s="81" t="str">
        <f>VLOOKUP($Q845,Resultados!$A$1:$B$49,2,FALSE)</f>
        <v xml:space="preserve"> _</v>
      </c>
      <c r="S845" s="81"/>
      <c r="T845" s="84" t="str">
        <f t="shared" si="51"/>
        <v>NO</v>
      </c>
      <c r="U845" s="84"/>
      <c r="V845" s="81"/>
      <c r="W845" s="81"/>
      <c r="X845" s="81"/>
      <c r="Y845" s="81"/>
      <c r="Z845" s="81"/>
      <c r="AA845" s="321" t="s">
        <v>2852</v>
      </c>
      <c r="AB845" s="81"/>
      <c r="AC845" s="78"/>
    </row>
    <row r="846" spans="1:29" ht="39.950000000000003" customHeight="1" x14ac:dyDescent="0.2">
      <c r="A846" s="81">
        <v>867</v>
      </c>
      <c r="B846" s="83">
        <v>45222</v>
      </c>
      <c r="C846" s="323">
        <v>0.40763888888888888</v>
      </c>
      <c r="D846" s="81" t="s">
        <v>3599</v>
      </c>
      <c r="E846" s="82" t="s">
        <v>3600</v>
      </c>
      <c r="F846" s="81">
        <v>2</v>
      </c>
      <c r="G846" s="81" t="s">
        <v>2788</v>
      </c>
      <c r="H846" s="83">
        <v>45236</v>
      </c>
      <c r="I846" s="83" t="s">
        <v>73</v>
      </c>
      <c r="J846" s="83" t="s">
        <v>35</v>
      </c>
      <c r="K846" s="81">
        <f>IFERROR(VLOOKUP(J846,Jueces!$A$1:$B$11,2,FALSE),"")</f>
        <v>3</v>
      </c>
      <c r="L846" s="81" t="s">
        <v>791</v>
      </c>
      <c r="M846" s="79" t="s">
        <v>693</v>
      </c>
      <c r="N846" s="81"/>
      <c r="O846" s="81" t="str">
        <f t="shared" ca="1" si="50"/>
        <v>NO</v>
      </c>
      <c r="P846" s="81" t="str">
        <f t="shared" si="52"/>
        <v>DIANOSOL</v>
      </c>
      <c r="Q846" s="81" t="s">
        <v>951</v>
      </c>
      <c r="R846" s="81" t="str">
        <f>VLOOKUP($Q846,Resultados!$A$1:$B$49,2,FALSE)</f>
        <v xml:space="preserve"> _</v>
      </c>
      <c r="S846" s="81"/>
      <c r="T846" s="84" t="str">
        <f t="shared" si="51"/>
        <v>NO</v>
      </c>
      <c r="U846" s="84"/>
      <c r="V846" s="81"/>
      <c r="W846" s="81"/>
      <c r="X846" s="81"/>
      <c r="Y846" s="81"/>
      <c r="Z846" s="81"/>
      <c r="AA846" s="321" t="s">
        <v>1171</v>
      </c>
      <c r="AB846" s="81"/>
      <c r="AC846" s="78"/>
    </row>
    <row r="847" spans="1:29" ht="39.950000000000003" customHeight="1" x14ac:dyDescent="0.2">
      <c r="A847" s="81">
        <v>877</v>
      </c>
      <c r="B847" s="83">
        <v>45224</v>
      </c>
      <c r="C847" s="323">
        <v>0.55138888888888882</v>
      </c>
      <c r="D847" s="81" t="s">
        <v>3637</v>
      </c>
      <c r="E847" s="82" t="s">
        <v>3639</v>
      </c>
      <c r="F847" s="81">
        <v>6</v>
      </c>
      <c r="G847" s="81" t="s">
        <v>1442</v>
      </c>
      <c r="H847" s="83">
        <v>45236</v>
      </c>
      <c r="I847" s="83" t="s">
        <v>749</v>
      </c>
      <c r="J847" s="83" t="s">
        <v>1225</v>
      </c>
      <c r="K847" s="81">
        <f>IFERROR(VLOOKUP(J847,Jueces!$A$1:$B$11,2,FALSE),"")</f>
        <v>6</v>
      </c>
      <c r="L847" s="81" t="s">
        <v>688</v>
      </c>
      <c r="M847" s="205" t="s">
        <v>3638</v>
      </c>
      <c r="N847" s="81"/>
      <c r="O847" s="81" t="str">
        <f t="shared" ca="1" si="50"/>
        <v>NO</v>
      </c>
      <c r="P847" s="81" t="str">
        <f t="shared" si="52"/>
        <v>DIANOSOL</v>
      </c>
      <c r="Q847" s="81" t="s">
        <v>951</v>
      </c>
      <c r="R847" s="81" t="str">
        <f>VLOOKUP($Q847,Resultados!$A$1:$B$49,2,FALSE)</f>
        <v xml:space="preserve"> _</v>
      </c>
      <c r="S847" s="81"/>
      <c r="T847" s="84" t="str">
        <f t="shared" si="51"/>
        <v>SI</v>
      </c>
      <c r="U847" s="84"/>
      <c r="V847" s="81"/>
      <c r="W847" s="81"/>
      <c r="X847" s="81"/>
      <c r="Y847" s="81"/>
      <c r="Z847" s="81"/>
      <c r="AA847" s="81"/>
      <c r="AB847" s="81"/>
      <c r="AC847" s="78"/>
    </row>
    <row r="848" spans="1:29" ht="39.950000000000003" customHeight="1" x14ac:dyDescent="0.2">
      <c r="A848" s="81">
        <v>842</v>
      </c>
      <c r="B848" s="83">
        <v>45218</v>
      </c>
      <c r="C848" s="323">
        <v>0.41736111111111113</v>
      </c>
      <c r="D848" s="362" t="s">
        <v>3499</v>
      </c>
      <c r="E848" s="82" t="s">
        <v>3500</v>
      </c>
      <c r="F848" s="81">
        <v>2</v>
      </c>
      <c r="G848" s="81" t="s">
        <v>3365</v>
      </c>
      <c r="H848" s="83">
        <v>45236</v>
      </c>
      <c r="I848" s="83" t="s">
        <v>1086</v>
      </c>
      <c r="J848" s="83" t="s">
        <v>78</v>
      </c>
      <c r="K848" s="81">
        <f>IFERROR(VLOOKUP(J848,Jueces!$A$1:$B$11,2,FALSE),"")</f>
        <v>8</v>
      </c>
      <c r="L848" s="81" t="s">
        <v>807</v>
      </c>
      <c r="M848" s="81" t="s">
        <v>692</v>
      </c>
      <c r="N848" s="81"/>
      <c r="O848" s="81" t="str">
        <f t="shared" ca="1" si="50"/>
        <v>NO</v>
      </c>
      <c r="P848" s="81" t="str">
        <f t="shared" si="52"/>
        <v>DIANOSOL</v>
      </c>
      <c r="Q848" s="81" t="s">
        <v>951</v>
      </c>
      <c r="R848" s="81" t="str">
        <f>VLOOKUP($Q848,Resultados!$A$1:$B$49,2,FALSE)</f>
        <v xml:space="preserve"> _</v>
      </c>
      <c r="S848" s="81"/>
      <c r="T848" s="84" t="str">
        <f t="shared" si="51"/>
        <v>NO</v>
      </c>
      <c r="U848" s="84"/>
      <c r="V848" s="81"/>
      <c r="W848" s="81"/>
      <c r="X848" s="81"/>
      <c r="Y848" s="81"/>
      <c r="Z848" s="81"/>
      <c r="AA848" s="321" t="s">
        <v>3427</v>
      </c>
      <c r="AB848" s="81"/>
      <c r="AC848" s="78" t="s">
        <v>1801</v>
      </c>
    </row>
    <row r="849" spans="1:29" ht="39.950000000000003" customHeight="1" x14ac:dyDescent="0.2">
      <c r="A849" s="81">
        <v>875</v>
      </c>
      <c r="B849" s="83">
        <v>45224</v>
      </c>
      <c r="C849" s="323">
        <v>0.49444444444444446</v>
      </c>
      <c r="D849" s="81" t="s">
        <v>3627</v>
      </c>
      <c r="E849" s="82" t="s">
        <v>3628</v>
      </c>
      <c r="F849" s="81">
        <v>2</v>
      </c>
      <c r="G849" s="81" t="s">
        <v>283</v>
      </c>
      <c r="H849" s="83">
        <v>45236</v>
      </c>
      <c r="I849" s="83" t="s">
        <v>1086</v>
      </c>
      <c r="J849" s="83" t="s">
        <v>1221</v>
      </c>
      <c r="K849" s="81" t="s">
        <v>1925</v>
      </c>
      <c r="L849" s="81" t="s">
        <v>800</v>
      </c>
      <c r="M849" s="81" t="s">
        <v>2003</v>
      </c>
      <c r="N849" s="81"/>
      <c r="O849" s="81" t="str">
        <f t="shared" ca="1" si="50"/>
        <v>NO</v>
      </c>
      <c r="P849" s="81" t="str">
        <f t="shared" si="52"/>
        <v>DIANOSOL</v>
      </c>
      <c r="Q849" s="81" t="s">
        <v>951</v>
      </c>
      <c r="R849" s="81" t="str">
        <f>VLOOKUP($Q849,Resultados!$A$1:$B$49,2,FALSE)</f>
        <v xml:space="preserve"> _</v>
      </c>
      <c r="S849" s="81"/>
      <c r="T849" s="84" t="str">
        <f t="shared" si="51"/>
        <v>NO</v>
      </c>
      <c r="U849" s="84"/>
      <c r="V849" s="81"/>
      <c r="W849" s="81"/>
      <c r="X849" s="81"/>
      <c r="Y849" s="81"/>
      <c r="Z849" s="81"/>
      <c r="AA849" s="81"/>
      <c r="AB849" s="81"/>
      <c r="AC849" s="78"/>
    </row>
    <row r="850" spans="1:29" ht="39.950000000000003" customHeight="1" x14ac:dyDescent="0.2">
      <c r="A850" s="81">
        <v>897</v>
      </c>
      <c r="B850" s="83">
        <v>45210</v>
      </c>
      <c r="C850" s="323">
        <v>0.3840277777777778</v>
      </c>
      <c r="D850" s="81" t="s">
        <v>3388</v>
      </c>
      <c r="E850" s="82" t="s">
        <v>3389</v>
      </c>
      <c r="F850" s="81">
        <v>1</v>
      </c>
      <c r="G850" s="81" t="s">
        <v>1443</v>
      </c>
      <c r="H850" s="83">
        <v>45236</v>
      </c>
      <c r="I850" s="83" t="s">
        <v>1086</v>
      </c>
      <c r="J850" s="83" t="s">
        <v>1220</v>
      </c>
      <c r="K850" s="81">
        <f>IFERROR(VLOOKUP(J850,Jueces!$A$1:$B$11,2,FALSE),"")</f>
        <v>1</v>
      </c>
      <c r="L850" s="81" t="s">
        <v>829</v>
      </c>
      <c r="M850" s="81" t="s">
        <v>712</v>
      </c>
      <c r="N850" s="81" t="s">
        <v>3698</v>
      </c>
      <c r="O850" s="81" t="str">
        <f t="shared" ca="1" si="50"/>
        <v>NO</v>
      </c>
      <c r="P850" s="81" t="str">
        <f t="shared" si="52"/>
        <v>DIANOSOL</v>
      </c>
      <c r="Q850" s="81" t="s">
        <v>951</v>
      </c>
      <c r="R850" s="81" t="str">
        <f>VLOOKUP($Q850,Resultados!$A$1:$B$49,2,FALSE)</f>
        <v xml:space="preserve"> _</v>
      </c>
      <c r="S850" s="81"/>
      <c r="T850" s="84" t="str">
        <f t="shared" si="51"/>
        <v>NO</v>
      </c>
      <c r="U850" s="84"/>
      <c r="V850" s="81"/>
      <c r="W850" s="81"/>
      <c r="X850" s="81"/>
      <c r="Y850" s="81"/>
      <c r="Z850" s="81"/>
      <c r="AA850" s="321" t="s">
        <v>3428</v>
      </c>
      <c r="AB850" s="81"/>
      <c r="AC850" s="78"/>
    </row>
    <row r="851" spans="1:29" ht="39.950000000000003" customHeight="1" x14ac:dyDescent="0.2">
      <c r="A851" s="81">
        <v>828</v>
      </c>
      <c r="B851" s="83">
        <v>45217</v>
      </c>
      <c r="C851" s="323">
        <v>0.36944444444444446</v>
      </c>
      <c r="D851" s="81" t="s">
        <v>3461</v>
      </c>
      <c r="E851" s="82" t="s">
        <v>3462</v>
      </c>
      <c r="F851" s="81">
        <v>2</v>
      </c>
      <c r="G851" s="81" t="s">
        <v>2788</v>
      </c>
      <c r="H851" s="83">
        <v>45237</v>
      </c>
      <c r="I851" s="83" t="s">
        <v>73</v>
      </c>
      <c r="J851" s="83" t="s">
        <v>2954</v>
      </c>
      <c r="K851" s="81" t="s">
        <v>1925</v>
      </c>
      <c r="L851" s="81" t="s">
        <v>798</v>
      </c>
      <c r="M851" s="81" t="s">
        <v>692</v>
      </c>
      <c r="N851" s="81"/>
      <c r="O851" s="81" t="str">
        <f t="shared" ca="1" si="50"/>
        <v>NO</v>
      </c>
      <c r="P851" s="81" t="str">
        <f t="shared" si="52"/>
        <v>DIANOSOL</v>
      </c>
      <c r="Q851" s="81" t="s">
        <v>951</v>
      </c>
      <c r="R851" s="81" t="str">
        <f>VLOOKUP($Q851,Resultados!$A$1:$B$49,2,FALSE)</f>
        <v xml:space="preserve"> _</v>
      </c>
      <c r="S851" s="81"/>
      <c r="T851" s="84" t="str">
        <f t="shared" si="51"/>
        <v>NO</v>
      </c>
      <c r="U851" s="84"/>
      <c r="V851" s="81"/>
      <c r="W851" s="81"/>
      <c r="X851" s="81"/>
      <c r="Y851" s="81"/>
      <c r="Z851" s="81"/>
      <c r="AA851" s="321" t="s">
        <v>3428</v>
      </c>
      <c r="AB851" s="81"/>
      <c r="AC851" s="78"/>
    </row>
    <row r="852" spans="1:29" ht="39.950000000000003" customHeight="1" x14ac:dyDescent="0.2">
      <c r="A852" s="81">
        <v>863</v>
      </c>
      <c r="B852" s="83">
        <v>45222</v>
      </c>
      <c r="C852" s="323">
        <v>0.42222222222222222</v>
      </c>
      <c r="D852" s="81" t="s">
        <v>3571</v>
      </c>
      <c r="E852" s="82" t="s">
        <v>3572</v>
      </c>
      <c r="F852" s="81">
        <v>2</v>
      </c>
      <c r="G852" s="81" t="s">
        <v>1442</v>
      </c>
      <c r="H852" s="83">
        <v>45237</v>
      </c>
      <c r="I852" s="83" t="s">
        <v>73</v>
      </c>
      <c r="J852" s="83" t="s">
        <v>31</v>
      </c>
      <c r="K852" s="81">
        <f>IFERROR(VLOOKUP(J852,Jueces!$A$1:$B$11,2,FALSE),"")</f>
        <v>2</v>
      </c>
      <c r="L852" s="81" t="s">
        <v>800</v>
      </c>
      <c r="M852" s="81" t="s">
        <v>693</v>
      </c>
      <c r="N852" s="81"/>
      <c r="O852" s="81" t="str">
        <f t="shared" ca="1" si="50"/>
        <v>NO</v>
      </c>
      <c r="P852" s="81" t="str">
        <f t="shared" si="52"/>
        <v>DIANOSOL</v>
      </c>
      <c r="Q852" s="81" t="s">
        <v>951</v>
      </c>
      <c r="R852" s="81" t="str">
        <f>VLOOKUP($Q852,Resultados!$A$1:$B$49,2,FALSE)</f>
        <v xml:space="preserve"> _</v>
      </c>
      <c r="S852" s="81"/>
      <c r="T852" s="84" t="str">
        <f t="shared" si="51"/>
        <v>SI</v>
      </c>
      <c r="U852" s="84"/>
      <c r="V852" s="81"/>
      <c r="W852" s="81"/>
      <c r="X852" s="81"/>
      <c r="Y852" s="81"/>
      <c r="Z852" s="81"/>
      <c r="AA852" s="321" t="s">
        <v>2895</v>
      </c>
      <c r="AB852" s="81"/>
      <c r="AC852" s="78"/>
    </row>
    <row r="853" spans="1:29" ht="39.950000000000003" customHeight="1" x14ac:dyDescent="0.2">
      <c r="A853" s="81">
        <v>873</v>
      </c>
      <c r="B853" s="83">
        <v>45224</v>
      </c>
      <c r="C853" s="323">
        <v>0.43194444444444446</v>
      </c>
      <c r="D853" s="81" t="s">
        <v>3624</v>
      </c>
      <c r="E853" s="82" t="s">
        <v>3664</v>
      </c>
      <c r="F853" s="81">
        <v>2</v>
      </c>
      <c r="G853" s="81" t="s">
        <v>1441</v>
      </c>
      <c r="H853" s="83">
        <v>45237</v>
      </c>
      <c r="I853" s="83" t="s">
        <v>73</v>
      </c>
      <c r="J853" s="83" t="s">
        <v>1732</v>
      </c>
      <c r="K853" s="81" t="s">
        <v>2343</v>
      </c>
      <c r="L853" s="81" t="s">
        <v>802</v>
      </c>
      <c r="M853" s="81" t="s">
        <v>694</v>
      </c>
      <c r="N853" s="81"/>
      <c r="O853" s="81" t="str">
        <f t="shared" ca="1" si="50"/>
        <v>NO</v>
      </c>
      <c r="P853" s="81" t="str">
        <f t="shared" si="52"/>
        <v>DIANOSOL</v>
      </c>
      <c r="Q853" s="81" t="s">
        <v>951</v>
      </c>
      <c r="R853" s="81" t="str">
        <f>VLOOKUP($Q853,Resultados!$A$1:$B$49,2,FALSE)</f>
        <v xml:space="preserve"> _</v>
      </c>
      <c r="S853" s="81"/>
      <c r="T853" s="84" t="str">
        <f t="shared" ref="T853:T884" si="53">IF(G853=$J$1,"SI","NO")</f>
        <v>NO</v>
      </c>
      <c r="U853" s="84"/>
      <c r="V853" s="81"/>
      <c r="W853" s="81"/>
      <c r="X853" s="81"/>
      <c r="Y853" s="81"/>
      <c r="Z853" s="81"/>
      <c r="AA853" s="81"/>
      <c r="AB853" s="81"/>
      <c r="AC853" s="78"/>
    </row>
    <row r="854" spans="1:29" ht="39.950000000000003" customHeight="1" x14ac:dyDescent="0.2">
      <c r="A854" s="81">
        <v>849</v>
      </c>
      <c r="B854" s="83">
        <v>45219</v>
      </c>
      <c r="C854" s="323">
        <v>0.3923611111111111</v>
      </c>
      <c r="D854" s="81" t="s">
        <v>3528</v>
      </c>
      <c r="E854" s="82" t="s">
        <v>3689</v>
      </c>
      <c r="F854" s="81">
        <v>2</v>
      </c>
      <c r="G854" s="81" t="s">
        <v>568</v>
      </c>
      <c r="H854" s="83">
        <v>45237</v>
      </c>
      <c r="I854" s="83" t="s">
        <v>1086</v>
      </c>
      <c r="J854" s="83" t="s">
        <v>1221</v>
      </c>
      <c r="K854" s="81" t="s">
        <v>1925</v>
      </c>
      <c r="L854" s="81" t="s">
        <v>798</v>
      </c>
      <c r="M854" s="81" t="s">
        <v>692</v>
      </c>
      <c r="N854" s="81" t="s">
        <v>3688</v>
      </c>
      <c r="O854" s="81" t="str">
        <f t="shared" ca="1" si="50"/>
        <v>NO</v>
      </c>
      <c r="P854" s="81" t="str">
        <f t="shared" si="52"/>
        <v>DIANOSOL</v>
      </c>
      <c r="Q854" s="81" t="s">
        <v>951</v>
      </c>
      <c r="R854" s="81" t="str">
        <f>VLOOKUP($Q854,Resultados!$A$1:$B$49,2,FALSE)</f>
        <v xml:space="preserve"> _</v>
      </c>
      <c r="S854" s="81"/>
      <c r="T854" s="84" t="str">
        <f t="shared" si="53"/>
        <v>NO</v>
      </c>
      <c r="U854" s="84"/>
      <c r="V854" s="81"/>
      <c r="W854" s="81"/>
      <c r="X854" s="81"/>
      <c r="Y854" s="81"/>
      <c r="Z854" s="81"/>
      <c r="AA854" s="321" t="s">
        <v>3428</v>
      </c>
      <c r="AB854" s="81"/>
      <c r="AC854" s="78"/>
    </row>
    <row r="855" spans="1:29" ht="39.950000000000003" customHeight="1" x14ac:dyDescent="0.2">
      <c r="A855" s="81">
        <v>850</v>
      </c>
      <c r="B855" s="83">
        <v>45219</v>
      </c>
      <c r="C855" s="323">
        <v>0.38819444444444445</v>
      </c>
      <c r="D855" s="81" t="s">
        <v>3530</v>
      </c>
      <c r="E855" s="82" t="s">
        <v>3529</v>
      </c>
      <c r="F855" s="81">
        <v>3</v>
      </c>
      <c r="G855" s="81" t="s">
        <v>1443</v>
      </c>
      <c r="H855" s="83">
        <v>45237</v>
      </c>
      <c r="I855" s="83" t="s">
        <v>1086</v>
      </c>
      <c r="J855" s="83" t="s">
        <v>78</v>
      </c>
      <c r="K855" s="81">
        <f>IFERROR(VLOOKUP(J855,Jueces!$A$1:$B$11,2,FALSE),"")</f>
        <v>8</v>
      </c>
      <c r="L855" s="81" t="s">
        <v>809</v>
      </c>
      <c r="M855" s="81" t="s">
        <v>694</v>
      </c>
      <c r="N855" s="81"/>
      <c r="O855" s="81" t="str">
        <f t="shared" ca="1" si="50"/>
        <v>NO</v>
      </c>
      <c r="P855" s="81" t="str">
        <f t="shared" si="52"/>
        <v>DIANOSOL</v>
      </c>
      <c r="Q855" s="81" t="s">
        <v>951</v>
      </c>
      <c r="R855" s="81" t="str">
        <f>VLOOKUP($Q855,Resultados!$A$1:$B$49,2,FALSE)</f>
        <v xml:space="preserve"> _</v>
      </c>
      <c r="S855" s="81"/>
      <c r="T855" s="84" t="str">
        <f t="shared" si="53"/>
        <v>NO</v>
      </c>
      <c r="U855" s="84"/>
      <c r="V855" s="81"/>
      <c r="W855" s="81"/>
      <c r="X855" s="81"/>
      <c r="Y855" s="81"/>
      <c r="Z855" s="81"/>
      <c r="AA855" s="321" t="s">
        <v>1171</v>
      </c>
      <c r="AB855" s="81"/>
      <c r="AC855" s="78"/>
    </row>
    <row r="856" spans="1:29" ht="39.950000000000003" customHeight="1" x14ac:dyDescent="0.2">
      <c r="A856" s="81">
        <v>871</v>
      </c>
      <c r="B856" s="83">
        <v>45224</v>
      </c>
      <c r="C856" s="323">
        <v>0.34861111111111115</v>
      </c>
      <c r="D856" s="81" t="s">
        <v>3617</v>
      </c>
      <c r="E856" s="82" t="s">
        <v>3618</v>
      </c>
      <c r="F856" s="81">
        <v>2</v>
      </c>
      <c r="G856" s="81" t="s">
        <v>283</v>
      </c>
      <c r="H856" s="83">
        <v>45237</v>
      </c>
      <c r="I856" s="83" t="s">
        <v>1086</v>
      </c>
      <c r="J856" s="83" t="s">
        <v>35</v>
      </c>
      <c r="K856" s="81">
        <f>IFERROR(VLOOKUP(J856,Jueces!$A$1:$B$11,2,FALSE),"")</f>
        <v>3</v>
      </c>
      <c r="L856" s="81" t="s">
        <v>1702</v>
      </c>
      <c r="M856" s="400" t="s">
        <v>697</v>
      </c>
      <c r="N856" s="81" t="s">
        <v>3666</v>
      </c>
      <c r="O856" s="81" t="str">
        <f t="shared" ca="1" si="50"/>
        <v>NO</v>
      </c>
      <c r="P856" s="81" t="str">
        <f t="shared" si="52"/>
        <v>DIANOSOL</v>
      </c>
      <c r="Q856" s="81" t="s">
        <v>951</v>
      </c>
      <c r="R856" s="81" t="str">
        <f>VLOOKUP($Q856,Resultados!$A$1:$B$49,2,FALSE)</f>
        <v xml:space="preserve"> _</v>
      </c>
      <c r="S856" s="81"/>
      <c r="T856" s="84" t="str">
        <f t="shared" si="53"/>
        <v>NO</v>
      </c>
      <c r="U856" s="84"/>
      <c r="V856" s="81"/>
      <c r="W856" s="81"/>
      <c r="X856" s="81"/>
      <c r="Y856" s="81"/>
      <c r="Z856" s="81"/>
      <c r="AA856" s="81"/>
      <c r="AB856" s="81"/>
      <c r="AC856" s="78"/>
    </row>
    <row r="857" spans="1:29" ht="39.950000000000003" customHeight="1" x14ac:dyDescent="0.2">
      <c r="A857" s="81">
        <v>854</v>
      </c>
      <c r="B857" s="83">
        <v>45217</v>
      </c>
      <c r="C857" s="323">
        <v>0.34930555555555554</v>
      </c>
      <c r="D857" s="81" t="s">
        <v>3550</v>
      </c>
      <c r="E857" s="82" t="s">
        <v>3551</v>
      </c>
      <c r="F857" s="81">
        <v>1</v>
      </c>
      <c r="G857" s="81" t="s">
        <v>1442</v>
      </c>
      <c r="H857" s="83">
        <v>45238</v>
      </c>
      <c r="I857" s="83" t="s">
        <v>73</v>
      </c>
      <c r="J857" s="83" t="s">
        <v>31</v>
      </c>
      <c r="K857" s="81">
        <f>IFERROR(VLOOKUP(J857,Jueces!$A$1:$B$11,2,FALSE),"")</f>
        <v>2</v>
      </c>
      <c r="L857" s="81" t="s">
        <v>802</v>
      </c>
      <c r="M857" s="81" t="s">
        <v>692</v>
      </c>
      <c r="N857" s="81"/>
      <c r="O857" s="81" t="str">
        <f t="shared" ca="1" si="50"/>
        <v>NO</v>
      </c>
      <c r="P857" s="81" t="str">
        <f t="shared" si="52"/>
        <v>DIANOSOL</v>
      </c>
      <c r="Q857" s="81" t="s">
        <v>951</v>
      </c>
      <c r="R857" s="81" t="str">
        <f>VLOOKUP($Q857,Resultados!$A$1:$B$49,2,FALSE)</f>
        <v xml:space="preserve"> _</v>
      </c>
      <c r="S857" s="81"/>
      <c r="T857" s="84" t="str">
        <f t="shared" si="53"/>
        <v>SI</v>
      </c>
      <c r="U857" s="84"/>
      <c r="V857" s="81"/>
      <c r="W857" s="81"/>
      <c r="X857" s="81"/>
      <c r="Y857" s="81"/>
      <c r="Z857" s="81"/>
      <c r="AA857" s="321" t="s">
        <v>3428</v>
      </c>
      <c r="AB857" s="81"/>
      <c r="AC857" s="78"/>
    </row>
    <row r="858" spans="1:29" ht="39.950000000000003" customHeight="1" x14ac:dyDescent="0.2">
      <c r="A858" s="81">
        <v>868</v>
      </c>
      <c r="B858" s="83">
        <v>45222</v>
      </c>
      <c r="C858" s="323">
        <v>0.47916666666666669</v>
      </c>
      <c r="D858" s="81" t="s">
        <v>3587</v>
      </c>
      <c r="E858" s="82" t="s">
        <v>3588</v>
      </c>
      <c r="F858" s="81">
        <v>2</v>
      </c>
      <c r="G858" s="81" t="s">
        <v>2788</v>
      </c>
      <c r="H858" s="83">
        <v>45238</v>
      </c>
      <c r="I858" s="83" t="s">
        <v>73</v>
      </c>
      <c r="J858" s="83" t="s">
        <v>78</v>
      </c>
      <c r="K858" s="81">
        <f>IFERROR(VLOOKUP(J858,Jueces!$A$1:$B$11,2,FALSE),"")</f>
        <v>8</v>
      </c>
      <c r="L858" s="81" t="s">
        <v>806</v>
      </c>
      <c r="M858" s="81" t="s">
        <v>693</v>
      </c>
      <c r="N858" s="81" t="s">
        <v>3601</v>
      </c>
      <c r="O858" s="81" t="str">
        <f t="shared" ca="1" si="50"/>
        <v>NO</v>
      </c>
      <c r="P858" s="81" t="str">
        <f t="shared" si="52"/>
        <v>DIANOSOL</v>
      </c>
      <c r="Q858" s="81" t="s">
        <v>951</v>
      </c>
      <c r="R858" s="81" t="str">
        <f>VLOOKUP($Q858,Resultados!$A$1:$B$49,2,FALSE)</f>
        <v xml:space="preserve"> _</v>
      </c>
      <c r="S858" s="81"/>
      <c r="T858" s="84" t="str">
        <f t="shared" si="53"/>
        <v>NO</v>
      </c>
      <c r="U858" s="84"/>
      <c r="V858" s="81"/>
      <c r="W858" s="81"/>
      <c r="X858" s="81"/>
      <c r="Y858" s="81"/>
      <c r="Z858" s="81"/>
      <c r="AA858" s="321" t="s">
        <v>2895</v>
      </c>
      <c r="AB858" s="81"/>
      <c r="AC858" s="78"/>
    </row>
    <row r="859" spans="1:29" ht="39.950000000000003" customHeight="1" x14ac:dyDescent="0.2">
      <c r="A859" s="81">
        <v>870</v>
      </c>
      <c r="B859" s="83">
        <v>45223</v>
      </c>
      <c r="C859" s="323">
        <v>0.33333333333333331</v>
      </c>
      <c r="D859" s="81" t="s">
        <v>3602</v>
      </c>
      <c r="E859" s="82" t="s">
        <v>3651</v>
      </c>
      <c r="F859" s="81">
        <v>2</v>
      </c>
      <c r="G859" s="81" t="s">
        <v>1441</v>
      </c>
      <c r="H859" s="83">
        <v>45238</v>
      </c>
      <c r="I859" s="83" t="s">
        <v>73</v>
      </c>
      <c r="J859" s="83" t="s">
        <v>1732</v>
      </c>
      <c r="K859" s="81" t="s">
        <v>1925</v>
      </c>
      <c r="L859" s="81" t="s">
        <v>791</v>
      </c>
      <c r="M859" s="81" t="s">
        <v>694</v>
      </c>
      <c r="N859" s="81"/>
      <c r="O859" s="81" t="str">
        <f t="shared" ca="1" si="50"/>
        <v>NO</v>
      </c>
      <c r="P859" s="81" t="str">
        <f t="shared" si="52"/>
        <v>DIANOSOL</v>
      </c>
      <c r="Q859" s="81" t="s">
        <v>951</v>
      </c>
      <c r="R859" s="81" t="str">
        <f>VLOOKUP($Q859,Resultados!$A$1:$B$49,2,FALSE)</f>
        <v xml:space="preserve"> _</v>
      </c>
      <c r="S859" s="81"/>
      <c r="T859" s="84" t="str">
        <f t="shared" si="53"/>
        <v>NO</v>
      </c>
      <c r="U859" s="84"/>
      <c r="V859" s="81"/>
      <c r="W859" s="81"/>
      <c r="X859" s="81"/>
      <c r="Y859" s="81"/>
      <c r="Z859" s="81"/>
      <c r="AA859" s="81"/>
      <c r="AB859" s="81"/>
      <c r="AC859" s="78"/>
    </row>
    <row r="860" spans="1:29" ht="39.950000000000003" customHeight="1" x14ac:dyDescent="0.2">
      <c r="A860" s="81">
        <v>843</v>
      </c>
      <c r="B860" s="83">
        <v>45218</v>
      </c>
      <c r="C860" s="323">
        <v>0.42222222222222222</v>
      </c>
      <c r="D860" s="81" t="s">
        <v>3501</v>
      </c>
      <c r="E860" s="82" t="s">
        <v>3507</v>
      </c>
      <c r="F860" s="81">
        <v>2</v>
      </c>
      <c r="G860" s="81" t="s">
        <v>3366</v>
      </c>
      <c r="H860" s="83">
        <v>45238</v>
      </c>
      <c r="I860" s="83" t="s">
        <v>1086</v>
      </c>
      <c r="J860" s="83" t="s">
        <v>31</v>
      </c>
      <c r="K860" s="81">
        <f>IFERROR(VLOOKUP(J860,Jueces!$A$1:$B$11,2,FALSE),"")</f>
        <v>2</v>
      </c>
      <c r="L860" s="81" t="s">
        <v>814</v>
      </c>
      <c r="M860" s="400" t="s">
        <v>2702</v>
      </c>
      <c r="N860" s="81" t="s">
        <v>3560</v>
      </c>
      <c r="O860" s="81" t="str">
        <f t="shared" ca="1" si="50"/>
        <v>NO</v>
      </c>
      <c r="P860" s="81" t="str">
        <f t="shared" si="52"/>
        <v>DIANOSOL</v>
      </c>
      <c r="Q860" s="81" t="s">
        <v>951</v>
      </c>
      <c r="R860" s="81" t="str">
        <f>VLOOKUP($Q860,Resultados!$A$1:$B$49,2,FALSE)</f>
        <v xml:space="preserve"> _</v>
      </c>
      <c r="S860" s="81"/>
      <c r="T860" s="84" t="str">
        <f t="shared" si="53"/>
        <v>NO</v>
      </c>
      <c r="U860" s="84"/>
      <c r="V860" s="81"/>
      <c r="W860" s="81"/>
      <c r="X860" s="81"/>
      <c r="Y860" s="81"/>
      <c r="Z860" s="81"/>
      <c r="AA860" s="321" t="s">
        <v>2852</v>
      </c>
      <c r="AB860" s="81"/>
      <c r="AC860" s="78"/>
    </row>
    <row r="861" spans="1:29" ht="39.950000000000003" customHeight="1" x14ac:dyDescent="0.2">
      <c r="A861" s="81">
        <v>848</v>
      </c>
      <c r="B861" s="83">
        <v>45219</v>
      </c>
      <c r="C861" s="323">
        <v>0.35000000000000003</v>
      </c>
      <c r="D861" s="81" t="s">
        <v>3522</v>
      </c>
      <c r="E861" s="82" t="s">
        <v>3523</v>
      </c>
      <c r="F861" s="81">
        <v>2</v>
      </c>
      <c r="G861" s="81" t="s">
        <v>1443</v>
      </c>
      <c r="H861" s="83">
        <v>45239</v>
      </c>
      <c r="I861" s="83" t="s">
        <v>73</v>
      </c>
      <c r="J861" s="83" t="s">
        <v>78</v>
      </c>
      <c r="K861" s="81">
        <f>IFERROR(VLOOKUP(J861,Jueces!$A$1:$B$11,2,FALSE),"")</f>
        <v>8</v>
      </c>
      <c r="L861" s="81" t="s">
        <v>2094</v>
      </c>
      <c r="M861" s="367" t="s">
        <v>782</v>
      </c>
      <c r="N861" s="81" t="s">
        <v>3616</v>
      </c>
      <c r="O861" s="81" t="str">
        <f t="shared" ca="1" si="50"/>
        <v>NO</v>
      </c>
      <c r="P861" s="81" t="str">
        <f t="shared" si="52"/>
        <v>DIANOSOL</v>
      </c>
      <c r="Q861" s="81" t="s">
        <v>951</v>
      </c>
      <c r="R861" s="81" t="str">
        <f>VLOOKUP($Q861,Resultados!$A$1:$B$49,2,FALSE)</f>
        <v xml:space="preserve"> _</v>
      </c>
      <c r="S861" s="81"/>
      <c r="T861" s="84" t="str">
        <f t="shared" si="53"/>
        <v>NO</v>
      </c>
      <c r="U861" s="84"/>
      <c r="V861" s="81"/>
      <c r="W861" s="81"/>
      <c r="X861" s="81"/>
      <c r="Y861" s="81"/>
      <c r="Z861" s="81"/>
      <c r="AA861" s="321" t="s">
        <v>3428</v>
      </c>
      <c r="AB861" s="81"/>
      <c r="AC861" s="78"/>
    </row>
    <row r="862" spans="1:29" ht="39.950000000000003" customHeight="1" x14ac:dyDescent="0.2">
      <c r="A862" s="81">
        <v>857</v>
      </c>
      <c r="B862" s="83">
        <v>45222</v>
      </c>
      <c r="C862" s="323">
        <v>0.39166666666666666</v>
      </c>
      <c r="D862" s="81" t="s">
        <v>3557</v>
      </c>
      <c r="E862" s="82" t="s">
        <v>3558</v>
      </c>
      <c r="F862" s="81">
        <v>2</v>
      </c>
      <c r="G862" s="81" t="s">
        <v>283</v>
      </c>
      <c r="H862" s="83">
        <v>45239</v>
      </c>
      <c r="I862" s="83" t="s">
        <v>73</v>
      </c>
      <c r="J862" s="83" t="s">
        <v>31</v>
      </c>
      <c r="K862" s="81">
        <f>IFERROR(VLOOKUP(J862,Jueces!$A$1:$B$11,2,FALSE),"")</f>
        <v>2</v>
      </c>
      <c r="L862" s="81" t="s">
        <v>688</v>
      </c>
      <c r="M862" s="81" t="s">
        <v>693</v>
      </c>
      <c r="N862" s="81"/>
      <c r="O862" s="81" t="str">
        <f t="shared" ca="1" si="50"/>
        <v>NO</v>
      </c>
      <c r="P862" s="81" t="str">
        <f t="shared" si="52"/>
        <v>DIANOSOL</v>
      </c>
      <c r="Q862" s="81" t="s">
        <v>951</v>
      </c>
      <c r="R862" s="81" t="str">
        <f>VLOOKUP($Q862,Resultados!$A$1:$B$49,2,FALSE)</f>
        <v xml:space="preserve"> _</v>
      </c>
      <c r="S862" s="81"/>
      <c r="T862" s="84" t="str">
        <f t="shared" si="53"/>
        <v>NO</v>
      </c>
      <c r="U862" s="84"/>
      <c r="V862" s="81"/>
      <c r="W862" s="81"/>
      <c r="X862" s="81"/>
      <c r="Y862" s="81"/>
      <c r="Z862" s="81"/>
      <c r="AA862" s="321" t="s">
        <v>2852</v>
      </c>
      <c r="AB862" s="81"/>
      <c r="AC862" s="78"/>
    </row>
    <row r="863" spans="1:29" ht="39.950000000000003" customHeight="1" x14ac:dyDescent="0.2">
      <c r="A863" s="81">
        <v>832</v>
      </c>
      <c r="B863" s="83">
        <v>45200</v>
      </c>
      <c r="C863" s="323">
        <v>0.41805555555555557</v>
      </c>
      <c r="D863" s="81" t="s">
        <v>3549</v>
      </c>
      <c r="E863" s="82" t="s">
        <v>3481</v>
      </c>
      <c r="F863" s="81">
        <v>2</v>
      </c>
      <c r="G863" s="81" t="s">
        <v>3365</v>
      </c>
      <c r="H863" s="83">
        <v>45240</v>
      </c>
      <c r="I863" s="83" t="s">
        <v>73</v>
      </c>
      <c r="J863" s="83" t="s">
        <v>78</v>
      </c>
      <c r="K863" s="81">
        <f>IFERROR(VLOOKUP(J863,Jueces!$A$1:$B$11,2,FALSE),"")</f>
        <v>8</v>
      </c>
      <c r="L863" s="81" t="s">
        <v>2094</v>
      </c>
      <c r="M863" s="79" t="s">
        <v>692</v>
      </c>
      <c r="N863" s="81" t="s">
        <v>3678</v>
      </c>
      <c r="O863" s="81" t="str">
        <f t="shared" ca="1" si="50"/>
        <v>NO</v>
      </c>
      <c r="P863" s="81" t="str">
        <f t="shared" si="52"/>
        <v>DIANOSOL</v>
      </c>
      <c r="Q863" s="81" t="s">
        <v>951</v>
      </c>
      <c r="R863" s="81" t="str">
        <f>VLOOKUP($Q863,Resultados!$A$1:$B$49,2,FALSE)</f>
        <v xml:space="preserve"> _</v>
      </c>
      <c r="S863" s="81"/>
      <c r="T863" s="84" t="str">
        <f t="shared" si="53"/>
        <v>NO</v>
      </c>
      <c r="U863" s="84"/>
      <c r="V863" s="81"/>
      <c r="W863" s="81"/>
      <c r="X863" s="81"/>
      <c r="Y863" s="81"/>
      <c r="Z863" s="81"/>
      <c r="AA863" s="321" t="s">
        <v>1171</v>
      </c>
      <c r="AB863" s="81"/>
      <c r="AC863" s="78"/>
    </row>
    <row r="864" spans="1:29" ht="39.950000000000003" customHeight="1" x14ac:dyDescent="0.2">
      <c r="A864" s="81">
        <v>874</v>
      </c>
      <c r="B864" s="83">
        <v>45224</v>
      </c>
      <c r="C864" s="323">
        <v>0.43124999999999997</v>
      </c>
      <c r="D864" s="81" t="s">
        <v>3625</v>
      </c>
      <c r="E864" s="82" t="s">
        <v>3663</v>
      </c>
      <c r="F864" s="81">
        <v>2</v>
      </c>
      <c r="G864" s="81" t="s">
        <v>283</v>
      </c>
      <c r="H864" s="83">
        <v>45240</v>
      </c>
      <c r="I864" s="83" t="s">
        <v>1086</v>
      </c>
      <c r="J864" s="83" t="s">
        <v>1220</v>
      </c>
      <c r="K864" s="81">
        <f>IFERROR(VLOOKUP(J864,Jueces!$A$1:$B$11,2,FALSE),"")</f>
        <v>1</v>
      </c>
      <c r="L864" s="81" t="s">
        <v>2090</v>
      </c>
      <c r="M864" s="81" t="s">
        <v>693</v>
      </c>
      <c r="N864" s="81"/>
      <c r="O864" s="81" t="str">
        <f t="shared" ca="1" si="50"/>
        <v>NO</v>
      </c>
      <c r="P864" s="81" t="str">
        <f t="shared" si="52"/>
        <v>DIANOSOL</v>
      </c>
      <c r="Q864" s="81" t="s">
        <v>951</v>
      </c>
      <c r="R864" s="81" t="str">
        <f>VLOOKUP($Q864,Resultados!$A$1:$B$49,2,FALSE)</f>
        <v xml:space="preserve"> _</v>
      </c>
      <c r="S864" s="81"/>
      <c r="T864" s="84" t="str">
        <f t="shared" si="53"/>
        <v>NO</v>
      </c>
      <c r="U864" s="84"/>
      <c r="V864" s="81"/>
      <c r="W864" s="81"/>
      <c r="X864" s="81"/>
      <c r="Y864" s="81"/>
      <c r="Z864" s="81"/>
      <c r="AA864" s="81"/>
      <c r="AB864" s="81"/>
      <c r="AC864" s="78"/>
    </row>
    <row r="865" spans="1:29" ht="39.950000000000003" customHeight="1" x14ac:dyDescent="0.2">
      <c r="A865" s="211">
        <v>827</v>
      </c>
      <c r="B865" s="317"/>
      <c r="C865" s="211"/>
      <c r="D865" s="211" t="s">
        <v>3166</v>
      </c>
      <c r="E865" s="212" t="s">
        <v>3206</v>
      </c>
      <c r="F865" s="211">
        <v>2</v>
      </c>
      <c r="G865" s="211" t="s">
        <v>1443</v>
      </c>
      <c r="H865" s="317">
        <v>45244</v>
      </c>
      <c r="I865" s="317" t="s">
        <v>73</v>
      </c>
      <c r="J865" s="317" t="s">
        <v>2951</v>
      </c>
      <c r="K865" s="211" t="s">
        <v>1925</v>
      </c>
      <c r="L865" s="211" t="s">
        <v>809</v>
      </c>
      <c r="M865" s="211" t="s">
        <v>692</v>
      </c>
      <c r="N865" s="211" t="s">
        <v>3456</v>
      </c>
      <c r="O865" s="211" t="str">
        <f t="shared" ca="1" si="50"/>
        <v>NO</v>
      </c>
      <c r="P865" s="211" t="str">
        <f t="shared" si="52"/>
        <v>DIANOSOL</v>
      </c>
      <c r="Q865" s="211" t="s">
        <v>951</v>
      </c>
      <c r="R865" s="211" t="str">
        <f>VLOOKUP($Q865,Resultados!$A$1:$B$49,2,FALSE)</f>
        <v xml:space="preserve"> _</v>
      </c>
      <c r="S865" s="211"/>
      <c r="T865" s="276" t="str">
        <f t="shared" si="53"/>
        <v>NO</v>
      </c>
      <c r="U865" s="276"/>
      <c r="V865" s="211"/>
      <c r="W865" s="211"/>
      <c r="X865" s="211"/>
      <c r="Y865" s="211"/>
      <c r="Z865" s="211"/>
      <c r="AA865" s="334"/>
      <c r="AB865" s="211"/>
      <c r="AC865" s="405"/>
    </row>
    <row r="866" spans="1:29" ht="39.950000000000003" customHeight="1" x14ac:dyDescent="0.2">
      <c r="A866" s="211">
        <v>847</v>
      </c>
      <c r="B866" s="317"/>
      <c r="C866" s="211"/>
      <c r="D866" s="211" t="s">
        <v>3152</v>
      </c>
      <c r="E866" s="212" t="s">
        <v>3216</v>
      </c>
      <c r="F866" s="211">
        <v>1</v>
      </c>
      <c r="G866" s="211" t="s">
        <v>1441</v>
      </c>
      <c r="H866" s="317">
        <v>45245</v>
      </c>
      <c r="I866" s="317" t="s">
        <v>73</v>
      </c>
      <c r="J866" s="317" t="s">
        <v>1221</v>
      </c>
      <c r="K866" s="211" t="s">
        <v>1925</v>
      </c>
      <c r="L866" s="211" t="s">
        <v>789</v>
      </c>
      <c r="M866" s="211" t="s">
        <v>712</v>
      </c>
      <c r="N866" s="211" t="s">
        <v>3512</v>
      </c>
      <c r="O866" s="211" t="str">
        <f t="shared" ca="1" si="50"/>
        <v>NO</v>
      </c>
      <c r="P866" s="211" t="str">
        <f t="shared" si="52"/>
        <v>DIANOSOL</v>
      </c>
      <c r="Q866" s="211" t="s">
        <v>951</v>
      </c>
      <c r="R866" s="211" t="str">
        <f>VLOOKUP($Q866,Resultados!$A$1:$B$49,2,FALSE)</f>
        <v xml:space="preserve"> _</v>
      </c>
      <c r="S866" s="211"/>
      <c r="T866" s="276" t="str">
        <f t="shared" si="53"/>
        <v>NO</v>
      </c>
      <c r="U866" s="276"/>
      <c r="V866" s="211"/>
      <c r="W866" s="211"/>
      <c r="X866" s="211"/>
      <c r="Y866" s="211"/>
      <c r="Z866" s="211"/>
      <c r="AA866" s="211"/>
      <c r="AB866" s="211"/>
      <c r="AC866" s="366"/>
    </row>
    <row r="867" spans="1:29" ht="39.950000000000003" customHeight="1" x14ac:dyDescent="0.2">
      <c r="A867" s="211">
        <v>882</v>
      </c>
      <c r="B867" s="317"/>
      <c r="C867" s="211"/>
      <c r="D867" s="211" t="s">
        <v>3234</v>
      </c>
      <c r="E867" s="212" t="s">
        <v>3649</v>
      </c>
      <c r="F867" s="211">
        <v>2</v>
      </c>
      <c r="G867" s="211" t="s">
        <v>1442</v>
      </c>
      <c r="H867" s="317">
        <v>45273</v>
      </c>
      <c r="I867" s="317" t="s">
        <v>73</v>
      </c>
      <c r="J867" s="317" t="s">
        <v>35</v>
      </c>
      <c r="K867" s="211">
        <f>IFERROR(VLOOKUP(J867,Jueces!$A$1:$B$11,2,FALSE),"")</f>
        <v>3</v>
      </c>
      <c r="L867" s="211" t="s">
        <v>812</v>
      </c>
      <c r="M867" s="211" t="s">
        <v>692</v>
      </c>
      <c r="N867" s="211" t="s">
        <v>3650</v>
      </c>
      <c r="O867" s="211" t="str">
        <f t="shared" ca="1" si="50"/>
        <v>NO</v>
      </c>
      <c r="P867" s="211" t="str">
        <f t="shared" si="52"/>
        <v>DIANOSOL</v>
      </c>
      <c r="Q867" s="211" t="s">
        <v>951</v>
      </c>
      <c r="R867" s="211" t="str">
        <f>VLOOKUP($Q867,Resultados!$A$1:$B$49,2,FALSE)</f>
        <v xml:space="preserve"> _</v>
      </c>
      <c r="S867" s="211"/>
      <c r="T867" s="276" t="str">
        <f t="shared" si="53"/>
        <v>SI</v>
      </c>
      <c r="U867" s="276"/>
      <c r="V867" s="211"/>
      <c r="W867" s="211"/>
      <c r="X867" s="211"/>
      <c r="Y867" s="211"/>
      <c r="Z867" s="211"/>
      <c r="AA867" s="211"/>
      <c r="AB867" s="211"/>
      <c r="AC867" s="366"/>
    </row>
    <row r="868" spans="1:29" ht="39.950000000000003" customHeight="1" x14ac:dyDescent="0.2">
      <c r="A868" s="240">
        <v>583</v>
      </c>
      <c r="B868" s="324">
        <v>45170</v>
      </c>
      <c r="C868" s="325">
        <v>0.33333333333333331</v>
      </c>
      <c r="D868" s="240" t="s">
        <v>2529</v>
      </c>
      <c r="E868" s="243" t="s">
        <v>2578</v>
      </c>
      <c r="F868" s="240">
        <v>7</v>
      </c>
      <c r="G868" s="240"/>
      <c r="H868" s="324"/>
      <c r="I868" s="324"/>
      <c r="J868" s="324"/>
      <c r="K868" s="240" t="str">
        <f>IFERROR(VLOOKUP(J868,Jueces!$A$1:$B$11,2,FALSE),"")</f>
        <v/>
      </c>
      <c r="L868" s="240" t="s">
        <v>807</v>
      </c>
      <c r="M868" s="240" t="s">
        <v>767</v>
      </c>
      <c r="N868" s="240"/>
      <c r="O868" s="240" t="str">
        <f t="shared" ca="1" si="50"/>
        <v>LIMBO</v>
      </c>
      <c r="P868" s="240" t="str">
        <f t="shared" si="52"/>
        <v>DIANOSOL</v>
      </c>
      <c r="Q868" s="240" t="s">
        <v>951</v>
      </c>
      <c r="R868" s="240" t="str">
        <f>VLOOKUP($Q868,Resultados!$A$1:$B$49,2,FALSE)</f>
        <v xml:space="preserve"> _</v>
      </c>
      <c r="S868" s="240"/>
      <c r="T868" s="241" t="str">
        <f t="shared" si="53"/>
        <v>NO</v>
      </c>
      <c r="U868" s="241"/>
      <c r="V868" s="240"/>
      <c r="W868" s="240"/>
      <c r="X868" s="240"/>
      <c r="Y868" s="240"/>
      <c r="Z868" s="240"/>
      <c r="AA868" s="240"/>
      <c r="AB868" s="240"/>
      <c r="AC868" s="405"/>
    </row>
    <row r="869" spans="1:29" ht="39.950000000000003" customHeight="1" x14ac:dyDescent="0.2">
      <c r="A869" s="170">
        <v>726</v>
      </c>
      <c r="B869" s="326">
        <v>45197</v>
      </c>
      <c r="C869" s="327">
        <v>0.4201388888888889</v>
      </c>
      <c r="D869" s="170"/>
      <c r="E869" s="171" t="s">
        <v>3077</v>
      </c>
      <c r="F869" s="170">
        <v>1</v>
      </c>
      <c r="G869" s="170"/>
      <c r="H869" s="326"/>
      <c r="I869" s="326"/>
      <c r="J869" s="326"/>
      <c r="K869" s="170" t="str">
        <f>IFERROR(VLOOKUP(J869,Jueces!$A$1:$B$11,2,FALSE),"")</f>
        <v/>
      </c>
      <c r="L869" s="170" t="s">
        <v>2090</v>
      </c>
      <c r="M869" s="170"/>
      <c r="N869" s="170"/>
      <c r="O869" s="170" t="str">
        <f t="shared" ca="1" si="50"/>
        <v>LIMBO</v>
      </c>
      <c r="P869" s="170" t="str">
        <f t="shared" si="52"/>
        <v>DIANOSOL</v>
      </c>
      <c r="Q869" s="170" t="s">
        <v>951</v>
      </c>
      <c r="R869" s="170" t="str">
        <f>VLOOKUP($Q869,Resultados!$A$1:$B$49,2,FALSE)</f>
        <v xml:space="preserve"> _</v>
      </c>
      <c r="S869" s="170"/>
      <c r="T869" s="172" t="str">
        <f t="shared" si="53"/>
        <v>NO</v>
      </c>
      <c r="U869" s="172"/>
      <c r="V869" s="170"/>
      <c r="W869" s="170"/>
      <c r="X869" s="170"/>
      <c r="Y869" s="170"/>
      <c r="Z869" s="170"/>
      <c r="AA869" s="170"/>
      <c r="AB869" s="170"/>
      <c r="AC869" s="405"/>
    </row>
    <row r="870" spans="1:29" ht="39.950000000000003" customHeight="1" x14ac:dyDescent="0.2">
      <c r="A870" s="240">
        <v>802</v>
      </c>
      <c r="B870" s="324">
        <v>45210</v>
      </c>
      <c r="C870" s="240" t="s">
        <v>3377</v>
      </c>
      <c r="D870" s="240" t="s">
        <v>3378</v>
      </c>
      <c r="E870" s="243" t="s">
        <v>3379</v>
      </c>
      <c r="F870" s="240">
        <v>4</v>
      </c>
      <c r="G870" s="240"/>
      <c r="H870" s="324"/>
      <c r="I870" s="324"/>
      <c r="J870" s="324"/>
      <c r="K870" s="240" t="str">
        <f>IFERROR(VLOOKUP(J870,Jueces!$A$1:$B$11,2,FALSE),"")</f>
        <v/>
      </c>
      <c r="L870" s="240" t="s">
        <v>814</v>
      </c>
      <c r="M870" s="240" t="s">
        <v>2286</v>
      </c>
      <c r="N870" s="240"/>
      <c r="O870" s="240" t="str">
        <f t="shared" ca="1" si="50"/>
        <v>LIMBO</v>
      </c>
      <c r="P870" s="240" t="str">
        <f t="shared" si="52"/>
        <v>DIANOSOL</v>
      </c>
      <c r="Q870" s="240" t="s">
        <v>951</v>
      </c>
      <c r="R870" s="240" t="str">
        <f>VLOOKUP($Q870,Resultados!$A$1:$B$49,2,FALSE)</f>
        <v xml:space="preserve"> _</v>
      </c>
      <c r="S870" s="240"/>
      <c r="T870" s="241" t="str">
        <f t="shared" si="53"/>
        <v>NO</v>
      </c>
      <c r="U870" s="241"/>
      <c r="V870" s="240"/>
      <c r="W870" s="240"/>
      <c r="X870" s="240"/>
      <c r="Y870" s="240"/>
      <c r="Z870" s="240"/>
      <c r="AA870" s="240"/>
      <c r="AB870" s="240"/>
      <c r="AC870" s="405"/>
    </row>
    <row r="871" spans="1:29" ht="39.950000000000003" customHeight="1" x14ac:dyDescent="0.2">
      <c r="A871" s="240">
        <v>805</v>
      </c>
      <c r="B871" s="324">
        <v>45202</v>
      </c>
      <c r="C871" s="325">
        <v>0.47083333333333338</v>
      </c>
      <c r="D871" s="240" t="s">
        <v>3162</v>
      </c>
      <c r="E871" s="243" t="s">
        <v>3385</v>
      </c>
      <c r="F871" s="240">
        <v>8</v>
      </c>
      <c r="G871" s="240"/>
      <c r="H871" s="324"/>
      <c r="I871" s="324"/>
      <c r="J871" s="324"/>
      <c r="K871" s="240" t="str">
        <f>IFERROR(VLOOKUP(J871,Jueces!$A$1:$B$11,2,FALSE),"")</f>
        <v/>
      </c>
      <c r="L871" s="240" t="s">
        <v>791</v>
      </c>
      <c r="M871" s="240" t="s">
        <v>887</v>
      </c>
      <c r="N871" s="240"/>
      <c r="O871" s="240" t="str">
        <f t="shared" ca="1" si="50"/>
        <v>LIMBO</v>
      </c>
      <c r="P871" s="240" t="str">
        <f t="shared" si="52"/>
        <v>DIANOSOL</v>
      </c>
      <c r="Q871" s="240" t="s">
        <v>951</v>
      </c>
      <c r="R871" s="240" t="str">
        <f>VLOOKUP($Q871,Resultados!$A$1:$B$49,2,FALSE)</f>
        <v xml:space="preserve"> _</v>
      </c>
      <c r="S871" s="240"/>
      <c r="T871" s="241" t="str">
        <f t="shared" si="53"/>
        <v>NO</v>
      </c>
      <c r="U871" s="241"/>
      <c r="V871" s="240"/>
      <c r="W871" s="240"/>
      <c r="X871" s="240"/>
      <c r="Y871" s="240"/>
      <c r="Z871" s="240"/>
      <c r="AA871" s="240"/>
      <c r="AB871" s="240"/>
      <c r="AC871" s="405"/>
    </row>
    <row r="872" spans="1:29" ht="39.950000000000003" customHeight="1" x14ac:dyDescent="0.2">
      <c r="A872" s="240">
        <v>812</v>
      </c>
      <c r="B872" s="324">
        <v>45210</v>
      </c>
      <c r="C872" s="325">
        <v>0.41250000000000003</v>
      </c>
      <c r="D872" s="240" t="s">
        <v>3336</v>
      </c>
      <c r="E872" s="243" t="s">
        <v>3398</v>
      </c>
      <c r="F872" s="240">
        <v>2</v>
      </c>
      <c r="G872" s="240"/>
      <c r="H872" s="324"/>
      <c r="I872" s="324"/>
      <c r="J872" s="324"/>
      <c r="K872" s="240" t="str">
        <f>IFERROR(VLOOKUP(J872,Jueces!$A$1:$B$11,2,FALSE),"")</f>
        <v/>
      </c>
      <c r="L872" s="240" t="s">
        <v>813</v>
      </c>
      <c r="M872" s="372" t="s">
        <v>693</v>
      </c>
      <c r="N872" s="240"/>
      <c r="O872" s="240" t="str">
        <f t="shared" ca="1" si="50"/>
        <v>LIMBO</v>
      </c>
      <c r="P872" s="240" t="str">
        <f t="shared" si="52"/>
        <v>DIANOSOL</v>
      </c>
      <c r="Q872" s="240" t="s">
        <v>951</v>
      </c>
      <c r="R872" s="240" t="str">
        <f>VLOOKUP($Q872,Resultados!$A$1:$B$49,2,FALSE)</f>
        <v xml:space="preserve"> _</v>
      </c>
      <c r="S872" s="240"/>
      <c r="T872" s="241" t="str">
        <f t="shared" si="53"/>
        <v>NO</v>
      </c>
      <c r="U872" s="241"/>
      <c r="V872" s="240"/>
      <c r="W872" s="240"/>
      <c r="X872" s="240"/>
      <c r="Y872" s="240"/>
      <c r="Z872" s="240"/>
      <c r="AA872" s="240"/>
      <c r="AB872" s="240"/>
      <c r="AC872" s="405"/>
    </row>
    <row r="873" spans="1:29" ht="39.950000000000003" customHeight="1" x14ac:dyDescent="0.2">
      <c r="A873" s="170">
        <v>813</v>
      </c>
      <c r="B873" s="326"/>
      <c r="C873" s="170"/>
      <c r="D873" s="170"/>
      <c r="E873" s="171" t="s">
        <v>3416</v>
      </c>
      <c r="F873" s="170">
        <v>1</v>
      </c>
      <c r="G873" s="170"/>
      <c r="H873" s="326"/>
      <c r="I873" s="326"/>
      <c r="J873" s="326"/>
      <c r="K873" s="170" t="str">
        <f>IFERROR(VLOOKUP(J873,Jueces!$A$1:$B$11,2,FALSE),"")</f>
        <v/>
      </c>
      <c r="L873" s="170" t="s">
        <v>812</v>
      </c>
      <c r="M873" s="170"/>
      <c r="N873" s="170"/>
      <c r="O873" s="170" t="str">
        <f t="shared" ca="1" si="50"/>
        <v>LIMBO</v>
      </c>
      <c r="P873" s="170" t="str">
        <f t="shared" si="52"/>
        <v>DIANOSOL</v>
      </c>
      <c r="Q873" s="170" t="s">
        <v>951</v>
      </c>
      <c r="R873" s="170" t="str">
        <f>VLOOKUP($Q873,Resultados!$A$1:$B$49,2,FALSE)</f>
        <v xml:space="preserve"> _</v>
      </c>
      <c r="S873" s="170"/>
      <c r="T873" s="172" t="str">
        <f t="shared" si="53"/>
        <v>NO</v>
      </c>
      <c r="U873" s="172"/>
      <c r="V873" s="170"/>
      <c r="W873" s="170"/>
      <c r="X873" s="170"/>
      <c r="Y873" s="170"/>
      <c r="Z873" s="170"/>
      <c r="AA873" s="170"/>
      <c r="AB873" s="170"/>
      <c r="AC873" s="405"/>
    </row>
    <row r="874" spans="1:29" ht="39.950000000000003" customHeight="1" x14ac:dyDescent="0.2">
      <c r="A874" s="240">
        <v>819</v>
      </c>
      <c r="B874" s="324">
        <v>45216</v>
      </c>
      <c r="C874" s="325">
        <v>0.45833333333333331</v>
      </c>
      <c r="D874" s="240" t="s">
        <v>1209</v>
      </c>
      <c r="E874" s="243" t="s">
        <v>3430</v>
      </c>
      <c r="F874" s="240">
        <v>4</v>
      </c>
      <c r="G874" s="240"/>
      <c r="H874" s="324"/>
      <c r="I874" s="324"/>
      <c r="J874" s="324"/>
      <c r="K874" s="240" t="str">
        <f>IFERROR(VLOOKUP(J874,Jueces!$A$1:$B$11,2,FALSE),"")</f>
        <v/>
      </c>
      <c r="L874" s="240" t="s">
        <v>1070</v>
      </c>
      <c r="M874" s="240" t="s">
        <v>3431</v>
      </c>
      <c r="N874" s="240"/>
      <c r="O874" s="240" t="str">
        <f t="shared" ca="1" si="50"/>
        <v>LIMBO</v>
      </c>
      <c r="P874" s="240" t="str">
        <f t="shared" si="52"/>
        <v>DIANOSOL</v>
      </c>
      <c r="Q874" s="240" t="s">
        <v>951</v>
      </c>
      <c r="R874" s="240" t="str">
        <f>VLOOKUP($Q874,Resultados!$A$1:$B$49,2,FALSE)</f>
        <v xml:space="preserve"> _</v>
      </c>
      <c r="S874" s="240"/>
      <c r="T874" s="241" t="str">
        <f t="shared" si="53"/>
        <v>NO</v>
      </c>
      <c r="U874" s="241"/>
      <c r="V874" s="240"/>
      <c r="W874" s="240"/>
      <c r="X874" s="240"/>
      <c r="Y874" s="240"/>
      <c r="Z874" s="240"/>
      <c r="AA874" s="240"/>
      <c r="AB874" s="240"/>
      <c r="AC874" s="405"/>
    </row>
    <row r="875" spans="1:29" ht="39.950000000000003" customHeight="1" x14ac:dyDescent="0.2">
      <c r="A875" s="170">
        <v>826</v>
      </c>
      <c r="B875" s="326">
        <v>45216</v>
      </c>
      <c r="C875" s="327">
        <v>0.375</v>
      </c>
      <c r="D875" s="170" t="s">
        <v>3370</v>
      </c>
      <c r="E875" s="171" t="s">
        <v>3455</v>
      </c>
      <c r="F875" s="170">
        <v>1</v>
      </c>
      <c r="G875" s="170"/>
      <c r="H875" s="326"/>
      <c r="I875" s="326"/>
      <c r="J875" s="326"/>
      <c r="K875" s="170" t="str">
        <f>IFERROR(VLOOKUP(J875,Jueces!$A$1:$B$11,2,FALSE),"")</f>
        <v/>
      </c>
      <c r="L875" s="170" t="s">
        <v>829</v>
      </c>
      <c r="M875" s="170"/>
      <c r="N875" s="170"/>
      <c r="O875" s="170" t="str">
        <f t="shared" ca="1" si="50"/>
        <v>LIMBO</v>
      </c>
      <c r="P875" s="170" t="str">
        <f t="shared" si="52"/>
        <v>DIANOSOL</v>
      </c>
      <c r="Q875" s="170" t="s">
        <v>951</v>
      </c>
      <c r="R875" s="170" t="str">
        <f>VLOOKUP($Q875,Resultados!$A$1:$B$49,2,FALSE)</f>
        <v xml:space="preserve"> _</v>
      </c>
      <c r="S875" s="170"/>
      <c r="T875" s="172" t="str">
        <f t="shared" si="53"/>
        <v>NO</v>
      </c>
      <c r="U875" s="172"/>
      <c r="V875" s="170"/>
      <c r="W875" s="170"/>
      <c r="X875" s="170"/>
      <c r="Y875" s="170"/>
      <c r="Z875" s="170"/>
      <c r="AA875" s="170"/>
      <c r="AB875" s="170"/>
      <c r="AC875" s="405"/>
    </row>
    <row r="876" spans="1:29" ht="39.950000000000003" customHeight="1" x14ac:dyDescent="0.2">
      <c r="A876" s="170">
        <v>864</v>
      </c>
      <c r="B876" s="326">
        <v>45222</v>
      </c>
      <c r="C876" s="327">
        <v>0.5229166666666667</v>
      </c>
      <c r="D876" s="170" t="s">
        <v>2771</v>
      </c>
      <c r="E876" s="171" t="s">
        <v>3597</v>
      </c>
      <c r="F876" s="170">
        <v>1</v>
      </c>
      <c r="G876" s="170"/>
      <c r="H876" s="326"/>
      <c r="I876" s="326"/>
      <c r="J876" s="326"/>
      <c r="K876" s="170" t="str">
        <f>IFERROR(VLOOKUP(J876,Jueces!$A$1:$B$11,2,FALSE),"")</f>
        <v/>
      </c>
      <c r="L876" s="170" t="s">
        <v>813</v>
      </c>
      <c r="M876" s="170"/>
      <c r="N876" s="170"/>
      <c r="O876" s="170" t="str">
        <f t="shared" ref="O876:O904" ca="1" si="54">IF(H876&lt;&gt;"",IF(H876&lt;=TODAY(),"SI","NO"),"LIMBO")</f>
        <v>LIMBO</v>
      </c>
      <c r="P876" s="170" t="str">
        <f t="shared" si="52"/>
        <v>DIANOSOL</v>
      </c>
      <c r="Q876" s="170" t="s">
        <v>951</v>
      </c>
      <c r="R876" s="170" t="str">
        <f>VLOOKUP($Q876,Resultados!$A$1:$B$49,2,FALSE)</f>
        <v xml:space="preserve"> _</v>
      </c>
      <c r="S876" s="170"/>
      <c r="T876" s="172" t="str">
        <f t="shared" si="53"/>
        <v>NO</v>
      </c>
      <c r="U876" s="172"/>
      <c r="V876" s="170"/>
      <c r="W876" s="170"/>
      <c r="X876" s="170"/>
      <c r="Y876" s="170"/>
      <c r="Z876" s="170"/>
      <c r="AA876" s="170"/>
      <c r="AB876" s="170"/>
      <c r="AC876" s="363"/>
    </row>
    <row r="877" spans="1:29" ht="39.950000000000003" customHeight="1" x14ac:dyDescent="0.2">
      <c r="A877" s="240">
        <v>866</v>
      </c>
      <c r="B877" s="324">
        <v>45222</v>
      </c>
      <c r="C877" s="325">
        <v>0.53680555555555554</v>
      </c>
      <c r="D877" s="240" t="s">
        <v>3598</v>
      </c>
      <c r="E877" s="243" t="s">
        <v>3671</v>
      </c>
      <c r="F877" s="240">
        <v>2</v>
      </c>
      <c r="G877" s="240"/>
      <c r="H877" s="324"/>
      <c r="I877" s="324"/>
      <c r="J877" s="324"/>
      <c r="K877" s="240" t="str">
        <f>IFERROR(VLOOKUP(J877,Jueces!$A$1:$B$11,2,FALSE),"")</f>
        <v/>
      </c>
      <c r="L877" s="240" t="s">
        <v>798</v>
      </c>
      <c r="M877" s="240" t="s">
        <v>693</v>
      </c>
      <c r="N877" s="240"/>
      <c r="O877" s="240" t="str">
        <f t="shared" ca="1" si="54"/>
        <v>LIMBO</v>
      </c>
      <c r="P877" s="240" t="str">
        <f t="shared" si="52"/>
        <v>DIANOSOL</v>
      </c>
      <c r="Q877" s="240" t="s">
        <v>951</v>
      </c>
      <c r="R877" s="240" t="str">
        <f>VLOOKUP($Q877,Resultados!$A$1:$B$49,2,FALSE)</f>
        <v xml:space="preserve"> _</v>
      </c>
      <c r="S877" s="240"/>
      <c r="T877" s="241" t="str">
        <f t="shared" si="53"/>
        <v>NO</v>
      </c>
      <c r="U877" s="241"/>
      <c r="V877" s="240"/>
      <c r="W877" s="240"/>
      <c r="X877" s="240"/>
      <c r="Y877" s="240"/>
      <c r="Z877" s="240"/>
      <c r="AA877" s="240"/>
      <c r="AB877" s="240"/>
      <c r="AC877" s="370"/>
    </row>
    <row r="878" spans="1:29" ht="39.950000000000003" customHeight="1" x14ac:dyDescent="0.2">
      <c r="A878" s="240">
        <v>869</v>
      </c>
      <c r="B878" s="324">
        <v>45224</v>
      </c>
      <c r="C878" s="325">
        <v>0.34027777777777773</v>
      </c>
      <c r="D878" s="240" t="s">
        <v>3614</v>
      </c>
      <c r="E878" s="243" t="s">
        <v>3654</v>
      </c>
      <c r="F878" s="240">
        <v>3</v>
      </c>
      <c r="G878" s="240"/>
      <c r="H878" s="324"/>
      <c r="I878" s="324"/>
      <c r="J878" s="324"/>
      <c r="K878" s="240" t="str">
        <f>IFERROR(VLOOKUP(J878,Jueces!$A$1:$B$11,2,FALSE),"")</f>
        <v/>
      </c>
      <c r="L878" s="240" t="s">
        <v>812</v>
      </c>
      <c r="M878" s="240" t="s">
        <v>694</v>
      </c>
      <c r="N878" s="240"/>
      <c r="O878" s="240" t="str">
        <f t="shared" ca="1" si="54"/>
        <v>LIMBO</v>
      </c>
      <c r="P878" s="240" t="str">
        <f t="shared" si="52"/>
        <v>DIANOSOL</v>
      </c>
      <c r="Q878" s="240" t="s">
        <v>951</v>
      </c>
      <c r="R878" s="240" t="str">
        <f>VLOOKUP($Q878,Resultados!$A$1:$B$49,2,FALSE)</f>
        <v xml:space="preserve"> _</v>
      </c>
      <c r="S878" s="240"/>
      <c r="T878" s="241" t="str">
        <f t="shared" si="53"/>
        <v>NO</v>
      </c>
      <c r="U878" s="241"/>
      <c r="V878" s="240"/>
      <c r="W878" s="240"/>
      <c r="X878" s="240"/>
      <c r="Y878" s="240"/>
      <c r="Z878" s="240"/>
      <c r="AA878" s="240"/>
      <c r="AB878" s="240"/>
      <c r="AC878" s="370"/>
    </row>
    <row r="879" spans="1:29" ht="39.950000000000003" customHeight="1" x14ac:dyDescent="0.2">
      <c r="A879" s="240">
        <v>870</v>
      </c>
      <c r="B879" s="324">
        <v>45224</v>
      </c>
      <c r="C879" s="325">
        <v>0.33333333333333331</v>
      </c>
      <c r="D879" s="240" t="s">
        <v>3615</v>
      </c>
      <c r="E879" s="243" t="s">
        <v>3655</v>
      </c>
      <c r="F879" s="240">
        <v>3</v>
      </c>
      <c r="G879" s="240"/>
      <c r="H879" s="324"/>
      <c r="I879" s="324"/>
      <c r="J879" s="324"/>
      <c r="K879" s="240" t="str">
        <f>IFERROR(VLOOKUP(J879,Jueces!$A$1:$B$11,2,FALSE),"")</f>
        <v/>
      </c>
      <c r="L879" s="240" t="s">
        <v>813</v>
      </c>
      <c r="M879" s="240" t="s">
        <v>694</v>
      </c>
      <c r="N879" s="240"/>
      <c r="O879" s="240" t="str">
        <f t="shared" ca="1" si="54"/>
        <v>LIMBO</v>
      </c>
      <c r="P879" s="240" t="str">
        <f t="shared" si="52"/>
        <v>DIANOSOL</v>
      </c>
      <c r="Q879" s="240" t="s">
        <v>951</v>
      </c>
      <c r="R879" s="240" t="str">
        <f>VLOOKUP($Q879,Resultados!$A$1:$B$49,2,FALSE)</f>
        <v xml:space="preserve"> _</v>
      </c>
      <c r="S879" s="240"/>
      <c r="T879" s="241" t="str">
        <f t="shared" si="53"/>
        <v>NO</v>
      </c>
      <c r="U879" s="241"/>
      <c r="V879" s="240"/>
      <c r="W879" s="240"/>
      <c r="X879" s="240"/>
      <c r="Y879" s="240"/>
      <c r="Z879" s="240"/>
      <c r="AA879" s="240"/>
      <c r="AB879" s="240"/>
      <c r="AC879" s="370"/>
    </row>
    <row r="880" spans="1:29" ht="39.950000000000003" customHeight="1" x14ac:dyDescent="0.2">
      <c r="A880" s="240">
        <v>872</v>
      </c>
      <c r="B880" s="324">
        <v>45223</v>
      </c>
      <c r="C880" s="325">
        <v>0.49513888888888885</v>
      </c>
      <c r="D880" s="240" t="s">
        <v>3609</v>
      </c>
      <c r="E880" s="243" t="s">
        <v>3660</v>
      </c>
      <c r="F880" s="240">
        <v>3</v>
      </c>
      <c r="G880" s="240"/>
      <c r="H880" s="324"/>
      <c r="I880" s="324"/>
      <c r="J880" s="324"/>
      <c r="K880" s="240" t="str">
        <f>IFERROR(VLOOKUP(J880,Jueces!$A$1:$B$11,2,FALSE),"")</f>
        <v/>
      </c>
      <c r="L880" s="240" t="s">
        <v>799</v>
      </c>
      <c r="M880" s="240" t="s">
        <v>694</v>
      </c>
      <c r="N880" s="240"/>
      <c r="O880" s="240" t="str">
        <f t="shared" ca="1" si="54"/>
        <v>LIMBO</v>
      </c>
      <c r="P880" s="240" t="str">
        <f t="shared" si="52"/>
        <v>DIANOSOL</v>
      </c>
      <c r="Q880" s="240" t="s">
        <v>951</v>
      </c>
      <c r="R880" s="240" t="str">
        <f>VLOOKUP($Q880,Resultados!$A$1:$B$49,2,FALSE)</f>
        <v xml:space="preserve"> _</v>
      </c>
      <c r="S880" s="240"/>
      <c r="T880" s="241" t="str">
        <f t="shared" si="53"/>
        <v>NO</v>
      </c>
      <c r="U880" s="241"/>
      <c r="V880" s="240"/>
      <c r="W880" s="240"/>
      <c r="X880" s="240"/>
      <c r="Y880" s="240"/>
      <c r="Z880" s="240"/>
      <c r="AA880" s="240"/>
      <c r="AB880" s="240"/>
      <c r="AC880" s="370"/>
    </row>
    <row r="881" spans="1:29" ht="39.950000000000003" customHeight="1" x14ac:dyDescent="0.2">
      <c r="A881" s="240">
        <v>872</v>
      </c>
      <c r="B881" s="324">
        <v>45224</v>
      </c>
      <c r="C881" s="325">
        <v>0.43958333333333338</v>
      </c>
      <c r="D881" s="240" t="s">
        <v>3622</v>
      </c>
      <c r="E881" s="243" t="s">
        <v>3623</v>
      </c>
      <c r="F881" s="240">
        <v>3</v>
      </c>
      <c r="G881" s="240"/>
      <c r="H881" s="324"/>
      <c r="I881" s="324"/>
      <c r="J881" s="324"/>
      <c r="K881" s="240" t="str">
        <f>IFERROR(VLOOKUP(J881,Jueces!$A$1:$B$11,2,FALSE),"")</f>
        <v/>
      </c>
      <c r="L881" s="240" t="s">
        <v>809</v>
      </c>
      <c r="M881" s="240" t="s">
        <v>694</v>
      </c>
      <c r="N881" s="240"/>
      <c r="O881" s="240" t="str">
        <f t="shared" ca="1" si="54"/>
        <v>LIMBO</v>
      </c>
      <c r="P881" s="240" t="str">
        <f t="shared" si="52"/>
        <v>DIANOSOL</v>
      </c>
      <c r="Q881" s="240" t="s">
        <v>951</v>
      </c>
      <c r="R881" s="240" t="str">
        <f>VLOOKUP($Q881,Resultados!$A$1:$B$49,2,FALSE)</f>
        <v xml:space="preserve"> _</v>
      </c>
      <c r="S881" s="240"/>
      <c r="T881" s="241" t="str">
        <f t="shared" si="53"/>
        <v>NO</v>
      </c>
      <c r="U881" s="241"/>
      <c r="V881" s="240"/>
      <c r="W881" s="240"/>
      <c r="X881" s="240"/>
      <c r="Y881" s="240"/>
      <c r="Z881" s="240"/>
      <c r="AA881" s="240"/>
      <c r="AB881" s="240"/>
      <c r="AC881" s="370"/>
    </row>
    <row r="882" spans="1:29" ht="39.950000000000003" customHeight="1" x14ac:dyDescent="0.2">
      <c r="A882" s="170">
        <v>876</v>
      </c>
      <c r="B882" s="326">
        <v>45225</v>
      </c>
      <c r="C882" s="327">
        <v>0.3576388888888889</v>
      </c>
      <c r="D882" s="170" t="s">
        <v>1314</v>
      </c>
      <c r="E882" s="171" t="s">
        <v>3636</v>
      </c>
      <c r="F882" s="170">
        <v>2</v>
      </c>
      <c r="G882" s="170"/>
      <c r="H882" s="326"/>
      <c r="I882" s="326"/>
      <c r="J882" s="326"/>
      <c r="K882" s="170" t="str">
        <f>IFERROR(VLOOKUP(J882,Jueces!$A$1:$B$11,2,FALSE),"")</f>
        <v/>
      </c>
      <c r="L882" s="170" t="s">
        <v>582</v>
      </c>
      <c r="M882" s="170"/>
      <c r="N882" s="170"/>
      <c r="O882" s="170" t="str">
        <f t="shared" ca="1" si="54"/>
        <v>LIMBO</v>
      </c>
      <c r="P882" s="170" t="str">
        <f t="shared" si="52"/>
        <v>DIANOSOL</v>
      </c>
      <c r="Q882" s="170" t="s">
        <v>951</v>
      </c>
      <c r="R882" s="170" t="str">
        <f>VLOOKUP($Q882,Resultados!$A$1:$B$49,2,FALSE)</f>
        <v xml:space="preserve"> _</v>
      </c>
      <c r="S882" s="170"/>
      <c r="T882" s="172" t="str">
        <f t="shared" si="53"/>
        <v>NO</v>
      </c>
      <c r="U882" s="172"/>
      <c r="V882" s="170"/>
      <c r="W882" s="170"/>
      <c r="X882" s="170"/>
      <c r="Y882" s="170"/>
      <c r="Z882" s="170"/>
      <c r="AA882" s="170"/>
      <c r="AB882" s="170"/>
      <c r="AC882" s="363"/>
    </row>
    <row r="883" spans="1:29" ht="39.950000000000003" customHeight="1" x14ac:dyDescent="0.2">
      <c r="A883" s="170">
        <v>878</v>
      </c>
      <c r="B883" s="326">
        <v>45225</v>
      </c>
      <c r="C883" s="327">
        <v>0.37291666666666662</v>
      </c>
      <c r="D883" s="170" t="s">
        <v>3641</v>
      </c>
      <c r="E883" s="171" t="s">
        <v>3640</v>
      </c>
      <c r="F883" s="170">
        <v>2</v>
      </c>
      <c r="G883" s="170"/>
      <c r="H883" s="326"/>
      <c r="I883" s="326"/>
      <c r="J883" s="326"/>
      <c r="K883" s="170" t="str">
        <f>IFERROR(VLOOKUP(J883,Jueces!$A$1:$B$11,2,FALSE),"")</f>
        <v/>
      </c>
      <c r="L883" s="170" t="s">
        <v>809</v>
      </c>
      <c r="M883" s="170"/>
      <c r="N883" s="170"/>
      <c r="O883" s="170" t="str">
        <f t="shared" ca="1" si="54"/>
        <v>LIMBO</v>
      </c>
      <c r="P883" s="170" t="str">
        <f t="shared" si="52"/>
        <v>DIANOSOL</v>
      </c>
      <c r="Q883" s="170" t="s">
        <v>951</v>
      </c>
      <c r="R883" s="170" t="str">
        <f>VLOOKUP($Q883,Resultados!$A$1:$B$49,2,FALSE)</f>
        <v xml:space="preserve"> _</v>
      </c>
      <c r="S883" s="170"/>
      <c r="T883" s="172" t="str">
        <f t="shared" si="53"/>
        <v>NO</v>
      </c>
      <c r="U883" s="172"/>
      <c r="V883" s="170"/>
      <c r="W883" s="170"/>
      <c r="X883" s="170"/>
      <c r="Y883" s="170"/>
      <c r="Z883" s="170"/>
      <c r="AA883" s="170"/>
      <c r="AB883" s="170"/>
      <c r="AC883" s="363"/>
    </row>
    <row r="884" spans="1:29" ht="39.950000000000003" customHeight="1" x14ac:dyDescent="0.2">
      <c r="A884" s="240">
        <v>879</v>
      </c>
      <c r="B884" s="324">
        <v>45222</v>
      </c>
      <c r="C884" s="325">
        <v>0.5229166666666667</v>
      </c>
      <c r="D884" s="240" t="s">
        <v>3642</v>
      </c>
      <c r="E884" s="243" t="s">
        <v>3643</v>
      </c>
      <c r="F884" s="240">
        <v>1</v>
      </c>
      <c r="G884" s="240"/>
      <c r="H884" s="324"/>
      <c r="I884" s="324"/>
      <c r="J884" s="324"/>
      <c r="K884" s="240" t="str">
        <f>IFERROR(VLOOKUP(J884,Jueces!$A$1:$B$11,2,FALSE),"")</f>
        <v/>
      </c>
      <c r="L884" s="240" t="s">
        <v>813</v>
      </c>
      <c r="M884" s="240" t="s">
        <v>712</v>
      </c>
      <c r="N884" s="240" t="s">
        <v>3644</v>
      </c>
      <c r="O884" s="240" t="str">
        <f t="shared" ca="1" si="54"/>
        <v>LIMBO</v>
      </c>
      <c r="P884" s="240" t="str">
        <f t="shared" si="52"/>
        <v>DIANOSOL</v>
      </c>
      <c r="Q884" s="240" t="s">
        <v>951</v>
      </c>
      <c r="R884" s="240" t="str">
        <f>VLOOKUP($Q884,Resultados!$A$1:$B$49,2,FALSE)</f>
        <v xml:space="preserve"> _</v>
      </c>
      <c r="S884" s="240"/>
      <c r="T884" s="241" t="str">
        <f t="shared" si="53"/>
        <v>NO</v>
      </c>
      <c r="U884" s="241"/>
      <c r="V884" s="240"/>
      <c r="W884" s="240"/>
      <c r="X884" s="240"/>
      <c r="Y884" s="240"/>
      <c r="Z884" s="240"/>
      <c r="AA884" s="240"/>
      <c r="AB884" s="240"/>
      <c r="AC884" s="370"/>
    </row>
    <row r="885" spans="1:29" ht="39.950000000000003" customHeight="1" x14ac:dyDescent="0.2">
      <c r="A885" s="240">
        <v>880</v>
      </c>
      <c r="B885" s="324">
        <v>45225</v>
      </c>
      <c r="C885" s="325">
        <v>0.37708333333333338</v>
      </c>
      <c r="D885" s="240" t="s">
        <v>3645</v>
      </c>
      <c r="E885" s="243" t="s">
        <v>3646</v>
      </c>
      <c r="F885" s="240">
        <v>3</v>
      </c>
      <c r="G885" s="240"/>
      <c r="H885" s="324"/>
      <c r="I885" s="324"/>
      <c r="J885" s="324"/>
      <c r="K885" s="240" t="str">
        <f>IFERROR(VLOOKUP(J885,Jueces!$A$1:$B$11,2,FALSE),"")</f>
        <v/>
      </c>
      <c r="L885" s="240" t="s">
        <v>799</v>
      </c>
      <c r="M885" s="240" t="s">
        <v>695</v>
      </c>
      <c r="N885" s="240"/>
      <c r="O885" s="240" t="str">
        <f t="shared" ca="1" si="54"/>
        <v>LIMBO</v>
      </c>
      <c r="P885" s="240" t="str">
        <f t="shared" si="52"/>
        <v>DIANOSOL</v>
      </c>
      <c r="Q885" s="240" t="s">
        <v>951</v>
      </c>
      <c r="R885" s="240" t="str">
        <f>VLOOKUP($Q885,Resultados!$A$1:$B$49,2,FALSE)</f>
        <v xml:space="preserve"> _</v>
      </c>
      <c r="S885" s="240"/>
      <c r="T885" s="241" t="str">
        <f t="shared" ref="T885:T904" si="55">IF(G885=$J$1,"SI","NO")</f>
        <v>NO</v>
      </c>
      <c r="U885" s="241"/>
      <c r="V885" s="240"/>
      <c r="W885" s="240"/>
      <c r="X885" s="240"/>
      <c r="Y885" s="240"/>
      <c r="Z885" s="240"/>
      <c r="AA885" s="240"/>
      <c r="AB885" s="240"/>
      <c r="AC885" s="370"/>
    </row>
    <row r="886" spans="1:29" ht="39.950000000000003" customHeight="1" x14ac:dyDescent="0.2">
      <c r="A886" s="170">
        <v>881</v>
      </c>
      <c r="B886" s="326">
        <v>45225</v>
      </c>
      <c r="C886" s="327">
        <v>0.38541666666666669</v>
      </c>
      <c r="D886" s="170" t="s">
        <v>3647</v>
      </c>
      <c r="E886" s="171" t="s">
        <v>3648</v>
      </c>
      <c r="F886" s="170">
        <v>3</v>
      </c>
      <c r="G886" s="170"/>
      <c r="H886" s="326"/>
      <c r="I886" s="326"/>
      <c r="J886" s="326"/>
      <c r="K886" s="170" t="str">
        <f>IFERROR(VLOOKUP(J886,Jueces!$A$1:$B$11,2,FALSE),"")</f>
        <v/>
      </c>
      <c r="L886" s="170" t="s">
        <v>791</v>
      </c>
      <c r="M886" s="170"/>
      <c r="N886" s="170"/>
      <c r="O886" s="170" t="str">
        <f t="shared" ca="1" si="54"/>
        <v>LIMBO</v>
      </c>
      <c r="P886" s="170" t="str">
        <f t="shared" si="52"/>
        <v>DIANOSOL</v>
      </c>
      <c r="Q886" s="170" t="s">
        <v>951</v>
      </c>
      <c r="R886" s="170" t="str">
        <f>VLOOKUP($Q886,Resultados!$A$1:$B$49,2,FALSE)</f>
        <v xml:space="preserve"> _</v>
      </c>
      <c r="S886" s="170"/>
      <c r="T886" s="172" t="str">
        <f t="shared" si="55"/>
        <v>NO</v>
      </c>
      <c r="U886" s="172"/>
      <c r="V886" s="170"/>
      <c r="W886" s="170"/>
      <c r="X886" s="170"/>
      <c r="Y886" s="170"/>
      <c r="Z886" s="170"/>
      <c r="AA886" s="170"/>
      <c r="AB886" s="170"/>
      <c r="AC886" s="363"/>
    </row>
    <row r="887" spans="1:29" ht="39.950000000000003" customHeight="1" x14ac:dyDescent="0.2">
      <c r="A887" s="240">
        <v>883</v>
      </c>
      <c r="B887" s="324">
        <v>45224</v>
      </c>
      <c r="C887" s="325">
        <v>0.34375</v>
      </c>
      <c r="D887" s="240" t="s">
        <v>3652</v>
      </c>
      <c r="E887" s="243" t="s">
        <v>3653</v>
      </c>
      <c r="F887" s="240">
        <v>3</v>
      </c>
      <c r="G887" s="240"/>
      <c r="H887" s="324"/>
      <c r="I887" s="324"/>
      <c r="J887" s="324"/>
      <c r="K887" s="240" t="str">
        <f>IFERROR(VLOOKUP(J887,Jueces!$A$1:$B$11,2,FALSE),"")</f>
        <v/>
      </c>
      <c r="L887" s="240" t="s">
        <v>812</v>
      </c>
      <c r="M887" s="240" t="s">
        <v>694</v>
      </c>
      <c r="N887" s="240"/>
      <c r="O887" s="240" t="str">
        <f t="shared" ca="1" si="54"/>
        <v>LIMBO</v>
      </c>
      <c r="P887" s="240" t="str">
        <f t="shared" si="52"/>
        <v>DIANOSOL</v>
      </c>
      <c r="Q887" s="240" t="s">
        <v>951</v>
      </c>
      <c r="R887" s="240" t="str">
        <f>VLOOKUP($Q887,Resultados!$A$1:$B$49,2,FALSE)</f>
        <v xml:space="preserve"> _</v>
      </c>
      <c r="S887" s="240"/>
      <c r="T887" s="241" t="str">
        <f t="shared" si="55"/>
        <v>NO</v>
      </c>
      <c r="U887" s="241"/>
      <c r="V887" s="240"/>
      <c r="W887" s="240"/>
      <c r="X887" s="240"/>
      <c r="Y887" s="240"/>
      <c r="Z887" s="240"/>
      <c r="AA887" s="240"/>
      <c r="AB887" s="240"/>
      <c r="AC887" s="370"/>
    </row>
    <row r="888" spans="1:29" ht="39.950000000000003" customHeight="1" x14ac:dyDescent="0.2">
      <c r="A888" s="240">
        <v>884</v>
      </c>
      <c r="B888" s="324">
        <v>45225</v>
      </c>
      <c r="C888" s="325">
        <v>0.40486111111111112</v>
      </c>
      <c r="D888" s="240" t="s">
        <v>3656</v>
      </c>
      <c r="E888" s="243" t="s">
        <v>3657</v>
      </c>
      <c r="F888" s="240">
        <v>3</v>
      </c>
      <c r="G888" s="240"/>
      <c r="H888" s="324"/>
      <c r="I888" s="324"/>
      <c r="J888" s="324"/>
      <c r="K888" s="240" t="str">
        <f>IFERROR(VLOOKUP(J888,Jueces!$A$1:$B$11,2,FALSE),"")</f>
        <v/>
      </c>
      <c r="L888" s="240" t="s">
        <v>789</v>
      </c>
      <c r="M888" s="240" t="s">
        <v>695</v>
      </c>
      <c r="N888" s="240"/>
      <c r="O888" s="240" t="str">
        <f t="shared" ca="1" si="54"/>
        <v>LIMBO</v>
      </c>
      <c r="P888" s="240" t="str">
        <f t="shared" si="52"/>
        <v>DIANOSOL</v>
      </c>
      <c r="Q888" s="240" t="s">
        <v>951</v>
      </c>
      <c r="R888" s="240" t="str">
        <f>VLOOKUP($Q888,Resultados!$A$1:$B$49,2,FALSE)</f>
        <v xml:space="preserve"> _</v>
      </c>
      <c r="S888" s="240"/>
      <c r="T888" s="241" t="str">
        <f t="shared" si="55"/>
        <v>NO</v>
      </c>
      <c r="U888" s="241"/>
      <c r="V888" s="240"/>
      <c r="W888" s="240"/>
      <c r="X888" s="240"/>
      <c r="Y888" s="240"/>
      <c r="Z888" s="240"/>
      <c r="AA888" s="240"/>
      <c r="AB888" s="240"/>
      <c r="AC888" s="370"/>
    </row>
    <row r="889" spans="1:29" ht="39.950000000000003" customHeight="1" x14ac:dyDescent="0.2">
      <c r="A889" s="240">
        <v>885</v>
      </c>
      <c r="B889" s="324">
        <v>45225</v>
      </c>
      <c r="C889" s="325">
        <v>0.40902777777777777</v>
      </c>
      <c r="D889" s="240" t="s">
        <v>3658</v>
      </c>
      <c r="E889" s="243" t="s">
        <v>3659</v>
      </c>
      <c r="F889" s="240">
        <v>3</v>
      </c>
      <c r="G889" s="240"/>
      <c r="H889" s="324"/>
      <c r="I889" s="324"/>
      <c r="J889" s="324"/>
      <c r="K889" s="240" t="str">
        <f>IFERROR(VLOOKUP(J889,Jueces!$A$1:$B$11,2,FALSE),"")</f>
        <v/>
      </c>
      <c r="L889" s="240" t="s">
        <v>812</v>
      </c>
      <c r="M889" s="240" t="s">
        <v>694</v>
      </c>
      <c r="N889" s="240"/>
      <c r="O889" s="240" t="str">
        <f t="shared" ca="1" si="54"/>
        <v>LIMBO</v>
      </c>
      <c r="P889" s="240" t="str">
        <f t="shared" si="52"/>
        <v>DIANOSOL</v>
      </c>
      <c r="Q889" s="240" t="s">
        <v>951</v>
      </c>
      <c r="R889" s="240" t="str">
        <f>VLOOKUP($Q889,Resultados!$A$1:$B$49,2,FALSE)</f>
        <v xml:space="preserve"> _</v>
      </c>
      <c r="S889" s="240"/>
      <c r="T889" s="241" t="str">
        <f t="shared" si="55"/>
        <v>NO</v>
      </c>
      <c r="U889" s="241"/>
      <c r="V889" s="240"/>
      <c r="W889" s="240"/>
      <c r="X889" s="240"/>
      <c r="Y889" s="240"/>
      <c r="Z889" s="240"/>
      <c r="AA889" s="240"/>
      <c r="AB889" s="240"/>
      <c r="AC889" s="370"/>
    </row>
    <row r="890" spans="1:29" ht="39.950000000000003" customHeight="1" x14ac:dyDescent="0.2">
      <c r="A890" s="240">
        <v>886</v>
      </c>
      <c r="B890" s="324">
        <v>45223</v>
      </c>
      <c r="C890" s="325">
        <v>0.52847222222222223</v>
      </c>
      <c r="D890" s="240" t="s">
        <v>3661</v>
      </c>
      <c r="E890" s="243" t="s">
        <v>3662</v>
      </c>
      <c r="F890" s="240">
        <v>3</v>
      </c>
      <c r="G890" s="240"/>
      <c r="H890" s="324"/>
      <c r="I890" s="324"/>
      <c r="J890" s="324"/>
      <c r="K890" s="240" t="str">
        <f>IFERROR(VLOOKUP(J890,Jueces!$A$1:$B$11,2,FALSE),"")</f>
        <v/>
      </c>
      <c r="L890" s="240" t="s">
        <v>789</v>
      </c>
      <c r="M890" s="240" t="s">
        <v>694</v>
      </c>
      <c r="N890" s="240"/>
      <c r="O890" s="240" t="str">
        <f t="shared" ca="1" si="54"/>
        <v>LIMBO</v>
      </c>
      <c r="P890" s="240" t="str">
        <f t="shared" si="52"/>
        <v>DIANOSOL</v>
      </c>
      <c r="Q890" s="240" t="s">
        <v>951</v>
      </c>
      <c r="R890" s="240" t="str">
        <f>VLOOKUP($Q890,Resultados!$A$1:$B$49,2,FALSE)</f>
        <v xml:space="preserve"> _</v>
      </c>
      <c r="S890" s="240"/>
      <c r="T890" s="241" t="str">
        <f t="shared" si="55"/>
        <v>NO</v>
      </c>
      <c r="U890" s="241"/>
      <c r="V890" s="240"/>
      <c r="W890" s="240"/>
      <c r="X890" s="240"/>
      <c r="Y890" s="240"/>
      <c r="Z890" s="240"/>
      <c r="AA890" s="240"/>
      <c r="AB890" s="240"/>
      <c r="AC890" s="370"/>
    </row>
    <row r="891" spans="1:29" ht="39.950000000000003" customHeight="1" x14ac:dyDescent="0.2">
      <c r="A891" s="240">
        <v>887</v>
      </c>
      <c r="B891" s="324">
        <v>45223</v>
      </c>
      <c r="C891" s="325">
        <v>0.47222222222222227</v>
      </c>
      <c r="D891" s="240" t="s">
        <v>3667</v>
      </c>
      <c r="E891" s="243" t="s">
        <v>3668</v>
      </c>
      <c r="F891" s="240">
        <v>2</v>
      </c>
      <c r="G891" s="240"/>
      <c r="H891" s="324"/>
      <c r="I891" s="324"/>
      <c r="J891" s="324"/>
      <c r="K891" s="240" t="str">
        <f>IFERROR(VLOOKUP(J891,Jueces!$A$1:$B$11,2,FALSE),"")</f>
        <v/>
      </c>
      <c r="L891" s="240" t="s">
        <v>806</v>
      </c>
      <c r="M891" s="240" t="s">
        <v>694</v>
      </c>
      <c r="N891" s="240"/>
      <c r="O891" s="240" t="str">
        <f t="shared" ca="1" si="54"/>
        <v>LIMBO</v>
      </c>
      <c r="P891" s="240" t="str">
        <f t="shared" si="52"/>
        <v>DIANOSOL</v>
      </c>
      <c r="Q891" s="240" t="s">
        <v>951</v>
      </c>
      <c r="R891" s="240" t="str">
        <f>VLOOKUP($Q891,Resultados!$A$1:$B$49,2,FALSE)</f>
        <v xml:space="preserve"> _</v>
      </c>
      <c r="S891" s="240"/>
      <c r="T891" s="241" t="str">
        <f t="shared" si="55"/>
        <v>NO</v>
      </c>
      <c r="U891" s="241"/>
      <c r="V891" s="240"/>
      <c r="W891" s="240"/>
      <c r="X891" s="240"/>
      <c r="Y891" s="240"/>
      <c r="Z891" s="240"/>
      <c r="AA891" s="240"/>
      <c r="AB891" s="240"/>
      <c r="AC891" s="370"/>
    </row>
    <row r="892" spans="1:29" ht="39.950000000000003" customHeight="1" x14ac:dyDescent="0.2">
      <c r="A892" s="240">
        <v>888</v>
      </c>
      <c r="B892" s="324">
        <v>45223</v>
      </c>
      <c r="C892" s="325">
        <v>0.54305555555555551</v>
      </c>
      <c r="D892" s="240" t="s">
        <v>3669</v>
      </c>
      <c r="E892" s="243" t="s">
        <v>3670</v>
      </c>
      <c r="F892" s="240">
        <v>3</v>
      </c>
      <c r="G892" s="240"/>
      <c r="H892" s="324"/>
      <c r="I892" s="324"/>
      <c r="J892" s="324"/>
      <c r="K892" s="240" t="str">
        <f>IFERROR(VLOOKUP(J892,Jueces!$A$1:$B$11,2,FALSE),"")</f>
        <v/>
      </c>
      <c r="L892" s="240" t="s">
        <v>810</v>
      </c>
      <c r="M892" s="240" t="s">
        <v>694</v>
      </c>
      <c r="N892" s="240"/>
      <c r="O892" s="240" t="str">
        <f t="shared" ca="1" si="54"/>
        <v>LIMBO</v>
      </c>
      <c r="P892" s="240" t="str">
        <f t="shared" si="52"/>
        <v>DIANOSOL</v>
      </c>
      <c r="Q892" s="240" t="s">
        <v>951</v>
      </c>
      <c r="R892" s="240" t="str">
        <f>VLOOKUP($Q892,Resultados!$A$1:$B$49,2,FALSE)</f>
        <v xml:space="preserve"> _</v>
      </c>
      <c r="S892" s="240"/>
      <c r="T892" s="241" t="str">
        <f t="shared" si="55"/>
        <v>NO</v>
      </c>
      <c r="U892" s="241"/>
      <c r="V892" s="240"/>
      <c r="W892" s="240"/>
      <c r="X892" s="240"/>
      <c r="Y892" s="240"/>
      <c r="Z892" s="240"/>
      <c r="AA892" s="240"/>
      <c r="AB892" s="240"/>
      <c r="AC892" s="370"/>
    </row>
    <row r="893" spans="1:29" ht="39.950000000000003" customHeight="1" x14ac:dyDescent="0.2">
      <c r="A893" s="170">
        <v>889</v>
      </c>
      <c r="B893" s="326">
        <v>45225</v>
      </c>
      <c r="C893" s="327">
        <v>0.51250000000000007</v>
      </c>
      <c r="D893" s="170" t="s">
        <v>3673</v>
      </c>
      <c r="E893" s="171" t="s">
        <v>3674</v>
      </c>
      <c r="F893" s="170">
        <v>8</v>
      </c>
      <c r="G893" s="170"/>
      <c r="H893" s="326"/>
      <c r="I893" s="326"/>
      <c r="J893" s="326"/>
      <c r="K893" s="170" t="str">
        <f>IFERROR(VLOOKUP(J893,Jueces!$A$1:$B$11,2,FALSE),"")</f>
        <v/>
      </c>
      <c r="L893" s="170" t="s">
        <v>798</v>
      </c>
      <c r="M893" s="170"/>
      <c r="N893" s="170"/>
      <c r="O893" s="170" t="str">
        <f t="shared" ca="1" si="54"/>
        <v>LIMBO</v>
      </c>
      <c r="P893" s="170" t="str">
        <f t="shared" si="52"/>
        <v>DIANOSOL</v>
      </c>
      <c r="Q893" s="170" t="s">
        <v>951</v>
      </c>
      <c r="R893" s="170" t="str">
        <f>VLOOKUP($Q893,Resultados!$A$1:$B$49,2,FALSE)</f>
        <v xml:space="preserve"> _</v>
      </c>
      <c r="S893" s="170"/>
      <c r="T893" s="172" t="str">
        <f t="shared" si="55"/>
        <v>NO</v>
      </c>
      <c r="U893" s="172"/>
      <c r="V893" s="170"/>
      <c r="W893" s="170"/>
      <c r="X893" s="170"/>
      <c r="Y893" s="170"/>
      <c r="Z893" s="170"/>
      <c r="AA893" s="170"/>
      <c r="AB893" s="170"/>
      <c r="AC893" s="363"/>
    </row>
    <row r="894" spans="1:29" ht="39.950000000000003" customHeight="1" x14ac:dyDescent="0.2">
      <c r="A894" s="240">
        <v>890</v>
      </c>
      <c r="B894" s="324">
        <v>45225</v>
      </c>
      <c r="C894" s="325">
        <v>0.47569444444444442</v>
      </c>
      <c r="D894" s="240" t="s">
        <v>3675</v>
      </c>
      <c r="E894" s="243" t="s">
        <v>3676</v>
      </c>
      <c r="F894" s="240">
        <v>3</v>
      </c>
      <c r="G894" s="240"/>
      <c r="H894" s="324"/>
      <c r="I894" s="324"/>
      <c r="J894" s="324"/>
      <c r="K894" s="240" t="str">
        <f>IFERROR(VLOOKUP(J894,Jueces!$A$1:$B$11,2,FALSE),"")</f>
        <v/>
      </c>
      <c r="L894" s="240" t="s">
        <v>812</v>
      </c>
      <c r="M894" s="240" t="s">
        <v>694</v>
      </c>
      <c r="N894" s="240"/>
      <c r="O894" s="240" t="str">
        <f t="shared" ca="1" si="54"/>
        <v>LIMBO</v>
      </c>
      <c r="P894" s="240" t="str">
        <f t="shared" si="52"/>
        <v>DIANOSOL</v>
      </c>
      <c r="Q894" s="240" t="s">
        <v>951</v>
      </c>
      <c r="R894" s="240" t="str">
        <f>VLOOKUP($Q894,Resultados!$A$1:$B$49,2,FALSE)</f>
        <v xml:space="preserve"> _</v>
      </c>
      <c r="S894" s="240"/>
      <c r="T894" s="241" t="str">
        <f t="shared" si="55"/>
        <v>NO</v>
      </c>
      <c r="U894" s="241"/>
      <c r="V894" s="240"/>
      <c r="W894" s="240"/>
      <c r="X894" s="240"/>
      <c r="Y894" s="240"/>
      <c r="Z894" s="240"/>
      <c r="AA894" s="240"/>
      <c r="AB894" s="240"/>
      <c r="AC894" s="370"/>
    </row>
    <row r="895" spans="1:29" ht="39.950000000000003" customHeight="1" x14ac:dyDescent="0.2">
      <c r="A895" s="240">
        <v>891</v>
      </c>
      <c r="B895" s="324">
        <v>45225</v>
      </c>
      <c r="C895" s="325">
        <v>0.46458333333333335</v>
      </c>
      <c r="D895" s="240" t="s">
        <v>3677</v>
      </c>
      <c r="E895" s="243" t="s">
        <v>3687</v>
      </c>
      <c r="F895" s="240">
        <v>3</v>
      </c>
      <c r="G895" s="240"/>
      <c r="H895" s="324"/>
      <c r="I895" s="324"/>
      <c r="J895" s="324"/>
      <c r="K895" s="240" t="str">
        <f>IFERROR(VLOOKUP(J895,Jueces!$A$1:$B$11,2,FALSE),"")</f>
        <v/>
      </c>
      <c r="L895" s="240" t="s">
        <v>812</v>
      </c>
      <c r="M895" s="240" t="s">
        <v>694</v>
      </c>
      <c r="N895" s="240"/>
      <c r="O895" s="240" t="str">
        <f t="shared" ca="1" si="54"/>
        <v>LIMBO</v>
      </c>
      <c r="P895" s="240" t="str">
        <f t="shared" si="52"/>
        <v>DIANOSOL</v>
      </c>
      <c r="Q895" s="240" t="s">
        <v>951</v>
      </c>
      <c r="R895" s="240" t="str">
        <f>VLOOKUP($Q895,Resultados!$A$1:$B$49,2,FALSE)</f>
        <v xml:space="preserve"> _</v>
      </c>
      <c r="S895" s="240"/>
      <c r="T895" s="241" t="str">
        <f t="shared" si="55"/>
        <v>NO</v>
      </c>
      <c r="U895" s="241"/>
      <c r="V895" s="240"/>
      <c r="W895" s="240"/>
      <c r="X895" s="240"/>
      <c r="Y895" s="240"/>
      <c r="Z895" s="240"/>
      <c r="AA895" s="240"/>
      <c r="AB895" s="240"/>
      <c r="AC895" s="370"/>
    </row>
    <row r="896" spans="1:29" ht="39.950000000000003" customHeight="1" x14ac:dyDescent="0.2">
      <c r="A896" s="240">
        <v>892</v>
      </c>
      <c r="B896" s="324">
        <v>45225</v>
      </c>
      <c r="C896" s="325">
        <v>0.3444444444444445</v>
      </c>
      <c r="D896" s="240" t="s">
        <v>3685</v>
      </c>
      <c r="E896" s="243" t="s">
        <v>3684</v>
      </c>
      <c r="F896" s="240">
        <v>3</v>
      </c>
      <c r="G896" s="240"/>
      <c r="H896" s="324"/>
      <c r="I896" s="324"/>
      <c r="J896" s="324"/>
      <c r="K896" s="240" t="str">
        <f>IFERROR(VLOOKUP(J896,Jueces!$A$1:$B$11,2,FALSE),"")</f>
        <v/>
      </c>
      <c r="L896" s="240" t="s">
        <v>789</v>
      </c>
      <c r="M896" s="240" t="s">
        <v>694</v>
      </c>
      <c r="N896" s="240" t="s">
        <v>3686</v>
      </c>
      <c r="O896" s="240" t="str">
        <f t="shared" ca="1" si="54"/>
        <v>LIMBO</v>
      </c>
      <c r="P896" s="240" t="str">
        <f t="shared" si="52"/>
        <v>DIANOSOL</v>
      </c>
      <c r="Q896" s="240" t="s">
        <v>951</v>
      </c>
      <c r="R896" s="240" t="str">
        <f>VLOOKUP($Q896,Resultados!$A$1:$B$49,2,FALSE)</f>
        <v xml:space="preserve"> _</v>
      </c>
      <c r="S896" s="240"/>
      <c r="T896" s="241" t="str">
        <f t="shared" si="55"/>
        <v>NO</v>
      </c>
      <c r="U896" s="241"/>
      <c r="V896" s="240"/>
      <c r="W896" s="240"/>
      <c r="X896" s="240"/>
      <c r="Y896" s="240"/>
      <c r="Z896" s="240"/>
      <c r="AA896" s="240"/>
      <c r="AB896" s="240"/>
      <c r="AC896" s="370"/>
    </row>
    <row r="897" spans="1:29" ht="39.950000000000003" customHeight="1" x14ac:dyDescent="0.2">
      <c r="A897" s="240">
        <v>893</v>
      </c>
      <c r="B897" s="324">
        <v>45226</v>
      </c>
      <c r="C897" s="325">
        <v>0.3972222222222222</v>
      </c>
      <c r="D897" s="362" t="s">
        <v>3690</v>
      </c>
      <c r="E897" s="243" t="s">
        <v>3691</v>
      </c>
      <c r="F897" s="240">
        <v>3</v>
      </c>
      <c r="G897" s="240"/>
      <c r="H897" s="324"/>
      <c r="I897" s="324"/>
      <c r="J897" s="324"/>
      <c r="K897" s="240" t="str">
        <f>IFERROR(VLOOKUP(J897,Jueces!$A$1:$B$11,2,FALSE),"")</f>
        <v/>
      </c>
      <c r="L897" s="240" t="s">
        <v>811</v>
      </c>
      <c r="M897" s="240" t="s">
        <v>694</v>
      </c>
      <c r="N897" s="240"/>
      <c r="O897" s="240" t="str">
        <f t="shared" ca="1" si="54"/>
        <v>LIMBO</v>
      </c>
      <c r="P897" s="240" t="str">
        <f t="shared" si="52"/>
        <v>DIANOSOL</v>
      </c>
      <c r="Q897" s="240" t="s">
        <v>951</v>
      </c>
      <c r="R897" s="240" t="str">
        <f>VLOOKUP($Q897,Resultados!$A$1:$B$49,2,FALSE)</f>
        <v xml:space="preserve"> _</v>
      </c>
      <c r="S897" s="240"/>
      <c r="T897" s="241" t="str">
        <f t="shared" si="55"/>
        <v>NO</v>
      </c>
      <c r="U897" s="241"/>
      <c r="V897" s="240"/>
      <c r="W897" s="240"/>
      <c r="X897" s="240"/>
      <c r="Y897" s="240"/>
      <c r="Z897" s="240"/>
      <c r="AA897" s="240"/>
      <c r="AB897" s="240"/>
      <c r="AC897" s="370" t="s">
        <v>1801</v>
      </c>
    </row>
    <row r="898" spans="1:29" ht="39.950000000000003" customHeight="1" x14ac:dyDescent="0.2">
      <c r="A898" s="170">
        <v>894</v>
      </c>
      <c r="B898" s="326">
        <v>45226</v>
      </c>
      <c r="C898" s="327">
        <v>0.33333333333333331</v>
      </c>
      <c r="D898" s="170" t="s">
        <v>2299</v>
      </c>
      <c r="E898" s="373" t="s">
        <v>3692</v>
      </c>
      <c r="F898" s="170">
        <v>7</v>
      </c>
      <c r="G898" s="170"/>
      <c r="H898" s="326"/>
      <c r="I898" s="326"/>
      <c r="J898" s="326"/>
      <c r="K898" s="170" t="str">
        <f>IFERROR(VLOOKUP(J898,Jueces!$A$1:$B$11,2,FALSE),"")</f>
        <v/>
      </c>
      <c r="L898" s="170" t="s">
        <v>796</v>
      </c>
      <c r="M898" s="170"/>
      <c r="N898" s="170" t="s">
        <v>3693</v>
      </c>
      <c r="O898" s="170" t="str">
        <f t="shared" ca="1" si="54"/>
        <v>LIMBO</v>
      </c>
      <c r="P898" s="170" t="str">
        <f t="shared" si="52"/>
        <v>DIANOSOL</v>
      </c>
      <c r="Q898" s="170" t="s">
        <v>951</v>
      </c>
      <c r="R898" s="170" t="str">
        <f>VLOOKUP($Q898,Resultados!$A$1:$B$49,2,FALSE)</f>
        <v xml:space="preserve"> _</v>
      </c>
      <c r="S898" s="170"/>
      <c r="T898" s="172" t="str">
        <f t="shared" si="55"/>
        <v>NO</v>
      </c>
      <c r="U898" s="172"/>
      <c r="V898" s="170"/>
      <c r="W898" s="170"/>
      <c r="X898" s="170"/>
      <c r="Y898" s="170"/>
      <c r="Z898" s="170"/>
      <c r="AA898" s="170"/>
      <c r="AB898" s="170"/>
      <c r="AC898" s="363"/>
    </row>
    <row r="899" spans="1:29" ht="39.950000000000003" customHeight="1" x14ac:dyDescent="0.2">
      <c r="A899" s="170">
        <v>895</v>
      </c>
      <c r="B899" s="326">
        <v>45226</v>
      </c>
      <c r="C899" s="327">
        <v>0.33333333333333331</v>
      </c>
      <c r="D899" s="170" t="s">
        <v>3694</v>
      </c>
      <c r="E899" s="171" t="s">
        <v>3695</v>
      </c>
      <c r="F899" s="170">
        <v>2</v>
      </c>
      <c r="G899" s="170"/>
      <c r="H899" s="326"/>
      <c r="I899" s="326"/>
      <c r="J899" s="326"/>
      <c r="K899" s="170" t="str">
        <f>IFERROR(VLOOKUP(J899,Jueces!$A$1:$B$11,2,FALSE),"")</f>
        <v/>
      </c>
      <c r="L899" s="170" t="s">
        <v>806</v>
      </c>
      <c r="M899" s="170"/>
      <c r="N899" s="170"/>
      <c r="O899" s="170" t="str">
        <f t="shared" ca="1" si="54"/>
        <v>LIMBO</v>
      </c>
      <c r="P899" s="170" t="str">
        <f t="shared" ref="P899:P904" si="56">IF($P$1=H899,"DIASOL", "DIANOSOL")</f>
        <v>DIANOSOL</v>
      </c>
      <c r="Q899" s="170" t="s">
        <v>951</v>
      </c>
      <c r="R899" s="170" t="str">
        <f>VLOOKUP($Q899,Resultados!$A$1:$B$49,2,FALSE)</f>
        <v xml:space="preserve"> _</v>
      </c>
      <c r="S899" s="170"/>
      <c r="T899" s="172" t="str">
        <f t="shared" si="55"/>
        <v>NO</v>
      </c>
      <c r="U899" s="172"/>
      <c r="V899" s="170"/>
      <c r="W899" s="170"/>
      <c r="X899" s="170"/>
      <c r="Y899" s="170"/>
      <c r="Z899" s="170"/>
      <c r="AA899" s="170"/>
      <c r="AB899" s="170"/>
      <c r="AC899" s="363"/>
    </row>
    <row r="900" spans="1:29" ht="39.950000000000003" customHeight="1" x14ac:dyDescent="0.2">
      <c r="A900" s="170">
        <v>896</v>
      </c>
      <c r="B900" s="326">
        <v>45226</v>
      </c>
      <c r="C900" s="327">
        <v>0.39444444444444443</v>
      </c>
      <c r="D900" s="170" t="s">
        <v>3696</v>
      </c>
      <c r="E900" s="171" t="s">
        <v>3697</v>
      </c>
      <c r="F900" s="170">
        <v>1</v>
      </c>
      <c r="G900" s="170"/>
      <c r="H900" s="326"/>
      <c r="I900" s="326"/>
      <c r="J900" s="326"/>
      <c r="K900" s="170" t="str">
        <f>IFERROR(VLOOKUP(J900,Jueces!$A$1:$B$11,2,FALSE),"")</f>
        <v/>
      </c>
      <c r="L900" s="170" t="s">
        <v>814</v>
      </c>
      <c r="M900" s="170"/>
      <c r="N900" s="170"/>
      <c r="O900" s="170" t="str">
        <f t="shared" ca="1" si="54"/>
        <v>LIMBO</v>
      </c>
      <c r="P900" s="170" t="str">
        <f t="shared" si="56"/>
        <v>DIANOSOL</v>
      </c>
      <c r="Q900" s="170" t="s">
        <v>951</v>
      </c>
      <c r="R900" s="170" t="str">
        <f>VLOOKUP($Q900,Resultados!$A$1:$B$49,2,FALSE)</f>
        <v xml:space="preserve"> _</v>
      </c>
      <c r="S900" s="170"/>
      <c r="T900" s="172" t="str">
        <f t="shared" si="55"/>
        <v>NO</v>
      </c>
      <c r="U900" s="172"/>
      <c r="V900" s="170"/>
      <c r="W900" s="170"/>
      <c r="X900" s="170"/>
      <c r="Y900" s="170"/>
      <c r="Z900" s="170"/>
      <c r="AA900" s="170"/>
      <c r="AB900" s="170"/>
      <c r="AC900" s="363"/>
    </row>
    <row r="901" spans="1:29" ht="39.950000000000003" customHeight="1" x14ac:dyDescent="0.2">
      <c r="A901" s="170">
        <v>898</v>
      </c>
      <c r="B901" s="326">
        <v>45225</v>
      </c>
      <c r="C901" s="327">
        <v>0.53472222222222221</v>
      </c>
      <c r="D901" s="170" t="s">
        <v>3699</v>
      </c>
      <c r="E901" s="171" t="s">
        <v>3700</v>
      </c>
      <c r="F901" s="170">
        <v>2</v>
      </c>
      <c r="G901" s="170"/>
      <c r="H901" s="326"/>
      <c r="I901" s="326"/>
      <c r="J901" s="326"/>
      <c r="K901" s="170" t="str">
        <f>IFERROR(VLOOKUP(J901,Jueces!$A$1:$B$11,2,FALSE),"")</f>
        <v/>
      </c>
      <c r="L901" s="170" t="s">
        <v>508</v>
      </c>
      <c r="M901" s="170"/>
      <c r="N901" s="170"/>
      <c r="O901" s="170" t="str">
        <f t="shared" ca="1" si="54"/>
        <v>LIMBO</v>
      </c>
      <c r="P901" s="170" t="str">
        <f t="shared" si="56"/>
        <v>DIANOSOL</v>
      </c>
      <c r="Q901" s="170" t="s">
        <v>951</v>
      </c>
      <c r="R901" s="170" t="str">
        <f>VLOOKUP($Q901,Resultados!$A$1:$B$49,2,FALSE)</f>
        <v xml:space="preserve"> _</v>
      </c>
      <c r="S901" s="170"/>
      <c r="T901" s="172" t="str">
        <f t="shared" si="55"/>
        <v>NO</v>
      </c>
      <c r="U901" s="172"/>
      <c r="V901" s="170"/>
      <c r="W901" s="170"/>
      <c r="X901" s="170"/>
      <c r="Y901" s="170"/>
      <c r="Z901" s="170"/>
      <c r="AA901" s="170"/>
      <c r="AB901" s="170"/>
      <c r="AC901" s="363"/>
    </row>
    <row r="902" spans="1:29" ht="39.950000000000003" customHeight="1" x14ac:dyDescent="0.2">
      <c r="A902" s="170">
        <v>900</v>
      </c>
      <c r="B902" s="326">
        <v>45226</v>
      </c>
      <c r="C902" s="327">
        <v>0.50138888888888888</v>
      </c>
      <c r="D902" s="170" t="s">
        <v>3702</v>
      </c>
      <c r="E902" s="171" t="s">
        <v>3703</v>
      </c>
      <c r="F902" s="170">
        <v>4</v>
      </c>
      <c r="G902" s="170"/>
      <c r="H902" s="326"/>
      <c r="I902" s="326"/>
      <c r="J902" s="326"/>
      <c r="K902" s="170" t="str">
        <f>IFERROR(VLOOKUP(J902,Jueces!$A$1:$B$11,2,FALSE),"")</f>
        <v/>
      </c>
      <c r="L902" s="170" t="s">
        <v>809</v>
      </c>
      <c r="M902" s="170"/>
      <c r="N902" s="170"/>
      <c r="O902" s="170" t="str">
        <f t="shared" ca="1" si="54"/>
        <v>LIMBO</v>
      </c>
      <c r="P902" s="170" t="str">
        <f t="shared" si="56"/>
        <v>DIANOSOL</v>
      </c>
      <c r="Q902" s="170" t="s">
        <v>951</v>
      </c>
      <c r="R902" s="170" t="str">
        <f>VLOOKUP($Q902,Resultados!$A$1:$B$49,2,FALSE)</f>
        <v xml:space="preserve"> _</v>
      </c>
      <c r="S902" s="170"/>
      <c r="T902" s="172" t="str">
        <f t="shared" si="55"/>
        <v>NO</v>
      </c>
      <c r="U902" s="172"/>
      <c r="V902" s="170"/>
      <c r="W902" s="170"/>
      <c r="X902" s="170"/>
      <c r="Y902" s="170"/>
      <c r="Z902" s="170"/>
      <c r="AA902" s="170"/>
      <c r="AB902" s="170"/>
      <c r="AC902" s="363"/>
    </row>
    <row r="903" spans="1:29" ht="39.950000000000003" customHeight="1" x14ac:dyDescent="0.2">
      <c r="A903" s="170">
        <v>901</v>
      </c>
      <c r="B903" s="326">
        <v>45226</v>
      </c>
      <c r="C903" s="327">
        <v>0.46319444444444446</v>
      </c>
      <c r="D903" s="170" t="s">
        <v>3704</v>
      </c>
      <c r="E903" s="171" t="s">
        <v>3705</v>
      </c>
      <c r="F903" s="170">
        <v>2</v>
      </c>
      <c r="G903" s="170"/>
      <c r="H903" s="326"/>
      <c r="I903" s="326"/>
      <c r="J903" s="326"/>
      <c r="K903" s="170" t="str">
        <f>IFERROR(VLOOKUP(J903,Jueces!$A$1:$B$11,2,FALSE),"")</f>
        <v/>
      </c>
      <c r="L903" s="170" t="s">
        <v>812</v>
      </c>
      <c r="M903" s="170"/>
      <c r="N903" s="170"/>
      <c r="O903" s="170" t="str">
        <f t="shared" ca="1" si="54"/>
        <v>LIMBO</v>
      </c>
      <c r="P903" s="170" t="str">
        <f t="shared" si="56"/>
        <v>DIANOSOL</v>
      </c>
      <c r="Q903" s="170" t="s">
        <v>951</v>
      </c>
      <c r="R903" s="170" t="str">
        <f>VLOOKUP($Q903,Resultados!$A$1:$B$49,2,FALSE)</f>
        <v xml:space="preserve"> _</v>
      </c>
      <c r="S903" s="170"/>
      <c r="T903" s="172" t="str">
        <f t="shared" si="55"/>
        <v>NO</v>
      </c>
      <c r="U903" s="172"/>
      <c r="V903" s="170"/>
      <c r="W903" s="170"/>
      <c r="X903" s="170"/>
      <c r="Y903" s="170"/>
      <c r="Z903" s="170"/>
      <c r="AA903" s="170"/>
      <c r="AB903" s="170"/>
      <c r="AC903" s="363"/>
    </row>
    <row r="904" spans="1:29" ht="39.950000000000003" customHeight="1" x14ac:dyDescent="0.2">
      <c r="A904" s="374">
        <v>902</v>
      </c>
      <c r="B904" s="375">
        <v>45226</v>
      </c>
      <c r="C904" s="376">
        <v>0.50486111111111109</v>
      </c>
      <c r="D904" s="374" t="s">
        <v>3706</v>
      </c>
      <c r="E904" s="377" t="s">
        <v>3707</v>
      </c>
      <c r="F904" s="374">
        <v>3</v>
      </c>
      <c r="G904" s="374"/>
      <c r="H904" s="375"/>
      <c r="I904" s="375"/>
      <c r="J904" s="375"/>
      <c r="K904" s="374" t="str">
        <f>IFERROR(VLOOKUP(J904,Jueces!$A$1:$B$11,2,FALSE),"")</f>
        <v/>
      </c>
      <c r="L904" s="374" t="s">
        <v>803</v>
      </c>
      <c r="M904" s="374"/>
      <c r="N904" s="374"/>
      <c r="O904" s="374" t="str">
        <f t="shared" ca="1" si="54"/>
        <v>LIMBO</v>
      </c>
      <c r="P904" s="374" t="str">
        <f t="shared" si="56"/>
        <v>DIANOSOL</v>
      </c>
      <c r="Q904" s="374" t="s">
        <v>951</v>
      </c>
      <c r="R904" s="374" t="str">
        <f>VLOOKUP($Q904,Resultados!$A$1:$B$49,2,FALSE)</f>
        <v xml:space="preserve"> _</v>
      </c>
      <c r="S904" s="374"/>
      <c r="T904" s="378" t="str">
        <f t="shared" si="55"/>
        <v>NO</v>
      </c>
      <c r="U904" s="378"/>
      <c r="V904" s="374"/>
      <c r="W904" s="374"/>
      <c r="X904" s="374"/>
      <c r="Y904" s="374"/>
      <c r="Z904" s="374"/>
      <c r="AA904" s="374"/>
      <c r="AB904" s="374"/>
      <c r="AC904" s="379"/>
    </row>
    <row r="905" spans="1:29" x14ac:dyDescent="0.2">
      <c r="A905" s="3"/>
      <c r="B905" s="328"/>
      <c r="C905" s="3"/>
      <c r="D905" s="3"/>
      <c r="E905" s="16"/>
      <c r="F905" s="3"/>
      <c r="G905" s="3"/>
      <c r="H905" s="328"/>
      <c r="I905" s="328"/>
      <c r="J905" s="328"/>
      <c r="K905" s="3"/>
      <c r="L905" s="3"/>
      <c r="M905" s="3"/>
      <c r="N905" s="3"/>
      <c r="V905" s="3"/>
      <c r="W905" s="3"/>
      <c r="X905" s="3"/>
      <c r="Y905" s="3"/>
      <c r="Z905" s="3"/>
      <c r="AA905" s="3"/>
      <c r="AB905" s="3"/>
    </row>
    <row r="906" spans="1:29" x14ac:dyDescent="0.2">
      <c r="A906" s="3"/>
      <c r="B906" s="328"/>
      <c r="C906" s="3"/>
      <c r="D906" s="3"/>
      <c r="E906" s="16"/>
      <c r="F906" s="3"/>
      <c r="G906" s="3"/>
      <c r="H906" s="328"/>
      <c r="I906" s="328"/>
      <c r="J906" s="328"/>
      <c r="K906" s="3"/>
      <c r="L906" s="3"/>
      <c r="M906" s="3"/>
      <c r="N906" s="3"/>
      <c r="V906" s="3"/>
      <c r="W906" s="3"/>
      <c r="X906" s="3"/>
      <c r="Y906" s="3"/>
      <c r="Z906" s="3"/>
      <c r="AA906" s="3"/>
      <c r="AB906" s="3"/>
    </row>
    <row r="907" spans="1:29" x14ac:dyDescent="0.2">
      <c r="A907" s="3"/>
      <c r="B907" s="328"/>
      <c r="C907" s="3"/>
      <c r="D907" s="3"/>
      <c r="E907" s="16"/>
      <c r="F907" s="3"/>
      <c r="G907" s="3"/>
      <c r="H907" s="328"/>
      <c r="I907" s="328"/>
      <c r="J907" s="328"/>
      <c r="K907" s="3"/>
      <c r="L907" s="3"/>
      <c r="M907" s="3"/>
      <c r="N907" s="3"/>
      <c r="V907" s="3"/>
      <c r="W907" s="3"/>
      <c r="X907" s="3"/>
      <c r="Y907" s="3"/>
      <c r="Z907" s="3"/>
      <c r="AA907" s="3"/>
      <c r="AB907" s="3"/>
    </row>
    <row r="908" spans="1:29" x14ac:dyDescent="0.2">
      <c r="A908" s="3"/>
      <c r="B908" s="328"/>
      <c r="C908" s="3"/>
      <c r="D908" s="3"/>
      <c r="E908" s="16"/>
      <c r="F908" s="3"/>
      <c r="G908" s="3"/>
      <c r="H908" s="328"/>
      <c r="I908" s="328"/>
      <c r="J908" s="328"/>
      <c r="K908" s="3"/>
      <c r="L908" s="3"/>
      <c r="M908" s="3"/>
      <c r="N908" s="3"/>
      <c r="V908" s="3"/>
      <c r="W908" s="3"/>
      <c r="X908" s="3"/>
      <c r="Y908" s="3"/>
      <c r="Z908" s="3"/>
      <c r="AA908" s="3"/>
      <c r="AB908" s="3"/>
    </row>
    <row r="909" spans="1:29" x14ac:dyDescent="0.2">
      <c r="A909" s="3"/>
      <c r="B909" s="328"/>
      <c r="C909" s="3"/>
      <c r="D909" s="3"/>
      <c r="E909" s="16"/>
      <c r="F909" s="3"/>
      <c r="G909" s="3"/>
      <c r="H909" s="328"/>
      <c r="I909" s="328"/>
      <c r="J909" s="328"/>
      <c r="K909" s="3"/>
      <c r="L909" s="3"/>
      <c r="M909" s="3"/>
      <c r="N909" s="3"/>
      <c r="V909" s="3"/>
      <c r="W909" s="3"/>
      <c r="X909" s="3"/>
      <c r="Y909" s="3"/>
      <c r="Z909" s="3"/>
      <c r="AA909" s="3"/>
      <c r="AB909" s="3"/>
    </row>
    <row r="910" spans="1:29" x14ac:dyDescent="0.2">
      <c r="A910" s="3"/>
      <c r="B910" s="328"/>
      <c r="C910" s="3"/>
      <c r="D910" s="3"/>
      <c r="E910" s="16"/>
      <c r="F910" s="3"/>
      <c r="G910" s="3"/>
      <c r="H910" s="328"/>
      <c r="I910" s="328"/>
      <c r="J910" s="328"/>
      <c r="K910" s="3"/>
      <c r="L910" s="3"/>
      <c r="M910" s="3"/>
      <c r="N910" s="3"/>
      <c r="V910" s="3"/>
      <c r="W910" s="3"/>
      <c r="X910" s="3"/>
      <c r="Y910" s="3"/>
      <c r="Z910" s="3"/>
      <c r="AA910" s="3"/>
      <c r="AB910" s="3"/>
    </row>
    <row r="911" spans="1:29" x14ac:dyDescent="0.2">
      <c r="A911" s="3"/>
      <c r="B911" s="328"/>
      <c r="C911" s="3"/>
      <c r="D911" s="3"/>
      <c r="E911" s="16"/>
      <c r="F911" s="3"/>
      <c r="G911" s="3"/>
      <c r="H911" s="328"/>
      <c r="I911" s="328"/>
      <c r="J911" s="328"/>
      <c r="K911" s="3"/>
      <c r="L911" s="3"/>
      <c r="M911" s="3"/>
      <c r="N911" s="3"/>
      <c r="V911" s="3"/>
      <c r="W911" s="3"/>
      <c r="X911" s="3"/>
      <c r="Y911" s="3"/>
      <c r="Z911" s="3"/>
      <c r="AA911" s="3"/>
      <c r="AB911" s="3"/>
    </row>
    <row r="912" spans="1:29" x14ac:dyDescent="0.2">
      <c r="A912" s="3"/>
      <c r="B912" s="328"/>
      <c r="C912" s="3"/>
      <c r="D912" s="3"/>
      <c r="E912" s="16"/>
      <c r="F912" s="3"/>
      <c r="G912" s="3"/>
      <c r="H912" s="328"/>
      <c r="I912" s="328"/>
      <c r="J912" s="328"/>
      <c r="K912" s="3"/>
      <c r="L912" s="3"/>
      <c r="M912" s="3"/>
      <c r="N912" s="3"/>
      <c r="V912" s="3"/>
      <c r="W912" s="3"/>
      <c r="X912" s="3"/>
      <c r="Y912" s="3"/>
      <c r="Z912" s="3"/>
      <c r="AA912" s="3"/>
      <c r="AB912" s="3"/>
    </row>
    <row r="913" spans="1:28" x14ac:dyDescent="0.2">
      <c r="A913" s="3"/>
      <c r="B913" s="328"/>
      <c r="C913" s="3"/>
      <c r="D913" s="3"/>
      <c r="E913" s="16"/>
      <c r="F913" s="3"/>
      <c r="G913" s="3"/>
      <c r="H913" s="328"/>
      <c r="I913" s="328"/>
      <c r="J913" s="328"/>
      <c r="K913" s="3"/>
      <c r="L913" s="3"/>
      <c r="M913" s="3"/>
      <c r="N913" s="3"/>
      <c r="V913" s="3"/>
      <c r="W913" s="3"/>
      <c r="X913" s="3"/>
      <c r="Y913" s="3"/>
      <c r="Z913" s="3"/>
      <c r="AA913" s="3"/>
      <c r="AB913" s="3"/>
    </row>
    <row r="914" spans="1:28" x14ac:dyDescent="0.2">
      <c r="A914" s="3"/>
      <c r="B914" s="328"/>
      <c r="C914" s="3"/>
      <c r="D914" s="3"/>
      <c r="E914" s="16"/>
      <c r="F914" s="3"/>
      <c r="G914" s="3"/>
      <c r="H914" s="328"/>
      <c r="I914" s="328"/>
      <c r="J914" s="328"/>
      <c r="K914" s="3"/>
      <c r="L914" s="3"/>
      <c r="M914" s="3"/>
      <c r="N914" s="3"/>
      <c r="V914" s="3"/>
      <c r="W914" s="3"/>
      <c r="X914" s="3"/>
      <c r="Y914" s="3"/>
      <c r="Z914" s="3"/>
      <c r="AA914" s="3"/>
      <c r="AB914" s="3"/>
    </row>
    <row r="915" spans="1:28" x14ac:dyDescent="0.2">
      <c r="A915" s="3"/>
      <c r="B915" s="328"/>
      <c r="C915" s="3"/>
      <c r="D915" s="3"/>
      <c r="E915" s="16"/>
      <c r="F915" s="3"/>
      <c r="G915" s="3"/>
      <c r="H915" s="328"/>
      <c r="I915" s="328"/>
      <c r="J915" s="328"/>
      <c r="K915" s="3"/>
      <c r="L915" s="3"/>
      <c r="M915" s="3"/>
      <c r="N915" s="3"/>
      <c r="V915" s="3"/>
      <c r="W915" s="3"/>
      <c r="X915" s="3"/>
      <c r="Y915" s="3"/>
      <c r="Z915" s="3"/>
      <c r="AA915" s="3"/>
      <c r="AB915" s="3"/>
    </row>
    <row r="916" spans="1:28" x14ac:dyDescent="0.2">
      <c r="A916" s="3"/>
      <c r="B916" s="328"/>
      <c r="C916" s="3"/>
      <c r="D916" s="3"/>
      <c r="E916" s="16"/>
      <c r="F916" s="3"/>
      <c r="G916" s="3"/>
      <c r="H916" s="328"/>
      <c r="I916" s="328"/>
      <c r="J916" s="328"/>
      <c r="K916" s="3"/>
      <c r="L916" s="3"/>
      <c r="M916" s="3"/>
      <c r="N916" s="3"/>
      <c r="V916" s="3"/>
      <c r="W916" s="3"/>
      <c r="X916" s="3"/>
      <c r="Y916" s="3"/>
      <c r="Z916" s="3"/>
      <c r="AA916" s="3"/>
      <c r="AB916" s="3"/>
    </row>
    <row r="917" spans="1:28" x14ac:dyDescent="0.2">
      <c r="A917" s="3"/>
      <c r="B917" s="328"/>
      <c r="C917" s="3"/>
      <c r="D917" s="3"/>
      <c r="E917" s="16"/>
      <c r="F917" s="3"/>
      <c r="G917" s="3"/>
      <c r="H917" s="328"/>
      <c r="I917" s="328"/>
      <c r="J917" s="328"/>
      <c r="K917" s="3"/>
      <c r="L917" s="3"/>
      <c r="M917" s="3"/>
      <c r="N917" s="3"/>
      <c r="V917" s="3"/>
      <c r="W917" s="3"/>
      <c r="X917" s="3"/>
      <c r="Y917" s="3"/>
      <c r="Z917" s="3"/>
      <c r="AA917" s="3"/>
      <c r="AB917" s="3"/>
    </row>
    <row r="918" spans="1:28" x14ac:dyDescent="0.2">
      <c r="A918" s="3"/>
      <c r="B918" s="328"/>
      <c r="C918" s="3"/>
      <c r="D918" s="3"/>
      <c r="E918" s="16"/>
      <c r="F918" s="3"/>
      <c r="G918" s="3"/>
      <c r="H918" s="328"/>
      <c r="I918" s="328"/>
      <c r="J918" s="328"/>
      <c r="K918" s="3"/>
      <c r="L918" s="3"/>
      <c r="M918" s="3"/>
      <c r="N918" s="3"/>
      <c r="V918" s="3"/>
      <c r="W918" s="3"/>
      <c r="X918" s="3"/>
      <c r="Y918" s="3"/>
      <c r="Z918" s="3"/>
      <c r="AA918" s="3"/>
      <c r="AB918" s="3"/>
    </row>
    <row r="919" spans="1:28" x14ac:dyDescent="0.2">
      <c r="A919" s="3"/>
      <c r="B919" s="328"/>
      <c r="C919" s="3"/>
      <c r="D919" s="3"/>
      <c r="E919" s="16"/>
      <c r="F919" s="3"/>
      <c r="G919" s="3"/>
      <c r="H919" s="328"/>
      <c r="I919" s="328"/>
      <c r="J919" s="328"/>
      <c r="K919" s="3"/>
      <c r="L919" s="3"/>
      <c r="M919" s="3"/>
      <c r="N919" s="3"/>
      <c r="V919" s="3"/>
      <c r="W919" s="3"/>
      <c r="X919" s="3"/>
      <c r="Y919" s="3"/>
      <c r="Z919" s="3"/>
      <c r="AA919" s="3"/>
      <c r="AB919" s="3"/>
    </row>
    <row r="920" spans="1:28" x14ac:dyDescent="0.2">
      <c r="A920" s="3"/>
      <c r="B920" s="328"/>
      <c r="C920" s="3"/>
      <c r="D920" s="3"/>
      <c r="E920" s="16"/>
      <c r="F920" s="3"/>
      <c r="G920" s="3"/>
      <c r="H920" s="328"/>
      <c r="I920" s="328"/>
      <c r="J920" s="328"/>
      <c r="K920" s="3"/>
      <c r="L920" s="3"/>
      <c r="M920" s="3"/>
      <c r="N920" s="3"/>
      <c r="V920" s="3"/>
      <c r="W920" s="3"/>
      <c r="X920" s="3"/>
      <c r="Y920" s="3"/>
      <c r="Z920" s="3"/>
      <c r="AA920" s="3"/>
      <c r="AB920" s="3"/>
    </row>
    <row r="921" spans="1:28" x14ac:dyDescent="0.2">
      <c r="A921" s="3"/>
      <c r="B921" s="328"/>
      <c r="C921" s="3"/>
      <c r="D921" s="3"/>
      <c r="E921" s="16"/>
      <c r="F921" s="3"/>
      <c r="G921" s="3"/>
      <c r="H921" s="328"/>
      <c r="I921" s="328"/>
      <c r="J921" s="328"/>
      <c r="K921" s="3"/>
      <c r="L921" s="3"/>
      <c r="M921" s="3"/>
      <c r="N921" s="3"/>
      <c r="V921" s="3"/>
      <c r="W921" s="3"/>
      <c r="X921" s="3"/>
      <c r="Y921" s="3"/>
      <c r="Z921" s="3"/>
      <c r="AA921" s="3"/>
      <c r="AB921" s="3"/>
    </row>
    <row r="922" spans="1:28" x14ac:dyDescent="0.2">
      <c r="A922" s="3"/>
      <c r="B922" s="328"/>
      <c r="C922" s="3"/>
      <c r="D922" s="3"/>
      <c r="E922" s="16"/>
      <c r="F922" s="3"/>
      <c r="G922" s="3"/>
      <c r="H922" s="328"/>
      <c r="I922" s="328"/>
      <c r="J922" s="328"/>
      <c r="K922" s="3"/>
      <c r="L922" s="3"/>
      <c r="M922" s="3"/>
      <c r="N922" s="3"/>
      <c r="V922" s="3"/>
      <c r="W922" s="3"/>
      <c r="X922" s="3"/>
      <c r="Y922" s="3"/>
      <c r="Z922" s="3"/>
      <c r="AA922" s="3"/>
      <c r="AB922" s="3"/>
    </row>
    <row r="923" spans="1:28" x14ac:dyDescent="0.2">
      <c r="A923" s="3"/>
      <c r="B923" s="328"/>
      <c r="C923" s="3"/>
      <c r="D923" s="3"/>
      <c r="E923" s="16"/>
      <c r="F923" s="3"/>
      <c r="G923" s="3"/>
      <c r="H923" s="328"/>
      <c r="I923" s="328"/>
      <c r="J923" s="328"/>
      <c r="K923" s="3"/>
      <c r="L923" s="3"/>
      <c r="M923" s="3"/>
      <c r="N923" s="3"/>
      <c r="V923" s="3"/>
      <c r="W923" s="3"/>
      <c r="X923" s="3"/>
      <c r="Y923" s="3"/>
      <c r="Z923" s="3"/>
      <c r="AA923" s="3"/>
      <c r="AB923" s="3"/>
    </row>
    <row r="924" spans="1:28" x14ac:dyDescent="0.2">
      <c r="A924" s="3"/>
      <c r="B924" s="328"/>
      <c r="C924" s="3"/>
      <c r="D924" s="3"/>
      <c r="E924" s="16"/>
      <c r="F924" s="3"/>
      <c r="G924" s="3"/>
      <c r="H924" s="328"/>
      <c r="I924" s="328"/>
      <c r="J924" s="328"/>
      <c r="K924" s="3"/>
      <c r="L924" s="3"/>
      <c r="M924" s="3"/>
      <c r="N924" s="3"/>
      <c r="V924" s="3"/>
      <c r="W924" s="3"/>
      <c r="X924" s="3"/>
      <c r="Y924" s="3"/>
      <c r="Z924" s="3"/>
      <c r="AA924" s="3"/>
      <c r="AB924" s="3"/>
    </row>
    <row r="925" spans="1:28" x14ac:dyDescent="0.2">
      <c r="A925" s="3"/>
      <c r="B925" s="328"/>
      <c r="C925" s="3"/>
      <c r="D925" s="3"/>
      <c r="E925" s="16"/>
      <c r="F925" s="3"/>
      <c r="G925" s="3"/>
      <c r="H925" s="328"/>
      <c r="I925" s="328"/>
      <c r="J925" s="328"/>
      <c r="K925" s="3"/>
      <c r="L925" s="3"/>
      <c r="M925" s="3"/>
      <c r="N925" s="3"/>
      <c r="V925" s="3"/>
      <c r="W925" s="3"/>
      <c r="X925" s="3"/>
      <c r="Y925" s="3"/>
      <c r="Z925" s="3"/>
      <c r="AA925" s="3"/>
      <c r="AB925" s="3"/>
    </row>
    <row r="926" spans="1:28" x14ac:dyDescent="0.2">
      <c r="A926" s="3"/>
      <c r="B926" s="328"/>
      <c r="C926" s="3"/>
      <c r="D926" s="3"/>
      <c r="E926" s="16"/>
      <c r="F926" s="3"/>
      <c r="G926" s="3"/>
      <c r="H926" s="328"/>
      <c r="I926" s="328"/>
      <c r="J926" s="328"/>
      <c r="K926" s="3"/>
      <c r="L926" s="3"/>
      <c r="M926" s="3"/>
      <c r="N926" s="3"/>
      <c r="V926" s="3"/>
      <c r="W926" s="3"/>
      <c r="X926" s="3"/>
      <c r="Y926" s="3"/>
      <c r="Z926" s="3"/>
      <c r="AA926" s="3"/>
      <c r="AB926" s="3"/>
    </row>
    <row r="927" spans="1:28" x14ac:dyDescent="0.2">
      <c r="A927" s="3"/>
      <c r="B927" s="328"/>
      <c r="C927" s="3"/>
      <c r="D927" s="3"/>
      <c r="E927" s="16"/>
      <c r="F927" s="3"/>
      <c r="G927" s="3"/>
      <c r="H927" s="328"/>
      <c r="I927" s="328"/>
      <c r="J927" s="328"/>
      <c r="K927" s="3"/>
      <c r="L927" s="3"/>
      <c r="M927" s="3"/>
      <c r="N927" s="3"/>
      <c r="V927" s="3"/>
      <c r="W927" s="3"/>
      <c r="X927" s="3"/>
      <c r="Y927" s="3"/>
      <c r="Z927" s="3"/>
      <c r="AA927" s="3"/>
      <c r="AB927" s="3"/>
    </row>
    <row r="928" spans="1:28" x14ac:dyDescent="0.2">
      <c r="A928" s="3"/>
      <c r="B928" s="328"/>
      <c r="C928" s="3"/>
      <c r="D928" s="3"/>
      <c r="E928" s="16"/>
      <c r="F928" s="3"/>
      <c r="G928" s="3"/>
      <c r="H928" s="328"/>
      <c r="I928" s="328"/>
      <c r="J928" s="328"/>
      <c r="K928" s="3"/>
      <c r="L928" s="3"/>
      <c r="M928" s="3"/>
      <c r="N928" s="3"/>
      <c r="V928" s="3"/>
      <c r="W928" s="3"/>
      <c r="X928" s="3"/>
      <c r="Y928" s="3"/>
      <c r="Z928" s="3"/>
      <c r="AA928" s="3"/>
      <c r="AB928" s="3"/>
    </row>
    <row r="929" spans="1:28" x14ac:dyDescent="0.2">
      <c r="A929" s="3"/>
      <c r="B929" s="328"/>
      <c r="C929" s="3"/>
      <c r="D929" s="3"/>
      <c r="E929" s="16"/>
      <c r="F929" s="3"/>
      <c r="G929" s="3"/>
      <c r="H929" s="328"/>
      <c r="I929" s="328"/>
      <c r="J929" s="328"/>
      <c r="K929" s="3"/>
      <c r="L929" s="3"/>
      <c r="M929" s="3"/>
      <c r="N929" s="3"/>
      <c r="V929" s="3"/>
      <c r="W929" s="3"/>
      <c r="X929" s="3"/>
      <c r="Y929" s="3"/>
      <c r="Z929" s="3"/>
      <c r="AA929" s="3"/>
      <c r="AB929" s="3"/>
    </row>
    <row r="930" spans="1:28" x14ac:dyDescent="0.2">
      <c r="A930" s="3"/>
      <c r="B930" s="328"/>
      <c r="C930" s="3"/>
      <c r="D930" s="3"/>
      <c r="E930" s="16"/>
      <c r="F930" s="3"/>
      <c r="G930" s="3"/>
      <c r="H930" s="328"/>
      <c r="I930" s="328"/>
      <c r="J930" s="328"/>
      <c r="K930" s="3"/>
      <c r="L930" s="3"/>
      <c r="M930" s="3"/>
      <c r="N930" s="3"/>
      <c r="V930" s="3"/>
      <c r="W930" s="3"/>
      <c r="X930" s="3"/>
      <c r="Y930" s="3"/>
      <c r="Z930" s="3"/>
      <c r="AA930" s="3"/>
      <c r="AB930" s="3"/>
    </row>
    <row r="931" spans="1:28" x14ac:dyDescent="0.2">
      <c r="A931" s="3"/>
      <c r="B931" s="328"/>
      <c r="C931" s="3"/>
      <c r="D931" s="3"/>
      <c r="E931" s="16"/>
      <c r="F931" s="3"/>
      <c r="G931" s="3"/>
      <c r="H931" s="328"/>
      <c r="I931" s="328"/>
      <c r="J931" s="328"/>
      <c r="K931" s="3"/>
      <c r="L931" s="3"/>
      <c r="M931" s="3"/>
      <c r="N931" s="3"/>
      <c r="V931" s="3"/>
      <c r="W931" s="3"/>
      <c r="X931" s="3"/>
      <c r="Y931" s="3"/>
      <c r="Z931" s="3"/>
      <c r="AA931" s="3"/>
      <c r="AB931" s="3"/>
    </row>
    <row r="932" spans="1:28" x14ac:dyDescent="0.2">
      <c r="A932" s="3"/>
      <c r="B932" s="328"/>
      <c r="C932" s="3"/>
      <c r="D932" s="3"/>
      <c r="E932" s="16"/>
      <c r="F932" s="3"/>
      <c r="G932" s="3"/>
      <c r="H932" s="328"/>
      <c r="I932" s="328"/>
      <c r="J932" s="328"/>
      <c r="K932" s="3"/>
      <c r="L932" s="3"/>
      <c r="M932" s="3"/>
      <c r="N932" s="3"/>
      <c r="V932" s="3"/>
      <c r="W932" s="3"/>
      <c r="X932" s="3"/>
      <c r="Y932" s="3"/>
      <c r="Z932" s="3"/>
      <c r="AA932" s="3"/>
      <c r="AB932" s="3"/>
    </row>
    <row r="933" spans="1:28" x14ac:dyDescent="0.2">
      <c r="A933" s="3"/>
      <c r="B933" s="328"/>
      <c r="C933" s="3"/>
      <c r="D933" s="3"/>
      <c r="E933" s="16"/>
      <c r="F933" s="3"/>
      <c r="G933" s="3"/>
      <c r="H933" s="328"/>
      <c r="I933" s="328"/>
      <c r="J933" s="328"/>
      <c r="K933" s="3"/>
      <c r="L933" s="3"/>
      <c r="M933" s="3"/>
      <c r="N933" s="3"/>
      <c r="V933" s="3"/>
      <c r="W933" s="3"/>
      <c r="X933" s="3"/>
      <c r="Y933" s="3"/>
      <c r="Z933" s="3"/>
      <c r="AA933" s="3"/>
      <c r="AB933" s="3"/>
    </row>
    <row r="934" spans="1:28" x14ac:dyDescent="0.2">
      <c r="A934" s="3"/>
      <c r="B934" s="328"/>
      <c r="C934" s="3"/>
      <c r="D934" s="3"/>
      <c r="E934" s="16"/>
      <c r="F934" s="3"/>
      <c r="G934" s="3"/>
      <c r="H934" s="328"/>
      <c r="I934" s="328"/>
      <c r="J934" s="328"/>
      <c r="K934" s="3"/>
      <c r="L934" s="3"/>
      <c r="M934" s="3"/>
      <c r="N934" s="3"/>
      <c r="V934" s="3"/>
      <c r="W934" s="3"/>
      <c r="X934" s="3"/>
      <c r="Y934" s="3"/>
      <c r="Z934" s="3"/>
      <c r="AA934" s="3"/>
      <c r="AB934" s="3"/>
    </row>
    <row r="935" spans="1:28" x14ac:dyDescent="0.2">
      <c r="A935" s="3"/>
      <c r="B935" s="328"/>
      <c r="C935" s="3"/>
      <c r="D935" s="3"/>
      <c r="E935" s="16"/>
      <c r="F935" s="3"/>
      <c r="G935" s="3"/>
      <c r="H935" s="328"/>
      <c r="I935" s="328"/>
      <c r="J935" s="328"/>
      <c r="K935" s="3"/>
      <c r="L935" s="3"/>
      <c r="M935" s="3"/>
      <c r="N935" s="3"/>
      <c r="V935" s="3"/>
      <c r="W935" s="3"/>
      <c r="X935" s="3"/>
      <c r="Y935" s="3"/>
      <c r="Z935" s="3"/>
      <c r="AA935" s="3"/>
      <c r="AB935" s="3"/>
    </row>
    <row r="936" spans="1:28" x14ac:dyDescent="0.2">
      <c r="A936" s="3"/>
      <c r="B936" s="328"/>
      <c r="C936" s="3"/>
      <c r="D936" s="3"/>
      <c r="E936" s="16"/>
      <c r="F936" s="3"/>
      <c r="G936" s="3"/>
      <c r="H936" s="328"/>
      <c r="I936" s="328"/>
      <c r="J936" s="328"/>
      <c r="K936" s="3"/>
      <c r="L936" s="3"/>
      <c r="M936" s="3"/>
      <c r="N936" s="3"/>
      <c r="V936" s="3"/>
      <c r="W936" s="3"/>
      <c r="X936" s="3"/>
      <c r="Y936" s="3"/>
      <c r="Z936" s="3"/>
      <c r="AA936" s="3"/>
      <c r="AB936" s="3"/>
    </row>
    <row r="937" spans="1:28" x14ac:dyDescent="0.2">
      <c r="A937" s="3"/>
      <c r="B937" s="328"/>
      <c r="C937" s="3"/>
      <c r="D937" s="3"/>
      <c r="E937" s="16"/>
      <c r="F937" s="3"/>
      <c r="G937" s="3"/>
      <c r="H937" s="328"/>
      <c r="I937" s="328"/>
      <c r="J937" s="328"/>
      <c r="K937" s="3"/>
      <c r="L937" s="3"/>
      <c r="M937" s="3"/>
      <c r="N937" s="3"/>
      <c r="V937" s="3"/>
      <c r="W937" s="3"/>
      <c r="X937" s="3"/>
      <c r="Y937" s="3"/>
      <c r="Z937" s="3"/>
      <c r="AA937" s="3"/>
      <c r="AB937" s="3"/>
    </row>
    <row r="938" spans="1:28" x14ac:dyDescent="0.2">
      <c r="A938" s="3"/>
      <c r="B938" s="328"/>
      <c r="C938" s="3"/>
      <c r="D938" s="3"/>
      <c r="E938" s="16"/>
      <c r="F938" s="3"/>
      <c r="G938" s="3"/>
      <c r="H938" s="328"/>
      <c r="I938" s="328"/>
      <c r="J938" s="328"/>
      <c r="K938" s="3"/>
      <c r="L938" s="3"/>
      <c r="M938" s="3"/>
      <c r="N938" s="3"/>
      <c r="V938" s="3"/>
      <c r="W938" s="3"/>
      <c r="X938" s="3"/>
      <c r="Y938" s="3"/>
      <c r="Z938" s="3"/>
      <c r="AA938" s="3"/>
      <c r="AB938" s="3"/>
    </row>
    <row r="939" spans="1:28" x14ac:dyDescent="0.2">
      <c r="A939" s="3"/>
      <c r="B939" s="328"/>
      <c r="C939" s="3"/>
      <c r="D939" s="3"/>
      <c r="E939" s="16"/>
      <c r="F939" s="3"/>
      <c r="G939" s="3"/>
      <c r="H939" s="328"/>
      <c r="I939" s="328"/>
      <c r="J939" s="328"/>
      <c r="K939" s="3"/>
      <c r="L939" s="3"/>
      <c r="M939" s="3"/>
      <c r="N939" s="3"/>
      <c r="V939" s="3"/>
      <c r="W939" s="3"/>
      <c r="X939" s="3"/>
      <c r="Y939" s="3"/>
      <c r="Z939" s="3"/>
      <c r="AA939" s="3"/>
      <c r="AB939" s="3"/>
    </row>
    <row r="940" spans="1:28" x14ac:dyDescent="0.2">
      <c r="A940" s="3"/>
      <c r="B940" s="328"/>
      <c r="C940" s="3"/>
      <c r="D940" s="3"/>
      <c r="E940" s="16"/>
      <c r="F940" s="3"/>
      <c r="G940" s="3"/>
      <c r="H940" s="328"/>
      <c r="I940" s="328"/>
      <c r="J940" s="328"/>
      <c r="K940" s="3"/>
      <c r="L940" s="3"/>
      <c r="M940" s="3"/>
      <c r="N940" s="3"/>
      <c r="V940" s="3"/>
      <c r="W940" s="3"/>
      <c r="X940" s="3"/>
      <c r="Y940" s="3"/>
      <c r="Z940" s="3"/>
      <c r="AA940" s="3"/>
      <c r="AB940" s="3"/>
    </row>
    <row r="941" spans="1:28" x14ac:dyDescent="0.2">
      <c r="A941" s="3"/>
      <c r="B941" s="328"/>
      <c r="C941" s="3"/>
      <c r="D941" s="3"/>
      <c r="E941" s="16"/>
      <c r="F941" s="3"/>
      <c r="G941" s="3"/>
      <c r="H941" s="328"/>
      <c r="I941" s="328"/>
      <c r="J941" s="328"/>
      <c r="K941" s="3"/>
      <c r="L941" s="3"/>
      <c r="M941" s="3"/>
      <c r="N941" s="3"/>
      <c r="V941" s="3"/>
      <c r="W941" s="3"/>
      <c r="X941" s="3"/>
      <c r="Y941" s="3"/>
      <c r="Z941" s="3"/>
      <c r="AA941" s="3"/>
      <c r="AB941" s="3"/>
    </row>
    <row r="942" spans="1:28" x14ac:dyDescent="0.2">
      <c r="A942" s="3"/>
      <c r="B942" s="328"/>
      <c r="C942" s="3"/>
      <c r="D942" s="3"/>
      <c r="E942" s="16"/>
      <c r="F942" s="3"/>
      <c r="G942" s="3"/>
      <c r="H942" s="328"/>
      <c r="I942" s="328"/>
      <c r="J942" s="328"/>
      <c r="K942" s="3"/>
      <c r="L942" s="3"/>
      <c r="M942" s="3"/>
      <c r="N942" s="3"/>
      <c r="V942" s="3"/>
      <c r="W942" s="3"/>
      <c r="X942" s="3"/>
      <c r="Y942" s="3"/>
      <c r="Z942" s="3"/>
      <c r="AA942" s="3"/>
      <c r="AB942" s="3"/>
    </row>
    <row r="943" spans="1:28" x14ac:dyDescent="0.2">
      <c r="A943" s="3"/>
      <c r="B943" s="328"/>
      <c r="C943" s="3"/>
      <c r="D943" s="3"/>
      <c r="E943" s="16"/>
      <c r="F943" s="3"/>
      <c r="G943" s="3"/>
      <c r="H943" s="328"/>
      <c r="I943" s="328"/>
      <c r="J943" s="328"/>
      <c r="K943" s="3"/>
      <c r="L943" s="3"/>
      <c r="M943" s="3"/>
      <c r="N943" s="3"/>
      <c r="V943" s="3"/>
      <c r="W943" s="3"/>
      <c r="X943" s="3"/>
      <c r="Y943" s="3"/>
      <c r="Z943" s="3"/>
      <c r="AA943" s="3"/>
      <c r="AB943" s="3"/>
    </row>
    <row r="944" spans="1:28" x14ac:dyDescent="0.2">
      <c r="A944" s="3"/>
      <c r="B944" s="328"/>
      <c r="C944" s="3"/>
      <c r="D944" s="3"/>
      <c r="E944" s="16"/>
      <c r="F944" s="3"/>
      <c r="G944" s="3"/>
      <c r="H944" s="328"/>
      <c r="I944" s="328"/>
      <c r="J944" s="328"/>
      <c r="K944" s="3"/>
      <c r="L944" s="3"/>
      <c r="M944" s="3"/>
      <c r="N944" s="3"/>
      <c r="V944" s="3"/>
      <c r="W944" s="3"/>
      <c r="X944" s="3"/>
      <c r="Y944" s="3"/>
      <c r="Z944" s="3"/>
      <c r="AA944" s="3"/>
      <c r="AB944" s="3"/>
    </row>
    <row r="945" spans="1:28" x14ac:dyDescent="0.2">
      <c r="A945" s="3"/>
      <c r="B945" s="328"/>
      <c r="C945" s="3"/>
      <c r="D945" s="3"/>
      <c r="E945" s="16"/>
      <c r="F945" s="3"/>
      <c r="G945" s="3"/>
      <c r="H945" s="328"/>
      <c r="I945" s="328"/>
      <c r="J945" s="328"/>
      <c r="K945" s="3"/>
      <c r="L945" s="3"/>
      <c r="M945" s="3"/>
      <c r="N945" s="3"/>
      <c r="V945" s="3"/>
      <c r="W945" s="3"/>
      <c r="X945" s="3"/>
      <c r="Y945" s="3"/>
      <c r="Z945" s="3"/>
      <c r="AA945" s="3"/>
      <c r="AB945" s="3"/>
    </row>
    <row r="946" spans="1:28" x14ac:dyDescent="0.2">
      <c r="A946" s="3"/>
      <c r="B946" s="328"/>
      <c r="C946" s="3"/>
      <c r="D946" s="3"/>
      <c r="E946" s="16"/>
      <c r="F946" s="3"/>
      <c r="G946" s="3"/>
      <c r="H946" s="328"/>
      <c r="I946" s="328"/>
      <c r="J946" s="328"/>
      <c r="K946" s="3"/>
      <c r="L946" s="3"/>
      <c r="M946" s="3"/>
      <c r="N946" s="3"/>
      <c r="V946" s="3"/>
      <c r="W946" s="3"/>
      <c r="X946" s="3"/>
      <c r="Y946" s="3"/>
      <c r="Z946" s="3"/>
      <c r="AA946" s="3"/>
      <c r="AB946" s="3"/>
    </row>
    <row r="947" spans="1:28" x14ac:dyDescent="0.2">
      <c r="A947" s="3"/>
      <c r="B947" s="328"/>
      <c r="C947" s="3"/>
      <c r="D947" s="3"/>
      <c r="E947" s="16"/>
      <c r="F947" s="3"/>
      <c r="G947" s="3"/>
      <c r="H947" s="328"/>
      <c r="I947" s="328"/>
      <c r="J947" s="328"/>
      <c r="K947" s="3"/>
      <c r="L947" s="3"/>
      <c r="M947" s="3"/>
      <c r="N947" s="3"/>
      <c r="V947" s="3"/>
      <c r="W947" s="3"/>
      <c r="X947" s="3"/>
      <c r="Y947" s="3"/>
      <c r="Z947" s="3"/>
      <c r="AA947" s="3"/>
      <c r="AB947" s="3"/>
    </row>
    <row r="948" spans="1:28" x14ac:dyDescent="0.2">
      <c r="A948" s="3"/>
      <c r="B948" s="328"/>
      <c r="C948" s="3"/>
      <c r="D948" s="3"/>
      <c r="E948" s="16"/>
      <c r="F948" s="3"/>
      <c r="G948" s="3"/>
      <c r="H948" s="328"/>
      <c r="I948" s="328"/>
      <c r="J948" s="328"/>
      <c r="K948" s="3"/>
      <c r="L948" s="3"/>
      <c r="M948" s="3"/>
      <c r="N948" s="3"/>
      <c r="V948" s="3"/>
      <c r="W948" s="3"/>
      <c r="X948" s="3"/>
      <c r="Y948" s="3"/>
      <c r="Z948" s="3"/>
      <c r="AA948" s="3"/>
      <c r="AB948" s="3"/>
    </row>
    <row r="949" spans="1:28" x14ac:dyDescent="0.2">
      <c r="A949" s="3"/>
      <c r="B949" s="328"/>
      <c r="C949" s="3"/>
      <c r="D949" s="3"/>
      <c r="E949" s="16"/>
      <c r="F949" s="3"/>
      <c r="G949" s="3"/>
      <c r="H949" s="328"/>
      <c r="I949" s="328"/>
      <c r="J949" s="328"/>
      <c r="K949" s="3"/>
      <c r="L949" s="3"/>
      <c r="M949" s="3"/>
      <c r="N949" s="3"/>
      <c r="V949" s="3"/>
      <c r="W949" s="3"/>
      <c r="X949" s="3"/>
      <c r="Y949" s="3"/>
      <c r="Z949" s="3"/>
      <c r="AA949" s="3"/>
      <c r="AB949" s="3"/>
    </row>
    <row r="950" spans="1:28" x14ac:dyDescent="0.2">
      <c r="A950" s="3"/>
      <c r="B950" s="328"/>
      <c r="C950" s="3"/>
      <c r="D950" s="3"/>
      <c r="E950" s="16"/>
      <c r="F950" s="3"/>
      <c r="G950" s="3"/>
      <c r="H950" s="328"/>
      <c r="I950" s="328"/>
      <c r="J950" s="328"/>
      <c r="K950" s="3"/>
      <c r="L950" s="3"/>
      <c r="M950" s="3"/>
      <c r="N950" s="3"/>
      <c r="V950" s="3"/>
      <c r="W950" s="3"/>
      <c r="X950" s="3"/>
      <c r="Y950" s="3"/>
      <c r="Z950" s="3"/>
      <c r="AA950" s="3"/>
      <c r="AB950" s="3"/>
    </row>
    <row r="951" spans="1:28" x14ac:dyDescent="0.2">
      <c r="A951" s="3"/>
      <c r="B951" s="328"/>
      <c r="C951" s="3"/>
      <c r="D951" s="3"/>
      <c r="E951" s="16"/>
      <c r="F951" s="3"/>
      <c r="G951" s="3"/>
      <c r="H951" s="328"/>
      <c r="I951" s="328"/>
      <c r="J951" s="328"/>
      <c r="K951" s="3"/>
      <c r="L951" s="3"/>
      <c r="M951" s="3"/>
      <c r="N951" s="3"/>
      <c r="V951" s="3"/>
      <c r="W951" s="3"/>
      <c r="X951" s="3"/>
      <c r="Y951" s="3"/>
      <c r="Z951" s="3"/>
      <c r="AA951" s="3"/>
      <c r="AB951" s="3"/>
    </row>
    <row r="952" spans="1:28" x14ac:dyDescent="0.2">
      <c r="A952" s="3"/>
      <c r="B952" s="328"/>
      <c r="C952" s="3"/>
      <c r="D952" s="3"/>
      <c r="E952" s="16"/>
      <c r="F952" s="3"/>
      <c r="G952" s="3"/>
      <c r="H952" s="328"/>
      <c r="I952" s="328"/>
      <c r="J952" s="328"/>
      <c r="K952" s="3"/>
      <c r="L952" s="3"/>
      <c r="M952" s="3"/>
      <c r="N952" s="3"/>
      <c r="V952" s="3"/>
      <c r="W952" s="3"/>
      <c r="X952" s="3"/>
      <c r="Y952" s="3"/>
      <c r="Z952" s="3"/>
      <c r="AA952" s="3"/>
      <c r="AB952" s="3"/>
    </row>
    <row r="953" spans="1:28" x14ac:dyDescent="0.2">
      <c r="A953" s="3"/>
      <c r="B953" s="328"/>
      <c r="C953" s="3"/>
      <c r="D953" s="3"/>
      <c r="E953" s="16"/>
      <c r="F953" s="3"/>
      <c r="G953" s="3"/>
      <c r="H953" s="328"/>
      <c r="I953" s="328"/>
      <c r="J953" s="328"/>
      <c r="K953" s="3"/>
      <c r="L953" s="3"/>
      <c r="M953" s="3"/>
      <c r="N953" s="3"/>
      <c r="V953" s="3"/>
      <c r="W953" s="3"/>
      <c r="X953" s="3"/>
      <c r="Y953" s="3"/>
      <c r="Z953" s="3"/>
      <c r="AA953" s="3"/>
      <c r="AB953" s="3"/>
    </row>
    <row r="954" spans="1:28" x14ac:dyDescent="0.2">
      <c r="A954" s="3"/>
      <c r="B954" s="328"/>
      <c r="C954" s="3"/>
      <c r="D954" s="3"/>
      <c r="E954" s="16"/>
      <c r="F954" s="3"/>
      <c r="G954" s="3"/>
      <c r="H954" s="328"/>
      <c r="I954" s="328"/>
      <c r="J954" s="328"/>
      <c r="K954" s="3"/>
      <c r="L954" s="3"/>
      <c r="M954" s="3"/>
      <c r="N954" s="3"/>
      <c r="V954" s="3"/>
      <c r="W954" s="3"/>
      <c r="X954" s="3"/>
      <c r="Y954" s="3"/>
      <c r="Z954" s="3"/>
      <c r="AA954" s="3"/>
      <c r="AB954" s="3"/>
    </row>
    <row r="955" spans="1:28" x14ac:dyDescent="0.2">
      <c r="A955" s="3"/>
      <c r="B955" s="328"/>
      <c r="C955" s="3"/>
      <c r="D955" s="3"/>
      <c r="E955" s="16"/>
      <c r="F955" s="3"/>
      <c r="G955" s="3"/>
      <c r="H955" s="328"/>
      <c r="I955" s="328"/>
      <c r="J955" s="328"/>
      <c r="K955" s="3"/>
      <c r="L955" s="3"/>
      <c r="M955" s="3"/>
      <c r="N955" s="3"/>
      <c r="V955" s="3"/>
      <c r="W955" s="3"/>
      <c r="X955" s="3"/>
      <c r="Y955" s="3"/>
      <c r="Z955" s="3"/>
      <c r="AA955" s="3"/>
      <c r="AB955" s="3"/>
    </row>
    <row r="956" spans="1:28" x14ac:dyDescent="0.2">
      <c r="A956" s="3"/>
      <c r="B956" s="328"/>
      <c r="C956" s="3"/>
      <c r="D956" s="3"/>
      <c r="E956" s="16"/>
      <c r="F956" s="3"/>
      <c r="G956" s="3"/>
      <c r="H956" s="328"/>
      <c r="I956" s="328"/>
      <c r="J956" s="328"/>
      <c r="K956" s="3"/>
      <c r="L956" s="3"/>
      <c r="M956" s="3"/>
      <c r="N956" s="3"/>
      <c r="V956" s="3"/>
      <c r="W956" s="3"/>
      <c r="X956" s="3"/>
      <c r="Y956" s="3"/>
      <c r="Z956" s="3"/>
      <c r="AA956" s="3"/>
      <c r="AB956" s="3"/>
    </row>
    <row r="957" spans="1:28" x14ac:dyDescent="0.2">
      <c r="A957" s="3"/>
      <c r="B957" s="328"/>
      <c r="C957" s="3"/>
      <c r="D957" s="3"/>
      <c r="E957" s="16"/>
      <c r="F957" s="3"/>
      <c r="G957" s="3"/>
      <c r="H957" s="328"/>
      <c r="I957" s="328"/>
      <c r="J957" s="328"/>
      <c r="K957" s="3"/>
      <c r="L957" s="3"/>
      <c r="M957" s="3"/>
      <c r="N957" s="3"/>
      <c r="V957" s="3"/>
      <c r="W957" s="3"/>
      <c r="X957" s="3"/>
      <c r="Y957" s="3"/>
      <c r="Z957" s="3"/>
      <c r="AA957" s="3"/>
      <c r="AB957" s="3"/>
    </row>
    <row r="958" spans="1:28" x14ac:dyDescent="0.2">
      <c r="A958" s="3"/>
      <c r="B958" s="328"/>
      <c r="C958" s="3"/>
      <c r="D958" s="3"/>
      <c r="E958" s="16"/>
      <c r="F958" s="3"/>
      <c r="G958" s="3"/>
      <c r="H958" s="328"/>
      <c r="I958" s="328"/>
      <c r="J958" s="328"/>
      <c r="K958" s="3"/>
      <c r="L958" s="3"/>
      <c r="M958" s="3"/>
      <c r="N958" s="3"/>
      <c r="V958" s="3"/>
      <c r="W958" s="3"/>
      <c r="X958" s="3"/>
      <c r="Y958" s="3"/>
      <c r="Z958" s="3"/>
      <c r="AA958" s="3"/>
      <c r="AB958" s="3"/>
    </row>
    <row r="959" spans="1:28" x14ac:dyDescent="0.2">
      <c r="A959" s="3"/>
      <c r="B959" s="328"/>
      <c r="C959" s="3"/>
      <c r="D959" s="3"/>
      <c r="E959" s="16"/>
      <c r="F959" s="3"/>
      <c r="G959" s="3"/>
      <c r="H959" s="328"/>
      <c r="I959" s="328"/>
      <c r="J959" s="328"/>
      <c r="K959" s="3"/>
      <c r="L959" s="3"/>
      <c r="M959" s="3"/>
      <c r="N959" s="3"/>
      <c r="V959" s="3"/>
      <c r="W959" s="3"/>
      <c r="X959" s="3"/>
      <c r="Y959" s="3"/>
      <c r="Z959" s="3"/>
      <c r="AA959" s="3"/>
      <c r="AB959" s="3"/>
    </row>
    <row r="960" spans="1:28" x14ac:dyDescent="0.2">
      <c r="A960" s="3"/>
      <c r="B960" s="328"/>
      <c r="C960" s="3"/>
      <c r="D960" s="3"/>
      <c r="E960" s="16"/>
      <c r="F960" s="3"/>
      <c r="G960" s="3"/>
      <c r="H960" s="328"/>
      <c r="I960" s="328"/>
      <c r="J960" s="328"/>
      <c r="K960" s="3"/>
      <c r="L960" s="3"/>
      <c r="M960" s="3"/>
      <c r="N960" s="3"/>
      <c r="V960" s="3"/>
      <c r="W960" s="3"/>
      <c r="X960" s="3"/>
      <c r="Y960" s="3"/>
      <c r="Z960" s="3"/>
      <c r="AA960" s="3"/>
      <c r="AB960" s="3"/>
    </row>
    <row r="961" spans="1:28" x14ac:dyDescent="0.2">
      <c r="A961" s="3"/>
      <c r="B961" s="328"/>
      <c r="C961" s="3"/>
      <c r="D961" s="3"/>
      <c r="E961" s="16"/>
      <c r="F961" s="3"/>
      <c r="G961" s="3"/>
      <c r="H961" s="328"/>
      <c r="I961" s="328"/>
      <c r="J961" s="328"/>
      <c r="K961" s="3"/>
      <c r="L961" s="3"/>
      <c r="M961" s="3"/>
      <c r="N961" s="3"/>
      <c r="V961" s="3"/>
      <c r="W961" s="3"/>
      <c r="X961" s="3"/>
      <c r="Y961" s="3"/>
      <c r="Z961" s="3"/>
      <c r="AA961" s="3"/>
      <c r="AB961" s="3"/>
    </row>
    <row r="962" spans="1:28" x14ac:dyDescent="0.2">
      <c r="A962" s="3"/>
      <c r="B962" s="328"/>
      <c r="C962" s="3"/>
      <c r="D962" s="3"/>
      <c r="E962" s="16"/>
      <c r="F962" s="3"/>
      <c r="G962" s="3"/>
      <c r="H962" s="328"/>
      <c r="I962" s="328"/>
      <c r="J962" s="328"/>
      <c r="K962" s="3"/>
      <c r="L962" s="3"/>
      <c r="M962" s="3"/>
      <c r="N962" s="3"/>
      <c r="V962" s="3"/>
      <c r="W962" s="3"/>
      <c r="X962" s="3"/>
      <c r="Y962" s="3"/>
      <c r="Z962" s="3"/>
      <c r="AA962" s="3"/>
      <c r="AB962" s="3"/>
    </row>
    <row r="963" spans="1:28" x14ac:dyDescent="0.2">
      <c r="A963" s="3"/>
      <c r="B963" s="328"/>
      <c r="C963" s="3"/>
      <c r="D963" s="3"/>
      <c r="E963" s="16"/>
      <c r="F963" s="3"/>
      <c r="G963" s="3"/>
      <c r="H963" s="328"/>
      <c r="I963" s="328"/>
      <c r="J963" s="328"/>
      <c r="K963" s="3"/>
      <c r="L963" s="3"/>
      <c r="M963" s="3"/>
      <c r="N963" s="3"/>
      <c r="V963" s="3"/>
      <c r="W963" s="3"/>
      <c r="X963" s="3"/>
      <c r="Y963" s="3"/>
      <c r="Z963" s="3"/>
      <c r="AA963" s="3"/>
      <c r="AB963" s="3"/>
    </row>
    <row r="964" spans="1:28" x14ac:dyDescent="0.2">
      <c r="A964" s="3"/>
      <c r="B964" s="328"/>
      <c r="C964" s="3"/>
      <c r="D964" s="3"/>
      <c r="E964" s="16"/>
      <c r="F964" s="3"/>
      <c r="G964" s="3"/>
      <c r="H964" s="328"/>
      <c r="I964" s="328"/>
      <c r="J964" s="328"/>
      <c r="K964" s="3"/>
      <c r="L964" s="3"/>
      <c r="M964" s="3"/>
      <c r="N964" s="3"/>
      <c r="V964" s="3"/>
      <c r="W964" s="3"/>
      <c r="X964" s="3"/>
      <c r="Y964" s="3"/>
      <c r="Z964" s="3"/>
      <c r="AA964" s="3"/>
      <c r="AB964" s="3"/>
    </row>
    <row r="965" spans="1:28" x14ac:dyDescent="0.2">
      <c r="A965" s="3"/>
      <c r="B965" s="328"/>
      <c r="C965" s="3"/>
      <c r="D965" s="3"/>
      <c r="E965" s="16"/>
      <c r="F965" s="3"/>
      <c r="G965" s="3"/>
      <c r="H965" s="328"/>
      <c r="I965" s="328"/>
      <c r="J965" s="328"/>
      <c r="K965" s="3"/>
      <c r="L965" s="3"/>
      <c r="M965" s="3"/>
      <c r="N965" s="3"/>
      <c r="V965" s="3"/>
      <c r="W965" s="3"/>
      <c r="X965" s="3"/>
      <c r="Y965" s="3"/>
      <c r="Z965" s="3"/>
      <c r="AA965" s="3"/>
      <c r="AB965" s="3"/>
    </row>
    <row r="966" spans="1:28" x14ac:dyDescent="0.2">
      <c r="A966" s="3"/>
      <c r="B966" s="328"/>
      <c r="C966" s="3"/>
      <c r="D966" s="3"/>
      <c r="E966" s="16"/>
      <c r="F966" s="3"/>
      <c r="G966" s="3"/>
      <c r="H966" s="328"/>
      <c r="I966" s="328"/>
      <c r="J966" s="328"/>
      <c r="K966" s="3"/>
      <c r="L966" s="3"/>
      <c r="M966" s="3"/>
      <c r="N966" s="3"/>
      <c r="V966" s="3"/>
      <c r="W966" s="3"/>
      <c r="X966" s="3"/>
      <c r="Y966" s="3"/>
      <c r="Z966" s="3"/>
      <c r="AA966" s="3"/>
      <c r="AB966" s="3"/>
    </row>
    <row r="967" spans="1:28" x14ac:dyDescent="0.2">
      <c r="A967" s="3"/>
      <c r="B967" s="328"/>
      <c r="C967" s="3"/>
      <c r="D967" s="3"/>
      <c r="E967" s="16"/>
      <c r="F967" s="3"/>
      <c r="G967" s="3"/>
      <c r="H967" s="328"/>
      <c r="I967" s="328"/>
      <c r="J967" s="328"/>
      <c r="K967" s="3"/>
      <c r="L967" s="3"/>
      <c r="M967" s="3"/>
      <c r="N967" s="3"/>
      <c r="V967" s="3"/>
      <c r="W967" s="3"/>
      <c r="X967" s="3"/>
      <c r="Y967" s="3"/>
      <c r="Z967" s="3"/>
      <c r="AA967" s="3"/>
      <c r="AB967" s="3"/>
    </row>
    <row r="968" spans="1:28" x14ac:dyDescent="0.2">
      <c r="A968" s="3"/>
      <c r="B968" s="328"/>
      <c r="C968" s="3"/>
      <c r="D968" s="3"/>
      <c r="E968" s="16"/>
      <c r="F968" s="3"/>
      <c r="G968" s="3"/>
      <c r="H968" s="328"/>
      <c r="I968" s="328"/>
      <c r="J968" s="328"/>
      <c r="K968" s="3"/>
      <c r="L968" s="3"/>
      <c r="M968" s="3"/>
      <c r="N968" s="3"/>
      <c r="V968" s="3"/>
      <c r="W968" s="3"/>
      <c r="X968" s="3"/>
      <c r="Y968" s="3"/>
      <c r="Z968" s="3"/>
      <c r="AA968" s="3"/>
      <c r="AB968" s="3"/>
    </row>
    <row r="969" spans="1:28" x14ac:dyDescent="0.2">
      <c r="A969" s="3"/>
      <c r="B969" s="328"/>
      <c r="C969" s="3"/>
      <c r="D969" s="3"/>
      <c r="E969" s="16"/>
      <c r="F969" s="3"/>
      <c r="G969" s="3"/>
      <c r="H969" s="328"/>
      <c r="I969" s="328"/>
      <c r="J969" s="328"/>
      <c r="K969" s="3"/>
      <c r="L969" s="3"/>
      <c r="M969" s="3"/>
      <c r="N969" s="3"/>
      <c r="V969" s="3"/>
      <c r="W969" s="3"/>
      <c r="X969" s="3"/>
      <c r="Y969" s="3"/>
      <c r="Z969" s="3"/>
      <c r="AA969" s="3"/>
      <c r="AB969" s="3"/>
    </row>
    <row r="970" spans="1:28" x14ac:dyDescent="0.2">
      <c r="A970" s="3"/>
      <c r="B970" s="328"/>
      <c r="C970" s="3"/>
      <c r="D970" s="3"/>
      <c r="E970" s="16"/>
      <c r="F970" s="3"/>
      <c r="G970" s="3"/>
      <c r="H970" s="328"/>
      <c r="I970" s="328"/>
      <c r="J970" s="328"/>
      <c r="K970" s="3"/>
      <c r="L970" s="3"/>
      <c r="M970" s="3"/>
      <c r="N970" s="3"/>
      <c r="V970" s="3"/>
      <c r="W970" s="3"/>
      <c r="X970" s="3"/>
      <c r="Y970" s="3"/>
      <c r="Z970" s="3"/>
      <c r="AA970" s="3"/>
      <c r="AB970" s="3"/>
    </row>
    <row r="971" spans="1:28" x14ac:dyDescent="0.2">
      <c r="A971" s="3"/>
      <c r="B971" s="328"/>
      <c r="C971" s="3"/>
      <c r="D971" s="3"/>
      <c r="E971" s="16"/>
      <c r="F971" s="3"/>
      <c r="G971" s="3"/>
      <c r="H971" s="328"/>
      <c r="I971" s="328"/>
      <c r="J971" s="328"/>
      <c r="K971" s="3"/>
      <c r="L971" s="3"/>
      <c r="M971" s="3"/>
      <c r="N971" s="3"/>
      <c r="V971" s="3"/>
      <c r="W971" s="3"/>
      <c r="X971" s="3"/>
      <c r="Y971" s="3"/>
      <c r="Z971" s="3"/>
      <c r="AA971" s="3"/>
      <c r="AB971" s="3"/>
    </row>
    <row r="972" spans="1:28" x14ac:dyDescent="0.2">
      <c r="A972" s="3"/>
      <c r="B972" s="328"/>
      <c r="C972" s="3"/>
      <c r="D972" s="3"/>
      <c r="E972" s="16"/>
      <c r="F972" s="3"/>
      <c r="G972" s="3"/>
      <c r="H972" s="328"/>
      <c r="I972" s="328"/>
      <c r="J972" s="328"/>
      <c r="K972" s="3"/>
      <c r="L972" s="3"/>
      <c r="M972" s="3"/>
      <c r="N972" s="3"/>
      <c r="V972" s="3"/>
      <c r="W972" s="3"/>
      <c r="X972" s="3"/>
      <c r="Y972" s="3"/>
      <c r="Z972" s="3"/>
      <c r="AA972" s="3"/>
      <c r="AB972" s="3"/>
    </row>
    <row r="973" spans="1:28" x14ac:dyDescent="0.2">
      <c r="A973" s="3"/>
      <c r="B973" s="328"/>
      <c r="C973" s="3"/>
      <c r="D973" s="3"/>
      <c r="E973" s="16"/>
      <c r="F973" s="3"/>
      <c r="G973" s="3"/>
      <c r="H973" s="328"/>
      <c r="I973" s="328"/>
      <c r="J973" s="328"/>
      <c r="K973" s="3"/>
      <c r="L973" s="3"/>
      <c r="M973" s="3"/>
      <c r="N973" s="3"/>
      <c r="V973" s="3"/>
      <c r="W973" s="3"/>
      <c r="X973" s="3"/>
      <c r="Y973" s="3"/>
      <c r="Z973" s="3"/>
      <c r="AA973" s="3"/>
      <c r="AB973" s="3"/>
    </row>
    <row r="974" spans="1:28" x14ac:dyDescent="0.2">
      <c r="A974" s="3"/>
      <c r="B974" s="328"/>
      <c r="C974" s="3"/>
      <c r="D974" s="3"/>
      <c r="E974" s="16"/>
      <c r="F974" s="3"/>
      <c r="G974" s="3"/>
      <c r="H974" s="328"/>
      <c r="I974" s="328"/>
      <c r="J974" s="328"/>
      <c r="K974" s="3"/>
      <c r="L974" s="3"/>
      <c r="M974" s="3"/>
      <c r="N974" s="3"/>
      <c r="V974" s="3"/>
      <c r="W974" s="3"/>
      <c r="X974" s="3"/>
      <c r="Y974" s="3"/>
      <c r="Z974" s="3"/>
      <c r="AA974" s="3"/>
      <c r="AB974" s="3"/>
    </row>
    <row r="975" spans="1:28" x14ac:dyDescent="0.2">
      <c r="A975" s="3"/>
      <c r="B975" s="328"/>
      <c r="C975" s="3"/>
      <c r="D975" s="3"/>
      <c r="E975" s="16"/>
      <c r="F975" s="3"/>
      <c r="G975" s="3"/>
      <c r="H975" s="328"/>
      <c r="I975" s="328"/>
      <c r="J975" s="328"/>
      <c r="K975" s="3"/>
      <c r="L975" s="3"/>
      <c r="M975" s="3"/>
      <c r="N975" s="3"/>
      <c r="V975" s="3"/>
      <c r="W975" s="3"/>
      <c r="X975" s="3"/>
      <c r="Y975" s="3"/>
      <c r="Z975" s="3"/>
      <c r="AA975" s="3"/>
      <c r="AB975" s="3"/>
    </row>
    <row r="976" spans="1:28" x14ac:dyDescent="0.2">
      <c r="A976" s="3"/>
      <c r="B976" s="328"/>
      <c r="C976" s="3"/>
      <c r="D976" s="3"/>
      <c r="E976" s="16"/>
      <c r="F976" s="3"/>
      <c r="G976" s="3"/>
      <c r="H976" s="328"/>
      <c r="I976" s="328"/>
      <c r="J976" s="328"/>
      <c r="K976" s="3"/>
      <c r="L976" s="3"/>
      <c r="M976" s="3"/>
      <c r="N976" s="3"/>
      <c r="V976" s="3"/>
      <c r="W976" s="3"/>
      <c r="X976" s="3"/>
      <c r="Y976" s="3"/>
      <c r="Z976" s="3"/>
      <c r="AA976" s="3"/>
      <c r="AB976" s="3"/>
    </row>
    <row r="977" spans="1:28" x14ac:dyDescent="0.2">
      <c r="A977" s="3"/>
      <c r="B977" s="328"/>
      <c r="C977" s="3"/>
      <c r="D977" s="3"/>
      <c r="E977" s="16"/>
      <c r="F977" s="3"/>
      <c r="G977" s="3"/>
      <c r="H977" s="328"/>
      <c r="I977" s="328"/>
      <c r="J977" s="328"/>
      <c r="K977" s="3"/>
      <c r="L977" s="3"/>
      <c r="M977" s="3"/>
      <c r="N977" s="3"/>
      <c r="V977" s="3"/>
      <c r="W977" s="3"/>
      <c r="X977" s="3"/>
      <c r="Y977" s="3"/>
      <c r="Z977" s="3"/>
      <c r="AA977" s="3"/>
      <c r="AB977" s="3"/>
    </row>
  </sheetData>
  <autoFilter ref="A2:AC904"/>
  <sortState ref="A3:AC904">
    <sortCondition ref="H3:H904"/>
    <sortCondition ref="I3:I904"/>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401" priority="1">
      <formula>"SI(P115=""HOY"")"</formula>
    </cfRule>
  </conditionalFormatting>
  <pageMargins left="0.19685039370078741" right="0.19685039370078741" top="0.19685039370078741" bottom="0.19685039370078741" header="0" footer="0"/>
  <pageSetup paperSize="5" scale="65" orientation="landscape" r:id="rId7"/>
  <headerFooter alignWithMargins="0"/>
  <drawing r:id="rId8"/>
  <legacyDrawing r:id="rId9"/>
  <controls>
    <mc:AlternateContent xmlns:mc="http://schemas.openxmlformats.org/markup-compatibility/2006">
      <mc:Choice Requires="x14">
        <control shapeId="1126" r:id="rId10" name="ComboBox1">
          <controlPr defaultSize="0" print="0" autoLine="0" linkedCell="$K$1" listFillRange="Resultados!$A$1:$A$49" r:id="rId11">
            <anchor moveWithCells="1" sizeWithCells="1">
              <from>
                <xdr:col>6</xdr:col>
                <xdr:colOff>104775</xdr:colOff>
                <xdr:row>0</xdr:row>
                <xdr:rowOff>1009650</xdr:rowOff>
              </from>
              <to>
                <xdr:col>8</xdr:col>
                <xdr:colOff>561975</xdr:colOff>
                <xdr:row>0</xdr:row>
                <xdr:rowOff>1323975</xdr:rowOff>
              </to>
            </anchor>
          </controlPr>
        </control>
      </mc:Choice>
      <mc:Fallback>
        <control shapeId="1126" r:id="rId10" name="ComboBox1"/>
      </mc:Fallback>
    </mc:AlternateContent>
    <mc:AlternateContent xmlns:mc="http://schemas.openxmlformats.org/markup-compatibility/2006">
      <mc:Choice Requires="x14">
        <control shapeId="1129" r:id="rId12" name="ComboBox2">
          <controlPr print="0" autoLine="0" linkedCell="J1" listFillRange="Internos!$A$1:$A$11" r:id="rId13">
            <anchor moveWithCells="1" sizeWithCells="1">
              <from>
                <xdr:col>6</xdr:col>
                <xdr:colOff>104775</xdr:colOff>
                <xdr:row>0</xdr:row>
                <xdr:rowOff>390525</xdr:rowOff>
              </from>
              <to>
                <xdr:col>8</xdr:col>
                <xdr:colOff>104775</xdr:colOff>
                <xdr:row>0</xdr:row>
                <xdr:rowOff>704850</xdr:rowOff>
              </to>
            </anchor>
          </controlPr>
        </control>
      </mc:Choice>
      <mc:Fallback>
        <control shapeId="1129" r:id="rId12" name="ComboBox2"/>
      </mc:Fallback>
    </mc:AlternateContent>
    <mc:AlternateContent xmlns:mc="http://schemas.openxmlformats.org/markup-compatibility/2006">
      <mc:Choice Requires="x14">
        <control shapeId="1152" r:id="rId14" name="GarOrigen">
          <controlPr defaultSize="0" print="0" autoLine="0" linkedCell="$L$1" listFillRange="Jueces!$B$1:$B$8" r:id="rId15">
            <anchor moveWithCells="1" sizeWithCells="1">
              <from>
                <xdr:col>6</xdr:col>
                <xdr:colOff>104775</xdr:colOff>
                <xdr:row>0</xdr:row>
                <xdr:rowOff>1609725</xdr:rowOff>
              </from>
              <to>
                <xdr:col>6</xdr:col>
                <xdr:colOff>866775</xdr:colOff>
                <xdr:row>0</xdr:row>
                <xdr:rowOff>1924050</xdr:rowOff>
              </to>
            </anchor>
          </controlPr>
        </control>
      </mc:Choice>
      <mc:Fallback>
        <control shapeId="1152" r:id="rId14" name="GarOrigen"/>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5</xdr:col>
                <xdr:colOff>476250</xdr:colOff>
                <xdr:row>0</xdr:row>
                <xdr:rowOff>1000125</xdr:rowOff>
              </from>
              <to>
                <xdr:col>6</xdr:col>
                <xdr:colOff>104775</xdr:colOff>
                <xdr:row>0</xdr:row>
                <xdr:rowOff>1276350</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5</xdr:col>
                <xdr:colOff>466725</xdr:colOff>
                <xdr:row>0</xdr:row>
                <xdr:rowOff>381000</xdr:rowOff>
              </from>
              <to>
                <xdr:col>6</xdr:col>
                <xdr:colOff>95250</xdr:colOff>
                <xdr:row>0</xdr:row>
                <xdr:rowOff>666750</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5</xdr:col>
                <xdr:colOff>466725</xdr:colOff>
                <xdr:row>0</xdr:row>
                <xdr:rowOff>1609725</xdr:rowOff>
              </from>
              <to>
                <xdr:col>6</xdr:col>
                <xdr:colOff>95250</xdr:colOff>
                <xdr:row>0</xdr:row>
                <xdr:rowOff>1885950</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controls>
  <extLst>
    <ext xmlns:x14="http://schemas.microsoft.com/office/spreadsheetml/2009/9/main" uri="{CCE6A557-97BC-4b89-ADB6-D9C93CAAB3DF}">
      <x14:dataValidations xmlns:xm="http://schemas.microsoft.com/office/excel/2006/main" count="20">
        <x14:dataValidation type="list" allowBlank="1" showInputMessage="1" showErrorMessage="1">
          <x14:formula1>
            <xm:f>Jueces!$A$1:$A$20</xm:f>
          </x14:formula1>
          <xm:sqref>J3:J904</xm:sqref>
        </x14:dataValidation>
        <x14:dataValidation type="list" allowBlank="1" showInputMessage="1" showErrorMessage="1">
          <x14:formula1>
            <xm:f>'fiscalias penales'!$A$1:$A$150</xm:f>
          </x14:formula1>
          <xm:sqref>L3:L904</xm:sqref>
        </x14:dataValidation>
        <x14:dataValidation type="list" allowBlank="1" showInputMessage="1" showErrorMessage="1">
          <x14:formula1>
            <xm:f>defensores!$A$1:$A$164</xm:f>
          </x14:formula1>
          <xm:sqref>M3:M904</xm:sqref>
        </x14:dataValidation>
        <x14:dataValidation type="list" allowBlank="1" showInputMessage="1" showErrorMessage="1">
          <x14:formula1>
            <xm:f>Internos!$A$1:$A$17</xm:f>
          </x14:formula1>
          <xm:sqref>G3:G904</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Q2:Q814</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E1" sqref="E1"/>
    </sheetView>
  </sheetViews>
  <sheetFormatPr baseColWidth="10" defaultColWidth="11.42578125" defaultRowHeight="11.25" x14ac:dyDescent="0.2"/>
  <cols>
    <col min="1" max="2" width="30.7109375" style="163" hidden="1" customWidth="1"/>
    <col min="3" max="3" width="25.5703125" style="164" customWidth="1"/>
    <col min="4" max="4" width="30.7109375" style="161" hidden="1" customWidth="1"/>
    <col min="5" max="5" width="25.5703125" style="164" customWidth="1"/>
    <col min="6" max="6" width="30.7109375" style="161" hidden="1" customWidth="1"/>
    <col min="7" max="7" width="25.5703125" style="164" customWidth="1"/>
    <col min="8" max="8" width="30.7109375" style="161" hidden="1" customWidth="1"/>
    <col min="9" max="9" width="25.5703125" style="164" customWidth="1"/>
    <col min="10" max="10" width="30.7109375" style="161" hidden="1" customWidth="1"/>
    <col min="11" max="11" width="25.5703125" style="164" customWidth="1"/>
    <col min="12" max="12" width="1" style="161" customWidth="1"/>
    <col min="13" max="13" width="30.7109375" style="161" customWidth="1"/>
    <col min="14" max="16384" width="11.42578125" style="161"/>
  </cols>
  <sheetData>
    <row r="1" spans="1:13" s="155" customFormat="1" ht="18.75" thickBot="1" x14ac:dyDescent="0.25">
      <c r="A1" s="154"/>
      <c r="B1" s="154"/>
      <c r="C1" s="180">
        <f>M4</f>
        <v>45201</v>
      </c>
      <c r="D1" s="181"/>
      <c r="E1" s="180">
        <f>C1+1</f>
        <v>45202</v>
      </c>
      <c r="F1" s="181"/>
      <c r="G1" s="180">
        <f>E1+1</f>
        <v>45203</v>
      </c>
      <c r="H1" s="181"/>
      <c r="I1" s="180">
        <f>G1+1</f>
        <v>45204</v>
      </c>
      <c r="J1" s="181"/>
      <c r="K1" s="180">
        <f t="shared" ref="K1" si="0">I1+1</f>
        <v>45205</v>
      </c>
    </row>
    <row r="2" spans="1:13" ht="117" x14ac:dyDescent="0.2">
      <c r="A2" s="156">
        <v>1</v>
      </c>
      <c r="B2" s="157" t="str">
        <f>CONCATENATE(TEXT(C$1,"dd/mm/yyyy"),$A2)</f>
        <v>02/10/yyyy1</v>
      </c>
      <c r="C2" s="158"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59" t="str">
        <f>CONCATENATE(TEXT(E$1,"dd/mm/yyyy"),$A2)</f>
        <v>03/10/yyyy1</v>
      </c>
      <c r="E2" s="158"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59" t="str">
        <f>CONCATENATE(TEXT(G$1,"dd/mm/yyyy"),$A2)</f>
        <v>04/10/yyyy1</v>
      </c>
      <c r="G2" s="158"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0" t="str">
        <f>CONCATENATE(TEXT(I$1,"dd/mm/yyyy"),$A2)</f>
        <v>05/10/yyyy1</v>
      </c>
      <c r="I2" s="158"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0" t="str">
        <f>CONCATENATE(TEXT(K$1,"dd/mm/yyyy"),$A2)</f>
        <v>06/10/yyyy1</v>
      </c>
      <c r="K2" s="18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6">
        <v>2</v>
      </c>
      <c r="B3" s="157" t="str">
        <f>CONCATENATE(TEXT(C$1,"dd/mm/yyyy"),$A3)</f>
        <v>02/10/yyyy2</v>
      </c>
      <c r="C3" s="158"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0" t="str">
        <f>CONCATENATE(TEXT(E$1,"dd/mm/yyyy"),$A3)</f>
        <v>03/10/yyyy2</v>
      </c>
      <c r="E3" s="158"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0" t="str">
        <f>CONCATENATE(TEXT(G$1,"dd/mm/yyyy"),$A3)</f>
        <v>04/10/yyyy2</v>
      </c>
      <c r="G3" s="158"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0" t="str">
        <f>CONCATENATE(TEXT(I$1,"dd/mm/yyyy"),$A3)</f>
        <v>05/10/yyyy2</v>
      </c>
      <c r="I3" s="158"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0" t="str">
        <f>CONCATENATE(TEXT(K$1,"dd/mm/yyyy"),$A3)</f>
        <v>06/10/yyyy2</v>
      </c>
      <c r="K3" s="18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4"/>
    </row>
    <row r="4" spans="1:13" ht="108" x14ac:dyDescent="0.2">
      <c r="A4" s="156">
        <v>3</v>
      </c>
      <c r="B4" s="157" t="str">
        <f t="shared" ref="B4:F11" si="1">CONCATENATE(TEXT(C$1,"dd/mm/yyyy"),$A4)</f>
        <v>02/10/yyyy3</v>
      </c>
      <c r="C4" s="158"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0" t="str">
        <f t="shared" si="1"/>
        <v>03/10/yyyy3</v>
      </c>
      <c r="E4" s="158"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0" t="str">
        <f t="shared" si="1"/>
        <v>04/10/yyyy3</v>
      </c>
      <c r="G4" s="158"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0" t="str">
        <f t="shared" ref="H4:H11" si="2">CONCATENATE(TEXT(I$1,"dd/mm/yyyy"),$A4)</f>
        <v>05/10/yyyy3</v>
      </c>
      <c r="I4" s="158"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0" t="str">
        <f t="shared" ref="J4:J11" si="3">CONCATENATE(TEXT(K$1,"dd/mm/yyyy"),$A4)</f>
        <v>06/10/yyyy3</v>
      </c>
      <c r="K4" s="18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3">
        <v>45201</v>
      </c>
    </row>
    <row r="5" spans="1:13" ht="108" x14ac:dyDescent="0.2">
      <c r="A5" s="156">
        <v>4</v>
      </c>
      <c r="B5" s="157" t="str">
        <f t="shared" si="1"/>
        <v>02/10/yyyy4</v>
      </c>
      <c r="C5" s="158"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0" t="str">
        <f t="shared" si="1"/>
        <v>03/10/yyyy4</v>
      </c>
      <c r="E5" s="158"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0" t="str">
        <f t="shared" si="1"/>
        <v>04/10/yyyy4</v>
      </c>
      <c r="G5" s="158"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0" t="str">
        <f t="shared" si="2"/>
        <v>05/10/yyyy4</v>
      </c>
      <c r="I5" s="158"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0" t="str">
        <f t="shared" si="3"/>
        <v>06/10/yyyy4</v>
      </c>
      <c r="K5" s="18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6">
        <v>5</v>
      </c>
      <c r="B6" s="157" t="str">
        <f t="shared" si="1"/>
        <v>02/10/yyyy5</v>
      </c>
      <c r="C6" s="158"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0" t="str">
        <f t="shared" si="1"/>
        <v>03/10/yyyy5</v>
      </c>
      <c r="E6" s="158"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0" t="str">
        <f t="shared" si="1"/>
        <v>04/10/yyyy5</v>
      </c>
      <c r="G6" s="158"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0" t="str">
        <f t="shared" si="2"/>
        <v>05/10/yyyy5</v>
      </c>
      <c r="I6" s="158"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0" t="str">
        <f t="shared" si="3"/>
        <v>06/10/yyyy5</v>
      </c>
      <c r="K6" s="18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6">
        <v>6</v>
      </c>
      <c r="B7" s="157" t="str">
        <f t="shared" si="1"/>
        <v>02/10/yyyy6</v>
      </c>
      <c r="C7" s="158"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0" t="str">
        <f t="shared" si="1"/>
        <v>03/10/yyyy6</v>
      </c>
      <c r="E7" s="158"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0" t="str">
        <f t="shared" si="1"/>
        <v>04/10/yyyy6</v>
      </c>
      <c r="G7" s="158"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0" t="str">
        <f t="shared" si="2"/>
        <v>05/10/yyyy6</v>
      </c>
      <c r="I7" s="158"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0" t="str">
        <f t="shared" si="3"/>
        <v>06/10/yyyy6</v>
      </c>
      <c r="K7" s="18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2">
        <v>7</v>
      </c>
      <c r="B8" s="157" t="str">
        <f t="shared" si="1"/>
        <v>02/10/yyyy7</v>
      </c>
      <c r="C8" s="158"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0" t="str">
        <f t="shared" si="1"/>
        <v>03/10/yyyy7</v>
      </c>
      <c r="E8" s="158"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0" t="str">
        <f t="shared" si="1"/>
        <v>04/10/yyyy7</v>
      </c>
      <c r="G8" s="158"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0" t="str">
        <f t="shared" si="2"/>
        <v>05/10/yyyy7</v>
      </c>
      <c r="I8" s="158"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0" t="str">
        <f t="shared" si="3"/>
        <v>06/10/yyyy7</v>
      </c>
      <c r="K8" s="18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2">
        <v>8</v>
      </c>
      <c r="B9" s="157" t="str">
        <f t="shared" si="1"/>
        <v>02/10/yyyy8</v>
      </c>
      <c r="C9" s="158"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0" t="str">
        <f t="shared" si="1"/>
        <v>03/10/yyyy8</v>
      </c>
      <c r="E9" s="158"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0" t="str">
        <f t="shared" si="1"/>
        <v>04/10/yyyy8</v>
      </c>
      <c r="G9" s="158"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0" t="str">
        <f t="shared" si="2"/>
        <v>05/10/yyyy8</v>
      </c>
      <c r="I9" s="158"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0" t="str">
        <f t="shared" si="3"/>
        <v>06/10/yyyy8</v>
      </c>
      <c r="K9" s="18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2">
        <v>9</v>
      </c>
      <c r="B10" s="157" t="str">
        <f t="shared" si="1"/>
        <v>02/10/yyyy9</v>
      </c>
      <c r="C10" s="158"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0" t="str">
        <f t="shared" si="1"/>
        <v>03/10/yyyy9</v>
      </c>
      <c r="E10" s="158"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0" t="str">
        <f t="shared" si="1"/>
        <v>04/10/yyyy9</v>
      </c>
      <c r="G10" s="158"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0" t="str">
        <f t="shared" si="2"/>
        <v>05/10/yyyy9</v>
      </c>
      <c r="I10" s="158"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0" t="str">
        <f t="shared" si="3"/>
        <v>06/10/yyyy9</v>
      </c>
      <c r="K10" s="18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2">
        <v>10</v>
      </c>
      <c r="B11" s="157" t="str">
        <f t="shared" si="1"/>
        <v>02/10/yyyy10</v>
      </c>
      <c r="C11" s="18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4" t="str">
        <f t="shared" si="1"/>
        <v>03/10/yyyy10</v>
      </c>
      <c r="E11" s="18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4" t="str">
        <f t="shared" si="1"/>
        <v>04/10/yyyy10</v>
      </c>
      <c r="G11" s="18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4" t="str">
        <f t="shared" si="2"/>
        <v>05/10/yyyy10</v>
      </c>
      <c r="I11" s="18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4" t="str">
        <f t="shared" si="3"/>
        <v>06/10/yyyy10</v>
      </c>
      <c r="K11" s="18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4" t="s">
        <v>2179</v>
      </c>
    </row>
    <row r="26" spans="3:11" ht="12" thickBot="1" x14ac:dyDescent="0.25"/>
    <row r="27" spans="3:11" ht="18.75" thickBot="1" x14ac:dyDescent="0.25">
      <c r="C27" s="180">
        <f>M30</f>
        <v>0</v>
      </c>
      <c r="D27" s="181"/>
      <c r="E27" s="180">
        <f>C27+1</f>
        <v>1</v>
      </c>
      <c r="F27" s="181"/>
      <c r="G27" s="180">
        <f>E27+1</f>
        <v>2</v>
      </c>
      <c r="H27" s="181"/>
      <c r="I27" s="180">
        <f>G27+1</f>
        <v>3</v>
      </c>
      <c r="J27" s="181"/>
      <c r="K27" s="180">
        <f t="shared" ref="K27" si="4">I27+1</f>
        <v>4</v>
      </c>
    </row>
    <row r="28" spans="3:11" x14ac:dyDescent="0.2">
      <c r="C28" s="158"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59" t="str">
        <f>CONCATENATE(TEXT(E$1,"dd/mm/yyyy"),$A28)</f>
        <v>03/10/yyyy</v>
      </c>
      <c r="E28" s="158"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59" t="str">
        <f>CONCATENATE(TEXT(G$1,"dd/mm/yyyy"),$A28)</f>
        <v>04/10/yyyy</v>
      </c>
      <c r="G28" s="158"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0" t="str">
        <f>CONCATENATE(TEXT(I$1,"dd/mm/yyyy"),$A28)</f>
        <v>05/10/yyyy</v>
      </c>
      <c r="I28" s="158"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0" t="str">
        <f>CONCATENATE(TEXT(K$1,"dd/mm/yyyy"),$A28)</f>
        <v>06/10/yyyy</v>
      </c>
      <c r="K28" s="18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58"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0" t="str">
        <f>CONCATENATE(TEXT(E$1,"dd/mm/yyyy"),$A29)</f>
        <v>03/10/yyyy</v>
      </c>
      <c r="E29" s="158"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0" t="str">
        <f>CONCATENATE(TEXT(G$1,"dd/mm/yyyy"),$A29)</f>
        <v>04/10/yyyy</v>
      </c>
      <c r="G29" s="158"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0" t="str">
        <f>CONCATENATE(TEXT(I$1,"dd/mm/yyyy"),$A29)</f>
        <v>05/10/yyyy</v>
      </c>
      <c r="I29" s="158"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0" t="str">
        <f>CONCATENATE(TEXT(K$1,"dd/mm/yyyy"),$A29)</f>
        <v>06/10/yyyy</v>
      </c>
      <c r="K29" s="18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58"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0" t="str">
        <f t="shared" ref="D30:D37" si="5">CONCATENATE(TEXT(E$1,"dd/mm/yyyy"),$A30)</f>
        <v>03/10/yyyy</v>
      </c>
      <c r="E30" s="158"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0" t="str">
        <f t="shared" ref="F30:F37" si="6">CONCATENATE(TEXT(G$1,"dd/mm/yyyy"),$A30)</f>
        <v>04/10/yyyy</v>
      </c>
      <c r="G30" s="158"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0" t="str">
        <f t="shared" ref="H30:H37" si="7">CONCATENATE(TEXT(I$1,"dd/mm/yyyy"),$A30)</f>
        <v>05/10/yyyy</v>
      </c>
      <c r="I30" s="158"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0" t="str">
        <f t="shared" ref="J30:J37" si="8">CONCATENATE(TEXT(K$1,"dd/mm/yyyy"),$A30)</f>
        <v>06/10/yyyy</v>
      </c>
      <c r="K30" s="18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58"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0" t="str">
        <f t="shared" si="5"/>
        <v>03/10/yyyy</v>
      </c>
      <c r="E31" s="158"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0" t="str">
        <f t="shared" si="6"/>
        <v>04/10/yyyy</v>
      </c>
      <c r="G31" s="158"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0" t="str">
        <f t="shared" si="7"/>
        <v>05/10/yyyy</v>
      </c>
      <c r="I31" s="158"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0" t="str">
        <f t="shared" si="8"/>
        <v>06/10/yyyy</v>
      </c>
      <c r="K31" s="18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58"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0" t="str">
        <f t="shared" si="5"/>
        <v>03/10/yyyy</v>
      </c>
      <c r="E32" s="158"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0" t="str">
        <f t="shared" si="6"/>
        <v>04/10/yyyy</v>
      </c>
      <c r="G32" s="158"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0" t="str">
        <f t="shared" si="7"/>
        <v>05/10/yyyy</v>
      </c>
      <c r="I32" s="158"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0" t="str">
        <f t="shared" si="8"/>
        <v>06/10/yyyy</v>
      </c>
      <c r="K32" s="18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58"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0" t="str">
        <f t="shared" si="5"/>
        <v>03/10/yyyy</v>
      </c>
      <c r="E33" s="158"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0" t="str">
        <f t="shared" si="6"/>
        <v>04/10/yyyy</v>
      </c>
      <c r="G33" s="158"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0" t="str">
        <f t="shared" si="7"/>
        <v>05/10/yyyy</v>
      </c>
      <c r="I33" s="158"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0" t="str">
        <f t="shared" si="8"/>
        <v>06/10/yyyy</v>
      </c>
      <c r="K33" s="18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58"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0" t="str">
        <f t="shared" si="5"/>
        <v>03/10/yyyy</v>
      </c>
      <c r="E34" s="158"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0" t="str">
        <f t="shared" si="6"/>
        <v>04/10/yyyy</v>
      </c>
      <c r="G34" s="158"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0" t="str">
        <f t="shared" si="7"/>
        <v>05/10/yyyy</v>
      </c>
      <c r="I34" s="158"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0" t="str">
        <f t="shared" si="8"/>
        <v>06/10/yyyy</v>
      </c>
      <c r="K34" s="18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58"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0" t="str">
        <f t="shared" si="5"/>
        <v>03/10/yyyy</v>
      </c>
      <c r="E35" s="158"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0" t="str">
        <f t="shared" si="6"/>
        <v>04/10/yyyy</v>
      </c>
      <c r="G35" s="158"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0" t="str">
        <f t="shared" si="7"/>
        <v>05/10/yyyy</v>
      </c>
      <c r="I35" s="158"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0" t="str">
        <f t="shared" si="8"/>
        <v>06/10/yyyy</v>
      </c>
      <c r="K35" s="18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58"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0" t="str">
        <f t="shared" si="5"/>
        <v>03/10/yyyy</v>
      </c>
      <c r="E36" s="158"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0" t="str">
        <f t="shared" si="6"/>
        <v>04/10/yyyy</v>
      </c>
      <c r="G36" s="158"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0" t="str">
        <f t="shared" si="7"/>
        <v>05/10/yyyy</v>
      </c>
      <c r="I36" s="158"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0" t="str">
        <f t="shared" si="8"/>
        <v>06/10/yyyy</v>
      </c>
      <c r="K36" s="18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4" t="str">
        <f t="shared" si="5"/>
        <v>03/10/yyyy</v>
      </c>
      <c r="E37" s="18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4" t="str">
        <f t="shared" si="6"/>
        <v>04/10/yyyy</v>
      </c>
      <c r="G37" s="18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4" t="str">
        <f t="shared" si="7"/>
        <v>05/10/yyyy</v>
      </c>
      <c r="I37" s="18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4" t="str">
        <f t="shared" si="8"/>
        <v>06/10/yyyy</v>
      </c>
      <c r="K37" s="18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AQ51"/>
  <sheetViews>
    <sheetView workbookViewId="0">
      <selection activeCell="AN30" sqref="AN30"/>
    </sheetView>
  </sheetViews>
  <sheetFormatPr baseColWidth="10" defaultRowHeight="12.75" x14ac:dyDescent="0.2"/>
  <sheetData>
    <row r="4" spans="1:40" ht="13.5" thickBot="1" x14ac:dyDescent="0.25"/>
    <row r="5" spans="1:40" x14ac:dyDescent="0.2">
      <c r="A5" s="122" t="s">
        <v>382</v>
      </c>
      <c r="B5" s="123" t="s">
        <v>1220</v>
      </c>
      <c r="C5" s="124"/>
      <c r="D5" s="125"/>
      <c r="E5" s="123" t="s">
        <v>1622</v>
      </c>
      <c r="F5" s="124"/>
      <c r="G5" s="125"/>
      <c r="H5" s="123" t="s">
        <v>35</v>
      </c>
      <c r="I5" s="124"/>
      <c r="J5" s="125"/>
      <c r="K5" s="123" t="s">
        <v>33</v>
      </c>
      <c r="L5" s="124"/>
      <c r="M5" s="125"/>
      <c r="N5" s="126" t="s">
        <v>1623</v>
      </c>
      <c r="O5" s="124"/>
      <c r="P5" s="125"/>
      <c r="Q5" s="123" t="s">
        <v>1225</v>
      </c>
      <c r="R5" s="124"/>
      <c r="S5" s="125"/>
      <c r="T5" s="123" t="s">
        <v>1221</v>
      </c>
      <c r="U5" s="127"/>
      <c r="V5" s="128"/>
      <c r="W5" s="123" t="s">
        <v>78</v>
      </c>
      <c r="X5" s="124"/>
      <c r="Y5" s="125"/>
      <c r="Z5" s="123" t="s">
        <v>1223</v>
      </c>
      <c r="AA5" s="127"/>
      <c r="AB5" s="128"/>
      <c r="AC5" s="123" t="s">
        <v>1222</v>
      </c>
      <c r="AD5" s="127"/>
      <c r="AE5" s="128"/>
      <c r="AF5" s="123" t="s">
        <v>1624</v>
      </c>
      <c r="AG5" s="127"/>
      <c r="AH5" s="128"/>
      <c r="AI5" s="123" t="s">
        <v>1625</v>
      </c>
      <c r="AJ5" s="127"/>
      <c r="AK5" s="128"/>
      <c r="AL5" s="123" t="s">
        <v>1224</v>
      </c>
      <c r="AM5" s="127"/>
      <c r="AN5" s="128"/>
    </row>
    <row r="6" spans="1:40" ht="13.5" thickBot="1" x14ac:dyDescent="0.25">
      <c r="A6" s="129" t="s">
        <v>1626</v>
      </c>
      <c r="B6" s="130" t="s">
        <v>1627</v>
      </c>
      <c r="C6" s="131" t="s">
        <v>1628</v>
      </c>
      <c r="D6" s="132" t="s">
        <v>1629</v>
      </c>
      <c r="E6" s="130" t="s">
        <v>1627</v>
      </c>
      <c r="F6" s="131" t="s">
        <v>1628</v>
      </c>
      <c r="G6" s="132" t="s">
        <v>1630</v>
      </c>
      <c r="H6" s="130" t="s">
        <v>1627</v>
      </c>
      <c r="I6" s="133" t="s">
        <v>1628</v>
      </c>
      <c r="J6" s="132" t="s">
        <v>1630</v>
      </c>
      <c r="K6" s="130" t="s">
        <v>1627</v>
      </c>
      <c r="L6" s="131" t="s">
        <v>1628</v>
      </c>
      <c r="M6" s="132" t="s">
        <v>1630</v>
      </c>
      <c r="N6" s="130" t="s">
        <v>1627</v>
      </c>
      <c r="O6" s="131" t="s">
        <v>1628</v>
      </c>
      <c r="P6" s="132" t="s">
        <v>1630</v>
      </c>
      <c r="Q6" s="130" t="s">
        <v>1627</v>
      </c>
      <c r="R6" s="131" t="s">
        <v>1628</v>
      </c>
      <c r="S6" s="132" t="s">
        <v>1630</v>
      </c>
      <c r="T6" s="130" t="s">
        <v>1627</v>
      </c>
      <c r="U6" s="131" t="s">
        <v>1628</v>
      </c>
      <c r="V6" s="132" t="s">
        <v>1630</v>
      </c>
      <c r="W6" s="130" t="s">
        <v>1627</v>
      </c>
      <c r="X6" s="131" t="s">
        <v>1628</v>
      </c>
      <c r="Y6" s="132" t="s">
        <v>1630</v>
      </c>
      <c r="Z6" s="130" t="s">
        <v>1627</v>
      </c>
      <c r="AA6" s="131" t="s">
        <v>1628</v>
      </c>
      <c r="AB6" s="132" t="s">
        <v>1629</v>
      </c>
      <c r="AC6" s="130" t="s">
        <v>1627</v>
      </c>
      <c r="AD6" s="131" t="s">
        <v>1628</v>
      </c>
      <c r="AE6" s="132" t="s">
        <v>1630</v>
      </c>
      <c r="AF6" s="130" t="s">
        <v>1627</v>
      </c>
      <c r="AG6" s="133" t="s">
        <v>1628</v>
      </c>
      <c r="AH6" s="132" t="s">
        <v>1630</v>
      </c>
      <c r="AI6" s="130" t="s">
        <v>1627</v>
      </c>
      <c r="AJ6" s="131" t="s">
        <v>1628</v>
      </c>
      <c r="AK6" s="132" t="s">
        <v>1630</v>
      </c>
      <c r="AL6" s="130" t="s">
        <v>1627</v>
      </c>
      <c r="AM6" s="131" t="s">
        <v>1628</v>
      </c>
      <c r="AN6" s="132" t="s">
        <v>1630</v>
      </c>
    </row>
    <row r="7" spans="1:40" x14ac:dyDescent="0.2">
      <c r="A7" s="134" t="s">
        <v>1631</v>
      </c>
      <c r="B7" s="135">
        <v>45117</v>
      </c>
      <c r="C7" s="136">
        <v>45117</v>
      </c>
      <c r="D7" s="137">
        <v>1</v>
      </c>
      <c r="E7" s="135">
        <v>45110</v>
      </c>
      <c r="F7" s="136">
        <v>45114</v>
      </c>
      <c r="G7" s="137">
        <v>5</v>
      </c>
      <c r="H7" s="135"/>
      <c r="I7" s="136"/>
      <c r="J7" s="137"/>
      <c r="K7" s="135">
        <v>45089</v>
      </c>
      <c r="L7" s="136">
        <v>45100</v>
      </c>
      <c r="M7" s="137">
        <v>8</v>
      </c>
      <c r="N7" s="138"/>
      <c r="O7" s="138"/>
      <c r="P7" s="137"/>
      <c r="Q7" s="138"/>
      <c r="R7" s="138"/>
      <c r="S7" s="137"/>
      <c r="T7" s="138"/>
      <c r="U7" s="138"/>
      <c r="V7" s="137"/>
      <c r="W7" s="138">
        <v>45209</v>
      </c>
      <c r="X7" s="138">
        <v>45222</v>
      </c>
      <c r="Y7" s="137">
        <v>8</v>
      </c>
      <c r="Z7" s="135">
        <v>45110</v>
      </c>
      <c r="AA7" s="136">
        <v>45114</v>
      </c>
      <c r="AB7" s="137">
        <v>5</v>
      </c>
      <c r="AC7" s="315" t="s">
        <v>2965</v>
      </c>
      <c r="AD7" s="316" t="s">
        <v>2966</v>
      </c>
      <c r="AE7" s="137">
        <v>15</v>
      </c>
      <c r="AF7" s="135"/>
      <c r="AG7" s="136"/>
      <c r="AH7" s="137"/>
      <c r="AI7" s="135"/>
      <c r="AJ7" s="136"/>
      <c r="AK7" s="137"/>
      <c r="AL7" s="138">
        <v>45100</v>
      </c>
      <c r="AM7" s="138">
        <v>45107</v>
      </c>
      <c r="AN7" s="137">
        <v>6</v>
      </c>
    </row>
    <row r="8" spans="1:40" x14ac:dyDescent="0.2">
      <c r="A8" s="139"/>
      <c r="B8" s="140"/>
      <c r="C8" s="141"/>
      <c r="D8" s="137"/>
      <c r="E8" s="140">
        <v>45173</v>
      </c>
      <c r="F8" s="141">
        <v>45175</v>
      </c>
      <c r="G8" s="137">
        <v>3</v>
      </c>
      <c r="H8" s="140"/>
      <c r="I8" s="141"/>
      <c r="J8" s="137"/>
      <c r="K8" s="140">
        <v>45170</v>
      </c>
      <c r="L8" s="141">
        <v>45170</v>
      </c>
      <c r="M8" s="137">
        <v>1</v>
      </c>
      <c r="N8" s="140"/>
      <c r="O8" s="141"/>
      <c r="P8" s="137"/>
      <c r="Q8" s="140"/>
      <c r="R8" s="141"/>
      <c r="S8" s="137"/>
      <c r="T8" s="140"/>
      <c r="U8" s="141"/>
      <c r="V8" s="137"/>
      <c r="W8" s="140"/>
      <c r="X8" s="141"/>
      <c r="Y8" s="137"/>
      <c r="Z8" s="140">
        <v>45131</v>
      </c>
      <c r="AA8" s="141">
        <v>45132</v>
      </c>
      <c r="AB8" s="137">
        <v>2</v>
      </c>
      <c r="AC8" s="140"/>
      <c r="AD8" s="141"/>
      <c r="AE8" s="137"/>
      <c r="AF8" s="140"/>
      <c r="AG8" s="141"/>
      <c r="AH8" s="137"/>
      <c r="AI8" s="140"/>
      <c r="AJ8" s="141"/>
      <c r="AK8" s="137"/>
      <c r="AL8" s="140"/>
      <c r="AM8" s="141"/>
      <c r="AN8" s="137"/>
    </row>
    <row r="9" spans="1:40" x14ac:dyDescent="0.2">
      <c r="A9" s="139"/>
      <c r="B9" s="140"/>
      <c r="C9" s="141"/>
      <c r="D9" s="137"/>
      <c r="E9" s="140"/>
      <c r="F9" s="141"/>
      <c r="G9" s="137"/>
      <c r="H9" s="140"/>
      <c r="I9" s="141"/>
      <c r="J9" s="137"/>
      <c r="K9" s="140"/>
      <c r="L9" s="141"/>
      <c r="M9" s="137"/>
      <c r="N9" s="140"/>
      <c r="O9" s="141"/>
      <c r="P9" s="137"/>
      <c r="Q9" s="140"/>
      <c r="R9" s="141"/>
      <c r="S9" s="137"/>
      <c r="T9" s="140"/>
      <c r="U9" s="141"/>
      <c r="V9" s="137"/>
      <c r="W9" s="140"/>
      <c r="X9" s="141"/>
      <c r="Y9" s="137"/>
      <c r="Z9" s="140"/>
      <c r="AA9" s="141"/>
      <c r="AB9" s="137"/>
      <c r="AC9" s="140"/>
      <c r="AD9" s="141"/>
      <c r="AE9" s="137"/>
      <c r="AF9" s="140"/>
      <c r="AG9" s="141"/>
      <c r="AH9" s="137"/>
      <c r="AI9" s="140"/>
      <c r="AJ9" s="141"/>
      <c r="AK9" s="137"/>
      <c r="AL9" s="140"/>
      <c r="AM9" s="141"/>
      <c r="AN9" s="137"/>
    </row>
    <row r="10" spans="1:40" x14ac:dyDescent="0.2">
      <c r="A10" s="142"/>
      <c r="B10" s="140"/>
      <c r="C10" s="141"/>
      <c r="D10" s="137"/>
      <c r="E10" s="140"/>
      <c r="F10" s="141"/>
      <c r="G10" s="137"/>
      <c r="H10" s="140"/>
      <c r="I10" s="141"/>
      <c r="J10" s="137"/>
      <c r="K10" s="140"/>
      <c r="L10" s="141"/>
      <c r="M10" s="137"/>
      <c r="N10" s="140"/>
      <c r="O10" s="141"/>
      <c r="P10" s="137"/>
      <c r="Q10" s="140"/>
      <c r="R10" s="141"/>
      <c r="S10" s="137"/>
      <c r="T10" s="140"/>
      <c r="U10" s="141"/>
      <c r="V10" s="137"/>
      <c r="W10" s="140"/>
      <c r="X10" s="141"/>
      <c r="Y10" s="137"/>
      <c r="Z10" s="140"/>
      <c r="AA10" s="141"/>
      <c r="AB10" s="137"/>
      <c r="AC10" s="140"/>
      <c r="AD10" s="141"/>
      <c r="AE10" s="137"/>
      <c r="AF10" s="140"/>
      <c r="AG10" s="141"/>
      <c r="AH10" s="137"/>
      <c r="AI10" s="140"/>
      <c r="AJ10" s="141"/>
      <c r="AK10" s="137"/>
      <c r="AL10" s="140"/>
      <c r="AM10" s="141"/>
      <c r="AN10" s="137"/>
    </row>
    <row r="11" spans="1:40" x14ac:dyDescent="0.2">
      <c r="A11" s="142"/>
      <c r="B11" s="140"/>
      <c r="C11" s="141"/>
      <c r="D11" s="137"/>
      <c r="E11" s="140"/>
      <c r="F11" s="141"/>
      <c r="G11" s="137"/>
      <c r="H11" s="140"/>
      <c r="I11" s="141"/>
      <c r="J11" s="137"/>
      <c r="K11" s="140"/>
      <c r="L11" s="141"/>
      <c r="M11" s="137"/>
      <c r="N11" s="140"/>
      <c r="O11" s="141"/>
      <c r="P11" s="137"/>
      <c r="Q11" s="140"/>
      <c r="R11" s="141"/>
      <c r="S11" s="137"/>
      <c r="T11" s="140"/>
      <c r="U11" s="141"/>
      <c r="V11" s="137"/>
      <c r="W11" s="140"/>
      <c r="X11" s="141"/>
      <c r="Y11" s="137"/>
      <c r="Z11" s="140"/>
      <c r="AA11" s="141"/>
      <c r="AB11" s="137"/>
      <c r="AC11" s="140"/>
      <c r="AD11" s="141"/>
      <c r="AE11" s="137"/>
      <c r="AF11" s="140"/>
      <c r="AG11" s="141"/>
      <c r="AH11" s="137"/>
      <c r="AI11" s="140"/>
      <c r="AJ11" s="141"/>
      <c r="AK11" s="137"/>
      <c r="AL11" s="140"/>
      <c r="AM11" s="141"/>
      <c r="AN11" s="137"/>
    </row>
    <row r="12" spans="1:40" x14ac:dyDescent="0.2">
      <c r="A12" s="142"/>
      <c r="B12" s="140"/>
      <c r="C12" s="141"/>
      <c r="D12" s="137"/>
      <c r="E12" s="140"/>
      <c r="F12" s="141"/>
      <c r="G12" s="137"/>
      <c r="H12" s="140"/>
      <c r="I12" s="141"/>
      <c r="J12" s="137"/>
      <c r="K12" s="140"/>
      <c r="L12" s="141"/>
      <c r="M12" s="137"/>
      <c r="N12" s="140"/>
      <c r="O12" s="141"/>
      <c r="P12" s="137"/>
      <c r="Q12" s="140"/>
      <c r="R12" s="141"/>
      <c r="S12" s="137"/>
      <c r="T12" s="140"/>
      <c r="U12" s="141"/>
      <c r="V12" s="137"/>
      <c r="W12" s="140"/>
      <c r="X12" s="141"/>
      <c r="Y12" s="137"/>
      <c r="Z12" s="140"/>
      <c r="AA12" s="141"/>
      <c r="AB12" s="137"/>
      <c r="AC12" s="140"/>
      <c r="AD12" s="141"/>
      <c r="AE12" s="137"/>
      <c r="AF12" s="140"/>
      <c r="AG12" s="141"/>
      <c r="AH12" s="137"/>
      <c r="AI12" s="140"/>
      <c r="AJ12" s="141"/>
      <c r="AK12" s="137"/>
      <c r="AL12" s="140"/>
      <c r="AM12" s="141"/>
      <c r="AN12" s="137"/>
    </row>
    <row r="13" spans="1:40" x14ac:dyDescent="0.2">
      <c r="A13" s="142"/>
      <c r="B13" s="140"/>
      <c r="C13" s="141"/>
      <c r="D13" s="137"/>
      <c r="E13" s="140"/>
      <c r="F13" s="141"/>
      <c r="G13" s="137"/>
      <c r="H13" s="140"/>
      <c r="I13" s="141"/>
      <c r="J13" s="137"/>
      <c r="K13" s="140"/>
      <c r="L13" s="141"/>
      <c r="M13" s="137"/>
      <c r="N13" s="140"/>
      <c r="O13" s="141"/>
      <c r="P13" s="137"/>
      <c r="Q13" s="140"/>
      <c r="R13" s="141"/>
      <c r="S13" s="137"/>
      <c r="T13" s="140"/>
      <c r="U13" s="141"/>
      <c r="V13" s="137"/>
      <c r="W13" s="140"/>
      <c r="X13" s="141"/>
      <c r="Y13" s="137"/>
      <c r="Z13" s="140"/>
      <c r="AA13" s="141"/>
      <c r="AB13" s="137"/>
      <c r="AC13" s="140"/>
      <c r="AD13" s="141"/>
      <c r="AE13" s="137"/>
      <c r="AF13" s="140"/>
      <c r="AG13" s="141"/>
      <c r="AH13" s="137"/>
      <c r="AI13" s="140"/>
      <c r="AJ13" s="141"/>
      <c r="AK13" s="137"/>
      <c r="AL13" s="140"/>
      <c r="AM13" s="141"/>
      <c r="AN13" s="137"/>
    </row>
    <row r="14" spans="1:40" x14ac:dyDescent="0.2">
      <c r="A14" s="142"/>
      <c r="B14" s="140"/>
      <c r="C14" s="141"/>
      <c r="D14" s="137"/>
      <c r="E14" s="140"/>
      <c r="F14" s="141"/>
      <c r="G14" s="137"/>
      <c r="H14" s="140"/>
      <c r="I14" s="141"/>
      <c r="J14" s="137"/>
      <c r="K14" s="140"/>
      <c r="L14" s="141"/>
      <c r="M14" s="137"/>
      <c r="N14" s="140"/>
      <c r="O14" s="141"/>
      <c r="P14" s="137"/>
      <c r="Q14" s="140"/>
      <c r="R14" s="141"/>
      <c r="S14" s="137"/>
      <c r="T14" s="140"/>
      <c r="U14" s="141"/>
      <c r="V14" s="137"/>
      <c r="W14" s="140"/>
      <c r="X14" s="141"/>
      <c r="Y14" s="137"/>
      <c r="Z14" s="140"/>
      <c r="AA14" s="141"/>
      <c r="AB14" s="137"/>
      <c r="AC14" s="140"/>
      <c r="AD14" s="141"/>
      <c r="AE14" s="137"/>
      <c r="AF14" s="140"/>
      <c r="AG14" s="141"/>
      <c r="AH14" s="137"/>
      <c r="AI14" s="140"/>
      <c r="AJ14" s="141"/>
      <c r="AK14" s="137"/>
      <c r="AL14" s="140"/>
      <c r="AM14" s="141"/>
      <c r="AN14" s="137"/>
    </row>
    <row r="15" spans="1:40" x14ac:dyDescent="0.2">
      <c r="A15" s="142"/>
      <c r="B15" s="140"/>
      <c r="C15" s="141"/>
      <c r="D15" s="137"/>
      <c r="E15" s="140"/>
      <c r="F15" s="141"/>
      <c r="G15" s="137"/>
      <c r="H15" s="140"/>
      <c r="I15" s="141"/>
      <c r="J15" s="137"/>
      <c r="K15" s="140"/>
      <c r="L15" s="141"/>
      <c r="M15" s="137"/>
      <c r="N15" s="140"/>
      <c r="O15" s="141"/>
      <c r="P15" s="137"/>
      <c r="Q15" s="140"/>
      <c r="R15" s="141"/>
      <c r="S15" s="137"/>
      <c r="T15" s="140"/>
      <c r="U15" s="141"/>
      <c r="V15" s="137"/>
      <c r="W15" s="140"/>
      <c r="X15" s="141"/>
      <c r="Y15" s="137"/>
      <c r="Z15" s="140"/>
      <c r="AA15" s="141"/>
      <c r="AB15" s="137"/>
      <c r="AC15" s="140"/>
      <c r="AD15" s="141"/>
      <c r="AE15" s="137"/>
      <c r="AF15" s="140"/>
      <c r="AG15" s="141"/>
      <c r="AH15" s="137"/>
      <c r="AI15" s="140"/>
      <c r="AJ15" s="141"/>
      <c r="AK15" s="137"/>
      <c r="AL15" s="140"/>
      <c r="AM15" s="141"/>
      <c r="AN15" s="137"/>
    </row>
    <row r="16" spans="1:40" x14ac:dyDescent="0.2">
      <c r="A16" s="142"/>
      <c r="B16" s="140"/>
      <c r="C16" s="141"/>
      <c r="D16" s="137"/>
      <c r="E16" s="140"/>
      <c r="F16" s="141"/>
      <c r="G16" s="137"/>
      <c r="H16" s="140"/>
      <c r="I16" s="141"/>
      <c r="J16" s="137"/>
      <c r="K16" s="140"/>
      <c r="L16" s="141"/>
      <c r="M16" s="137"/>
      <c r="N16" s="140"/>
      <c r="O16" s="141"/>
      <c r="P16" s="137"/>
      <c r="Q16" s="140"/>
      <c r="R16" s="141"/>
      <c r="S16" s="137"/>
      <c r="T16" s="140"/>
      <c r="U16" s="141"/>
      <c r="V16" s="137"/>
      <c r="W16" s="140"/>
      <c r="X16" s="141"/>
      <c r="Y16" s="137"/>
      <c r="Z16" s="140"/>
      <c r="AA16" s="141"/>
      <c r="AB16" s="137"/>
      <c r="AC16" s="140"/>
      <c r="AD16" s="141"/>
      <c r="AE16" s="137"/>
      <c r="AF16" s="140"/>
      <c r="AG16" s="141"/>
      <c r="AH16" s="137"/>
      <c r="AI16" s="140"/>
      <c r="AJ16" s="141"/>
      <c r="AK16" s="137"/>
      <c r="AL16" s="140"/>
      <c r="AM16" s="141"/>
      <c r="AN16" s="137"/>
    </row>
    <row r="17" spans="1:43" x14ac:dyDescent="0.2">
      <c r="A17" s="142"/>
      <c r="B17" s="140"/>
      <c r="C17" s="141"/>
      <c r="D17" s="137"/>
      <c r="E17" s="140"/>
      <c r="F17" s="141"/>
      <c r="G17" s="137"/>
      <c r="H17" s="140"/>
      <c r="I17" s="141"/>
      <c r="J17" s="137"/>
      <c r="K17" s="140"/>
      <c r="L17" s="141"/>
      <c r="M17" s="137"/>
      <c r="N17" s="140"/>
      <c r="O17" s="141"/>
      <c r="P17" s="137"/>
      <c r="Q17" s="140"/>
      <c r="R17" s="141"/>
      <c r="S17" s="137"/>
      <c r="T17" s="140"/>
      <c r="U17" s="141"/>
      <c r="V17" s="137"/>
      <c r="W17" s="140"/>
      <c r="X17" s="141"/>
      <c r="Y17" s="137"/>
      <c r="Z17" s="140"/>
      <c r="AA17" s="141"/>
      <c r="AB17" s="137"/>
      <c r="AC17" s="140"/>
      <c r="AD17" s="141"/>
      <c r="AE17" s="137"/>
      <c r="AF17" s="140"/>
      <c r="AG17" s="141"/>
      <c r="AH17" s="137"/>
      <c r="AI17" s="140"/>
      <c r="AJ17" s="141"/>
      <c r="AK17" s="137"/>
      <c r="AL17" s="140"/>
      <c r="AM17" s="141"/>
      <c r="AN17" s="137"/>
    </row>
    <row r="18" spans="1:43" x14ac:dyDescent="0.2">
      <c r="A18" s="142"/>
      <c r="B18" s="140"/>
      <c r="C18" s="141"/>
      <c r="D18" s="137"/>
      <c r="E18" s="140"/>
      <c r="F18" s="141"/>
      <c r="G18" s="137"/>
      <c r="H18" s="140"/>
      <c r="I18" s="141"/>
      <c r="J18" s="137"/>
      <c r="K18" s="140"/>
      <c r="L18" s="141"/>
      <c r="M18" s="137"/>
      <c r="N18" s="140"/>
      <c r="O18" s="141"/>
      <c r="P18" s="137"/>
      <c r="Q18" s="140"/>
      <c r="R18" s="141"/>
      <c r="S18" s="137"/>
      <c r="T18" s="140"/>
      <c r="U18" s="141"/>
      <c r="V18" s="137"/>
      <c r="W18" s="140"/>
      <c r="X18" s="141"/>
      <c r="Y18" s="137"/>
      <c r="Z18" s="140"/>
      <c r="AA18" s="141"/>
      <c r="AB18" s="137"/>
      <c r="AC18" s="140"/>
      <c r="AD18" s="141"/>
      <c r="AE18" s="137"/>
      <c r="AF18" s="140"/>
      <c r="AG18" s="141"/>
      <c r="AH18" s="137"/>
      <c r="AI18" s="140"/>
      <c r="AJ18" s="141"/>
      <c r="AK18" s="137"/>
      <c r="AL18" s="140"/>
      <c r="AM18" s="141"/>
      <c r="AN18" s="137"/>
    </row>
    <row r="19" spans="1:43" x14ac:dyDescent="0.2">
      <c r="A19" s="142"/>
      <c r="B19" s="140"/>
      <c r="C19" s="141"/>
      <c r="D19" s="137"/>
      <c r="E19" s="140"/>
      <c r="F19" s="141"/>
      <c r="G19" s="137"/>
      <c r="H19" s="140"/>
      <c r="I19" s="141"/>
      <c r="J19" s="137"/>
      <c r="K19" s="140"/>
      <c r="L19" s="141"/>
      <c r="M19" s="137"/>
      <c r="N19" s="140"/>
      <c r="O19" s="141"/>
      <c r="P19" s="137"/>
      <c r="Q19" s="140"/>
      <c r="R19" s="141"/>
      <c r="S19" s="137"/>
      <c r="T19" s="140"/>
      <c r="U19" s="141"/>
      <c r="V19" s="137"/>
      <c r="W19" s="140"/>
      <c r="X19" s="141"/>
      <c r="Y19" s="137"/>
      <c r="Z19" s="140"/>
      <c r="AA19" s="141"/>
      <c r="AB19" s="137"/>
      <c r="AC19" s="140"/>
      <c r="AD19" s="141"/>
      <c r="AE19" s="137"/>
      <c r="AF19" s="140"/>
      <c r="AG19" s="141"/>
      <c r="AH19" s="137"/>
      <c r="AI19" s="140"/>
      <c r="AJ19" s="141"/>
      <c r="AK19" s="137"/>
      <c r="AL19" s="140"/>
      <c r="AM19" s="141"/>
      <c r="AN19" s="137"/>
    </row>
    <row r="20" spans="1:43" x14ac:dyDescent="0.2">
      <c r="A20" s="142"/>
      <c r="B20" s="140"/>
      <c r="C20" s="141"/>
      <c r="D20" s="137"/>
      <c r="E20" s="140"/>
      <c r="F20" s="141"/>
      <c r="G20" s="137"/>
      <c r="H20" s="140"/>
      <c r="I20" s="141"/>
      <c r="J20" s="137"/>
      <c r="K20" s="140"/>
      <c r="L20" s="141"/>
      <c r="M20" s="137"/>
      <c r="N20" s="140"/>
      <c r="O20" s="141"/>
      <c r="P20" s="137"/>
      <c r="Q20" s="140"/>
      <c r="R20" s="141"/>
      <c r="S20" s="137"/>
      <c r="T20" s="140"/>
      <c r="U20" s="141"/>
      <c r="V20" s="137"/>
      <c r="W20" s="140"/>
      <c r="X20" s="141"/>
      <c r="Y20" s="137"/>
      <c r="Z20" s="140"/>
      <c r="AA20" s="141"/>
      <c r="AB20" s="137"/>
      <c r="AC20" s="140"/>
      <c r="AD20" s="141"/>
      <c r="AE20" s="137"/>
      <c r="AF20" s="140"/>
      <c r="AG20" s="141"/>
      <c r="AH20" s="137"/>
      <c r="AI20" s="140"/>
      <c r="AJ20" s="141"/>
      <c r="AK20" s="137"/>
      <c r="AL20" s="140"/>
      <c r="AM20" s="141"/>
      <c r="AN20" s="137"/>
    </row>
    <row r="21" spans="1:43" ht="13.5" thickBot="1" x14ac:dyDescent="0.25">
      <c r="A21" s="143"/>
      <c r="B21" s="144"/>
      <c r="C21" s="145"/>
      <c r="D21" s="146"/>
      <c r="E21" s="144"/>
      <c r="F21" s="145"/>
      <c r="G21" s="147"/>
      <c r="H21" s="144"/>
      <c r="I21" s="145"/>
      <c r="J21" s="147"/>
      <c r="K21" s="144"/>
      <c r="L21" s="145"/>
      <c r="M21" s="147"/>
      <c r="N21" s="144"/>
      <c r="O21" s="145"/>
      <c r="P21" s="147"/>
      <c r="Q21" s="144"/>
      <c r="R21" s="145"/>
      <c r="S21" s="147"/>
      <c r="T21" s="144"/>
      <c r="U21" s="145"/>
      <c r="V21" s="147"/>
      <c r="W21" s="144"/>
      <c r="X21" s="145"/>
      <c r="Y21" s="147"/>
      <c r="Z21" s="144"/>
      <c r="AA21" s="145"/>
      <c r="AB21" s="148"/>
      <c r="AC21" s="144"/>
      <c r="AD21" s="145"/>
      <c r="AE21" s="147"/>
      <c r="AF21" s="144"/>
      <c r="AG21" s="145"/>
      <c r="AH21" s="147"/>
      <c r="AI21" s="144"/>
      <c r="AJ21" s="145"/>
      <c r="AK21" s="147"/>
      <c r="AL21" s="144"/>
      <c r="AM21" s="145"/>
      <c r="AN21" s="147"/>
    </row>
    <row r="22" spans="1:43" ht="13.5" thickBot="1" x14ac:dyDescent="0.25">
      <c r="A22" s="149" t="s">
        <v>370</v>
      </c>
      <c r="D22" s="150">
        <f>SUM(D7:D21)</f>
        <v>1</v>
      </c>
      <c r="G22" s="150">
        <f>SUM(G7:G21)</f>
        <v>8</v>
      </c>
      <c r="J22" s="150">
        <f>SUM(J7:J21)</f>
        <v>0</v>
      </c>
      <c r="M22" s="150">
        <f>SUM(M7:M21)</f>
        <v>9</v>
      </c>
      <c r="P22" s="150">
        <f>SUM(P7:P21)</f>
        <v>0</v>
      </c>
      <c r="S22" s="150">
        <f>SUM(S7:S21)</f>
        <v>0</v>
      </c>
      <c r="V22" s="150">
        <f>SUM(V7:V21)</f>
        <v>0</v>
      </c>
      <c r="Y22" s="150">
        <f>SUM(Y7:Y21)</f>
        <v>8</v>
      </c>
      <c r="AB22" s="94">
        <f>SUM(AB7:AB21)</f>
        <v>7</v>
      </c>
      <c r="AE22" s="150">
        <f>SUM(AE7:AE21)</f>
        <v>15</v>
      </c>
      <c r="AH22" s="150">
        <f>SUM(AH7:AH21)</f>
        <v>0</v>
      </c>
      <c r="AK22" s="150">
        <f>SUM(AK7:AK21)</f>
        <v>0</v>
      </c>
      <c r="AN22" s="150">
        <f>SUM(AN7:AN21)</f>
        <v>6</v>
      </c>
    </row>
    <row r="26" spans="1:43" ht="13.5" thickBot="1" x14ac:dyDescent="0.25"/>
    <row r="27" spans="1:43" x14ac:dyDescent="0.2">
      <c r="A27" s="151" t="s">
        <v>1632</v>
      </c>
      <c r="B27" s="126" t="s">
        <v>43</v>
      </c>
      <c r="C27" s="124"/>
      <c r="D27" s="125"/>
      <c r="E27" s="126" t="s">
        <v>34</v>
      </c>
      <c r="F27" s="124"/>
      <c r="G27" s="125"/>
      <c r="H27" s="126" t="s">
        <v>29</v>
      </c>
      <c r="I27" s="124"/>
      <c r="J27" s="125"/>
      <c r="K27" s="126" t="s">
        <v>283</v>
      </c>
      <c r="L27" s="124"/>
      <c r="M27" s="125"/>
      <c r="N27" s="126" t="s">
        <v>32</v>
      </c>
      <c r="O27" s="124"/>
      <c r="P27" s="125"/>
      <c r="Q27" s="126" t="s">
        <v>1441</v>
      </c>
      <c r="R27" s="124"/>
      <c r="S27" s="125"/>
      <c r="T27" s="123" t="s">
        <v>568</v>
      </c>
      <c r="U27" s="127"/>
      <c r="V27" s="128"/>
      <c r="W27" s="126" t="s">
        <v>1442</v>
      </c>
      <c r="X27" s="124"/>
      <c r="Y27" s="125"/>
      <c r="Z27" s="123" t="s">
        <v>1443</v>
      </c>
      <c r="AA27" s="127"/>
      <c r="AB27" s="128"/>
      <c r="AC27" s="123" t="s">
        <v>2773</v>
      </c>
      <c r="AD27" s="127"/>
      <c r="AE27" s="128"/>
      <c r="AF27" s="123" t="s">
        <v>2774</v>
      </c>
      <c r="AG27" s="127"/>
      <c r="AH27" s="128"/>
      <c r="AI27" s="123" t="s">
        <v>2775</v>
      </c>
      <c r="AJ27" s="127"/>
      <c r="AK27" s="128"/>
      <c r="AL27" s="123" t="s">
        <v>2788</v>
      </c>
      <c r="AM27" s="127"/>
      <c r="AN27" s="128"/>
      <c r="AO27" s="123" t="s">
        <v>2838</v>
      </c>
      <c r="AP27" s="127"/>
      <c r="AQ27" s="128"/>
    </row>
    <row r="28" spans="1:43" ht="13.5" thickBot="1" x14ac:dyDescent="0.25">
      <c r="A28" s="129" t="s">
        <v>1633</v>
      </c>
      <c r="B28" s="130" t="s">
        <v>1627</v>
      </c>
      <c r="C28" s="131" t="s">
        <v>1628</v>
      </c>
      <c r="D28" s="132" t="s">
        <v>1629</v>
      </c>
      <c r="E28" s="130" t="s">
        <v>1627</v>
      </c>
      <c r="F28" s="131" t="s">
        <v>1628</v>
      </c>
      <c r="G28" s="132" t="s">
        <v>1630</v>
      </c>
      <c r="H28" s="130" t="s">
        <v>1627</v>
      </c>
      <c r="I28" s="133" t="s">
        <v>1628</v>
      </c>
      <c r="J28" s="152" t="s">
        <v>1630</v>
      </c>
      <c r="K28" s="130" t="s">
        <v>1627</v>
      </c>
      <c r="L28" s="131" t="s">
        <v>1628</v>
      </c>
      <c r="M28" s="132" t="s">
        <v>1630</v>
      </c>
      <c r="N28" s="130" t="s">
        <v>1627</v>
      </c>
      <c r="O28" s="131" t="s">
        <v>1628</v>
      </c>
      <c r="P28" s="132" t="s">
        <v>1630</v>
      </c>
      <c r="Q28" s="130" t="s">
        <v>1627</v>
      </c>
      <c r="R28" s="131" t="s">
        <v>1628</v>
      </c>
      <c r="S28" s="132" t="s">
        <v>1630</v>
      </c>
      <c r="T28" s="130" t="s">
        <v>1627</v>
      </c>
      <c r="U28" s="131" t="s">
        <v>1628</v>
      </c>
      <c r="V28" s="132" t="s">
        <v>1630</v>
      </c>
      <c r="W28" s="130" t="s">
        <v>1627</v>
      </c>
      <c r="X28" s="131" t="s">
        <v>1628</v>
      </c>
      <c r="Y28" s="132" t="s">
        <v>1630</v>
      </c>
      <c r="Z28" s="130" t="s">
        <v>1627</v>
      </c>
      <c r="AA28" s="131" t="s">
        <v>1628</v>
      </c>
      <c r="AB28" s="132" t="s">
        <v>1629</v>
      </c>
      <c r="AC28" s="130" t="s">
        <v>1627</v>
      </c>
      <c r="AD28" s="131" t="s">
        <v>1628</v>
      </c>
      <c r="AE28" s="132" t="s">
        <v>1629</v>
      </c>
      <c r="AF28" s="130" t="s">
        <v>1627</v>
      </c>
      <c r="AG28" s="131" t="s">
        <v>1628</v>
      </c>
      <c r="AH28" s="132" t="s">
        <v>1629</v>
      </c>
      <c r="AI28" s="130" t="s">
        <v>1627</v>
      </c>
      <c r="AJ28" s="131" t="s">
        <v>1628</v>
      </c>
      <c r="AK28" s="132" t="s">
        <v>1629</v>
      </c>
      <c r="AL28" s="130" t="s">
        <v>1627</v>
      </c>
      <c r="AM28" s="131" t="s">
        <v>1628</v>
      </c>
      <c r="AN28" s="132" t="s">
        <v>1629</v>
      </c>
      <c r="AO28" s="130" t="s">
        <v>1627</v>
      </c>
      <c r="AP28" s="131" t="s">
        <v>1628</v>
      </c>
      <c r="AQ28" s="132" t="s">
        <v>1629</v>
      </c>
    </row>
    <row r="29" spans="1:43" x14ac:dyDescent="0.2">
      <c r="A29" s="134">
        <v>0</v>
      </c>
      <c r="B29" s="135">
        <v>45160</v>
      </c>
      <c r="C29" s="136">
        <v>45160</v>
      </c>
      <c r="D29" s="137">
        <v>1</v>
      </c>
      <c r="E29" s="135"/>
      <c r="F29" s="136"/>
      <c r="G29" s="137"/>
      <c r="H29" s="135">
        <v>45181</v>
      </c>
      <c r="I29" s="136">
        <v>45181</v>
      </c>
      <c r="J29" s="137">
        <v>1</v>
      </c>
      <c r="K29" s="135">
        <v>45155</v>
      </c>
      <c r="L29" s="136">
        <v>45156</v>
      </c>
      <c r="M29" s="137">
        <v>2</v>
      </c>
      <c r="N29" s="138">
        <v>45160</v>
      </c>
      <c r="O29" s="138">
        <v>45160</v>
      </c>
      <c r="P29" s="137">
        <v>1</v>
      </c>
      <c r="Q29" s="138">
        <v>45107</v>
      </c>
      <c r="R29" s="138">
        <v>45110</v>
      </c>
      <c r="S29" s="137">
        <v>2</v>
      </c>
      <c r="T29" s="138"/>
      <c r="U29" s="138"/>
      <c r="V29" s="137"/>
      <c r="W29" s="138">
        <v>45181</v>
      </c>
      <c r="X29" s="138">
        <v>45181</v>
      </c>
      <c r="Y29" s="137">
        <v>1</v>
      </c>
      <c r="Z29" s="135">
        <v>45114</v>
      </c>
      <c r="AA29" s="136">
        <v>45114</v>
      </c>
      <c r="AB29" s="137">
        <v>1</v>
      </c>
      <c r="AC29" s="135"/>
      <c r="AD29" s="136"/>
      <c r="AE29" s="137"/>
      <c r="AF29" s="135">
        <v>45203</v>
      </c>
      <c r="AG29" s="136">
        <v>45205</v>
      </c>
      <c r="AH29" s="137">
        <v>3</v>
      </c>
      <c r="AI29" s="135"/>
      <c r="AJ29" s="136"/>
      <c r="AK29" s="137"/>
      <c r="AL29" s="135">
        <v>45217</v>
      </c>
      <c r="AM29" s="136">
        <v>45218</v>
      </c>
      <c r="AN29" s="137">
        <v>2</v>
      </c>
      <c r="AO29" s="135"/>
      <c r="AP29" s="136"/>
      <c r="AQ29" s="137"/>
    </row>
    <row r="30" spans="1:43" x14ac:dyDescent="0.2">
      <c r="A30" s="139"/>
      <c r="B30" s="140">
        <v>45166</v>
      </c>
      <c r="C30" s="141">
        <v>45166</v>
      </c>
      <c r="D30" s="137">
        <v>1</v>
      </c>
      <c r="E30" s="140"/>
      <c r="F30" s="141"/>
      <c r="G30" s="137"/>
      <c r="H30" s="140">
        <v>45287</v>
      </c>
      <c r="I30" s="141">
        <v>45289</v>
      </c>
      <c r="J30" s="137">
        <v>3</v>
      </c>
      <c r="K30" s="140"/>
      <c r="L30" s="141"/>
      <c r="M30" s="137"/>
      <c r="N30" s="140">
        <v>45166</v>
      </c>
      <c r="O30" s="141">
        <v>45166</v>
      </c>
      <c r="P30" s="137">
        <v>1</v>
      </c>
      <c r="Q30" s="140"/>
      <c r="R30" s="141"/>
      <c r="S30" s="137"/>
      <c r="T30" s="140"/>
      <c r="U30" s="141"/>
      <c r="V30" s="137"/>
      <c r="W30" s="140">
        <v>45203</v>
      </c>
      <c r="X30" s="141">
        <v>45205</v>
      </c>
      <c r="Y30" s="137">
        <v>3</v>
      </c>
      <c r="Z30" s="140"/>
      <c r="AA30" s="141"/>
      <c r="AB30" s="137"/>
      <c r="AC30" s="140"/>
      <c r="AD30" s="141"/>
      <c r="AE30" s="137"/>
      <c r="AF30" s="347" t="s">
        <v>3211</v>
      </c>
      <c r="AG30" s="141">
        <v>45252</v>
      </c>
      <c r="AH30" s="137">
        <v>13</v>
      </c>
      <c r="AI30" s="140"/>
      <c r="AJ30" s="141"/>
      <c r="AK30" s="137"/>
      <c r="AL30" s="140">
        <v>45223</v>
      </c>
      <c r="AM30" s="141">
        <v>45224</v>
      </c>
      <c r="AN30" s="137">
        <v>2</v>
      </c>
      <c r="AO30" s="140"/>
      <c r="AP30" s="141"/>
      <c r="AQ30" s="137"/>
    </row>
    <row r="31" spans="1:43" x14ac:dyDescent="0.2">
      <c r="A31" s="139"/>
      <c r="B31" s="140">
        <v>45161</v>
      </c>
      <c r="C31" s="141">
        <v>45161</v>
      </c>
      <c r="D31" s="137">
        <v>1</v>
      </c>
      <c r="E31" s="140"/>
      <c r="F31" s="141"/>
      <c r="G31" s="137"/>
      <c r="H31" s="140"/>
      <c r="I31" s="141"/>
      <c r="J31" s="137"/>
      <c r="K31" s="140"/>
      <c r="L31" s="141"/>
      <c r="M31" s="137"/>
      <c r="N31" s="140">
        <v>45180</v>
      </c>
      <c r="O31" s="141">
        <v>45181</v>
      </c>
      <c r="P31" s="137">
        <v>2</v>
      </c>
      <c r="Q31" s="140"/>
      <c r="R31" s="141"/>
      <c r="S31" s="137"/>
      <c r="T31" s="140"/>
      <c r="U31" s="141"/>
      <c r="V31" s="137"/>
      <c r="W31" s="140">
        <v>45217</v>
      </c>
      <c r="X31" s="141">
        <v>45218</v>
      </c>
      <c r="Y31" s="137">
        <v>2</v>
      </c>
      <c r="Z31" s="140"/>
      <c r="AA31" s="141"/>
      <c r="AB31" s="137"/>
      <c r="AC31" s="140"/>
      <c r="AD31" s="141"/>
      <c r="AE31" s="137"/>
      <c r="AF31" s="140"/>
      <c r="AG31" s="141"/>
      <c r="AH31" s="137"/>
      <c r="AI31" s="140"/>
      <c r="AJ31" s="141"/>
      <c r="AK31" s="137"/>
      <c r="AL31" s="140"/>
      <c r="AM31" s="141"/>
      <c r="AN31" s="137"/>
      <c r="AO31" s="140"/>
      <c r="AP31" s="141"/>
      <c r="AQ31" s="137"/>
    </row>
    <row r="32" spans="1:43" x14ac:dyDescent="0.2">
      <c r="A32" s="142"/>
      <c r="B32" s="140">
        <v>45216</v>
      </c>
      <c r="C32" s="141">
        <v>45217</v>
      </c>
      <c r="D32" s="137">
        <v>2</v>
      </c>
      <c r="E32" s="140"/>
      <c r="F32" s="141"/>
      <c r="G32" s="137"/>
      <c r="H32" s="140"/>
      <c r="I32" s="141"/>
      <c r="J32" s="137"/>
      <c r="K32" s="140"/>
      <c r="L32" s="141"/>
      <c r="M32" s="137"/>
      <c r="N32" s="140"/>
      <c r="O32" s="141"/>
      <c r="P32" s="137"/>
      <c r="Q32" s="140"/>
      <c r="R32" s="141"/>
      <c r="S32" s="137"/>
      <c r="T32" s="140"/>
      <c r="U32" s="141"/>
      <c r="V32" s="137"/>
      <c r="W32" s="140">
        <v>45223</v>
      </c>
      <c r="X32" s="141">
        <v>45224</v>
      </c>
      <c r="Y32" s="137">
        <v>2</v>
      </c>
      <c r="Z32" s="140"/>
      <c r="AA32" s="141"/>
      <c r="AB32" s="137"/>
      <c r="AC32" s="140"/>
      <c r="AD32" s="141"/>
      <c r="AE32" s="137"/>
      <c r="AF32" s="140"/>
      <c r="AG32" s="141"/>
      <c r="AH32" s="137"/>
      <c r="AI32" s="140"/>
      <c r="AJ32" s="141"/>
      <c r="AK32" s="137"/>
      <c r="AL32" s="140"/>
      <c r="AM32" s="141"/>
      <c r="AN32" s="137"/>
      <c r="AO32" s="140"/>
      <c r="AP32" s="141"/>
      <c r="AQ32" s="137"/>
    </row>
    <row r="33" spans="1:43" x14ac:dyDescent="0.2">
      <c r="A33" s="142"/>
      <c r="B33" s="140"/>
      <c r="C33" s="141"/>
      <c r="D33" s="137"/>
      <c r="E33" s="140"/>
      <c r="F33" s="141"/>
      <c r="G33" s="137"/>
      <c r="H33" s="140"/>
      <c r="I33" s="141"/>
      <c r="J33" s="137"/>
      <c r="K33" s="140"/>
      <c r="L33" s="141"/>
      <c r="M33" s="137"/>
      <c r="N33" s="140"/>
      <c r="O33" s="141"/>
      <c r="P33" s="137"/>
      <c r="Q33" s="140"/>
      <c r="R33" s="141"/>
      <c r="S33" s="137"/>
      <c r="T33" s="140"/>
      <c r="U33" s="141"/>
      <c r="V33" s="137"/>
      <c r="W33" s="140"/>
      <c r="X33" s="141"/>
      <c r="Y33" s="137"/>
      <c r="Z33" s="140"/>
      <c r="AA33" s="141"/>
      <c r="AB33" s="137"/>
      <c r="AC33" s="140"/>
      <c r="AD33" s="141"/>
      <c r="AE33" s="137"/>
      <c r="AF33" s="140"/>
      <c r="AG33" s="141"/>
      <c r="AH33" s="137"/>
      <c r="AI33" s="140"/>
      <c r="AJ33" s="141"/>
      <c r="AK33" s="137"/>
      <c r="AL33" s="140"/>
      <c r="AM33" s="141"/>
      <c r="AN33" s="137"/>
      <c r="AO33" s="140"/>
      <c r="AP33" s="141"/>
      <c r="AQ33" s="137"/>
    </row>
    <row r="34" spans="1:43" x14ac:dyDescent="0.2">
      <c r="A34" s="142"/>
      <c r="B34" s="140"/>
      <c r="C34" s="141"/>
      <c r="D34" s="137"/>
      <c r="E34" s="140"/>
      <c r="F34" s="141"/>
      <c r="G34" s="137"/>
      <c r="H34" s="140"/>
      <c r="I34" s="141"/>
      <c r="J34" s="137"/>
      <c r="K34" s="140"/>
      <c r="L34" s="141"/>
      <c r="M34" s="137"/>
      <c r="N34" s="140"/>
      <c r="O34" s="141"/>
      <c r="P34" s="137"/>
      <c r="Q34" s="140"/>
      <c r="R34" s="141"/>
      <c r="S34" s="137"/>
      <c r="T34" s="140"/>
      <c r="U34" s="141"/>
      <c r="V34" s="137"/>
      <c r="W34" s="140"/>
      <c r="X34" s="141"/>
      <c r="Y34" s="137"/>
      <c r="Z34" s="140"/>
      <c r="AA34" s="141"/>
      <c r="AB34" s="137"/>
      <c r="AC34" s="140"/>
      <c r="AD34" s="141"/>
      <c r="AE34" s="137"/>
      <c r="AF34" s="140"/>
      <c r="AG34" s="141"/>
      <c r="AH34" s="137"/>
      <c r="AI34" s="140"/>
      <c r="AJ34" s="141"/>
      <c r="AK34" s="137"/>
      <c r="AL34" s="140"/>
      <c r="AM34" s="141"/>
      <c r="AN34" s="137"/>
      <c r="AO34" s="140"/>
      <c r="AP34" s="141"/>
      <c r="AQ34" s="137"/>
    </row>
    <row r="35" spans="1:43" x14ac:dyDescent="0.2">
      <c r="A35" s="142"/>
      <c r="B35" s="140"/>
      <c r="C35" s="141"/>
      <c r="D35" s="137"/>
      <c r="E35" s="140"/>
      <c r="F35" s="141"/>
      <c r="G35" s="137"/>
      <c r="H35" s="140"/>
      <c r="I35" s="141"/>
      <c r="J35" s="137"/>
      <c r="K35" s="140"/>
      <c r="L35" s="141"/>
      <c r="M35" s="137"/>
      <c r="N35" s="140"/>
      <c r="O35" s="141"/>
      <c r="P35" s="137"/>
      <c r="Q35" s="140"/>
      <c r="R35" s="141"/>
      <c r="S35" s="137"/>
      <c r="T35" s="140"/>
      <c r="U35" s="141"/>
      <c r="V35" s="137"/>
      <c r="W35" s="140"/>
      <c r="X35" s="141"/>
      <c r="Y35" s="137"/>
      <c r="Z35" s="140"/>
      <c r="AA35" s="141"/>
      <c r="AB35" s="137"/>
      <c r="AC35" s="140"/>
      <c r="AD35" s="141"/>
      <c r="AE35" s="137"/>
      <c r="AF35" s="140"/>
      <c r="AG35" s="141"/>
      <c r="AH35" s="137"/>
      <c r="AI35" s="140"/>
      <c r="AJ35" s="141"/>
      <c r="AK35" s="137"/>
      <c r="AL35" s="140"/>
      <c r="AM35" s="141"/>
      <c r="AN35" s="137"/>
      <c r="AO35" s="140"/>
      <c r="AP35" s="141"/>
      <c r="AQ35" s="137"/>
    </row>
    <row r="36" spans="1:43" x14ac:dyDescent="0.2">
      <c r="A36" s="142"/>
      <c r="B36" s="140"/>
      <c r="C36" s="141"/>
      <c r="D36" s="137"/>
      <c r="E36" s="140"/>
      <c r="F36" s="141"/>
      <c r="G36" s="137"/>
      <c r="H36" s="140"/>
      <c r="I36" s="141"/>
      <c r="J36" s="137"/>
      <c r="K36" s="140"/>
      <c r="L36" s="141"/>
      <c r="M36" s="137"/>
      <c r="N36" s="140"/>
      <c r="O36" s="141"/>
      <c r="P36" s="137"/>
      <c r="Q36" s="140"/>
      <c r="R36" s="141"/>
      <c r="S36" s="137"/>
      <c r="T36" s="140"/>
      <c r="U36" s="141"/>
      <c r="V36" s="137"/>
      <c r="W36" s="140"/>
      <c r="X36" s="141"/>
      <c r="Y36" s="137"/>
      <c r="Z36" s="140"/>
      <c r="AA36" s="141"/>
      <c r="AB36" s="137"/>
      <c r="AC36" s="140"/>
      <c r="AD36" s="141"/>
      <c r="AE36" s="137"/>
      <c r="AF36" s="140"/>
      <c r="AG36" s="141"/>
      <c r="AH36" s="137"/>
      <c r="AI36" s="140"/>
      <c r="AJ36" s="141"/>
      <c r="AK36" s="137"/>
      <c r="AL36" s="140"/>
      <c r="AM36" s="141"/>
      <c r="AN36" s="137"/>
      <c r="AO36" s="140"/>
      <c r="AP36" s="141"/>
      <c r="AQ36" s="137"/>
    </row>
    <row r="37" spans="1:43" x14ac:dyDescent="0.2">
      <c r="A37" s="142"/>
      <c r="B37" s="140"/>
      <c r="C37" s="141"/>
      <c r="D37" s="137"/>
      <c r="E37" s="140"/>
      <c r="F37" s="141"/>
      <c r="G37" s="137"/>
      <c r="H37" s="140"/>
      <c r="I37" s="141"/>
      <c r="J37" s="137"/>
      <c r="K37" s="140"/>
      <c r="L37" s="141"/>
      <c r="M37" s="137"/>
      <c r="N37" s="140"/>
      <c r="O37" s="141"/>
      <c r="P37" s="137"/>
      <c r="Q37" s="140"/>
      <c r="R37" s="141"/>
      <c r="S37" s="137"/>
      <c r="T37" s="140"/>
      <c r="U37" s="141"/>
      <c r="V37" s="137"/>
      <c r="W37" s="140"/>
      <c r="X37" s="141"/>
      <c r="Y37" s="137"/>
      <c r="Z37" s="140"/>
      <c r="AA37" s="141"/>
      <c r="AB37" s="137"/>
      <c r="AC37" s="140"/>
      <c r="AD37" s="141"/>
      <c r="AE37" s="137"/>
      <c r="AF37" s="140"/>
      <c r="AG37" s="141"/>
      <c r="AH37" s="137"/>
      <c r="AI37" s="140"/>
      <c r="AJ37" s="141"/>
      <c r="AK37" s="137"/>
      <c r="AL37" s="140"/>
      <c r="AM37" s="141"/>
      <c r="AN37" s="137"/>
      <c r="AO37" s="140"/>
      <c r="AP37" s="141"/>
      <c r="AQ37" s="137"/>
    </row>
    <row r="38" spans="1:43" x14ac:dyDescent="0.2">
      <c r="A38" s="142"/>
      <c r="B38" s="140"/>
      <c r="C38" s="141"/>
      <c r="D38" s="137"/>
      <c r="E38" s="140"/>
      <c r="F38" s="141"/>
      <c r="G38" s="137"/>
      <c r="H38" s="140"/>
      <c r="I38" s="141"/>
      <c r="J38" s="137"/>
      <c r="K38" s="140"/>
      <c r="L38" s="141"/>
      <c r="M38" s="137"/>
      <c r="N38" s="140"/>
      <c r="O38" s="141"/>
      <c r="P38" s="137"/>
      <c r="Q38" s="140"/>
      <c r="R38" s="141"/>
      <c r="S38" s="137"/>
      <c r="T38" s="140"/>
      <c r="U38" s="141"/>
      <c r="V38" s="137"/>
      <c r="W38" s="140"/>
      <c r="X38" s="141"/>
      <c r="Y38" s="137"/>
      <c r="Z38" s="140"/>
      <c r="AA38" s="141"/>
      <c r="AB38" s="137"/>
      <c r="AC38" s="140"/>
      <c r="AD38" s="141"/>
      <c r="AE38" s="137"/>
      <c r="AF38" s="140"/>
      <c r="AG38" s="141"/>
      <c r="AH38" s="137"/>
      <c r="AI38" s="140"/>
      <c r="AJ38" s="141"/>
      <c r="AK38" s="137"/>
      <c r="AL38" s="140"/>
      <c r="AM38" s="141"/>
      <c r="AN38" s="137"/>
      <c r="AO38" s="140"/>
      <c r="AP38" s="141"/>
      <c r="AQ38" s="137"/>
    </row>
    <row r="39" spans="1:43" x14ac:dyDescent="0.2">
      <c r="A39" s="142"/>
      <c r="B39" s="140"/>
      <c r="C39" s="141"/>
      <c r="D39" s="137"/>
      <c r="E39" s="140"/>
      <c r="F39" s="141"/>
      <c r="G39" s="137"/>
      <c r="H39" s="140"/>
      <c r="I39" s="141"/>
      <c r="J39" s="137"/>
      <c r="K39" s="140"/>
      <c r="L39" s="141"/>
      <c r="M39" s="137"/>
      <c r="N39" s="140"/>
      <c r="O39" s="141"/>
      <c r="P39" s="137"/>
      <c r="Q39" s="140"/>
      <c r="R39" s="141"/>
      <c r="S39" s="137"/>
      <c r="T39" s="140"/>
      <c r="U39" s="141"/>
      <c r="V39" s="137"/>
      <c r="W39" s="140"/>
      <c r="X39" s="141"/>
      <c r="Y39" s="137"/>
      <c r="Z39" s="140"/>
      <c r="AA39" s="141"/>
      <c r="AB39" s="137"/>
      <c r="AC39" s="140"/>
      <c r="AD39" s="141"/>
      <c r="AE39" s="137"/>
      <c r="AF39" s="140"/>
      <c r="AG39" s="141"/>
      <c r="AH39" s="137"/>
      <c r="AI39" s="140"/>
      <c r="AJ39" s="141"/>
      <c r="AK39" s="137"/>
      <c r="AL39" s="140"/>
      <c r="AM39" s="141"/>
      <c r="AN39" s="137"/>
      <c r="AO39" s="140"/>
      <c r="AP39" s="141"/>
      <c r="AQ39" s="137"/>
    </row>
    <row r="40" spans="1:43" x14ac:dyDescent="0.2">
      <c r="A40" s="142"/>
      <c r="B40" s="140"/>
      <c r="C40" s="141"/>
      <c r="D40" s="137"/>
      <c r="E40" s="140"/>
      <c r="F40" s="141"/>
      <c r="G40" s="137"/>
      <c r="H40" s="140"/>
      <c r="I40" s="141"/>
      <c r="J40" s="137"/>
      <c r="K40" s="140"/>
      <c r="L40" s="141"/>
      <c r="M40" s="137"/>
      <c r="N40" s="140"/>
      <c r="O40" s="141"/>
      <c r="P40" s="137"/>
      <c r="Q40" s="140"/>
      <c r="R40" s="141"/>
      <c r="S40" s="137"/>
      <c r="T40" s="140"/>
      <c r="U40" s="141"/>
      <c r="V40" s="137"/>
      <c r="W40" s="140"/>
      <c r="X40" s="141"/>
      <c r="Y40" s="137"/>
      <c r="Z40" s="140"/>
      <c r="AA40" s="141"/>
      <c r="AB40" s="137"/>
      <c r="AC40" s="140"/>
      <c r="AD40" s="141"/>
      <c r="AE40" s="137"/>
      <c r="AF40" s="140"/>
      <c r="AG40" s="141"/>
      <c r="AH40" s="137"/>
      <c r="AI40" s="140"/>
      <c r="AJ40" s="141"/>
      <c r="AK40" s="137"/>
      <c r="AL40" s="140"/>
      <c r="AM40" s="141"/>
      <c r="AN40" s="137"/>
      <c r="AO40" s="140"/>
      <c r="AP40" s="141"/>
      <c r="AQ40" s="137"/>
    </row>
    <row r="41" spans="1:43" x14ac:dyDescent="0.2">
      <c r="A41" s="142"/>
      <c r="B41" s="140"/>
      <c r="C41" s="141"/>
      <c r="D41" s="137"/>
      <c r="E41" s="140"/>
      <c r="F41" s="141"/>
      <c r="G41" s="137"/>
      <c r="H41" s="140"/>
      <c r="I41" s="141"/>
      <c r="J41" s="137"/>
      <c r="K41" s="140"/>
      <c r="L41" s="141"/>
      <c r="M41" s="137"/>
      <c r="N41" s="140"/>
      <c r="O41" s="141"/>
      <c r="P41" s="137"/>
      <c r="Q41" s="140"/>
      <c r="R41" s="141"/>
      <c r="S41" s="137"/>
      <c r="T41" s="140"/>
      <c r="U41" s="141"/>
      <c r="V41" s="137"/>
      <c r="W41" s="140"/>
      <c r="X41" s="141"/>
      <c r="Y41" s="137"/>
      <c r="Z41" s="140"/>
      <c r="AA41" s="141"/>
      <c r="AB41" s="137"/>
      <c r="AC41" s="140"/>
      <c r="AD41" s="141"/>
      <c r="AE41" s="137"/>
      <c r="AF41" s="140"/>
      <c r="AG41" s="141"/>
      <c r="AH41" s="137"/>
      <c r="AI41" s="140"/>
      <c r="AJ41" s="141"/>
      <c r="AK41" s="137"/>
      <c r="AL41" s="140"/>
      <c r="AM41" s="141"/>
      <c r="AN41" s="137"/>
      <c r="AO41" s="140"/>
      <c r="AP41" s="141"/>
      <c r="AQ41" s="137"/>
    </row>
    <row r="42" spans="1:43" x14ac:dyDescent="0.2">
      <c r="A42" s="142"/>
      <c r="B42" s="140"/>
      <c r="C42" s="141"/>
      <c r="D42" s="137"/>
      <c r="E42" s="140"/>
      <c r="F42" s="141"/>
      <c r="G42" s="137"/>
      <c r="H42" s="140"/>
      <c r="I42" s="141"/>
      <c r="J42" s="137"/>
      <c r="K42" s="140"/>
      <c r="L42" s="141"/>
      <c r="M42" s="137"/>
      <c r="N42" s="140"/>
      <c r="O42" s="141"/>
      <c r="P42" s="137"/>
      <c r="Q42" s="140"/>
      <c r="R42" s="141"/>
      <c r="S42" s="137"/>
      <c r="T42" s="140"/>
      <c r="U42" s="141"/>
      <c r="V42" s="137"/>
      <c r="W42" s="140"/>
      <c r="X42" s="141"/>
      <c r="Y42" s="137"/>
      <c r="Z42" s="140"/>
      <c r="AA42" s="141"/>
      <c r="AB42" s="137"/>
      <c r="AC42" s="140"/>
      <c r="AD42" s="141"/>
      <c r="AE42" s="137"/>
      <c r="AF42" s="140"/>
      <c r="AG42" s="141"/>
      <c r="AH42" s="137"/>
      <c r="AI42" s="140"/>
      <c r="AJ42" s="141"/>
      <c r="AK42" s="137"/>
      <c r="AL42" s="140"/>
      <c r="AM42" s="141"/>
      <c r="AN42" s="137"/>
      <c r="AO42" s="140"/>
      <c r="AP42" s="141"/>
      <c r="AQ42" s="137"/>
    </row>
    <row r="43" spans="1:43" ht="13.5" thickBot="1" x14ac:dyDescent="0.25">
      <c r="A43" s="143"/>
      <c r="B43" s="144"/>
      <c r="C43" s="145"/>
      <c r="D43" s="146"/>
      <c r="E43" s="144"/>
      <c r="F43" s="145"/>
      <c r="G43" s="147"/>
      <c r="H43" s="144"/>
      <c r="I43" s="145"/>
      <c r="J43" s="147"/>
      <c r="K43" s="144"/>
      <c r="L43" s="145"/>
      <c r="M43" s="147"/>
      <c r="N43" s="144"/>
      <c r="O43" s="145"/>
      <c r="P43" s="147"/>
      <c r="Q43" s="144"/>
      <c r="R43" s="145"/>
      <c r="S43" s="147"/>
      <c r="T43" s="144"/>
      <c r="U43" s="145"/>
      <c r="V43" s="147"/>
      <c r="W43" s="144"/>
      <c r="X43" s="145"/>
      <c r="Y43" s="147"/>
      <c r="Z43" s="144"/>
      <c r="AA43" s="145"/>
      <c r="AB43" s="148"/>
      <c r="AC43" s="144"/>
      <c r="AD43" s="145"/>
      <c r="AE43" s="148"/>
      <c r="AF43" s="144"/>
      <c r="AG43" s="145"/>
      <c r="AH43" s="148"/>
      <c r="AI43" s="144"/>
      <c r="AJ43" s="145"/>
      <c r="AK43" s="148"/>
      <c r="AL43" s="144"/>
      <c r="AM43" s="145"/>
      <c r="AN43" s="148"/>
      <c r="AO43" s="144"/>
      <c r="AP43" s="145"/>
      <c r="AQ43" s="148"/>
    </row>
    <row r="44" spans="1:43" ht="13.5" thickBot="1" x14ac:dyDescent="0.25">
      <c r="A44" s="149" t="s">
        <v>370</v>
      </c>
      <c r="D44" s="150">
        <f>SUM(D29:D43)</f>
        <v>5</v>
      </c>
      <c r="G44" s="150">
        <f>SUM(G29:G43)</f>
        <v>0</v>
      </c>
      <c r="J44" s="150">
        <f>SUM(J29:J43)</f>
        <v>4</v>
      </c>
      <c r="M44" s="150">
        <f>SUM(M29:M43)</f>
        <v>2</v>
      </c>
      <c r="P44" s="150">
        <f>SUM(P29:P43)</f>
        <v>4</v>
      </c>
      <c r="S44" s="150">
        <f>SUM(S29:S43)</f>
        <v>2</v>
      </c>
      <c r="V44" s="150">
        <f>SUM(V29:V43)</f>
        <v>0</v>
      </c>
      <c r="Y44" s="150">
        <f>SUM(Y29:Y43)</f>
        <v>8</v>
      </c>
      <c r="AB44" s="94">
        <f>SUM(AB29:AB43)</f>
        <v>1</v>
      </c>
      <c r="AE44" s="94">
        <f>SUM(AE29:AE43)</f>
        <v>0</v>
      </c>
      <c r="AH44" s="94">
        <f>SUM(AH29:AH43)</f>
        <v>16</v>
      </c>
      <c r="AK44" s="94">
        <f>SUM(AK29:AK43)</f>
        <v>0</v>
      </c>
      <c r="AN44" s="94">
        <f>SUM(AN29:AN43)</f>
        <v>4</v>
      </c>
      <c r="AQ44" s="94">
        <f>SUM(AQ29:AQ43)</f>
        <v>0</v>
      </c>
    </row>
    <row r="47" spans="1:43" x14ac:dyDescent="0.2">
      <c r="AC47" s="3"/>
    </row>
    <row r="48" spans="1:43" x14ac:dyDescent="0.2">
      <c r="AC48" s="3"/>
    </row>
    <row r="49" spans="29:29" x14ac:dyDescent="0.2">
      <c r="AC49" s="3"/>
    </row>
    <row r="50" spans="29:29" x14ac:dyDescent="0.2">
      <c r="AC50" s="271"/>
    </row>
    <row r="51" spans="29:29" x14ac:dyDescent="0.2">
      <c r="AC51" s="271"/>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H16"/>
  <sheetViews>
    <sheetView workbookViewId="0">
      <selection activeCell="C10" sqref="C10"/>
    </sheetView>
  </sheetViews>
  <sheetFormatPr baseColWidth="10" defaultRowHeight="12.75" x14ac:dyDescent="0.2"/>
  <cols>
    <col min="1" max="1" width="12.28515625" bestFit="1" customWidth="1"/>
    <col min="2" max="2" width="24.42578125" bestFit="1" customWidth="1"/>
    <col min="15" max="15" width="11.42578125" customWidth="1"/>
  </cols>
  <sheetData>
    <row r="1" spans="1:8" x14ac:dyDescent="0.2">
      <c r="B1" s="9" t="s">
        <v>3720</v>
      </c>
      <c r="G1">
        <v>5</v>
      </c>
    </row>
    <row r="2" spans="1:8" ht="13.5" thickBot="1" x14ac:dyDescent="0.25"/>
    <row r="3" spans="1:8" ht="42" customHeight="1" x14ac:dyDescent="0.2">
      <c r="A3" s="407" t="s">
        <v>3723</v>
      </c>
      <c r="B3" s="408"/>
      <c r="D3" s="409" t="s">
        <v>3724</v>
      </c>
      <c r="E3" s="410"/>
      <c r="G3" s="411" t="s">
        <v>3725</v>
      </c>
      <c r="H3" s="412"/>
    </row>
    <row r="4" spans="1:8" x14ac:dyDescent="0.2">
      <c r="A4" s="393" t="s">
        <v>3179</v>
      </c>
      <c r="B4" s="392" t="s">
        <v>3721</v>
      </c>
      <c r="D4" s="393" t="s">
        <v>3179</v>
      </c>
      <c r="E4" s="392" t="s">
        <v>929</v>
      </c>
      <c r="G4" s="393" t="s">
        <v>3179</v>
      </c>
      <c r="H4" s="392" t="s">
        <v>929</v>
      </c>
    </row>
    <row r="5" spans="1:8" x14ac:dyDescent="0.2">
      <c r="A5" s="394"/>
      <c r="B5" s="148"/>
      <c r="D5" s="394" t="s">
        <v>3180</v>
      </c>
      <c r="E5" s="148">
        <f ca="1">COUNTIFS(EXPEDIENTES!B:B,"&gt;=01/02/2023",EXPEDIENTES!B:B,"&lt;=28/02/2023")</f>
        <v>17</v>
      </c>
      <c r="G5" s="398" t="s">
        <v>3180</v>
      </c>
      <c r="H5" s="397">
        <f ca="1">COUNTIFS(EXPEDIENTES!H:H,"&gt;=01/02/2023",EXPEDIENTES!H:H,"&lt;=28/02/2023",EXPEDIENTES!O:O,"=SI")</f>
        <v>4</v>
      </c>
    </row>
    <row r="6" spans="1:8" x14ac:dyDescent="0.2">
      <c r="A6" s="394" t="s">
        <v>3181</v>
      </c>
      <c r="B6" s="148">
        <v>12</v>
      </c>
      <c r="D6" s="394" t="s">
        <v>3181</v>
      </c>
      <c r="E6" s="148">
        <f ca="1">COUNTIFS(EXPEDIENTES!B:B,"&gt;=01/03/2023",EXPEDIENTES!B:B,"&lt;=31/03/2023")</f>
        <v>131</v>
      </c>
      <c r="G6" s="398" t="s">
        <v>3181</v>
      </c>
      <c r="H6" s="397">
        <f ca="1">COUNTIFS(EXPEDIENTES!H:H,"&gt;=01/03/2023",EXPEDIENTES!H:H,"&lt;=31/03/2023",EXPEDIENTES!O:O,"=SI")</f>
        <v>84</v>
      </c>
    </row>
    <row r="7" spans="1:8" x14ac:dyDescent="0.2">
      <c r="A7" s="394" t="s">
        <v>3182</v>
      </c>
      <c r="B7" s="148">
        <v>7</v>
      </c>
      <c r="D7" s="394" t="s">
        <v>3182</v>
      </c>
      <c r="E7" s="148">
        <f ca="1">COUNTIFS(EXPEDIENTES!B:B,"&gt;=01/04/2023",EXPEDIENTES!B:B,"&lt;=30/04/2023")</f>
        <v>6</v>
      </c>
      <c r="G7" s="398" t="s">
        <v>3182</v>
      </c>
      <c r="H7" s="397">
        <f ca="1">COUNTIFS(EXPEDIENTES!H:H,"&gt;=01/04/2023",EXPEDIENTES!H:H,"&lt;=30/04/2023",EXPEDIENTES!O:O,"=SI")</f>
        <v>63</v>
      </c>
    </row>
    <row r="8" spans="1:8" x14ac:dyDescent="0.2">
      <c r="A8" s="394" t="s">
        <v>3183</v>
      </c>
      <c r="B8" s="148">
        <v>6</v>
      </c>
      <c r="D8" s="394" t="s">
        <v>3183</v>
      </c>
      <c r="E8" s="148">
        <f ca="1">COUNTIFS(EXPEDIENTES!B:B,"&gt;=01/05/2023",EXPEDIENTES!B:B,"&lt;=31/05/2023")</f>
        <v>64</v>
      </c>
      <c r="G8" s="398" t="s">
        <v>3183</v>
      </c>
      <c r="H8" s="397">
        <f ca="1">COUNTIFS(EXPEDIENTES!H:H,"&gt;=01/05/2023",EXPEDIENTES!H:H,"&lt;=31/05/2023",EXPEDIENTES!O:O,"=SI")</f>
        <v>44</v>
      </c>
    </row>
    <row r="9" spans="1:8" x14ac:dyDescent="0.2">
      <c r="A9" s="394" t="s">
        <v>3184</v>
      </c>
      <c r="B9" s="148">
        <v>6</v>
      </c>
      <c r="D9" s="394" t="s">
        <v>3184</v>
      </c>
      <c r="E9" s="148">
        <f ca="1">COUNTIFS(EXPEDIENTES!B:B,"&gt;=01/06/2023",EXPEDIENTES!B:B,"&lt;=30/06/2023")</f>
        <v>110</v>
      </c>
      <c r="G9" s="398" t="s">
        <v>3184</v>
      </c>
      <c r="H9" s="397">
        <f ca="1">COUNTIFS(EXPEDIENTES!H:H,"&gt;=01/06/2023",EXPEDIENTES!H:H,"&lt;=30/06/2023",EXPEDIENTES!O:O,"=SI")</f>
        <v>87</v>
      </c>
    </row>
    <row r="10" spans="1:8" x14ac:dyDescent="0.2">
      <c r="A10" s="394" t="s">
        <v>3185</v>
      </c>
      <c r="B10" s="148">
        <v>8</v>
      </c>
      <c r="D10" s="394" t="s">
        <v>3185</v>
      </c>
      <c r="E10" s="148">
        <f ca="1">COUNTIFS(EXPEDIENTES!B:B,"&gt;=01/07/2023",EXPEDIENTES!B:B,"&lt;=31/07/2023")</f>
        <v>116</v>
      </c>
      <c r="G10" s="398" t="s">
        <v>3185</v>
      </c>
      <c r="H10" s="397">
        <f ca="1">COUNTIFS(EXPEDIENTES!H:H,"&gt;=01/07/2023",EXPEDIENTES!H:H,"&lt;=31/07/2023",EXPEDIENTES!O:O,"=SI")</f>
        <v>128</v>
      </c>
    </row>
    <row r="11" spans="1:8" x14ac:dyDescent="0.2">
      <c r="A11" s="394" t="s">
        <v>3186</v>
      </c>
      <c r="B11" s="148">
        <v>6</v>
      </c>
      <c r="D11" s="394" t="s">
        <v>3186</v>
      </c>
      <c r="E11" s="148">
        <f ca="1">COUNTIFS(EXPEDIENTES!B:B,"&gt;=01/08/2023",EXPEDIENTES!B:B,"&lt;=31/08/2023")</f>
        <v>137</v>
      </c>
      <c r="G11" s="398" t="s">
        <v>3186</v>
      </c>
      <c r="H11" s="397">
        <f ca="1">COUNTIFS(EXPEDIENTES!H:H,"&gt;=01/08/2023",EXPEDIENTES!H:H,"&lt;=31/08/2023",EXPEDIENTES!O:O,"=SI")</f>
        <v>128</v>
      </c>
    </row>
    <row r="12" spans="1:8" x14ac:dyDescent="0.2">
      <c r="A12" s="394" t="s">
        <v>3722</v>
      </c>
      <c r="B12" s="148">
        <v>9</v>
      </c>
      <c r="D12" s="394" t="s">
        <v>3722</v>
      </c>
      <c r="E12" s="148">
        <f ca="1">COUNTIFS(EXPEDIENTES!B:B,"&gt;=01/09/2023",EXPEDIENTES!B:B,"&lt;=30/09/2023")</f>
        <v>151</v>
      </c>
      <c r="G12" s="398" t="s">
        <v>3187</v>
      </c>
      <c r="H12" s="397">
        <f ca="1">COUNTIFS(EXPEDIENTES!H:H,"&gt;=01/09/2023",EXPEDIENTES!H:H,"&lt;=30/09/2023",EXPEDIENTES!O:O,"=SI")</f>
        <v>117</v>
      </c>
    </row>
    <row r="13" spans="1:8" x14ac:dyDescent="0.2">
      <c r="A13" s="394" t="s">
        <v>3188</v>
      </c>
      <c r="B13" s="148">
        <v>10</v>
      </c>
      <c r="D13" s="394" t="s">
        <v>3188</v>
      </c>
      <c r="E13" s="148">
        <f ca="1">COUNTIFS(EXPEDIENTES!B:B,"&gt;=01/10/2023",EXPEDIENTES!B:B,"&lt;=31/10/2023")</f>
        <v>158</v>
      </c>
      <c r="G13" s="398" t="s">
        <v>3188</v>
      </c>
      <c r="H13" s="397">
        <f ca="1">COUNTIFS(EXPEDIENTES!H:H,"&gt;=01/10/2023",EXPEDIENTES!H:H,"&lt;=31/10/2023",EXPEDIENTES!O:O,"=SI")</f>
        <v>138</v>
      </c>
    </row>
    <row r="14" spans="1:8" x14ac:dyDescent="0.2">
      <c r="A14" s="394" t="s">
        <v>3189</v>
      </c>
      <c r="B14" s="148"/>
      <c r="D14" s="394" t="s">
        <v>3189</v>
      </c>
      <c r="E14" s="148">
        <f ca="1">COUNTIFS(EXPEDIENTES!B:B,"&gt;=01/11/2023",EXPEDIENTES!B:B,"&lt;=30/11/2023")</f>
        <v>0</v>
      </c>
      <c r="G14" s="398" t="s">
        <v>3189</v>
      </c>
      <c r="H14" s="397">
        <f ca="1">COUNTIFS(EXPEDIENTES!H:H,"&gt;=01/11/2023",EXPEDIENTES!H:H,"&lt;=30/11/2023",EXPEDIENTES!O:O,"=SI")</f>
        <v>0</v>
      </c>
    </row>
    <row r="15" spans="1:8" x14ac:dyDescent="0.2">
      <c r="A15" s="394" t="s">
        <v>3190</v>
      </c>
      <c r="B15" s="148"/>
      <c r="D15" s="394" t="s">
        <v>3190</v>
      </c>
      <c r="E15" s="148">
        <f ca="1">COUNTIFS(EXPEDIENTES!B:B,"&gt;=01/12/2023",EXPEDIENTES!B:B,"&lt;=31/12/2023")</f>
        <v>0</v>
      </c>
      <c r="G15" s="398" t="s">
        <v>3190</v>
      </c>
      <c r="H15" s="397">
        <f ca="1">COUNTIFS(EXPEDIENTES!H:H,"&gt;=01/12/2023",EXPEDIENTES!H:H,"&lt;=31/12/2023",EXPEDIENTES!O:O,"=SI")</f>
        <v>0</v>
      </c>
    </row>
    <row r="16" spans="1:8" ht="26.25" thickBot="1" x14ac:dyDescent="0.25">
      <c r="A16" s="395" t="s">
        <v>3726</v>
      </c>
      <c r="B16" s="396">
        <f>AVERAGE(B5:B15)</f>
        <v>8</v>
      </c>
      <c r="D16" s="395" t="s">
        <v>370</v>
      </c>
      <c r="E16" s="396">
        <f ca="1">SUM(E5:E15)</f>
        <v>890</v>
      </c>
      <c r="G16" s="395" t="s">
        <v>370</v>
      </c>
      <c r="H16" s="396">
        <f ca="1">SUM(H5:H15)</f>
        <v>793</v>
      </c>
    </row>
  </sheetData>
  <mergeCells count="3">
    <mergeCell ref="A3:B3"/>
    <mergeCell ref="D3:E3"/>
    <mergeCell ref="G3:H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contarDias">
                <anchor moveWithCells="1" sizeWithCells="1">
                  <from>
                    <xdr:col>7</xdr:col>
                    <xdr:colOff>76200</xdr:colOff>
                    <xdr:row>0</xdr:row>
                    <xdr:rowOff>19050</xdr:rowOff>
                  </from>
                  <to>
                    <xdr:col>8</xdr:col>
                    <xdr:colOff>428625</xdr:colOff>
                    <xdr:row>1</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2" workbookViewId="0">
      <selection activeCell="A6" sqref="A6"/>
    </sheetView>
  </sheetViews>
  <sheetFormatPr baseColWidth="10" defaultRowHeight="12.75" x14ac:dyDescent="0.2"/>
  <cols>
    <col min="1" max="1" width="12.7109375" customWidth="1"/>
    <col min="2" max="2" width="12" customWidth="1"/>
    <col min="3" max="3" width="27.7109375" bestFit="1" customWidth="1"/>
    <col min="4" max="4" width="15.28515625" bestFit="1" customWidth="1"/>
    <col min="6" max="6" width="15.42578125" bestFit="1" customWidth="1"/>
  </cols>
  <sheetData>
    <row r="2" spans="1:6" ht="18" x14ac:dyDescent="0.25">
      <c r="A2" s="62"/>
      <c r="B2" s="62"/>
      <c r="C2" s="62"/>
      <c r="D2" s="244"/>
      <c r="E2" s="245"/>
      <c r="F2" s="244"/>
    </row>
    <row r="3" spans="1:6" ht="18" x14ac:dyDescent="0.25">
      <c r="C3" s="62" t="s">
        <v>2686</v>
      </c>
    </row>
    <row r="4" spans="1:6" ht="27.75" customHeight="1" x14ac:dyDescent="0.25">
      <c r="A4" s="62"/>
      <c r="B4" s="62"/>
      <c r="C4" s="62" t="s">
        <v>3161</v>
      </c>
      <c r="D4" s="244">
        <v>45222</v>
      </c>
      <c r="E4" s="269" t="s">
        <v>2587</v>
      </c>
      <c r="F4" s="244">
        <v>45226</v>
      </c>
    </row>
    <row r="5" spans="1:6" ht="27.75" customHeight="1" x14ac:dyDescent="0.25">
      <c r="A5" s="246" t="s">
        <v>929</v>
      </c>
      <c r="B5" s="247" t="s">
        <v>1298</v>
      </c>
      <c r="C5" s="247" t="s">
        <v>930</v>
      </c>
      <c r="D5" s="62"/>
      <c r="E5" s="62"/>
    </row>
    <row r="6" spans="1:6" ht="31.5" customHeight="1" x14ac:dyDescent="0.2">
      <c r="A6" s="248">
        <f>COUNTIFS(EXPEDIENTES!R:R,"=Prisión Preventiva",EXPEDIENTES!H:H,"&gt;=23/10/2023",EXPEDIENTES!H:H,"&lt;=27/10/2023") +COUNTIFS(EXPEDIENTES!R:R,"Prision domiciliaria",EXPEDIENTES!H:H,"&gt;=23/10/2023",EXPEDIENTES!H:H,"&lt;=27/10/2023")</f>
        <v>11</v>
      </c>
      <c r="B6" s="380">
        <f>A6/A11</f>
        <v>0.33333333333333331</v>
      </c>
      <c r="C6" s="249" t="s">
        <v>577</v>
      </c>
      <c r="D6" s="60"/>
    </row>
    <row r="7" spans="1:6" ht="30.75" customHeight="1" x14ac:dyDescent="0.2">
      <c r="A7" s="186">
        <f>COUNTIFS(EXPEDIENTES!R:R,"Juicio Abreviado",EXPEDIENTES!H:H,"&gt;=23/10/2023",EXPEDIENTES!H:H,"&lt;=27/10/2023")</f>
        <v>19</v>
      </c>
      <c r="B7" s="380">
        <f>A7/A11</f>
        <v>0.5757575757575758</v>
      </c>
      <c r="C7" s="249" t="s">
        <v>988</v>
      </c>
      <c r="D7" s="60"/>
    </row>
    <row r="8" spans="1:6" ht="30.75" customHeight="1" x14ac:dyDescent="0.2">
      <c r="A8" s="186">
        <f>COUNTIFS(EXPEDIENTES!R:R,"Suspendida",EXPEDIENTES!H:H,"&gt;=23/10/2023",EXPEDIENTES!H:H,"&lt;=27/10/2023")</f>
        <v>1</v>
      </c>
      <c r="B8" s="380">
        <f>A8/A11</f>
        <v>3.0303030303030304E-2</v>
      </c>
      <c r="C8" s="249" t="s">
        <v>911</v>
      </c>
      <c r="D8" s="60"/>
    </row>
    <row r="9" spans="1:6" ht="30.75" customHeight="1" x14ac:dyDescent="0.2">
      <c r="A9" s="186">
        <f>COUNTIFS(EXPEDIENTES!R:R,"Libertad",EXPEDIENTES!H:H,"&gt;=23/10/2023",EXPEDIENTES!H:H,"&lt;=27/10/2023")</f>
        <v>1</v>
      </c>
      <c r="B9" s="380">
        <f>A9/A11</f>
        <v>3.0303030303030304E-2</v>
      </c>
      <c r="C9" s="249" t="s">
        <v>902</v>
      </c>
      <c r="D9" s="60"/>
    </row>
    <row r="10" spans="1:6" ht="32.25" customHeight="1" x14ac:dyDescent="0.2">
      <c r="A10" s="186">
        <f>COUNTIFS(EXPEDIENTES!R:R,"Suspensión de juicio a prueba",EXPEDIENTES!H:H,"&gt;=23/10/2023",EXPEDIENTES!H:H,"&lt;=27/10/2023")</f>
        <v>1</v>
      </c>
      <c r="B10" s="380">
        <f>A10/A11</f>
        <v>3.0303030303030304E-2</v>
      </c>
      <c r="C10" s="249" t="s">
        <v>909</v>
      </c>
      <c r="D10" s="60"/>
    </row>
    <row r="11" spans="1:6" ht="32.25" customHeight="1" x14ac:dyDescent="0.2">
      <c r="A11" s="250">
        <f>SUM(A6:A10)</f>
        <v>33</v>
      </c>
      <c r="B11" s="251">
        <v>1</v>
      </c>
      <c r="C11" s="252" t="s">
        <v>370</v>
      </c>
      <c r="D11" s="60"/>
    </row>
    <row r="12" spans="1:6" ht="51.75" customHeight="1" x14ac:dyDescent="0.2">
      <c r="D12" s="60"/>
    </row>
    <row r="13" spans="1:6" ht="26.25" customHeight="1" x14ac:dyDescent="0.2">
      <c r="D13" s="60"/>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A5" workbookViewId="0">
      <selection activeCell="C31" sqref="C31"/>
    </sheetView>
  </sheetViews>
  <sheetFormatPr baseColWidth="10" defaultRowHeight="12.75" x14ac:dyDescent="0.2"/>
  <cols>
    <col min="1" max="1" width="25.7109375" customWidth="1"/>
    <col min="2" max="2" width="16.42578125" customWidth="1"/>
    <col min="3" max="3" width="1.85546875" customWidth="1"/>
    <col min="4" max="4" width="27.7109375" customWidth="1"/>
    <col min="5" max="5" width="16.42578125" customWidth="1"/>
    <col min="6" max="6" width="2.140625" customWidth="1"/>
    <col min="7" max="7" width="27.7109375" customWidth="1"/>
    <col min="8" max="8" width="16.42578125" customWidth="1"/>
    <col min="9" max="9" width="2.28515625" customWidth="1"/>
    <col min="10" max="10" width="27.7109375" customWidth="1"/>
    <col min="11" max="11" width="16.42578125" customWidth="1"/>
    <col min="12" max="12" width="3" customWidth="1"/>
    <col min="13" max="13" width="21" customWidth="1"/>
    <col min="14" max="14" width="16.42578125" customWidth="1"/>
    <col min="15" max="15" width="2.7109375" customWidth="1"/>
    <col min="16" max="16" width="22.140625" customWidth="1"/>
    <col min="17" max="17" width="16.42578125" customWidth="1"/>
  </cols>
  <sheetData>
    <row r="5" spans="1:17" x14ac:dyDescent="0.2">
      <c r="A5" s="355" t="s">
        <v>5</v>
      </c>
      <c r="B5" s="356">
        <v>45229</v>
      </c>
      <c r="D5" s="105" t="s">
        <v>5</v>
      </c>
      <c r="E5" s="179">
        <v>45236</v>
      </c>
      <c r="G5" s="105" t="s">
        <v>5</v>
      </c>
      <c r="H5" s="179">
        <v>45237</v>
      </c>
      <c r="J5" s="105" t="s">
        <v>5</v>
      </c>
      <c r="K5" s="179">
        <v>45238</v>
      </c>
      <c r="L5" s="179"/>
      <c r="M5" s="105" t="s">
        <v>5</v>
      </c>
      <c r="N5" s="179">
        <v>45239</v>
      </c>
      <c r="P5" s="105" t="s">
        <v>5</v>
      </c>
      <c r="Q5" s="179">
        <v>45240</v>
      </c>
    </row>
    <row r="6" spans="1:17" x14ac:dyDescent="0.2">
      <c r="A6" s="9"/>
      <c r="B6" s="9" t="s">
        <v>3526</v>
      </c>
      <c r="E6" t="s">
        <v>3526</v>
      </c>
      <c r="H6" t="s">
        <v>3526</v>
      </c>
      <c r="K6" t="s">
        <v>3526</v>
      </c>
      <c r="N6" t="s">
        <v>3526</v>
      </c>
      <c r="Q6" t="s">
        <v>3526</v>
      </c>
    </row>
    <row r="7" spans="1:17" ht="14.25" x14ac:dyDescent="0.2">
      <c r="A7" s="360" t="s">
        <v>1484</v>
      </c>
      <c r="B7" t="s">
        <v>2774</v>
      </c>
      <c r="D7" s="105" t="s">
        <v>1484</v>
      </c>
      <c r="E7" t="s">
        <v>2774</v>
      </c>
      <c r="G7" s="105" t="s">
        <v>1484</v>
      </c>
      <c r="H7" t="s">
        <v>2774</v>
      </c>
      <c r="J7" s="105" t="s">
        <v>1484</v>
      </c>
      <c r="K7" t="s">
        <v>2774</v>
      </c>
      <c r="M7" s="105" t="s">
        <v>1484</v>
      </c>
      <c r="N7" t="s">
        <v>2774</v>
      </c>
      <c r="P7" s="105" t="s">
        <v>1484</v>
      </c>
      <c r="Q7" t="s">
        <v>2774</v>
      </c>
    </row>
    <row r="8" spans="1:17" ht="14.25" x14ac:dyDescent="0.2">
      <c r="A8" s="119" t="s">
        <v>31</v>
      </c>
      <c r="D8" s="119" t="s">
        <v>31</v>
      </c>
      <c r="G8" s="119" t="s">
        <v>31</v>
      </c>
      <c r="J8" s="119" t="s">
        <v>31</v>
      </c>
      <c r="M8" s="119" t="s">
        <v>31</v>
      </c>
      <c r="P8" s="17" t="s">
        <v>78</v>
      </c>
    </row>
    <row r="9" spans="1:17" x14ac:dyDescent="0.2">
      <c r="A9" s="358" t="s">
        <v>1442</v>
      </c>
      <c r="D9" s="106" t="s">
        <v>1441</v>
      </c>
      <c r="G9" s="106" t="s">
        <v>1442</v>
      </c>
      <c r="J9" s="106" t="s">
        <v>1442</v>
      </c>
      <c r="M9" s="106" t="s">
        <v>283</v>
      </c>
      <c r="P9" s="106" t="s">
        <v>3365</v>
      </c>
    </row>
    <row r="10" spans="1:17" x14ac:dyDescent="0.2">
      <c r="A10" s="359" t="s">
        <v>73</v>
      </c>
      <c r="D10" s="107" t="s">
        <v>73</v>
      </c>
      <c r="G10" s="107" t="s">
        <v>73</v>
      </c>
      <c r="J10" s="107" t="s">
        <v>73</v>
      </c>
      <c r="M10" s="107" t="s">
        <v>73</v>
      </c>
      <c r="P10" s="107" t="s">
        <v>73</v>
      </c>
    </row>
    <row r="11" spans="1:17" ht="14.25" x14ac:dyDescent="0.2">
      <c r="A11" s="358" t="s">
        <v>2788</v>
      </c>
      <c r="D11" s="119" t="s">
        <v>35</v>
      </c>
      <c r="G11" s="17" t="s">
        <v>1221</v>
      </c>
      <c r="J11" s="106" t="s">
        <v>3366</v>
      </c>
      <c r="M11" s="17" t="s">
        <v>78</v>
      </c>
      <c r="P11" s="17" t="s">
        <v>1220</v>
      </c>
    </row>
    <row r="12" spans="1:17" x14ac:dyDescent="0.2">
      <c r="A12" s="359" t="s">
        <v>1086</v>
      </c>
      <c r="D12" s="106" t="s">
        <v>2788</v>
      </c>
      <c r="G12" s="106" t="s">
        <v>568</v>
      </c>
      <c r="J12" s="107" t="s">
        <v>1086</v>
      </c>
      <c r="M12" s="106" t="s">
        <v>1443</v>
      </c>
      <c r="P12" s="106" t="s">
        <v>283</v>
      </c>
    </row>
    <row r="13" spans="1:17" x14ac:dyDescent="0.2">
      <c r="A13" s="357" t="s">
        <v>33</v>
      </c>
      <c r="B13" s="320"/>
      <c r="D13" s="107" t="s">
        <v>73</v>
      </c>
      <c r="E13" s="320"/>
      <c r="G13" s="107" t="s">
        <v>1086</v>
      </c>
      <c r="H13" s="320"/>
      <c r="J13" s="17" t="s">
        <v>78</v>
      </c>
      <c r="K13" s="320"/>
      <c r="L13" s="320"/>
      <c r="M13" s="107" t="s">
        <v>73</v>
      </c>
      <c r="N13" s="320"/>
      <c r="P13" s="107" t="s">
        <v>1086</v>
      </c>
      <c r="Q13" s="320"/>
    </row>
    <row r="14" spans="1:17" x14ac:dyDescent="0.2">
      <c r="A14" s="358" t="s">
        <v>2774</v>
      </c>
      <c r="B14" s="320"/>
      <c r="D14" s="17" t="s">
        <v>1221</v>
      </c>
      <c r="E14" s="320"/>
      <c r="G14" s="17" t="s">
        <v>78</v>
      </c>
      <c r="H14" s="320"/>
      <c r="J14" s="106" t="s">
        <v>2788</v>
      </c>
      <c r="K14" s="320"/>
      <c r="L14" s="320"/>
      <c r="M14" s="17" t="s">
        <v>1485</v>
      </c>
      <c r="N14" s="320"/>
      <c r="P14" s="17" t="s">
        <v>1485</v>
      </c>
      <c r="Q14" s="320"/>
    </row>
    <row r="15" spans="1:17" x14ac:dyDescent="0.2">
      <c r="A15" s="359" t="s">
        <v>1086</v>
      </c>
      <c r="B15" s="320"/>
      <c r="D15" s="106" t="s">
        <v>283</v>
      </c>
      <c r="E15" s="320"/>
      <c r="G15" s="106" t="s">
        <v>1443</v>
      </c>
      <c r="H15" s="320"/>
      <c r="J15" s="107" t="s">
        <v>73</v>
      </c>
      <c r="K15" s="320"/>
      <c r="L15" s="320"/>
      <c r="N15" s="320"/>
      <c r="Q15" s="320"/>
    </row>
    <row r="16" spans="1:17" x14ac:dyDescent="0.2">
      <c r="A16" s="358" t="s">
        <v>2838</v>
      </c>
      <c r="B16" s="320" t="s">
        <v>3047</v>
      </c>
      <c r="D16" s="107" t="s">
        <v>1086</v>
      </c>
      <c r="E16" s="320" t="s">
        <v>3047</v>
      </c>
      <c r="G16" s="107" t="s">
        <v>1086</v>
      </c>
      <c r="H16" s="320" t="s">
        <v>3047</v>
      </c>
      <c r="J16" s="17" t="s">
        <v>1732</v>
      </c>
      <c r="K16" s="320" t="s">
        <v>3047</v>
      </c>
      <c r="L16" s="320"/>
      <c r="N16" s="320" t="s">
        <v>3047</v>
      </c>
      <c r="Q16" s="320" t="s">
        <v>3047</v>
      </c>
    </row>
    <row r="17" spans="1:19" x14ac:dyDescent="0.2">
      <c r="A17" s="359" t="s">
        <v>77</v>
      </c>
      <c r="B17" s="320" t="s">
        <v>3046</v>
      </c>
      <c r="D17" s="17" t="s">
        <v>78</v>
      </c>
      <c r="E17" s="320" t="s">
        <v>3046</v>
      </c>
      <c r="G17" s="17" t="s">
        <v>1732</v>
      </c>
      <c r="H17" s="320" t="s">
        <v>3046</v>
      </c>
      <c r="J17" s="106" t="s">
        <v>1441</v>
      </c>
      <c r="K17" s="320" t="s">
        <v>3046</v>
      </c>
      <c r="L17" s="320"/>
      <c r="N17" s="320" t="s">
        <v>3046</v>
      </c>
      <c r="Q17" s="320" t="s">
        <v>3046</v>
      </c>
    </row>
    <row r="18" spans="1:19" x14ac:dyDescent="0.2">
      <c r="A18" s="357" t="s">
        <v>1221</v>
      </c>
      <c r="B18" s="320" t="s">
        <v>3045</v>
      </c>
      <c r="D18" s="106" t="s">
        <v>568</v>
      </c>
      <c r="E18" s="320" t="s">
        <v>3045</v>
      </c>
      <c r="G18" s="106" t="s">
        <v>1441</v>
      </c>
      <c r="H18" s="320" t="s">
        <v>3045</v>
      </c>
      <c r="J18" s="107" t="s">
        <v>73</v>
      </c>
      <c r="K18" s="320" t="s">
        <v>3045</v>
      </c>
      <c r="L18" s="320"/>
      <c r="N18" s="320" t="s">
        <v>3045</v>
      </c>
      <c r="Q18" s="320" t="s">
        <v>3045</v>
      </c>
    </row>
    <row r="19" spans="1:19" x14ac:dyDescent="0.2">
      <c r="A19" s="358" t="s">
        <v>2788</v>
      </c>
      <c r="B19" s="320" t="s">
        <v>3050</v>
      </c>
      <c r="D19" s="107" t="s">
        <v>73</v>
      </c>
      <c r="E19" s="320" t="s">
        <v>3050</v>
      </c>
      <c r="G19" s="107" t="s">
        <v>73</v>
      </c>
      <c r="H19" s="320" t="s">
        <v>3050</v>
      </c>
      <c r="J19" s="17" t="s">
        <v>1485</v>
      </c>
      <c r="K19" s="320" t="s">
        <v>3050</v>
      </c>
      <c r="L19" s="320"/>
      <c r="N19" s="320" t="s">
        <v>3050</v>
      </c>
      <c r="Q19" s="320" t="s">
        <v>3050</v>
      </c>
    </row>
    <row r="20" spans="1:19" x14ac:dyDescent="0.2">
      <c r="A20" s="359" t="s">
        <v>76</v>
      </c>
      <c r="B20" s="320" t="s">
        <v>3051</v>
      </c>
      <c r="D20" s="106" t="s">
        <v>3365</v>
      </c>
      <c r="E20" s="320" t="s">
        <v>3051</v>
      </c>
      <c r="G20" s="17" t="s">
        <v>2954</v>
      </c>
      <c r="H20" s="320" t="s">
        <v>3051</v>
      </c>
      <c r="K20" s="320" t="s">
        <v>3051</v>
      </c>
      <c r="L20" s="320"/>
      <c r="N20" s="320" t="s">
        <v>3051</v>
      </c>
      <c r="Q20" s="320" t="s">
        <v>3051</v>
      </c>
    </row>
    <row r="21" spans="1:19" x14ac:dyDescent="0.2">
      <c r="A21" s="357" t="s">
        <v>78</v>
      </c>
      <c r="B21" s="320" t="s">
        <v>3053</v>
      </c>
      <c r="D21" s="107" t="s">
        <v>1086</v>
      </c>
      <c r="E21" s="320" t="s">
        <v>3053</v>
      </c>
      <c r="G21" s="106" t="s">
        <v>2788</v>
      </c>
      <c r="H21" s="320" t="s">
        <v>3053</v>
      </c>
      <c r="K21" s="320" t="s">
        <v>3053</v>
      </c>
      <c r="L21" s="320"/>
      <c r="N21" s="320" t="s">
        <v>3053</v>
      </c>
      <c r="Q21" s="320" t="s">
        <v>3053</v>
      </c>
    </row>
    <row r="22" spans="1:19" x14ac:dyDescent="0.2">
      <c r="A22" s="358" t="s">
        <v>3365</v>
      </c>
      <c r="B22" s="320" t="s">
        <v>3055</v>
      </c>
      <c r="D22" s="17" t="s">
        <v>1220</v>
      </c>
      <c r="E22" s="320" t="s">
        <v>3055</v>
      </c>
      <c r="G22" s="107" t="s">
        <v>73</v>
      </c>
      <c r="H22" s="320" t="s">
        <v>3055</v>
      </c>
      <c r="K22" s="320" t="s">
        <v>3055</v>
      </c>
      <c r="L22" s="320"/>
      <c r="N22" s="320" t="s">
        <v>3055</v>
      </c>
      <c r="Q22" s="320" t="s">
        <v>3055</v>
      </c>
    </row>
    <row r="23" spans="1:19" x14ac:dyDescent="0.2">
      <c r="A23" s="359" t="s">
        <v>73</v>
      </c>
      <c r="B23" s="320" t="s">
        <v>3056</v>
      </c>
      <c r="D23" s="106" t="s">
        <v>1443</v>
      </c>
      <c r="E23" s="320" t="s">
        <v>3056</v>
      </c>
      <c r="G23" s="17" t="s">
        <v>1485</v>
      </c>
      <c r="H23" s="320" t="s">
        <v>3056</v>
      </c>
      <c r="K23" s="320" t="s">
        <v>3056</v>
      </c>
      <c r="L23" s="320"/>
      <c r="N23" s="320" t="s">
        <v>3056</v>
      </c>
      <c r="Q23" s="320" t="s">
        <v>3056</v>
      </c>
    </row>
    <row r="24" spans="1:19" x14ac:dyDescent="0.2">
      <c r="A24" s="357" t="s">
        <v>1732</v>
      </c>
      <c r="B24" s="320" t="s">
        <v>3429</v>
      </c>
      <c r="D24" s="107" t="s">
        <v>1086</v>
      </c>
      <c r="E24" s="320" t="s">
        <v>3429</v>
      </c>
      <c r="H24" s="320" t="s">
        <v>3429</v>
      </c>
      <c r="K24" s="320" t="s">
        <v>3429</v>
      </c>
      <c r="N24" s="320" t="s">
        <v>3429</v>
      </c>
      <c r="Q24" s="320" t="s">
        <v>3429</v>
      </c>
    </row>
    <row r="25" spans="1:19" x14ac:dyDescent="0.2">
      <c r="A25" s="358" t="s">
        <v>568</v>
      </c>
      <c r="B25" s="320" t="s">
        <v>3417</v>
      </c>
      <c r="D25" s="17" t="s">
        <v>1225</v>
      </c>
      <c r="E25" s="320" t="s">
        <v>3417</v>
      </c>
      <c r="H25" s="320" t="s">
        <v>3417</v>
      </c>
      <c r="K25" s="320" t="s">
        <v>3417</v>
      </c>
      <c r="N25" s="320" t="s">
        <v>3417</v>
      </c>
      <c r="Q25" s="320" t="s">
        <v>3417</v>
      </c>
    </row>
    <row r="26" spans="1:19" x14ac:dyDescent="0.2">
      <c r="A26" s="359" t="s">
        <v>1086</v>
      </c>
      <c r="D26" s="106" t="s">
        <v>1442</v>
      </c>
      <c r="E26" s="320"/>
      <c r="H26" s="320"/>
      <c r="K26" s="320"/>
      <c r="N26" s="320"/>
      <c r="Q26" s="320"/>
    </row>
    <row r="27" spans="1:19" x14ac:dyDescent="0.2">
      <c r="A27" s="357" t="s">
        <v>1225</v>
      </c>
      <c r="D27" s="107" t="s">
        <v>749</v>
      </c>
      <c r="E27" s="320"/>
      <c r="H27" s="320"/>
      <c r="K27" s="320"/>
      <c r="N27" s="320"/>
      <c r="Q27" s="320"/>
      <c r="S27" s="320" t="s">
        <v>3049</v>
      </c>
    </row>
    <row r="28" spans="1:19" x14ac:dyDescent="0.2">
      <c r="A28" s="358" t="s">
        <v>1441</v>
      </c>
      <c r="D28" s="17" t="s">
        <v>2951</v>
      </c>
      <c r="E28" s="320"/>
      <c r="H28" s="320"/>
      <c r="K28" s="320"/>
      <c r="N28" s="320"/>
      <c r="Q28" s="320"/>
      <c r="S28" s="320" t="s">
        <v>3048</v>
      </c>
    </row>
    <row r="29" spans="1:19" x14ac:dyDescent="0.2">
      <c r="A29" s="359" t="s">
        <v>749</v>
      </c>
      <c r="D29" s="106" t="s">
        <v>3366</v>
      </c>
      <c r="E29" s="320"/>
      <c r="H29" s="320"/>
      <c r="K29" s="320"/>
      <c r="N29" s="320"/>
      <c r="Q29" s="320"/>
      <c r="S29" s="320" t="s">
        <v>3047</v>
      </c>
    </row>
    <row r="30" spans="1:19" x14ac:dyDescent="0.2">
      <c r="A30" s="357" t="s">
        <v>2951</v>
      </c>
      <c r="D30" s="107" t="s">
        <v>73</v>
      </c>
      <c r="S30" s="320" t="s">
        <v>3046</v>
      </c>
    </row>
    <row r="31" spans="1:19" x14ac:dyDescent="0.2">
      <c r="A31" s="358" t="s">
        <v>1443</v>
      </c>
      <c r="D31" s="17" t="s">
        <v>1485</v>
      </c>
      <c r="S31" s="320" t="s">
        <v>3045</v>
      </c>
    </row>
    <row r="32" spans="1:19" x14ac:dyDescent="0.2">
      <c r="A32" s="359" t="s">
        <v>73</v>
      </c>
      <c r="S32" s="320" t="s">
        <v>3050</v>
      </c>
    </row>
    <row r="33" spans="1:19" x14ac:dyDescent="0.2">
      <c r="A33" s="357" t="s">
        <v>2954</v>
      </c>
      <c r="S33" s="320" t="s">
        <v>3051</v>
      </c>
    </row>
    <row r="34" spans="1:19" x14ac:dyDescent="0.2">
      <c r="A34" s="358" t="s">
        <v>283</v>
      </c>
      <c r="S34" s="320" t="s">
        <v>3052</v>
      </c>
    </row>
    <row r="35" spans="1:19" x14ac:dyDescent="0.2">
      <c r="A35" s="359" t="s">
        <v>73</v>
      </c>
      <c r="S35" s="320" t="s">
        <v>3053</v>
      </c>
    </row>
    <row r="36" spans="1:19" x14ac:dyDescent="0.2">
      <c r="A36" s="357" t="s">
        <v>1485</v>
      </c>
      <c r="S36" s="320" t="s">
        <v>3054</v>
      </c>
    </row>
    <row r="37" spans="1:19" x14ac:dyDescent="0.2">
      <c r="S37" s="320" t="s">
        <v>3055</v>
      </c>
    </row>
    <row r="38" spans="1:19" x14ac:dyDescent="0.2">
      <c r="S38" s="320" t="s">
        <v>3056</v>
      </c>
    </row>
    <row r="39" spans="1:19" x14ac:dyDescent="0.2">
      <c r="S39" s="320" t="s">
        <v>3429</v>
      </c>
    </row>
    <row r="40" spans="1:19" x14ac:dyDescent="0.2">
      <c r="S40" s="320" t="s">
        <v>3417</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H64" sqref="H64"/>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16" t="str">
        <f ca="1">"AUDIENCIAS ASIGNADAS  AL DIA: " &amp; TEXT(TODAY(),"DD/MM/YYYY")</f>
        <v>AUDIENCIAS ASIGNADAS  AL DIA: 29/10/YYYY</v>
      </c>
      <c r="C1" s="416"/>
      <c r="D1" s="416"/>
      <c r="E1" s="416"/>
      <c r="F1" s="416"/>
      <c r="G1" s="416"/>
      <c r="H1" s="416"/>
      <c r="I1" s="416"/>
    </row>
    <row r="3" spans="2:9" ht="28.5" customHeight="1" x14ac:dyDescent="0.2">
      <c r="B3" s="414" t="s">
        <v>2042</v>
      </c>
      <c r="C3" s="415"/>
      <c r="E3" s="414" t="s">
        <v>2354</v>
      </c>
      <c r="F3" s="415"/>
      <c r="H3" s="414" t="s">
        <v>2381</v>
      </c>
      <c r="I3" s="415"/>
    </row>
    <row r="4" spans="2:9" ht="20.100000000000001" customHeight="1" x14ac:dyDescent="0.2">
      <c r="B4" s="11" t="s">
        <v>382</v>
      </c>
      <c r="C4" s="11" t="s">
        <v>362</v>
      </c>
      <c r="E4" s="11" t="s">
        <v>382</v>
      </c>
      <c r="F4" s="11" t="s">
        <v>362</v>
      </c>
      <c r="H4" s="11" t="s">
        <v>382</v>
      </c>
      <c r="I4" s="11" t="s">
        <v>362</v>
      </c>
    </row>
    <row r="5" spans="2:9" ht="24.95" customHeight="1" x14ac:dyDescent="0.2">
      <c r="B5" s="10" t="s">
        <v>35</v>
      </c>
      <c r="C5" s="10">
        <f>COUNTIF(EXPEDIENTES!$J:$J,$B5)</f>
        <v>129</v>
      </c>
      <c r="D5" s="9"/>
      <c r="E5" s="10" t="s">
        <v>1222</v>
      </c>
      <c r="F5" s="10">
        <f>COUNTIF(EXPEDIENTES!$J:$J,$E5)</f>
        <v>29</v>
      </c>
      <c r="H5" s="10" t="s">
        <v>1689</v>
      </c>
      <c r="I5" s="10">
        <f>COUNTIF(EXPEDIENTES!$J:$J,$H5)</f>
        <v>4</v>
      </c>
    </row>
    <row r="6" spans="2:9" ht="24.95" customHeight="1" x14ac:dyDescent="0.2">
      <c r="B6" s="10" t="s">
        <v>31</v>
      </c>
      <c r="C6" s="10">
        <f>COUNTIF(EXPEDIENTES!$J:$J,$B6)</f>
        <v>144</v>
      </c>
      <c r="E6" s="10" t="s">
        <v>1223</v>
      </c>
      <c r="F6" s="10">
        <f>COUNTIF(EXPEDIENTES!$J:$J,$E6)</f>
        <v>27</v>
      </c>
      <c r="H6" s="195" t="s">
        <v>370</v>
      </c>
      <c r="I6" s="59">
        <f>SUM(I5)</f>
        <v>4</v>
      </c>
    </row>
    <row r="7" spans="2:9" ht="24.95" customHeight="1" x14ac:dyDescent="0.2">
      <c r="B7" s="10" t="s">
        <v>33</v>
      </c>
      <c r="C7" s="10">
        <f>COUNTIF(EXPEDIENTES!$J:$J,$B7)</f>
        <v>137</v>
      </c>
      <c r="E7" s="10" t="s">
        <v>1224</v>
      </c>
      <c r="F7" s="10">
        <f>COUNTIF(EXPEDIENTES!$J:$J,$E7)</f>
        <v>19</v>
      </c>
    </row>
    <row r="8" spans="2:9" ht="24.95" customHeight="1" x14ac:dyDescent="0.2">
      <c r="B8" s="10" t="s">
        <v>78</v>
      </c>
      <c r="C8" s="10">
        <f>COUNTIF(EXPEDIENTES!$J:$J,$B8)</f>
        <v>133</v>
      </c>
      <c r="E8" s="10" t="s">
        <v>1625</v>
      </c>
      <c r="F8" s="10">
        <f>COUNTIF(EXPEDIENTES!$J:$J,$E8)</f>
        <v>19</v>
      </c>
    </row>
    <row r="9" spans="2:9" ht="24.95" customHeight="1" x14ac:dyDescent="0.2">
      <c r="B9" s="10" t="s">
        <v>1220</v>
      </c>
      <c r="C9" s="10">
        <f>COUNTIF(EXPEDIENTES!$J:$J,$B9)</f>
        <v>54</v>
      </c>
      <c r="E9" s="10" t="s">
        <v>1492</v>
      </c>
      <c r="F9" s="10">
        <f>COUNTIF(EXPEDIENTES!$J:$J,$E9)</f>
        <v>11</v>
      </c>
    </row>
    <row r="10" spans="2:9" ht="24.95" customHeight="1" x14ac:dyDescent="0.2">
      <c r="B10" s="10" t="s">
        <v>1225</v>
      </c>
      <c r="C10" s="10">
        <f>COUNTIF(EXPEDIENTES!$J:$J,$B10)</f>
        <v>27</v>
      </c>
      <c r="E10" s="10" t="s">
        <v>1732</v>
      </c>
      <c r="F10" s="10">
        <f>COUNTIF(EXPEDIENTES!$J:$J,$E10)</f>
        <v>23</v>
      </c>
      <c r="H10" s="113"/>
      <c r="I10" s="113"/>
    </row>
    <row r="11" spans="2:9" ht="24.95" customHeight="1" x14ac:dyDescent="0.2">
      <c r="B11" s="10" t="s">
        <v>1221</v>
      </c>
      <c r="C11" s="10">
        <f>COUNTIF(EXPEDIENTES!$J:$J,$B11)</f>
        <v>73</v>
      </c>
      <c r="E11" s="343" t="s">
        <v>2951</v>
      </c>
      <c r="F11" s="10">
        <f>COUNTIF(EXPEDIENTES!$J:$J,$E11)</f>
        <v>21</v>
      </c>
      <c r="H11" s="113"/>
      <c r="I11" s="113"/>
    </row>
    <row r="12" spans="2:9" s="339" customFormat="1" ht="24.95" customHeight="1" x14ac:dyDescent="0.2">
      <c r="B12" s="338" t="s">
        <v>370</v>
      </c>
      <c r="C12" s="59">
        <f>SUM(C5:C11)</f>
        <v>697</v>
      </c>
      <c r="E12" s="344" t="s">
        <v>2954</v>
      </c>
      <c r="F12" s="345">
        <f>COUNTIF(EXPEDIENTES!$J:$J,$E12)</f>
        <v>15</v>
      </c>
      <c r="H12" s="340"/>
      <c r="I12" s="340"/>
    </row>
    <row r="13" spans="2:9" s="339" customFormat="1" ht="24.95" customHeight="1" x14ac:dyDescent="0.2">
      <c r="E13" s="195" t="s">
        <v>370</v>
      </c>
      <c r="F13" s="59">
        <f>SUM(F5:F12)</f>
        <v>164</v>
      </c>
      <c r="H13" s="340"/>
      <c r="I13" s="340"/>
    </row>
    <row r="14" spans="2:9" s="339" customFormat="1" ht="24.95" customHeight="1" x14ac:dyDescent="0.2">
      <c r="E14" s="342"/>
      <c r="F14" s="342"/>
      <c r="H14" s="340"/>
      <c r="I14" s="340"/>
    </row>
    <row r="15" spans="2:9" s="339" customFormat="1" ht="24.95" customHeight="1" x14ac:dyDescent="0.2">
      <c r="B15" s="340"/>
      <c r="C15" s="340"/>
      <c r="E15" s="342"/>
      <c r="F15" s="342"/>
      <c r="H15" s="340"/>
      <c r="I15" s="340"/>
    </row>
    <row r="16" spans="2:9" s="339" customFormat="1" ht="24.95" customHeight="1" x14ac:dyDescent="0.2">
      <c r="B16" s="340"/>
      <c r="C16" s="340"/>
    </row>
    <row r="17" spans="2:9" s="339" customFormat="1" ht="24.95" customHeight="1" x14ac:dyDescent="0.2">
      <c r="B17" s="340"/>
      <c r="C17" s="340"/>
      <c r="E17" s="342"/>
      <c r="F17" s="342"/>
      <c r="H17" s="340"/>
      <c r="I17" s="340"/>
    </row>
    <row r="18" spans="2:9" s="339" customFormat="1" ht="24.95" customHeight="1" x14ac:dyDescent="0.2">
      <c r="B18" s="340"/>
      <c r="C18" s="340"/>
      <c r="E18" s="342"/>
      <c r="F18" s="342"/>
      <c r="H18" s="340"/>
      <c r="I18" s="340"/>
    </row>
    <row r="19" spans="2:9" s="339" customFormat="1" ht="24.95" customHeight="1" x14ac:dyDescent="0.2">
      <c r="B19" s="342"/>
      <c r="C19" s="342"/>
      <c r="E19" s="342"/>
      <c r="F19" s="342"/>
      <c r="H19" s="340"/>
      <c r="I19" s="340"/>
    </row>
    <row r="20" spans="2:9" s="339" customFormat="1" ht="24.95" customHeight="1" x14ac:dyDescent="0.2">
      <c r="B20" s="340"/>
      <c r="C20" s="340"/>
      <c r="E20" s="342"/>
      <c r="F20" s="342"/>
      <c r="H20" s="340"/>
      <c r="I20" s="340"/>
    </row>
    <row r="21" spans="2:9" s="339" customFormat="1" ht="24.95" customHeight="1" x14ac:dyDescent="0.2">
      <c r="B21" s="342"/>
      <c r="C21" s="342"/>
      <c r="E21" s="342"/>
      <c r="F21" s="342"/>
      <c r="H21" s="340"/>
      <c r="I21" s="340"/>
    </row>
    <row r="22" spans="2:9" ht="24.95" customHeight="1" x14ac:dyDescent="0.2">
      <c r="B22" s="340"/>
      <c r="C22" s="341"/>
      <c r="E22" s="112"/>
      <c r="F22" s="112"/>
      <c r="H22" s="113"/>
      <c r="I22" s="113"/>
    </row>
    <row r="23" spans="2:9" s="339" customFormat="1" ht="24.95" customHeight="1" x14ac:dyDescent="0.2">
      <c r="B23" s="340"/>
      <c r="C23" s="341"/>
      <c r="E23" s="342"/>
      <c r="F23" s="342"/>
      <c r="H23" s="340"/>
      <c r="I23" s="340"/>
    </row>
    <row r="24" spans="2:9" s="339" customFormat="1" ht="24.95" customHeight="1" x14ac:dyDescent="0.2">
      <c r="B24" s="340"/>
      <c r="C24" s="341"/>
      <c r="E24" s="342"/>
      <c r="F24" s="342"/>
      <c r="H24" s="340"/>
      <c r="I24" s="340"/>
    </row>
    <row r="25" spans="2:9" ht="24.95" customHeight="1" x14ac:dyDescent="0.2">
      <c r="B25" s="113"/>
      <c r="C25" s="113"/>
      <c r="E25" s="112"/>
      <c r="F25" s="112"/>
      <c r="H25" s="113"/>
      <c r="I25" s="113"/>
    </row>
    <row r="26" spans="2:9" ht="24.95" customHeight="1" x14ac:dyDescent="0.2">
      <c r="B26" s="416" t="str">
        <f ca="1">"AUDIENCIAS QUE RESTAN RESOLVER -  AL DIA: " &amp; TEXT(TODAY(),"DD/MM/YYYY")</f>
        <v>AUDIENCIAS QUE RESTAN RESOLVER -  AL DIA: 29/10/YYYY</v>
      </c>
      <c r="C26" s="416"/>
      <c r="D26" s="416"/>
      <c r="E26" s="416"/>
      <c r="F26" s="416"/>
      <c r="G26" s="416"/>
      <c r="H26" s="416"/>
      <c r="I26" s="416"/>
    </row>
    <row r="27" spans="2:9" ht="24.95" customHeight="1" x14ac:dyDescent="0.2"/>
    <row r="28" spans="2:9" ht="24.95" customHeight="1" x14ac:dyDescent="0.2">
      <c r="B28" s="414" t="s">
        <v>2043</v>
      </c>
      <c r="C28" s="415"/>
      <c r="E28" s="414" t="s">
        <v>2355</v>
      </c>
      <c r="F28" s="415"/>
      <c r="H28" s="414" t="s">
        <v>2044</v>
      </c>
      <c r="I28" s="415"/>
    </row>
    <row r="29" spans="2:9" ht="24.95" customHeight="1" x14ac:dyDescent="0.2">
      <c r="B29" s="11" t="s">
        <v>382</v>
      </c>
      <c r="C29" s="11" t="s">
        <v>362</v>
      </c>
      <c r="E29" s="11" t="s">
        <v>382</v>
      </c>
      <c r="F29" s="11" t="s">
        <v>362</v>
      </c>
      <c r="H29" s="11" t="s">
        <v>382</v>
      </c>
      <c r="I29" s="11" t="s">
        <v>362</v>
      </c>
    </row>
    <row r="30" spans="2:9" ht="24.95" customHeight="1" x14ac:dyDescent="0.2">
      <c r="B30" s="10" t="s">
        <v>35</v>
      </c>
      <c r="C30" s="10">
        <f ca="1">COUNTIFS(EXPEDIENTES!J:J,$B30,EXPEDIENTES!O:O,"NO")</f>
        <v>6</v>
      </c>
      <c r="E30" s="10" t="s">
        <v>1222</v>
      </c>
      <c r="F30" s="10">
        <f ca="1">COUNTIFS(EXPEDIENTES!J:J,$E30,EXPEDIENTES!O:O,"NO")</f>
        <v>0</v>
      </c>
      <c r="H30" s="10" t="s">
        <v>1689</v>
      </c>
      <c r="I30" s="10">
        <f ca="1">COUNTIFS(EXPEDIENTES!J:J,$H30,EXPEDIENTES!O:O,"NO")</f>
        <v>0</v>
      </c>
    </row>
    <row r="31" spans="2:9" ht="24.95" customHeight="1" x14ac:dyDescent="0.2">
      <c r="B31" s="10" t="s">
        <v>31</v>
      </c>
      <c r="C31" s="10">
        <f ca="1">COUNTIFS(EXPEDIENTES!J:J,$B31,EXPEDIENTES!O:O,"NO")</f>
        <v>13</v>
      </c>
      <c r="E31" s="10" t="s">
        <v>1223</v>
      </c>
      <c r="F31" s="10">
        <f ca="1">COUNTIFS(EXPEDIENTES!J:J,$E31,EXPEDIENTES!O:O,"NO")</f>
        <v>0</v>
      </c>
      <c r="H31" s="195" t="s">
        <v>370</v>
      </c>
      <c r="I31" s="59">
        <f ca="1">SUM(I30)</f>
        <v>0</v>
      </c>
    </row>
    <row r="32" spans="2:9" ht="20.100000000000001" customHeight="1" x14ac:dyDescent="0.2">
      <c r="B32" s="10" t="s">
        <v>33</v>
      </c>
      <c r="C32" s="10">
        <f ca="1">COUNTIFS(EXPEDIENTES!J:J,$B32,EXPEDIENTES!O:O,"NO")</f>
        <v>3</v>
      </c>
      <c r="E32" s="10" t="s">
        <v>1224</v>
      </c>
      <c r="F32" s="10">
        <f ca="1">COUNTIFS(EXPEDIENTES!J:J,$E32,EXPEDIENTES!O:O,"NO")</f>
        <v>0</v>
      </c>
    </row>
    <row r="33" spans="2:6" ht="20.100000000000001" customHeight="1" x14ac:dyDescent="0.2">
      <c r="B33" s="10" t="s">
        <v>78</v>
      </c>
      <c r="C33" s="10">
        <f ca="1">COUNTIFS(EXPEDIENTES!J:J,$B33,EXPEDIENTES!O:O,"NO")</f>
        <v>13</v>
      </c>
      <c r="E33" s="10" t="s">
        <v>1625</v>
      </c>
      <c r="F33" s="10">
        <f ca="1">COUNTIFS(EXPEDIENTES!J:J,$E33,EXPEDIENTES!O:O,"NO")</f>
        <v>0</v>
      </c>
    </row>
    <row r="34" spans="2:6" ht="20.100000000000001" customHeight="1" x14ac:dyDescent="0.2">
      <c r="B34" s="10" t="s">
        <v>1220</v>
      </c>
      <c r="C34" s="10">
        <f ca="1">COUNTIFS(EXPEDIENTES!J:J,$B34,EXPEDIENTES!O:O,"NO")</f>
        <v>7</v>
      </c>
      <c r="E34" s="10" t="s">
        <v>1492</v>
      </c>
      <c r="F34" s="10">
        <f ca="1">COUNTIFS(EXPEDIENTES!J:J,$E34,EXPEDIENTES!O:O,"NO")</f>
        <v>0</v>
      </c>
    </row>
    <row r="35" spans="2:6" ht="20.100000000000001" customHeight="1" x14ac:dyDescent="0.2">
      <c r="B35" s="10" t="s">
        <v>1225</v>
      </c>
      <c r="C35" s="10">
        <f ca="1">COUNTIFS(EXPEDIENTES!J:J,$B35,EXPEDIENTES!O:O,"NO")</f>
        <v>6</v>
      </c>
      <c r="E35" s="10" t="s">
        <v>1732</v>
      </c>
      <c r="F35" s="10">
        <f ca="1">COUNTIFS(EXPEDIENTES!J:J,$E35,EXPEDIENTES!O:O,"NO")</f>
        <v>5</v>
      </c>
    </row>
    <row r="36" spans="2:6" ht="20.100000000000001" customHeight="1" x14ac:dyDescent="0.2">
      <c r="B36" s="10" t="s">
        <v>1221</v>
      </c>
      <c r="C36" s="10">
        <f ca="1">COUNTIFS(EXPEDIENTES!J:J,$B36,EXPEDIENTES!O:O,"NO")</f>
        <v>10</v>
      </c>
      <c r="E36" s="343" t="s">
        <v>2951</v>
      </c>
      <c r="F36" s="10">
        <f ca="1">COUNTIFS(EXPEDIENTES!J:J,$E36,EXPEDIENTES!O:O,"NO")</f>
        <v>6</v>
      </c>
    </row>
    <row r="37" spans="2:6" ht="20.100000000000001" customHeight="1" x14ac:dyDescent="0.2">
      <c r="B37" s="195" t="s">
        <v>963</v>
      </c>
      <c r="C37" s="59">
        <f ca="1">SUM(C30:C36)</f>
        <v>58</v>
      </c>
      <c r="E37" s="344" t="s">
        <v>2954</v>
      </c>
      <c r="F37" s="10">
        <f ca="1">COUNTIFS(EXPEDIENTES!J:J,$E37,EXPEDIENTES!O:O,"NO")</f>
        <v>3</v>
      </c>
    </row>
    <row r="38" spans="2:6" s="339" customFormat="1" ht="20.100000000000001" customHeight="1" x14ac:dyDescent="0.2">
      <c r="E38" s="195" t="s">
        <v>370</v>
      </c>
      <c r="F38" s="59">
        <f ca="1">SUM(F30:F37)</f>
        <v>14</v>
      </c>
    </row>
    <row r="39" spans="2:6" s="339" customFormat="1" ht="20.100000000000001" customHeight="1" x14ac:dyDescent="0.2"/>
    <row r="40" spans="2:6" s="339" customFormat="1" ht="20.100000000000001" customHeight="1" x14ac:dyDescent="0.2">
      <c r="B40" s="340"/>
      <c r="C40" s="341"/>
    </row>
    <row r="41" spans="2:6" s="339" customFormat="1" ht="20.100000000000001" customHeight="1" x14ac:dyDescent="0.2">
      <c r="B41" s="340"/>
      <c r="C41" s="341"/>
    </row>
    <row r="42" spans="2:6" s="339" customFormat="1" ht="20.100000000000001" customHeight="1" x14ac:dyDescent="0.2">
      <c r="B42" s="340"/>
      <c r="C42" s="341"/>
    </row>
    <row r="43" spans="2:6" s="339" customFormat="1" ht="20.100000000000001" customHeight="1" x14ac:dyDescent="0.2">
      <c r="B43" s="340"/>
      <c r="C43" s="341"/>
    </row>
    <row r="44" spans="2:6" s="339" customFormat="1" ht="20.100000000000001" customHeight="1" x14ac:dyDescent="0.2">
      <c r="B44" s="340"/>
      <c r="C44" s="341"/>
    </row>
    <row r="45" spans="2:6" s="339" customFormat="1" ht="20.100000000000001" customHeight="1" x14ac:dyDescent="0.2">
      <c r="B45" s="340"/>
      <c r="C45" s="341"/>
    </row>
    <row r="46" spans="2:6" s="339" customFormat="1" ht="20.100000000000001" customHeight="1" x14ac:dyDescent="0.2">
      <c r="B46" s="340"/>
      <c r="C46" s="341"/>
    </row>
    <row r="47" spans="2:6" s="339" customFormat="1" ht="20.100000000000001" customHeight="1" x14ac:dyDescent="0.2">
      <c r="B47" s="340"/>
      <c r="C47" s="341"/>
    </row>
    <row r="48" spans="2:6" s="339" customFormat="1" ht="20.100000000000001" customHeight="1" x14ac:dyDescent="0.2">
      <c r="B48" s="340"/>
      <c r="C48" s="341"/>
    </row>
    <row r="49" spans="2:9" s="339" customFormat="1" ht="20.100000000000001" customHeight="1" x14ac:dyDescent="0.2">
      <c r="B49" s="340"/>
      <c r="C49" s="341"/>
    </row>
    <row r="50" spans="2:9" s="339" customFormat="1" ht="20.100000000000001" customHeight="1" x14ac:dyDescent="0.2">
      <c r="B50" s="340"/>
      <c r="C50" s="341"/>
    </row>
    <row r="51" spans="2:9" s="339" customFormat="1" ht="20.100000000000001" customHeight="1" x14ac:dyDescent="0.2">
      <c r="B51" s="340"/>
      <c r="C51" s="341"/>
    </row>
    <row r="52" spans="2:9" s="339" customFormat="1" ht="20.100000000000001" customHeight="1" x14ac:dyDescent="0.2">
      <c r="B52" s="340"/>
      <c r="C52" s="341"/>
    </row>
    <row r="53" spans="2:9" ht="20.100000000000001" customHeight="1" x14ac:dyDescent="0.2">
      <c r="B53" s="416" t="str">
        <f ca="1">"AUDIENCIAS RESUELTAS AL DIA: " &amp; TEXT(TODAY(),"DD/MM/YYYY")</f>
        <v>AUDIENCIAS RESUELTAS AL DIA: 29/10/YYYY</v>
      </c>
      <c r="C53" s="416"/>
      <c r="D53" s="416"/>
      <c r="E53" s="416"/>
      <c r="F53" s="416"/>
      <c r="G53" s="416"/>
      <c r="H53" s="416"/>
      <c r="I53" s="416"/>
    </row>
    <row r="54" spans="2:9" ht="20.100000000000001" customHeight="1" x14ac:dyDescent="0.2"/>
    <row r="55" spans="2:9" ht="28.35" customHeight="1" x14ac:dyDescent="0.2">
      <c r="B55" s="414" t="s">
        <v>2045</v>
      </c>
      <c r="C55" s="415"/>
      <c r="E55" s="414" t="s">
        <v>2046</v>
      </c>
      <c r="F55" s="415"/>
      <c r="H55" s="414" t="s">
        <v>2047</v>
      </c>
      <c r="I55" s="415"/>
    </row>
    <row r="56" spans="2:9" ht="20.100000000000001" customHeight="1" x14ac:dyDescent="0.2">
      <c r="B56" s="11" t="s">
        <v>382</v>
      </c>
      <c r="C56" s="11" t="s">
        <v>362</v>
      </c>
      <c r="E56" s="11" t="s">
        <v>382</v>
      </c>
      <c r="F56" s="11" t="s">
        <v>362</v>
      </c>
      <c r="H56" s="11" t="s">
        <v>382</v>
      </c>
      <c r="I56" s="11" t="s">
        <v>362</v>
      </c>
    </row>
    <row r="57" spans="2:9" ht="24.95" customHeight="1" x14ac:dyDescent="0.2">
      <c r="B57" s="10" t="s">
        <v>35</v>
      </c>
      <c r="C57" s="10">
        <f ca="1">COUNTIFS(EXPEDIENTES!J:J,$B57,EXPEDIENTES!O:O,"SI")</f>
        <v>123</v>
      </c>
      <c r="E57" s="10" t="s">
        <v>1222</v>
      </c>
      <c r="F57" s="10">
        <f ca="1">COUNTIFS(EXPEDIENTES!J:J,$E57,EXPEDIENTES!O:O,"SI")</f>
        <v>29</v>
      </c>
      <c r="H57" s="10" t="s">
        <v>1689</v>
      </c>
      <c r="I57" s="10">
        <f ca="1">COUNTIFS(EXPEDIENTES!J:J,$H57,EXPEDIENTES!O:O,"SI")</f>
        <v>4</v>
      </c>
    </row>
    <row r="58" spans="2:9" ht="24.95" customHeight="1" x14ac:dyDescent="0.2">
      <c r="B58" s="10" t="s">
        <v>31</v>
      </c>
      <c r="C58" s="10">
        <f ca="1">COUNTIFS(EXPEDIENTES!J:J,$B58,EXPEDIENTES!O:O,"SI")</f>
        <v>131</v>
      </c>
      <c r="E58" s="10" t="s">
        <v>1223</v>
      </c>
      <c r="F58" s="10">
        <f ca="1">COUNTIFS(EXPEDIENTES!J:J,$E58,EXPEDIENTES!O:O,"SI")</f>
        <v>27</v>
      </c>
      <c r="H58" s="195" t="s">
        <v>370</v>
      </c>
      <c r="I58" s="59">
        <f ca="1">SUM(I57)</f>
        <v>4</v>
      </c>
    </row>
    <row r="59" spans="2:9" ht="24.95" customHeight="1" x14ac:dyDescent="0.2">
      <c r="B59" s="10" t="s">
        <v>33</v>
      </c>
      <c r="C59" s="10">
        <f ca="1">COUNTIFS(EXPEDIENTES!J:J,$B59,EXPEDIENTES!O:O,"SI")</f>
        <v>134</v>
      </c>
      <c r="E59" s="10" t="s">
        <v>1224</v>
      </c>
      <c r="F59" s="10">
        <f ca="1">COUNTIFS(EXPEDIENTES!J:J,$E59,EXPEDIENTES!O:O,"SI")</f>
        <v>19</v>
      </c>
    </row>
    <row r="60" spans="2:9" ht="24.95" customHeight="1" x14ac:dyDescent="0.2">
      <c r="B60" s="10" t="s">
        <v>78</v>
      </c>
      <c r="C60" s="10">
        <f ca="1">COUNTIFS(EXPEDIENTES!J:J,$B60,EXPEDIENTES!O:O,"SI")</f>
        <v>120</v>
      </c>
      <c r="E60" s="10" t="s">
        <v>1625</v>
      </c>
      <c r="F60" s="10">
        <f ca="1">COUNTIFS(EXPEDIENTES!J:J,$E60,EXPEDIENTES!O:O,"SI")</f>
        <v>19</v>
      </c>
    </row>
    <row r="61" spans="2:9" ht="24.95" customHeight="1" x14ac:dyDescent="0.2">
      <c r="B61" s="10" t="s">
        <v>1220</v>
      </c>
      <c r="C61" s="10">
        <f ca="1">COUNTIFS(EXPEDIENTES!J:J,$B61,EXPEDIENTES!O:O,"SI")</f>
        <v>47</v>
      </c>
      <c r="E61" s="10" t="s">
        <v>1492</v>
      </c>
      <c r="F61" s="10">
        <f ca="1">COUNTIFS(EXPEDIENTES!J:J,$E61,EXPEDIENTES!O:O,"SI")</f>
        <v>11</v>
      </c>
    </row>
    <row r="62" spans="2:9" ht="24.95" customHeight="1" x14ac:dyDescent="0.2">
      <c r="B62" s="10" t="s">
        <v>1225</v>
      </c>
      <c r="C62" s="10">
        <f ca="1">COUNTIFS(EXPEDIENTES!J:J,$B62,EXPEDIENTES!O:O,"SI")</f>
        <v>21</v>
      </c>
      <c r="E62" s="10" t="s">
        <v>1732</v>
      </c>
      <c r="F62" s="10">
        <f ca="1">COUNTIFS(EXPEDIENTES!J:J,$E62,EXPEDIENTES!O:O,"SI")</f>
        <v>18</v>
      </c>
      <c r="G62" s="112"/>
      <c r="H62" s="112"/>
    </row>
    <row r="63" spans="2:9" ht="24.95" customHeight="1" x14ac:dyDescent="0.2">
      <c r="B63" s="10" t="s">
        <v>1221</v>
      </c>
      <c r="C63" s="10">
        <f ca="1">COUNTIFS(EXPEDIENTES!J:J,$B63,EXPEDIENTES!O:O,"SI")</f>
        <v>63</v>
      </c>
      <c r="E63" s="343" t="s">
        <v>2951</v>
      </c>
      <c r="F63" s="10">
        <f ca="1">COUNTIFS(EXPEDIENTES!J:J,$E63,EXPEDIENTES!O:O,"SI")</f>
        <v>15</v>
      </c>
      <c r="G63" s="112"/>
      <c r="H63" s="112"/>
    </row>
    <row r="64" spans="2:9" ht="24.95" customHeight="1" x14ac:dyDescent="0.2">
      <c r="B64" s="195" t="s">
        <v>2033</v>
      </c>
      <c r="C64" s="28">
        <f ca="1">SUM(C57:C63)</f>
        <v>639</v>
      </c>
      <c r="E64" s="344" t="s">
        <v>2954</v>
      </c>
      <c r="F64" s="10">
        <f ca="1">COUNTIFS(EXPEDIENTES!J:J,$E64,EXPEDIENTES!O:O,"SI")</f>
        <v>12</v>
      </c>
      <c r="G64" s="112"/>
      <c r="H64" s="112"/>
    </row>
    <row r="65" spans="2:6" ht="24.95" customHeight="1" x14ac:dyDescent="0.2">
      <c r="E65" s="195" t="s">
        <v>370</v>
      </c>
      <c r="F65" s="59">
        <f ca="1">SUM(F57:F64)</f>
        <v>150</v>
      </c>
    </row>
    <row r="66" spans="2:6" ht="24.95" customHeight="1" x14ac:dyDescent="0.2"/>
    <row r="67" spans="2:6" ht="24.95" customHeight="1" x14ac:dyDescent="0.2"/>
    <row r="68" spans="2:6" ht="24.95" customHeight="1" x14ac:dyDescent="0.2">
      <c r="B68" s="413" t="s">
        <v>457</v>
      </c>
      <c r="C68" s="413"/>
    </row>
    <row r="69" spans="2:6" ht="24.95" customHeight="1" x14ac:dyDescent="0.2">
      <c r="B69" s="10" t="s">
        <v>458</v>
      </c>
      <c r="C69" s="10">
        <f>'no realizadas'!N12</f>
        <v>17</v>
      </c>
    </row>
    <row r="70" spans="2:6" ht="24.95" customHeight="1" x14ac:dyDescent="0.2">
      <c r="B70" s="113"/>
      <c r="C70" s="113"/>
    </row>
    <row r="71" spans="2:6" ht="24.95" customHeight="1" x14ac:dyDescent="0.2">
      <c r="B71" s="112"/>
      <c r="C71" s="112"/>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3"/>
      <c r="C90" s="113"/>
      <c r="E90" s="90"/>
      <c r="F90" s="113"/>
      <c r="G90" s="112"/>
      <c r="H90" s="112"/>
    </row>
    <row r="91" spans="2:8" ht="24.95" customHeight="1" x14ac:dyDescent="0.2">
      <c r="B91" s="113"/>
      <c r="C91" s="113"/>
      <c r="E91" s="90"/>
      <c r="F91" s="113"/>
      <c r="G91" s="112"/>
      <c r="H91" s="112"/>
    </row>
    <row r="92" spans="2:8" ht="24.95" customHeight="1" x14ac:dyDescent="0.2">
      <c r="B92" s="113"/>
      <c r="C92" s="113"/>
      <c r="E92" s="90"/>
      <c r="F92" s="113"/>
      <c r="G92" s="112"/>
      <c r="H92" s="112"/>
    </row>
    <row r="93" spans="2:8" ht="24.95" customHeight="1" x14ac:dyDescent="0.2">
      <c r="B93" s="113"/>
      <c r="C93" s="113"/>
      <c r="E93" s="108"/>
      <c r="F93" s="113"/>
      <c r="G93" s="112"/>
      <c r="H93" s="112"/>
    </row>
    <row r="94" spans="2:8" ht="24.95" customHeight="1" x14ac:dyDescent="0.2">
      <c r="B94" s="113"/>
      <c r="C94" s="113"/>
      <c r="E94" s="108"/>
      <c r="F94" s="113"/>
      <c r="G94" s="112"/>
      <c r="H94" s="112"/>
    </row>
    <row r="95" spans="2:8" ht="24.95" customHeight="1" x14ac:dyDescent="0.2">
      <c r="B95" s="113"/>
      <c r="C95" s="113"/>
      <c r="E95" s="108"/>
      <c r="F95" s="113"/>
      <c r="G95" s="112"/>
      <c r="H95" s="112"/>
    </row>
    <row r="96" spans="2:8" ht="24.95" customHeight="1" x14ac:dyDescent="0.2">
      <c r="E96" s="108"/>
      <c r="F96" s="113"/>
      <c r="G96" s="112"/>
      <c r="H96" s="112"/>
    </row>
    <row r="97" spans="1:10" ht="20.100000000000001" customHeight="1" x14ac:dyDescent="0.2">
      <c r="E97" s="112"/>
      <c r="F97" s="112"/>
      <c r="G97" s="112"/>
      <c r="H97" s="112"/>
    </row>
    <row r="98" spans="1:10" ht="20.100000000000001" customHeight="1" x14ac:dyDescent="0.2">
      <c r="E98" s="112"/>
      <c r="F98" s="112"/>
      <c r="G98" s="112"/>
      <c r="H98" s="112"/>
    </row>
    <row r="99" spans="1:10" ht="20.100000000000001" customHeight="1" x14ac:dyDescent="0.2">
      <c r="E99" s="112"/>
      <c r="F99" s="112"/>
      <c r="G99" s="112"/>
      <c r="H99" s="112"/>
      <c r="J99" s="9"/>
    </row>
    <row r="100" spans="1:10" ht="20.100000000000001" customHeight="1" x14ac:dyDescent="0.2">
      <c r="E100" s="112"/>
      <c r="F100" s="112"/>
      <c r="G100" s="112"/>
      <c r="H100" s="112"/>
    </row>
    <row r="101" spans="1:10" ht="20.100000000000001" customHeight="1" x14ac:dyDescent="0.2">
      <c r="B101" s="113"/>
      <c r="C101" s="113"/>
      <c r="E101" s="112"/>
      <c r="F101" s="112"/>
      <c r="G101" s="112"/>
      <c r="H101" s="112"/>
    </row>
    <row r="102" spans="1:10" x14ac:dyDescent="0.2">
      <c r="A102" s="214"/>
      <c r="B102" s="214"/>
      <c r="C102" s="214"/>
      <c r="D102" s="214"/>
      <c r="E102" s="214"/>
      <c r="F102" s="112"/>
      <c r="G102" s="112"/>
      <c r="H102" s="112"/>
    </row>
    <row r="103" spans="1:10" x14ac:dyDescent="0.2">
      <c r="A103" s="214"/>
      <c r="B103" s="214"/>
      <c r="C103" s="215"/>
      <c r="D103" s="214"/>
      <c r="E103" s="214"/>
      <c r="F103" s="112"/>
      <c r="G103" s="112"/>
      <c r="H103" s="112"/>
    </row>
    <row r="104" spans="1:10" ht="32.25" customHeight="1" x14ac:dyDescent="0.2">
      <c r="A104" s="214"/>
      <c r="B104" s="216"/>
      <c r="C104" s="216"/>
      <c r="D104" s="216"/>
      <c r="E104" s="214"/>
      <c r="F104" s="112"/>
      <c r="G104" s="112"/>
      <c r="H104" s="112"/>
    </row>
    <row r="105" spans="1:10" ht="35.1" customHeight="1" x14ac:dyDescent="0.2">
      <c r="A105" s="214"/>
      <c r="B105" s="216"/>
      <c r="C105" s="217"/>
      <c r="D105" s="218"/>
      <c r="E105" s="214"/>
      <c r="F105" s="112"/>
      <c r="G105" s="112"/>
      <c r="H105" s="112"/>
    </row>
    <row r="106" spans="1:10" ht="35.1" customHeight="1" x14ac:dyDescent="0.2">
      <c r="A106" s="214"/>
      <c r="B106" s="216"/>
      <c r="C106" s="217"/>
      <c r="D106" s="218"/>
      <c r="E106" s="214"/>
      <c r="F106" s="112"/>
      <c r="G106" s="112"/>
      <c r="H106" s="112"/>
    </row>
    <row r="107" spans="1:10" ht="35.1" customHeight="1" x14ac:dyDescent="0.2">
      <c r="A107" s="214"/>
      <c r="B107" s="216"/>
      <c r="C107" s="217"/>
      <c r="D107" s="218"/>
      <c r="E107" s="214"/>
    </row>
    <row r="108" spans="1:10" ht="35.1" customHeight="1" x14ac:dyDescent="0.2">
      <c r="A108" s="214"/>
      <c r="B108" s="216"/>
      <c r="C108" s="217"/>
      <c r="D108" s="218"/>
      <c r="E108" s="214"/>
    </row>
    <row r="109" spans="1:10" ht="35.1" customHeight="1" x14ac:dyDescent="0.2">
      <c r="A109" s="214"/>
      <c r="B109" s="216"/>
      <c r="C109" s="217"/>
      <c r="D109" s="218"/>
      <c r="E109" s="214"/>
    </row>
    <row r="110" spans="1:10" ht="35.1" customHeight="1" x14ac:dyDescent="0.2">
      <c r="A110" s="214"/>
      <c r="B110" s="216"/>
      <c r="C110" s="217"/>
      <c r="D110" s="218"/>
      <c r="E110" s="214"/>
    </row>
    <row r="111" spans="1:10" ht="35.1" customHeight="1" x14ac:dyDescent="0.2">
      <c r="A111" s="214"/>
      <c r="B111" s="216"/>
      <c r="C111" s="217"/>
      <c r="D111" s="218"/>
      <c r="E111" s="214"/>
    </row>
    <row r="112" spans="1:10" ht="35.1" customHeight="1" x14ac:dyDescent="0.2">
      <c r="A112" s="214"/>
      <c r="B112" s="216"/>
      <c r="C112" s="217"/>
      <c r="D112" s="218"/>
      <c r="E112" s="214"/>
    </row>
    <row r="113" spans="1:5" ht="35.1" customHeight="1" x14ac:dyDescent="0.2">
      <c r="A113" s="214"/>
      <c r="B113" s="216"/>
      <c r="C113" s="217"/>
      <c r="D113" s="218"/>
      <c r="E113" s="214"/>
    </row>
    <row r="114" spans="1:5" ht="34.5" customHeight="1" x14ac:dyDescent="0.2">
      <c r="A114" s="214"/>
      <c r="B114" s="215"/>
      <c r="C114" s="219"/>
      <c r="D114" s="215"/>
      <c r="E114" s="214"/>
    </row>
    <row r="115" spans="1:5" x14ac:dyDescent="0.2">
      <c r="A115" s="214"/>
      <c r="B115" s="214"/>
      <c r="C115" s="214"/>
      <c r="D115" s="214"/>
      <c r="E115" s="214"/>
    </row>
    <row r="116" spans="1:5" x14ac:dyDescent="0.2">
      <c r="A116" s="214"/>
      <c r="B116" s="214"/>
      <c r="C116" s="214"/>
      <c r="D116" s="214"/>
      <c r="E116" s="214"/>
    </row>
    <row r="117" spans="1:5" x14ac:dyDescent="0.2">
      <c r="A117" s="214"/>
      <c r="B117" s="214"/>
      <c r="C117" s="214"/>
      <c r="D117" s="214"/>
      <c r="E117" s="214"/>
    </row>
    <row r="118" spans="1:5" x14ac:dyDescent="0.2">
      <c r="A118" s="214"/>
      <c r="B118" s="214"/>
      <c r="C118" s="214"/>
      <c r="D118" s="214"/>
      <c r="E118" s="214"/>
    </row>
    <row r="119" spans="1:5" x14ac:dyDescent="0.2">
      <c r="A119" s="214"/>
      <c r="B119" s="214"/>
      <c r="C119" s="214"/>
      <c r="D119" s="214"/>
      <c r="E119" s="214"/>
    </row>
    <row r="120" spans="1:5" x14ac:dyDescent="0.2">
      <c r="A120" s="214"/>
      <c r="B120" s="214"/>
      <c r="C120" s="214"/>
      <c r="D120" s="214"/>
      <c r="E120" s="214"/>
    </row>
    <row r="121" spans="1:5" x14ac:dyDescent="0.2">
      <c r="A121" s="214"/>
      <c r="B121" s="214"/>
      <c r="C121" s="214"/>
      <c r="D121" s="214"/>
      <c r="E121" s="214"/>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B112"/>
  <sheetViews>
    <sheetView showGridLines="0" showWhiteSpace="0" topLeftCell="M79" zoomScale="70" zoomScaleNormal="70" zoomScaleSheetLayoutView="80" zoomScalePageLayoutView="40" workbookViewId="0">
      <selection activeCell="B5" sqref="B5:C17"/>
    </sheetView>
  </sheetViews>
  <sheetFormatPr baseColWidth="10" defaultColWidth="11.28515625" defaultRowHeight="12.75" x14ac:dyDescent="0.2"/>
  <cols>
    <col min="1" max="1" width="8.85546875" style="194" bestFit="1" customWidth="1"/>
    <col min="2" max="2" width="11.7109375" style="194" bestFit="1" customWidth="1"/>
    <col min="3" max="3" width="27.140625" style="194" customWidth="1"/>
    <col min="4" max="4" width="18.140625" style="189" customWidth="1"/>
    <col min="5" max="7" width="11.28515625" style="189"/>
    <col min="8" max="8" width="4.28515625" style="190" customWidth="1"/>
    <col min="9" max="9" width="8.28515625" style="190" bestFit="1" customWidth="1"/>
    <col min="10" max="10" width="44.28515625" style="189" bestFit="1" customWidth="1"/>
    <col min="11" max="11" width="11.28515625" style="189"/>
    <col min="12" max="12" width="3.5703125" style="189" customWidth="1"/>
    <col min="13" max="13" width="11.28515625" style="189"/>
    <col min="14" max="14" width="11.28515625" style="189" customWidth="1"/>
    <col min="15" max="15" width="23.42578125" style="189" customWidth="1"/>
    <col min="16" max="37" width="11.28515625" style="189"/>
    <col min="38" max="38" width="12.42578125" style="189" bestFit="1" customWidth="1"/>
    <col min="39" max="41" width="11.28515625" style="189"/>
    <col min="42" max="42" width="2.140625" style="189" customWidth="1"/>
    <col min="43" max="43" width="14" style="189" customWidth="1"/>
    <col min="44" max="44" width="51.28515625" style="189" customWidth="1"/>
    <col min="45" max="16384" width="11.28515625" style="189"/>
  </cols>
  <sheetData>
    <row r="1" spans="1:53" ht="18" x14ac:dyDescent="0.25">
      <c r="A1" s="417"/>
      <c r="B1" s="417"/>
      <c r="C1" s="417"/>
      <c r="D1" s="417"/>
      <c r="E1" s="417"/>
      <c r="F1" s="417"/>
      <c r="G1" s="417"/>
      <c r="H1" s="417"/>
      <c r="I1" s="417"/>
      <c r="J1" s="417"/>
      <c r="K1" s="188"/>
      <c r="AQ1" s="417" t="s">
        <v>1998</v>
      </c>
      <c r="AR1" s="417"/>
      <c r="AS1" s="417"/>
      <c r="AT1" s="417"/>
      <c r="AU1" s="417"/>
      <c r="AV1" s="417"/>
      <c r="AW1" s="417"/>
      <c r="AX1" s="417"/>
      <c r="AY1" s="417"/>
      <c r="AZ1" s="417"/>
      <c r="BA1" s="417"/>
    </row>
    <row r="2" spans="1:53" ht="12.75" customHeight="1" x14ac:dyDescent="0.2"/>
    <row r="3" spans="1:53" ht="30.75" customHeight="1" x14ac:dyDescent="0.2">
      <c r="M3" s="188" t="s">
        <v>1321</v>
      </c>
      <c r="N3" s="188" t="s">
        <v>1322</v>
      </c>
      <c r="AK3" s="188" t="s">
        <v>382</v>
      </c>
      <c r="AL3" s="188" t="s">
        <v>31</v>
      </c>
      <c r="AQ3" s="418" t="s">
        <v>1994</v>
      </c>
      <c r="AR3" s="418"/>
      <c r="AS3" s="418"/>
      <c r="AT3" s="418"/>
      <c r="AU3" s="418"/>
      <c r="AV3" s="418"/>
      <c r="AW3" s="418"/>
      <c r="AX3" s="418"/>
      <c r="AY3" s="418"/>
      <c r="AZ3" s="418"/>
      <c r="BA3" s="418"/>
    </row>
    <row r="4" spans="1:53" ht="27" customHeight="1" x14ac:dyDescent="0.25">
      <c r="A4" s="295"/>
      <c r="B4" s="295"/>
      <c r="C4" s="295"/>
      <c r="M4" s="294" t="s">
        <v>929</v>
      </c>
      <c r="N4" s="293" t="s">
        <v>1298</v>
      </c>
      <c r="O4" s="293" t="s">
        <v>930</v>
      </c>
      <c r="Z4" s="188"/>
      <c r="AK4" s="294" t="s">
        <v>929</v>
      </c>
      <c r="AL4" s="293" t="s">
        <v>1298</v>
      </c>
      <c r="AM4" s="293" t="s">
        <v>930</v>
      </c>
    </row>
    <row r="5" spans="1:53" ht="45" customHeight="1" x14ac:dyDescent="0.2">
      <c r="M5" s="288" t="e">
        <f>COUNTIFS([2]EXPEDIENTES!Q:Q,"=Prisión Preventiva",[2]EXPEDIENTES!H:H,"&gt;=01/03/2023",[2]EXPEDIENTES!H:H,"&lt;=31/03/2023")</f>
        <v>#VALUE!</v>
      </c>
      <c r="N5" s="287" t="e">
        <f>M5/M11</f>
        <v>#VALUE!</v>
      </c>
      <c r="O5" s="289" t="s">
        <v>577</v>
      </c>
      <c r="T5" s="188"/>
      <c r="AK5" s="288" t="e">
        <f>COUNTIFS([2]EXPEDIENTES!Q:Q,"=Prisión Preventiva",[2]EXPEDIENTES!J:J,"=Dr. Colombo")</f>
        <v>#VALUE!</v>
      </c>
      <c r="AL5" s="287" t="e">
        <f>AK5/AK11</f>
        <v>#VALUE!</v>
      </c>
      <c r="AM5" s="289" t="s">
        <v>577</v>
      </c>
      <c r="AQ5" s="199" t="s">
        <v>929</v>
      </c>
      <c r="AR5" s="199" t="s">
        <v>930</v>
      </c>
      <c r="AW5" s="190"/>
      <c r="AX5" s="190"/>
    </row>
    <row r="6" spans="1:53" ht="28.35" customHeight="1" x14ac:dyDescent="0.25">
      <c r="D6" s="295"/>
      <c r="E6" s="295"/>
      <c r="F6" s="295"/>
      <c r="G6" s="295"/>
      <c r="M6" s="288" t="e">
        <f>COUNTIFS([2]EXPEDIENTES!Q:Q,"Juicio Abreviado - Efectiva",[2]EXPEDIENTES!H:H,"&gt;=01/03/2023",[2]EXPEDIENTES!H:H,"&lt;=31/03/2023")</f>
        <v>#VALUE!</v>
      </c>
      <c r="N6" s="287" t="e">
        <f>M6/M11</f>
        <v>#VALUE!</v>
      </c>
      <c r="O6" s="289" t="s">
        <v>1323</v>
      </c>
      <c r="T6" s="188"/>
      <c r="AK6" s="288" t="e">
        <f>COUNTIFS([2]EXPEDIENTES!Q:Q,"Juicio Abreviado - Efectiva",[2]EXPEDIENTES!J:J,"=Dr. Colombo")</f>
        <v>#VALUE!</v>
      </c>
      <c r="AL6" s="287" t="e">
        <f>AK6/AK11</f>
        <v>#VALUE!</v>
      </c>
      <c r="AM6" s="289" t="s">
        <v>1323</v>
      </c>
      <c r="AQ6" s="200">
        <f ca="1">COUNTIFS(EXPEDIENTES!R:R,$AR6,EXPEDIENTES!O:O,"SI")</f>
        <v>365</v>
      </c>
      <c r="AR6" s="201" t="s">
        <v>100</v>
      </c>
      <c r="AU6" s="191"/>
      <c r="AW6" s="190"/>
      <c r="AX6" s="190"/>
    </row>
    <row r="7" spans="1:53" ht="28.35" customHeight="1" x14ac:dyDescent="0.2">
      <c r="M7" s="288" t="e">
        <f>COUNTIFS([2]EXPEDIENTES!Q:Q,"Juicio Abreviado - Condicional y reglas de conducta",[2]EXPEDIENTES!H:H,"&gt;=01/03/2023",[2]EXPEDIENTES!H:H,"&lt;=31/03/2023")</f>
        <v>#VALUE!</v>
      </c>
      <c r="N7" s="287" t="e">
        <f>M7/M11</f>
        <v>#VALUE!</v>
      </c>
      <c r="O7" s="289" t="s">
        <v>1324</v>
      </c>
      <c r="T7" s="188"/>
      <c r="AK7" s="288" t="e">
        <f>COUNTIFS([2]EXPEDIENTES!Q:Q,"Juicio Abreviado - Condicional y reglas de conducta",[2]EXPEDIENTES!J:J,"=Dr. Colombo")</f>
        <v>#VALUE!</v>
      </c>
      <c r="AL7" s="287" t="e">
        <f>AK7/AK11</f>
        <v>#VALUE!</v>
      </c>
      <c r="AM7" s="289" t="s">
        <v>1324</v>
      </c>
      <c r="AQ7" s="200">
        <f ca="1">COUNTIFS(EXPEDIENTES!R:R,$AR7,EXPEDIENTES!O:O,"SI")</f>
        <v>275</v>
      </c>
      <c r="AR7" s="201" t="s">
        <v>151</v>
      </c>
      <c r="AU7" s="191"/>
      <c r="AW7" s="190"/>
      <c r="AX7" s="190"/>
    </row>
    <row r="8" spans="1:53" ht="28.35" customHeight="1" x14ac:dyDescent="0.2">
      <c r="M8" s="288" t="e">
        <f>COUNTIFS([2]EXPEDIENTES!R:R,"Libertad",[2]EXPEDIENTES!H:H,"&gt;=01/03/2023",[2]EXPEDIENTES!H:H,"&lt;=31/03/2023")</f>
        <v>#VALUE!</v>
      </c>
      <c r="N8" s="287" t="e">
        <f>M8/M11</f>
        <v>#VALUE!</v>
      </c>
      <c r="O8" s="289" t="s">
        <v>902</v>
      </c>
      <c r="T8" s="188"/>
      <c r="AK8" s="288" t="e">
        <f>COUNTIFS([2]EXPEDIENTES!Q:Q,"Libertad",[2]EXPEDIENTES!J:J,"=Dr. Colombo")</f>
        <v>#VALUE!</v>
      </c>
      <c r="AL8" s="287" t="e">
        <f>AK8/AK11</f>
        <v>#VALUE!</v>
      </c>
      <c r="AM8" s="289" t="s">
        <v>902</v>
      </c>
      <c r="AQ8" s="200">
        <f ca="1">COUNTIFS(EXPEDIENTES!R:R,$AR8,EXPEDIENTES!O:O,"SI")</f>
        <v>92</v>
      </c>
      <c r="AR8" s="201" t="s">
        <v>902</v>
      </c>
      <c r="AU8" s="191"/>
      <c r="AW8" s="190"/>
      <c r="AX8" s="190"/>
    </row>
    <row r="9" spans="1:53" ht="28.35" customHeight="1" x14ac:dyDescent="0.2">
      <c r="M9" s="291" t="e">
        <f>COUNTIFS([2]EXPEDIENTES!H:H,"&gt;=01/03/2023",[2]EXPEDIENTES!H:H,"&lt;=31/03/2023")-SUM(M5:M8,M10)</f>
        <v>#VALUE!</v>
      </c>
      <c r="N9" s="287" t="e">
        <f>M9/M11</f>
        <v>#VALUE!</v>
      </c>
      <c r="O9" s="289" t="s">
        <v>1325</v>
      </c>
      <c r="T9" s="188"/>
      <c r="AK9" s="291" t="e">
        <f>COUNTIFS([2]EXPEDIENTES!J:J,"=Dr. Colombo")-SUM(AK5:AK8,AK10)</f>
        <v>#VALUE!</v>
      </c>
      <c r="AL9" s="287" t="e">
        <f>AK9/AK11</f>
        <v>#VALUE!</v>
      </c>
      <c r="AM9" s="289" t="s">
        <v>1325</v>
      </c>
      <c r="AQ9" s="200">
        <f ca="1">COUNTIFS(EXPEDIENTES!R:R,$AR9,EXPEDIENTES!O:O,"SI")</f>
        <v>19</v>
      </c>
      <c r="AR9" s="201" t="s">
        <v>949</v>
      </c>
      <c r="AU9" s="191"/>
      <c r="AW9" s="190"/>
      <c r="AX9" s="190"/>
    </row>
    <row r="10" spans="1:53" ht="28.35" customHeight="1" x14ac:dyDescent="0.2">
      <c r="M10" s="288" t="e">
        <f>COUNTIFS([2]EXPEDIENTES!Q:Q,"Suspendida por otras causas procesales",[2]EXPEDIENTES!Q:Q,"Audiencia cancelada - inimputabilidad",[2]EXPEDIENTES!Q:Q,"Suspendida por pedido de las partes",[2]EXPEDIENTES!H:H,"&gt;=01/03/2023",[2]EXPEDIENTES!H:H,"&lt;=31/03/2023")</f>
        <v>#VALUE!</v>
      </c>
      <c r="N10" s="287" t="e">
        <f>M10/M11</f>
        <v>#VALUE!</v>
      </c>
      <c r="O10" s="289" t="s">
        <v>949</v>
      </c>
      <c r="T10" s="188"/>
      <c r="AK10" s="288" t="e">
        <f>COUNTIFS([2]EXPEDIENTES!Q:Q,"Suspendida por otras causas procesales",[2]EXPEDIENTES!Q:Q,"Audiencia cancelada - inimputabilidad",[2]EXPEDIENTES!Q:Q,"Suspendida por pedido de las partes",[2]EXPEDIENTES!J:J,"=Dr. Colombo")</f>
        <v>#VALUE!</v>
      </c>
      <c r="AL10" s="287" t="e">
        <f>AK10/AK11</f>
        <v>#VALUE!</v>
      </c>
      <c r="AM10" s="289" t="s">
        <v>949</v>
      </c>
      <c r="AQ10" s="200">
        <f ca="1">COUNTIFS(EXPEDIENTES!R:R,$AR10,EXPEDIENTES!O:O,"SI")</f>
        <v>15</v>
      </c>
      <c r="AR10" s="201" t="s">
        <v>913</v>
      </c>
      <c r="AU10" s="191"/>
      <c r="AW10" s="190"/>
      <c r="AX10" s="190"/>
    </row>
    <row r="11" spans="1:53" ht="28.35" customHeight="1" x14ac:dyDescent="0.2">
      <c r="M11" s="285" t="e">
        <f>SUM(M5:M10)</f>
        <v>#VALUE!</v>
      </c>
      <c r="N11" s="284" t="e">
        <f>SUM(N5:N10)</f>
        <v>#VALUE!</v>
      </c>
      <c r="O11" s="283" t="s">
        <v>370</v>
      </c>
      <c r="T11" s="188"/>
      <c r="AK11" s="285" t="e">
        <f>SUM(AK5:AK10)</f>
        <v>#VALUE!</v>
      </c>
      <c r="AL11" s="284" t="e">
        <f>SUM(AL5:AL10)</f>
        <v>#VALUE!</v>
      </c>
      <c r="AM11" s="283" t="s">
        <v>370</v>
      </c>
      <c r="AQ11" s="200">
        <f ca="1">COUNTIFS(EXPEDIENTES!R:R,$AR11,EXPEDIENTES!O:O,"SI")</f>
        <v>20</v>
      </c>
      <c r="AR11" s="202" t="s">
        <v>909</v>
      </c>
      <c r="AU11" s="191"/>
      <c r="AW11" s="190"/>
      <c r="AX11" s="190"/>
    </row>
    <row r="12" spans="1:53" ht="28.35" customHeight="1" x14ac:dyDescent="0.2">
      <c r="T12" s="188"/>
      <c r="AQ12" s="200">
        <f ca="1">COUNTIFS(EXPEDIENTES!R:R,$AR12,EXPEDIENTES!O:O,"SI")</f>
        <v>2</v>
      </c>
      <c r="AR12" s="202" t="s">
        <v>910</v>
      </c>
      <c r="AU12" s="191"/>
      <c r="AW12" s="190"/>
      <c r="AX12" s="190"/>
    </row>
    <row r="13" spans="1:53" ht="28.35" customHeight="1" x14ac:dyDescent="0.25">
      <c r="T13" s="188"/>
      <c r="AQ13" s="200">
        <f ca="1">COUNTIFS(EXPEDIENTES!R:R,$AR13,EXPEDIENTES!O:O,"SI")</f>
        <v>2</v>
      </c>
      <c r="AR13" s="202" t="s">
        <v>907</v>
      </c>
      <c r="AS13" s="187"/>
      <c r="AT13" s="187"/>
      <c r="AU13" s="187"/>
      <c r="AV13" s="187"/>
      <c r="AW13" s="187"/>
      <c r="AX13" s="187"/>
      <c r="AY13" s="187"/>
      <c r="AZ13" s="188"/>
    </row>
    <row r="14" spans="1:53" ht="28.35" customHeight="1" x14ac:dyDescent="0.25">
      <c r="AQ14" s="200">
        <f ca="1">COUNTIFS(EXPEDIENTES!R:R,$AR14,EXPEDIENTES!O:O,"SI")</f>
        <v>3</v>
      </c>
      <c r="AR14" s="201" t="s">
        <v>1901</v>
      </c>
      <c r="AS14" s="198"/>
      <c r="AT14" s="198"/>
      <c r="AU14" s="198"/>
      <c r="AV14" s="198"/>
      <c r="AW14" s="198"/>
      <c r="AX14" s="198"/>
      <c r="AY14" s="198"/>
      <c r="AZ14" s="188"/>
    </row>
    <row r="15" spans="1:53" ht="28.35" customHeight="1" x14ac:dyDescent="0.25">
      <c r="AQ15" s="199">
        <f ca="1">SUM(AQ6:AQ14)</f>
        <v>793</v>
      </c>
      <c r="AR15" s="199" t="s">
        <v>370</v>
      </c>
      <c r="AS15" s="198"/>
      <c r="AT15" s="198"/>
      <c r="AU15" s="198"/>
      <c r="AV15" s="198"/>
      <c r="AW15" s="198"/>
      <c r="AX15" s="198"/>
      <c r="AY15" s="198"/>
      <c r="AZ15" s="188"/>
    </row>
    <row r="16" spans="1:53" ht="28.35" customHeight="1" x14ac:dyDescent="0.2">
      <c r="AW16" s="190"/>
      <c r="AX16" s="190"/>
      <c r="AZ16" s="193"/>
    </row>
    <row r="17" spans="13:54" ht="28.35" customHeight="1" x14ac:dyDescent="0.2">
      <c r="AQ17" s="194"/>
      <c r="AR17" s="194"/>
      <c r="AS17" s="194"/>
      <c r="AX17" s="190"/>
      <c r="AY17" s="190"/>
    </row>
    <row r="18" spans="13:54" ht="28.35" customHeight="1" x14ac:dyDescent="0.2">
      <c r="AQ18" s="192"/>
      <c r="AR18" s="192"/>
      <c r="AS18" s="192"/>
      <c r="AX18" s="190"/>
      <c r="AY18" s="190"/>
    </row>
    <row r="19" spans="13:54" ht="28.35" customHeight="1" x14ac:dyDescent="0.2"/>
    <row r="20" spans="13:54" ht="28.35" customHeight="1" x14ac:dyDescent="0.2">
      <c r="AQ20" s="189" t="str">
        <f ca="1">"Fuente: OFIJU GAR - Información al "&amp;TEXT(TODAY(),"DD/MM/YYYY")</f>
        <v>Fuente: OFIJU GAR - Información al 29/10/YYYY</v>
      </c>
    </row>
    <row r="21" spans="13:54" ht="28.35" customHeight="1" x14ac:dyDescent="0.2"/>
    <row r="22" spans="13:54" ht="28.35" customHeight="1" x14ac:dyDescent="0.25">
      <c r="AQ22" s="419" t="s">
        <v>1998</v>
      </c>
      <c r="AR22" s="419"/>
      <c r="AS22" s="419"/>
      <c r="AT22" s="419"/>
      <c r="AU22" s="419"/>
      <c r="AV22" s="419"/>
      <c r="AW22" s="419"/>
      <c r="AX22" s="419"/>
      <c r="AY22" s="419"/>
      <c r="AZ22" s="419"/>
      <c r="BA22" s="228"/>
      <c r="BB22" s="228"/>
    </row>
    <row r="24" spans="13:54" ht="26.25" x14ac:dyDescent="0.2">
      <c r="AQ24" s="420" t="s">
        <v>2442</v>
      </c>
      <c r="AR24" s="420"/>
      <c r="AS24" s="420"/>
      <c r="AT24" s="420"/>
      <c r="AU24" s="420"/>
      <c r="AV24" s="420"/>
      <c r="AW24" s="420"/>
      <c r="AX24" s="420"/>
      <c r="AY24" s="420"/>
      <c r="AZ24" s="420"/>
      <c r="BA24" s="229"/>
      <c r="BB24" s="229"/>
    </row>
    <row r="25" spans="13:54" ht="26.25" x14ac:dyDescent="0.2">
      <c r="AQ25" s="420" t="s">
        <v>2933</v>
      </c>
      <c r="AR25" s="420"/>
      <c r="AS25" s="420"/>
      <c r="AT25" s="420"/>
      <c r="AU25" s="420"/>
      <c r="AV25" s="420"/>
      <c r="AW25" s="420"/>
      <c r="AX25" s="420"/>
      <c r="AY25" s="420"/>
      <c r="AZ25" s="420"/>
    </row>
    <row r="26" spans="13:54" ht="24.95" customHeight="1" x14ac:dyDescent="0.2"/>
    <row r="27" spans="13:54" ht="24.95" customHeight="1" x14ac:dyDescent="0.2">
      <c r="M27" s="188" t="s">
        <v>1321</v>
      </c>
      <c r="N27" s="188" t="s">
        <v>1329</v>
      </c>
      <c r="AK27" s="188"/>
      <c r="AL27" s="188"/>
    </row>
    <row r="28" spans="13:54" ht="57" customHeight="1" x14ac:dyDescent="0.2">
      <c r="M28" s="294" t="s">
        <v>929</v>
      </c>
      <c r="N28" s="293" t="s">
        <v>1298</v>
      </c>
      <c r="O28" s="293" t="s">
        <v>930</v>
      </c>
      <c r="AK28" s="294" t="s">
        <v>929</v>
      </c>
      <c r="AL28" s="293" t="s">
        <v>1298</v>
      </c>
      <c r="AM28" s="293" t="s">
        <v>930</v>
      </c>
      <c r="AQ28" s="199" t="s">
        <v>929</v>
      </c>
      <c r="AR28" s="199" t="s">
        <v>930</v>
      </c>
    </row>
    <row r="29" spans="13:54" ht="30" customHeight="1" x14ac:dyDescent="0.2">
      <c r="M29" s="288" t="e">
        <f>COUNTIFS([2]EXPEDIENTES!Q:Q,"=Prisión Preventiva",[2]EXPEDIENTES!H:H,"&gt;=01/04/2023",[2]EXPEDIENTES!H:H,"&lt;=30/04/2023")</f>
        <v>#VALUE!</v>
      </c>
      <c r="N29" s="287" t="e">
        <f>M29/M35</f>
        <v>#VALUE!</v>
      </c>
      <c r="O29" s="289" t="s">
        <v>577</v>
      </c>
      <c r="AK29" s="288" t="e">
        <f>COUNTIFS([2]EXPEDIENTES!Q:Q,"=Prisión Preventiva",[2]EXPEDIENTES!J:J,"=Dr. Pastrana")</f>
        <v>#VALUE!</v>
      </c>
      <c r="AL29" s="287" t="e">
        <f>AK29/AK35</f>
        <v>#VALUE!</v>
      </c>
      <c r="AM29" s="289" t="s">
        <v>577</v>
      </c>
      <c r="AQ29" s="200">
        <f ca="1">COUNTIFS(EXPEDIENTES!Q:Q,$AR29,EXPEDIENTES!O:O,"SI")</f>
        <v>124</v>
      </c>
      <c r="AR29" s="313" t="s">
        <v>905</v>
      </c>
    </row>
    <row r="30" spans="13:54" ht="30" customHeight="1" x14ac:dyDescent="0.2">
      <c r="M30" s="288" t="e">
        <f>COUNTIFS([2]EXPEDIENTES!Q:Q,"Juicio Abreviado - Efectiva",[2]EXPEDIENTES!H:H,"&gt;=01/04/2023",[2]EXPEDIENTES!H:H,"&lt;=30/04/2023")</f>
        <v>#VALUE!</v>
      </c>
      <c r="N30" s="287" t="e">
        <f>M30/M35</f>
        <v>#VALUE!</v>
      </c>
      <c r="O30" s="314" t="s">
        <v>1323</v>
      </c>
      <c r="AK30" s="288" t="e">
        <f>COUNTIFS([2]EXPEDIENTES!Q:Q,"Juicio Abreviado - Efectiva",[2]EXPEDIENTES!J:J,"=Dr. Pastrana")</f>
        <v>#VALUE!</v>
      </c>
      <c r="AL30" s="287" t="e">
        <f>AK30/AK35</f>
        <v>#VALUE!</v>
      </c>
      <c r="AM30" s="289" t="s">
        <v>1323</v>
      </c>
      <c r="AQ30" s="200">
        <f ca="1">COUNTIFS(EXPEDIENTES!Q:Q,$AR30,EXPEDIENTES!O:O,"SI")</f>
        <v>230</v>
      </c>
      <c r="AR30" s="313" t="s">
        <v>904</v>
      </c>
    </row>
    <row r="31" spans="13:54" ht="30" customHeight="1" x14ac:dyDescent="0.2">
      <c r="M31" s="288" t="e">
        <f>COUNTIFS([2]EXPEDIENTES!Q:Q,"Juicio Abreviado - Condicional y reglas de conducta",[2]EXPEDIENTES!H:H,"&gt;=01/04/2023",[2]EXPEDIENTES!H:H,"&lt;=30/04/2023")</f>
        <v>#VALUE!</v>
      </c>
      <c r="N31" s="287" t="e">
        <f>M31/M35</f>
        <v>#VALUE!</v>
      </c>
      <c r="O31" s="289" t="s">
        <v>1324</v>
      </c>
      <c r="AK31" s="288" t="e">
        <f>COUNTIFS([2]EXPEDIENTES!Q:Q,"Juicio Abreviado - Condicional y reglas de conducta",[2]EXPEDIENTES!J:J,"=Dr. Pastrana")</f>
        <v>#VALUE!</v>
      </c>
      <c r="AL31" s="287" t="e">
        <f>AK31/AK35</f>
        <v>#VALUE!</v>
      </c>
      <c r="AM31" s="289" t="s">
        <v>1324</v>
      </c>
      <c r="AQ31" s="200">
        <f ca="1">COUNTIFS(EXPEDIENTES!Q:Q,$AR31,EXPEDIENTES!O:O,"SI")</f>
        <v>11</v>
      </c>
      <c r="AR31" s="313" t="s">
        <v>1512</v>
      </c>
    </row>
    <row r="32" spans="13:54" ht="30" customHeight="1" x14ac:dyDescent="0.2">
      <c r="M32" s="288" t="e">
        <f>COUNTIFS([2]EXPEDIENTES!R:R,"Libertad",[2]EXPEDIENTES!H:H,"&gt;=01/04/2023",[2]EXPEDIENTES!H:H,"&lt;=30/04/2023")</f>
        <v>#VALUE!</v>
      </c>
      <c r="N32" s="287" t="e">
        <f>M32/M35</f>
        <v>#VALUE!</v>
      </c>
      <c r="O32" s="289" t="s">
        <v>902</v>
      </c>
      <c r="AK32" s="288" t="e">
        <f>COUNTIFS([2]EXPEDIENTES!Q:Q,"Libertad",[2]EXPEDIENTES!J:J,"=Dr. Pastrana")</f>
        <v>#VALUE!</v>
      </c>
      <c r="AL32" s="287" t="e">
        <f>AK32/AK35</f>
        <v>#VALUE!</v>
      </c>
      <c r="AM32" s="289" t="s">
        <v>902</v>
      </c>
      <c r="AQ32" s="199">
        <f ca="1">SUM(AQ29:AQ31)</f>
        <v>365</v>
      </c>
      <c r="AR32" s="199" t="s">
        <v>370</v>
      </c>
    </row>
    <row r="33" spans="1:52" ht="30" customHeight="1" x14ac:dyDescent="0.2">
      <c r="M33" s="291" t="e">
        <f>COUNTIFS([2]EXPEDIENTES!H:H,"&gt;=01/04/2023",[2]EXPEDIENTES!H:H,"&lt;=30/04/2023")-SUM(M29:M32,M34)</f>
        <v>#VALUE!</v>
      </c>
      <c r="N33" s="287" t="e">
        <f>M33/M35</f>
        <v>#VALUE!</v>
      </c>
      <c r="O33" s="289" t="s">
        <v>1325</v>
      </c>
      <c r="AK33" s="291" t="e">
        <f>COUNTIFS([2]EXPEDIENTES!J:J,"=Dr. Pastrana")-SUM(AK29:AK32,AK34)</f>
        <v>#VALUE!</v>
      </c>
      <c r="AL33" s="287" t="e">
        <f>AK33/AK35</f>
        <v>#VALUE!</v>
      </c>
      <c r="AM33" s="289" t="s">
        <v>1325</v>
      </c>
      <c r="AQ33" s="278"/>
      <c r="AR33" s="312"/>
    </row>
    <row r="34" spans="1:52" ht="30" customHeight="1" x14ac:dyDescent="0.2">
      <c r="M34" s="288" t="e">
        <f>COUNTIFS([2]EXPEDIENTES!Q:Q,"Suspendida por otras causas procesales",[2]EXPEDIENTES!Q:Q,"Audiencia cancelada - inimputabilidad",[2]EXPEDIENTES!Q:Q,"Suspendida por pedido de las partes",[2]EXPEDIENTES!H:H,"&gt;=01/04/2023",[2]EXPEDIENTES!H:H,"&lt;=30/04/2023")</f>
        <v>#VALUE!</v>
      </c>
      <c r="N34" s="287" t="e">
        <f>M34/M35</f>
        <v>#VALUE!</v>
      </c>
      <c r="O34" s="289" t="s">
        <v>949</v>
      </c>
      <c r="AK34" s="288" t="e">
        <f>COUNTIFS([2]EXPEDIENTES!Q:Q,"Suspendida por otras causas procesales",[2]EXPEDIENTES!Q:Q,"Audiencia cancelada - inimputabilidad",[2]EXPEDIENTES!Q:Q,"Suspendida por pedido de las partes",[2]EXPEDIENTES!J:J,"=Dr. Pastrana")</f>
        <v>#VALUE!</v>
      </c>
      <c r="AL34" s="287" t="e">
        <f>AK34/AK35</f>
        <v>#VALUE!</v>
      </c>
      <c r="AM34" s="289" t="s">
        <v>949</v>
      </c>
      <c r="AQ34" s="421" t="s">
        <v>2932</v>
      </c>
      <c r="AR34" s="421"/>
    </row>
    <row r="35" spans="1:52" ht="30" customHeight="1" x14ac:dyDescent="0.2">
      <c r="M35" s="285" t="e">
        <f>SUM(M29:M34)</f>
        <v>#VALUE!</v>
      </c>
      <c r="N35" s="284" t="e">
        <f>SUM(N29:N34)</f>
        <v>#VALUE!</v>
      </c>
      <c r="O35" s="283" t="s">
        <v>370</v>
      </c>
      <c r="AK35" s="285" t="e">
        <f>SUM(AK29:AK34)</f>
        <v>#VALUE!</v>
      </c>
      <c r="AL35" s="284" t="e">
        <f>SUM(AL29:AL34)</f>
        <v>#VALUE!</v>
      </c>
      <c r="AM35" s="283" t="s">
        <v>370</v>
      </c>
      <c r="AQ35" s="421"/>
      <c r="AR35" s="421"/>
    </row>
    <row r="36" spans="1:52" ht="30" customHeight="1" x14ac:dyDescent="0.2">
      <c r="AQ36" s="422">
        <f ca="1">(AQ32*100)/[2]EXPEDIENTES!C1</f>
        <v>59.157212317666129</v>
      </c>
      <c r="AR36" s="422"/>
    </row>
    <row r="37" spans="1:52" ht="30" customHeight="1" x14ac:dyDescent="0.2">
      <c r="AQ37" s="311"/>
      <c r="AR37" s="310"/>
    </row>
    <row r="38" spans="1:52" ht="30" customHeight="1" x14ac:dyDescent="0.2">
      <c r="AQ38" s="309"/>
      <c r="AR38" s="309"/>
    </row>
    <row r="39" spans="1:52" ht="30" customHeight="1" x14ac:dyDescent="0.2">
      <c r="AK39" s="294" t="s">
        <v>929</v>
      </c>
      <c r="AL39" s="293" t="s">
        <v>1298</v>
      </c>
      <c r="AM39" s="293" t="s">
        <v>930</v>
      </c>
      <c r="AQ39" s="308"/>
      <c r="AR39" s="308"/>
    </row>
    <row r="40" spans="1:52" ht="30" customHeight="1" x14ac:dyDescent="0.2">
      <c r="AK40" s="288" t="e">
        <f>COUNTIFS([2]EXPEDIENTES!Q:Q,"=Prisión Preventiva",[2]EXPEDIENTES!J:J,"=Dr. Rodriguez Pipino")</f>
        <v>#VALUE!</v>
      </c>
      <c r="AL40" s="287" t="e">
        <f>AK40/AK51</f>
        <v>#VALUE!</v>
      </c>
      <c r="AM40" s="289" t="s">
        <v>577</v>
      </c>
      <c r="AQ40" s="189" t="str">
        <f ca="1">"Fuente: OFIJU GAR - Información al "&amp;TEXT(TODAY(),"DD/MM/YYYY")</f>
        <v>Fuente: OFIJU GAR - Información al 29/10/YYYY</v>
      </c>
      <c r="AR40" s="308"/>
    </row>
    <row r="41" spans="1:52" ht="30" customHeight="1" x14ac:dyDescent="0.2">
      <c r="AK41" s="288" t="e">
        <f>COUNTIFS([2]EXPEDIENTES!Q:Q,"Juicio Abreviado - Efectiva",[2]EXPEDIENTES!J:J,"=Dr. Rodriguez Pipino")</f>
        <v>#VALUE!</v>
      </c>
      <c r="AL41" s="287" t="e">
        <f>AK41/AK51</f>
        <v>#VALUE!</v>
      </c>
      <c r="AM41" s="289" t="s">
        <v>1323</v>
      </c>
    </row>
    <row r="42" spans="1:52" ht="30" customHeight="1" x14ac:dyDescent="0.25">
      <c r="AK42" s="288" t="e">
        <f>COUNTIFS([2]EXPEDIENTES!Q:Q,"Juicio Abreviado - Condicional y reglas de conducta",[2]EXPEDIENTES!J:J,"=Dr. Rodriguez Pipino")</f>
        <v>#VALUE!</v>
      </c>
      <c r="AL42" s="287" t="e">
        <f>AK42/AK51</f>
        <v>#VALUE!</v>
      </c>
      <c r="AM42" s="289" t="s">
        <v>1324</v>
      </c>
      <c r="AQ42" s="419" t="s">
        <v>1998</v>
      </c>
      <c r="AR42" s="419"/>
      <c r="AS42" s="419"/>
      <c r="AT42" s="419"/>
      <c r="AU42" s="419"/>
      <c r="AV42" s="419"/>
      <c r="AW42" s="419"/>
      <c r="AX42" s="419"/>
      <c r="AY42" s="419"/>
      <c r="AZ42" s="419"/>
    </row>
    <row r="43" spans="1:52" ht="30" customHeight="1" x14ac:dyDescent="0.25">
      <c r="A43" s="296"/>
      <c r="B43" s="296"/>
      <c r="C43" s="296"/>
      <c r="AK43" s="288" t="e">
        <f>COUNTIFS([2]EXPEDIENTES!Q:Q,"Libertad",[2]EXPEDIENTES!J:J,"=Dr. Rodriguez Pipino")</f>
        <v>#VALUE!</v>
      </c>
      <c r="AL43" s="287" t="e">
        <f>AK43/AK51</f>
        <v>#VALUE!</v>
      </c>
      <c r="AM43" s="289" t="s">
        <v>902</v>
      </c>
      <c r="AQ43" s="420" t="s">
        <v>2442</v>
      </c>
      <c r="AR43" s="420"/>
      <c r="AS43" s="420"/>
      <c r="AT43" s="420"/>
      <c r="AU43" s="420"/>
      <c r="AV43" s="420"/>
      <c r="AW43" s="420"/>
      <c r="AX43" s="420"/>
      <c r="AY43" s="420"/>
      <c r="AZ43" s="420"/>
    </row>
    <row r="44" spans="1:52" ht="30" customHeight="1" x14ac:dyDescent="0.2">
      <c r="A44" s="294" t="s">
        <v>929</v>
      </c>
      <c r="B44" s="294" t="s">
        <v>1298</v>
      </c>
      <c r="C44" s="280" t="s">
        <v>937</v>
      </c>
      <c r="AQ44" s="199" t="s">
        <v>929</v>
      </c>
      <c r="AR44" s="199" t="s">
        <v>930</v>
      </c>
    </row>
    <row r="45" spans="1:52" ht="30" customHeight="1" x14ac:dyDescent="0.25">
      <c r="A45" s="288" t="e">
        <f>COUNTIF([2]EXPEDIENTES!J:J,"Dra. Zunino")</f>
        <v>#VALUE!</v>
      </c>
      <c r="B45" s="287" t="e">
        <f>A45/A53</f>
        <v>#VALUE!</v>
      </c>
      <c r="C45" s="290" t="s">
        <v>1220</v>
      </c>
      <c r="E45" s="295"/>
      <c r="F45" s="295"/>
      <c r="G45" s="295"/>
      <c r="AQ45" s="277">
        <f ca="1">COUNTIFS(EXPEDIENTES!Q:Q,$AR45,EXPEDIENTES!O:O,"SI")</f>
        <v>2</v>
      </c>
      <c r="AR45" s="306" t="s">
        <v>910</v>
      </c>
    </row>
    <row r="46" spans="1:52" ht="33.75" customHeight="1" x14ac:dyDescent="0.2">
      <c r="A46" s="288" t="e">
        <f>COUNTIF([2]EXPEDIENTES!J:J,"Dr. Colombo")</f>
        <v>#VALUE!</v>
      </c>
      <c r="B46" s="287" t="e">
        <f>A46/A53</f>
        <v>#VALUE!</v>
      </c>
      <c r="C46" s="286" t="s">
        <v>31</v>
      </c>
      <c r="AQ46" s="277">
        <f ca="1">COUNTIFS(EXPEDIENTES!Q:Q,$AR46,EXPEDIENTES!O:O,"SI")</f>
        <v>2</v>
      </c>
      <c r="AR46" s="306" t="s">
        <v>1023</v>
      </c>
    </row>
    <row r="47" spans="1:52" ht="30.75" customHeight="1" x14ac:dyDescent="0.2">
      <c r="A47" s="288" t="e">
        <f>COUNTIF([2]EXPEDIENTES!J:J,"Dr. Pastrana")</f>
        <v>#VALUE!</v>
      </c>
      <c r="B47" s="287" t="e">
        <f>A47/A53</f>
        <v>#VALUE!</v>
      </c>
      <c r="C47" s="286" t="s">
        <v>35</v>
      </c>
      <c r="AQ47" s="277">
        <f ca="1">COUNTIFS(EXPEDIENTES!Q:Q,$AR47,EXPEDIENTES!O:O,"SI")</f>
        <v>124</v>
      </c>
      <c r="AR47" s="306" t="s">
        <v>905</v>
      </c>
    </row>
    <row r="48" spans="1:52" ht="26.25" customHeight="1" x14ac:dyDescent="0.2">
      <c r="A48" s="288" t="e">
        <f>COUNTIF([2]EXPEDIENTES!J:J,"Dr. Rodriguez Pipino")</f>
        <v>#VALUE!</v>
      </c>
      <c r="B48" s="287" t="e">
        <f>A48/A53</f>
        <v>#VALUE!</v>
      </c>
      <c r="C48" s="292" t="s">
        <v>33</v>
      </c>
      <c r="AQ48" s="277">
        <f ca="1">COUNTIFS(EXPEDIENTES!Q:Q,$AR48,EXPEDIENTES!O:O,"SI")</f>
        <v>230</v>
      </c>
      <c r="AR48" s="306" t="s">
        <v>904</v>
      </c>
    </row>
    <row r="49" spans="1:52" ht="27.75" customHeight="1" x14ac:dyDescent="0.2">
      <c r="A49" s="288">
        <v>0</v>
      </c>
      <c r="B49" s="287" t="e">
        <f>A49/A53</f>
        <v>#VALUE!</v>
      </c>
      <c r="C49" s="290" t="s">
        <v>1991</v>
      </c>
      <c r="AK49" s="291" t="e">
        <f>COUNTIFS([2]EXPEDIENTES!J:J,"=Dr. Rodriguez Pipino")-SUM(AK40:AK43,AK50)</f>
        <v>#VALUE!</v>
      </c>
      <c r="AL49" s="287" t="e">
        <f>AK49/AK51</f>
        <v>#VALUE!</v>
      </c>
      <c r="AM49" s="289" t="s">
        <v>1325</v>
      </c>
      <c r="AQ49" s="277">
        <f ca="1">COUNTIFS(EXPEDIENTES!Q:Q,$AR49,EXPEDIENTES!O:O,"SI")</f>
        <v>9</v>
      </c>
      <c r="AR49" s="306" t="s">
        <v>902</v>
      </c>
    </row>
    <row r="50" spans="1:52" ht="26.25" customHeight="1" x14ac:dyDescent="0.2">
      <c r="A50" s="288" t="e">
        <f>COUNTIF([2]EXPEDIENTES!J:J,"Dra. Espeche")</f>
        <v>#VALUE!</v>
      </c>
      <c r="B50" s="287" t="e">
        <f>A50/A53</f>
        <v>#VALUE!</v>
      </c>
      <c r="C50" s="290" t="s">
        <v>1225</v>
      </c>
      <c r="M50" s="188" t="s">
        <v>1321</v>
      </c>
      <c r="N50" s="188" t="s">
        <v>1330</v>
      </c>
      <c r="AK50" s="288" t="e">
        <f>COUNTIFS([2]EXPEDIENTES!Q:Q,"Suspendida por otras causas procesales",[2]EXPEDIENTES!Q:Q,"Audiencia cancelada - inimputabilidad",[2]EXPEDIENTES!Q:Q,"Suspendida por pedido de las partes",[2]EXPEDIENTES!J:J,"=Dr. Rodriguez Pipino")</f>
        <v>#VALUE!</v>
      </c>
      <c r="AL50" s="287" t="e">
        <f>AK50/AK51</f>
        <v>#VALUE!</v>
      </c>
      <c r="AM50" s="289" t="s">
        <v>949</v>
      </c>
      <c r="AQ50" s="277">
        <f ca="1">COUNTIFS(EXPEDIENTES!Q:Q,$AR50,EXPEDIENTES!O:O,"SI")</f>
        <v>83</v>
      </c>
      <c r="AR50" s="306" t="s">
        <v>899</v>
      </c>
    </row>
    <row r="51" spans="1:52" ht="34.5" customHeight="1" x14ac:dyDescent="0.2">
      <c r="A51" s="288" t="e">
        <f>COUNTIF([2]EXPEDIENTES!J:J,"Dr. Zerdan")</f>
        <v>#VALUE!</v>
      </c>
      <c r="B51" s="287" t="e">
        <f>A51/A53</f>
        <v>#VALUE!</v>
      </c>
      <c r="C51" s="290" t="s">
        <v>1221</v>
      </c>
      <c r="M51" s="294" t="s">
        <v>929</v>
      </c>
      <c r="N51" s="293" t="s">
        <v>1298</v>
      </c>
      <c r="O51" s="293" t="s">
        <v>930</v>
      </c>
      <c r="AK51" s="285" t="e">
        <f>SUM(AK40:AK50)</f>
        <v>#VALUE!</v>
      </c>
      <c r="AL51" s="284" t="e">
        <f>SUM(AL40:AL50)</f>
        <v>#VALUE!</v>
      </c>
      <c r="AM51" s="283" t="s">
        <v>370</v>
      </c>
      <c r="AQ51" s="277">
        <f ca="1">COUNTIFS(EXPEDIENTES!Q:Q,$AR51,EXPEDIENTES!O:O,"SI")</f>
        <v>12</v>
      </c>
      <c r="AR51" s="306" t="s">
        <v>913</v>
      </c>
    </row>
    <row r="52" spans="1:52" ht="35.1" customHeight="1" x14ac:dyDescent="0.2">
      <c r="A52" s="288" t="e">
        <f>COUNTIF([2]EXPEDIENTES!J:J,"Dra. Puertas")</f>
        <v>#VALUE!</v>
      </c>
      <c r="B52" s="287" t="e">
        <f>A52/A53</f>
        <v>#VALUE!</v>
      </c>
      <c r="C52" s="286" t="s">
        <v>78</v>
      </c>
      <c r="M52" s="288" t="e">
        <f>COUNTIFS([2]EXPEDIENTES!Q:Q,"=Prisión Preventiva",[2]EXPEDIENTES!H:H,"&gt;=01/05/2023",[2]EXPEDIENTES!H:H,"&lt;=31/05/2023")</f>
        <v>#VALUE!</v>
      </c>
      <c r="N52" s="287" t="e">
        <f>M52/M58</f>
        <v>#VALUE!</v>
      </c>
      <c r="O52" s="289" t="s">
        <v>577</v>
      </c>
      <c r="AQ52" s="277">
        <f ca="1">COUNTIFS(EXPEDIENTES!Q:Q,$AR52,EXPEDIENTES!O:O,"SI")</f>
        <v>3</v>
      </c>
      <c r="AR52" s="306" t="s">
        <v>974</v>
      </c>
    </row>
    <row r="53" spans="1:52" ht="30" customHeight="1" x14ac:dyDescent="0.2">
      <c r="A53" s="282" t="e">
        <f>SUM(A46:A52)</f>
        <v>#VALUE!</v>
      </c>
      <c r="B53" s="281" t="e">
        <f>SUM(B46:B52)</f>
        <v>#VALUE!</v>
      </c>
      <c r="C53" s="280" t="s">
        <v>936</v>
      </c>
      <c r="M53" s="288" t="e">
        <f>COUNTIFS([2]EXPEDIENTES!Q:Q,"Juicio Abreviado - Efectiva",[2]EXPEDIENTES!H:H,"&gt;=01/05/2023",[2]EXPEDIENTES!H:H,"&lt;=31/05/2023")</f>
        <v>#VALUE!</v>
      </c>
      <c r="N53" s="287" t="e">
        <f>M53/M58</f>
        <v>#VALUE!</v>
      </c>
      <c r="O53" s="289" t="s">
        <v>1323</v>
      </c>
      <c r="AK53" s="188" t="s">
        <v>382</v>
      </c>
      <c r="AL53" s="188" t="s">
        <v>78</v>
      </c>
      <c r="AQ53" s="277">
        <f ca="1">COUNTIFS(EXPEDIENTES!Q:Q,$AR53,EXPEDIENTES!O:O,"SI")</f>
        <v>275</v>
      </c>
      <c r="AR53" s="306" t="s">
        <v>151</v>
      </c>
    </row>
    <row r="54" spans="1:52" ht="24.95" customHeight="1" x14ac:dyDescent="0.2">
      <c r="M54" s="288" t="e">
        <f>COUNTIFS([2]EXPEDIENTES!Q:Q,"Juicio Abreviado - Condicional y reglas de conducta",[2]EXPEDIENTES!H:H,"&gt;=01/05/2023",[2]EXPEDIENTES!H:H,"&lt;=31/05/2023")</f>
        <v>#VALUE!</v>
      </c>
      <c r="N54" s="287" t="e">
        <f>M54/M58</f>
        <v>#VALUE!</v>
      </c>
      <c r="O54" s="289" t="s">
        <v>1324</v>
      </c>
      <c r="AK54" s="294" t="s">
        <v>929</v>
      </c>
      <c r="AL54" s="293" t="s">
        <v>1298</v>
      </c>
      <c r="AM54" s="293" t="s">
        <v>930</v>
      </c>
      <c r="AQ54" s="277">
        <f ca="1">COUNTIFS(EXPEDIENTES!Q:Q,$AR54,EXPEDIENTES!O:O,"SI")</f>
        <v>11</v>
      </c>
      <c r="AR54" s="306" t="s">
        <v>912</v>
      </c>
    </row>
    <row r="55" spans="1:52" ht="24.95" customHeight="1" x14ac:dyDescent="0.2">
      <c r="M55" s="288" t="e">
        <f>COUNTIFS([2]EXPEDIENTES!R:R,"Libertad",[2]EXPEDIENTES!H:H,"&gt;=01/05/2023",[2]EXPEDIENTES!H:H,"&lt;=31/05/2023")</f>
        <v>#VALUE!</v>
      </c>
      <c r="N55" s="287" t="e">
        <f>M55/M58</f>
        <v>#VALUE!</v>
      </c>
      <c r="O55" s="289" t="s">
        <v>902</v>
      </c>
      <c r="AK55" s="288" t="e">
        <f>COUNTIFS([2]EXPEDIENTES!Q:Q,"=Prisión Preventiva",[2]EXPEDIENTES!J:J,"=Dra. Puertas")</f>
        <v>#VALUE!</v>
      </c>
      <c r="AL55" s="287" t="e">
        <f>AK55/AK61</f>
        <v>#VALUE!</v>
      </c>
      <c r="AM55" s="289" t="s">
        <v>577</v>
      </c>
      <c r="AQ55" s="277">
        <f ca="1">COUNTIFS(EXPEDIENTES!Q:Q,$AR55,EXPEDIENTES!O:O,"SI")</f>
        <v>7</v>
      </c>
      <c r="AR55" s="306" t="s">
        <v>911</v>
      </c>
    </row>
    <row r="56" spans="1:52" ht="24.95" customHeight="1" x14ac:dyDescent="0.2">
      <c r="M56" s="291" t="e">
        <f>COUNTIFS([2]EXPEDIENTES!H:H,"&gt;=01/05/2023",[2]EXPEDIENTES!H:H,"&lt;=31/05/2023")-SUM(M52:M55,M57)</f>
        <v>#VALUE!</v>
      </c>
      <c r="N56" s="287" t="e">
        <f>M56/M58</f>
        <v>#VALUE!</v>
      </c>
      <c r="O56" s="289" t="s">
        <v>1325</v>
      </c>
      <c r="AK56" s="288" t="e">
        <f>COUNTIFS([2]EXPEDIENTES!Q:Q,"Juicio Abreviado - Efectiva",[2]EXPEDIENTES!J:J,"=Dra. Puertas")</f>
        <v>#VALUE!</v>
      </c>
      <c r="AL56" s="287" t="e">
        <f>AK56/AK61</f>
        <v>#VALUE!</v>
      </c>
      <c r="AM56" s="289" t="s">
        <v>1323</v>
      </c>
      <c r="AQ56" s="277">
        <f ca="1">COUNTIFS(EXPEDIENTES!Q:Q,$AR56,EXPEDIENTES!O:O,"SI")</f>
        <v>20</v>
      </c>
      <c r="AR56" s="306" t="s">
        <v>909</v>
      </c>
    </row>
    <row r="57" spans="1:52" ht="24.95" customHeight="1" x14ac:dyDescent="0.2">
      <c r="M57" s="288" t="e">
        <f>COUNTIFS([2]EXPEDIENTES!Q:Q,"Suspendida por otras causas procesales",[2]EXPEDIENTES!Q:Q,"Audiencia cancelada - inimputabilidad",[2]EXPEDIENTES!Q:Q,"Suspendida por pedido de las partes",[2]EXPEDIENTES!H:H,"&gt;=01/05/2023",[2]EXPEDIENTES!H:H,"&lt;=31/05/2023")</f>
        <v>#VALUE!</v>
      </c>
      <c r="N57" s="287" t="e">
        <f>M57/M58</f>
        <v>#VALUE!</v>
      </c>
      <c r="O57" s="289" t="s">
        <v>949</v>
      </c>
      <c r="AK57" s="288" t="e">
        <f>COUNTIFS([2]EXPEDIENTES!Q:Q,"Juicio Abreviado - Condicional y reglas de conducta",[2]EXPEDIENTES!J:J,"=Dra. Puertas")</f>
        <v>#VALUE!</v>
      </c>
      <c r="AL57" s="287" t="e">
        <f>AK57/AK61</f>
        <v>#VALUE!</v>
      </c>
      <c r="AM57" s="289" t="s">
        <v>1324</v>
      </c>
      <c r="AQ57" s="277">
        <f ca="1">COUNTIFS(EXPEDIENTES!Q:Q,$AR57,EXPEDIENTES!O:O,"SI")</f>
        <v>1</v>
      </c>
      <c r="AR57" s="306" t="s">
        <v>1012</v>
      </c>
    </row>
    <row r="58" spans="1:52" ht="24.95" customHeight="1" x14ac:dyDescent="0.2">
      <c r="M58" s="285" t="e">
        <f>SUM(M52:M57)</f>
        <v>#VALUE!</v>
      </c>
      <c r="N58" s="284" t="e">
        <f>SUM(N52:N57)</f>
        <v>#VALUE!</v>
      </c>
      <c r="O58" s="283" t="s">
        <v>370</v>
      </c>
      <c r="AK58" s="288" t="e">
        <f>COUNTIFS([2]EXPEDIENTES!Q:Q,"Libertad",[2]EXPEDIENTES!J:J,"=Dra. Puertas")</f>
        <v>#VALUE!</v>
      </c>
      <c r="AL58" s="287" t="e">
        <f>AK58/AK61</f>
        <v>#VALUE!</v>
      </c>
      <c r="AM58" s="289" t="s">
        <v>902</v>
      </c>
      <c r="AQ58" s="277">
        <f ca="1">COUNTIFS(EXPEDIENTES!Q:Q,$AR58,EXPEDIENTES!O:O,"SI")</f>
        <v>11</v>
      </c>
      <c r="AR58" s="307" t="s">
        <v>1512</v>
      </c>
    </row>
    <row r="59" spans="1:52" ht="24.95" customHeight="1" x14ac:dyDescent="0.2">
      <c r="AK59" s="291" t="e">
        <f>COUNTIFS([2]EXPEDIENTES!J:J,"=Dra. Puertas")-SUM(AK55:AK58,AK60)</f>
        <v>#VALUE!</v>
      </c>
      <c r="AL59" s="287" t="e">
        <f>AK59/AK61</f>
        <v>#VALUE!</v>
      </c>
      <c r="AM59" s="289" t="s">
        <v>1325</v>
      </c>
      <c r="AQ59" s="277">
        <f ca="1">COUNTIFS(EXPEDIENTES!Q:Q,$AR59,EXPEDIENTES!O:O,"SI")</f>
        <v>3</v>
      </c>
      <c r="AR59" s="306" t="s">
        <v>1901</v>
      </c>
    </row>
    <row r="60" spans="1:52" ht="24.95" customHeight="1" x14ac:dyDescent="0.2">
      <c r="AK60" s="288" t="e">
        <f>COUNTIFS([2]EXPEDIENTES!Q:Q,"Suspendida por otras causas procesales",[2]EXPEDIENTES!Q:Q,"Audiencia cancelada - inimputabilidad",[2]EXPEDIENTES!Q:Q,"Suspendida por pedido de las partes",[2]EXPEDIENTES!J:J,"=Dra. Puertas")</f>
        <v>#VALUE!</v>
      </c>
      <c r="AL60" s="287" t="e">
        <f>AK60/AK61</f>
        <v>#VALUE!</v>
      </c>
      <c r="AM60" s="289" t="s">
        <v>949</v>
      </c>
      <c r="AQ60" s="199">
        <f ca="1">SUM(AQ45:AQ59)</f>
        <v>793</v>
      </c>
      <c r="AR60" s="199" t="s">
        <v>370</v>
      </c>
    </row>
    <row r="61" spans="1:52" ht="24.95" customHeight="1" x14ac:dyDescent="0.2">
      <c r="AK61" s="285" t="e">
        <f>SUM(AK55:AK60)</f>
        <v>#VALUE!</v>
      </c>
      <c r="AL61" s="284" t="e">
        <f>SUM(AL55:AL60)</f>
        <v>#VALUE!</v>
      </c>
      <c r="AM61" s="283" t="s">
        <v>370</v>
      </c>
      <c r="AQ61" s="189" t="str">
        <f ca="1">"Fuente: OFIJU GAR - Información al "&amp;TEXT(TODAY(),"DD/MM/YYYY")</f>
        <v>Fuente: OFIJU GAR - Información al 29/10/YYYY</v>
      </c>
    </row>
    <row r="62" spans="1:52" ht="24.95" customHeight="1" x14ac:dyDescent="0.2"/>
    <row r="63" spans="1:52" ht="24.95" customHeight="1" x14ac:dyDescent="0.25">
      <c r="AQ63" s="419" t="s">
        <v>1998</v>
      </c>
      <c r="AR63" s="419"/>
      <c r="AS63" s="419"/>
      <c r="AT63" s="419"/>
      <c r="AU63" s="419"/>
      <c r="AV63" s="419"/>
      <c r="AW63" s="419"/>
      <c r="AX63" s="419"/>
      <c r="AY63" s="419"/>
      <c r="AZ63" s="419"/>
    </row>
    <row r="64" spans="1:52" ht="24.95" customHeight="1" x14ac:dyDescent="0.2">
      <c r="AQ64" s="420" t="s">
        <v>2931</v>
      </c>
      <c r="AR64" s="420"/>
      <c r="AS64" s="420"/>
      <c r="AT64" s="420"/>
      <c r="AU64" s="420"/>
      <c r="AV64" s="420"/>
      <c r="AW64" s="420"/>
      <c r="AX64" s="420"/>
      <c r="AY64" s="420"/>
      <c r="AZ64" s="420"/>
    </row>
    <row r="65" spans="1:44" ht="13.5" thickBot="1" x14ac:dyDescent="0.25"/>
    <row r="66" spans="1:44" ht="18" x14ac:dyDescent="0.2">
      <c r="AQ66" s="305" t="s">
        <v>929</v>
      </c>
      <c r="AR66" s="304" t="s">
        <v>930</v>
      </c>
    </row>
    <row r="67" spans="1:44" ht="28.35" customHeight="1" x14ac:dyDescent="0.2">
      <c r="A67" s="189"/>
      <c r="H67" s="189"/>
      <c r="I67" s="189"/>
      <c r="K67" s="188"/>
      <c r="AQ67" s="303">
        <f ca="1">COUNTIFS(EXPEDIENTES!R:R,$AR67,EXPEDIENTES!O:O,"SI")</f>
        <v>2</v>
      </c>
      <c r="AR67" s="302" t="s">
        <v>910</v>
      </c>
    </row>
    <row r="68" spans="1:44" ht="28.35" customHeight="1" x14ac:dyDescent="0.2">
      <c r="AQ68" s="303">
        <f ca="1">COUNTIFS(EXPEDIENTES!R:R,$AR68,EXPEDIENTES!O:O,"SI")</f>
        <v>2</v>
      </c>
      <c r="AR68" s="302" t="s">
        <v>907</v>
      </c>
    </row>
    <row r="69" spans="1:44" ht="28.35" customHeight="1" x14ac:dyDescent="0.2">
      <c r="AQ69" s="303">
        <f ca="1">COUNTIFS(EXPEDIENTES!R:R,$AR69,EXPEDIENTES!O:O,"SI")</f>
        <v>365</v>
      </c>
      <c r="AR69" s="302" t="s">
        <v>100</v>
      </c>
    </row>
    <row r="70" spans="1:44" ht="28.35" customHeight="1" x14ac:dyDescent="0.2">
      <c r="AQ70" s="303">
        <f ca="1">COUNTIFS(EXPEDIENTES!R:R,$AR70,EXPEDIENTES!O:O,"SI")</f>
        <v>92</v>
      </c>
      <c r="AR70" s="302" t="s">
        <v>902</v>
      </c>
    </row>
    <row r="71" spans="1:44" ht="28.35" customHeight="1" x14ac:dyDescent="0.2">
      <c r="AQ71" s="303">
        <f ca="1">COUNTIFS(EXPEDIENTES!R:R,$AR71,EXPEDIENTES!O:O,"SI")</f>
        <v>15</v>
      </c>
      <c r="AR71" s="302" t="s">
        <v>913</v>
      </c>
    </row>
    <row r="72" spans="1:44" ht="28.35" customHeight="1" x14ac:dyDescent="0.2">
      <c r="AQ72" s="303">
        <f ca="1">COUNTIFS(EXPEDIENTES!R:R,$AR72,EXPEDIENTES!O:O,"SI")</f>
        <v>275</v>
      </c>
      <c r="AR72" s="302" t="s">
        <v>151</v>
      </c>
    </row>
    <row r="73" spans="1:44" ht="28.35" customHeight="1" x14ac:dyDescent="0.2">
      <c r="AQ73" s="303">
        <f ca="1">COUNTIFS(EXPEDIENTES!R:R,$AR73,EXPEDIENTES!O:O,"SI")</f>
        <v>19</v>
      </c>
      <c r="AR73" s="302" t="s">
        <v>949</v>
      </c>
    </row>
    <row r="74" spans="1:44" ht="28.35" customHeight="1" x14ac:dyDescent="0.2">
      <c r="AQ74" s="303">
        <f ca="1">COUNTIFS(EXPEDIENTES!R:R,$AR74,EXPEDIENTES!O:O,"SI")</f>
        <v>20</v>
      </c>
      <c r="AR74" s="302" t="s">
        <v>909</v>
      </c>
    </row>
    <row r="75" spans="1:44" ht="28.35" customHeight="1" x14ac:dyDescent="0.2">
      <c r="AQ75" s="303">
        <f ca="1">COUNTIFS(EXPEDIENTES!R:R,$AR75,EXPEDIENTES!O:O,"SI")</f>
        <v>3</v>
      </c>
      <c r="AR75" s="302" t="s">
        <v>1901</v>
      </c>
    </row>
    <row r="76" spans="1:44" ht="28.35" customHeight="1" thickBot="1" x14ac:dyDescent="0.25">
      <c r="M76" s="188" t="s">
        <v>1321</v>
      </c>
      <c r="N76" s="188" t="s">
        <v>1331</v>
      </c>
      <c r="AQ76" s="301">
        <f ca="1">SUM(AQ67:AQ75)</f>
        <v>793</v>
      </c>
      <c r="AR76" s="300" t="s">
        <v>370</v>
      </c>
    </row>
    <row r="77" spans="1:44" ht="28.35" customHeight="1" x14ac:dyDescent="0.2">
      <c r="M77" s="294" t="s">
        <v>929</v>
      </c>
      <c r="N77" s="293" t="s">
        <v>1298</v>
      </c>
      <c r="O77" s="293" t="s">
        <v>930</v>
      </c>
      <c r="AQ77" s="298"/>
      <c r="AR77" s="297"/>
    </row>
    <row r="78" spans="1:44" ht="28.35" customHeight="1" x14ac:dyDescent="0.2">
      <c r="M78" s="288" t="e">
        <f>COUNTIFS([2]EXPEDIENTES!Q:Q,"=Prisión Preventiva",[2]EXPEDIENTES!H:H,"&gt;=01/06/2023",[2]EXPEDIENTES!H:H,"&lt;=30/06/2023")</f>
        <v>#VALUE!</v>
      </c>
      <c r="N78" s="287" t="e">
        <f>M78/M84</f>
        <v>#VALUE!</v>
      </c>
      <c r="O78" s="289" t="s">
        <v>577</v>
      </c>
      <c r="AQ78" s="299"/>
      <c r="AR78" s="299"/>
    </row>
    <row r="79" spans="1:44" ht="28.35" customHeight="1" x14ac:dyDescent="0.2">
      <c r="M79" s="288" t="e">
        <f>COUNTIFS([2]EXPEDIENTES!Q:Q,"Juicio Abreviado - Efectiva",[2]EXPEDIENTES!H:H,"&gt;=01/06/2023",[2]EXPEDIENTES!H:H,"&lt;=30/06/2023")</f>
        <v>#VALUE!</v>
      </c>
      <c r="N79" s="287" t="e">
        <f>M79/M84</f>
        <v>#VALUE!</v>
      </c>
      <c r="O79" s="289" t="s">
        <v>1323</v>
      </c>
      <c r="AQ79" s="298"/>
      <c r="AR79" s="297"/>
    </row>
    <row r="80" spans="1:44" ht="28.35" customHeight="1" x14ac:dyDescent="0.2">
      <c r="M80" s="288" t="e">
        <f>COUNTIFS([2]EXPEDIENTES!Q:Q,"Juicio Abreviado - Condicional y reglas de conducta",[2]EXPEDIENTES!H:H,"&gt;=01/06/2023",[2]EXPEDIENTES!H:H,"&lt;=30/06/2023")</f>
        <v>#VALUE!</v>
      </c>
      <c r="N80" s="287" t="e">
        <f>M80/M84</f>
        <v>#VALUE!</v>
      </c>
      <c r="O80" s="289" t="s">
        <v>1324</v>
      </c>
      <c r="AQ80" s="299"/>
      <c r="AR80" s="299"/>
    </row>
    <row r="81" spans="13:44" ht="28.35" customHeight="1" x14ac:dyDescent="0.2">
      <c r="M81" s="288" t="e">
        <f>COUNTIFS([2]EXPEDIENTES!R:R,"Libertad",[2]EXPEDIENTES!H:H,"&gt;=01/06/2023",[2]EXPEDIENTES!H:H,"&lt;=30/06/2023")</f>
        <v>#VALUE!</v>
      </c>
      <c r="N81" s="287" t="e">
        <f>M81/M84</f>
        <v>#VALUE!</v>
      </c>
      <c r="O81" s="289" t="s">
        <v>902</v>
      </c>
      <c r="AQ81" s="298"/>
      <c r="AR81" s="297"/>
    </row>
    <row r="82" spans="13:44" ht="18" customHeight="1" x14ac:dyDescent="0.2">
      <c r="M82" s="291" t="e">
        <f>COUNTIFS([2]EXPEDIENTES!H:H,"&gt;=01/06/2023",[2]EXPEDIENTES!H:H,"&lt;=30/06/2023",[2]EXPEDIENTES!O:O,"&lt;&gt;NO")-SUM(M78:M81,M83)</f>
        <v>#VALUE!</v>
      </c>
      <c r="N82" s="287" t="e">
        <f>M82/M84</f>
        <v>#VALUE!</v>
      </c>
      <c r="O82" s="289" t="s">
        <v>1325</v>
      </c>
      <c r="AQ82" s="298"/>
      <c r="AR82" s="297"/>
    </row>
    <row r="83" spans="13:44" ht="21" customHeight="1" x14ac:dyDescent="0.2">
      <c r="M83" s="288" t="e">
        <f>COUNTIFS([2]EXPEDIENTES!Q:Q,"Suspendida por otras causas procesales",[2]EXPEDIENTES!Q:Q,"Audiencia cancelada - inimputabilidad",[2]EXPEDIENTES!Q:Q,"Suspendida por pedido de las partes",[2]EXPEDIENTES!H:H,"&gt;=01/06/2023",[2]EXPEDIENTES!H:H,"&lt;=30/06/2023")</f>
        <v>#VALUE!</v>
      </c>
      <c r="N83" s="287" t="e">
        <f>M83/M84</f>
        <v>#VALUE!</v>
      </c>
      <c r="O83" s="289" t="s">
        <v>949</v>
      </c>
    </row>
    <row r="84" spans="13:44" ht="22.5" customHeight="1" x14ac:dyDescent="0.2">
      <c r="M84" s="285" t="e">
        <f>SUM(M78:M83)</f>
        <v>#VALUE!</v>
      </c>
      <c r="N84" s="284" t="e">
        <f>SUM(N78:N83)</f>
        <v>#VALUE!</v>
      </c>
      <c r="O84" s="283" t="s">
        <v>370</v>
      </c>
    </row>
    <row r="85" spans="13:44" ht="23.25" customHeight="1" x14ac:dyDescent="0.2"/>
    <row r="86" spans="13:44" ht="21" customHeight="1" x14ac:dyDescent="0.2"/>
    <row r="103" spans="13:15" ht="27.75" customHeight="1" x14ac:dyDescent="0.2">
      <c r="M103" s="188" t="s">
        <v>1321</v>
      </c>
      <c r="N103" s="188" t="s">
        <v>1992</v>
      </c>
    </row>
    <row r="104" spans="13:15" ht="27" customHeight="1" x14ac:dyDescent="0.2">
      <c r="M104" s="294" t="s">
        <v>929</v>
      </c>
      <c r="N104" s="293" t="s">
        <v>1298</v>
      </c>
      <c r="O104" s="293" t="s">
        <v>930</v>
      </c>
    </row>
    <row r="105" spans="13:15" ht="23.25" customHeight="1" x14ac:dyDescent="0.2">
      <c r="M105" s="288" t="e">
        <f>COUNTIFS([2]EXPEDIENTES!Q:Q,"=Prisión Preventiva",[2]EXPEDIENTES!H:H,"&gt;=01/07/2023",[2]EXPEDIENTES!H:H,"&lt;=31/07/2023")</f>
        <v>#VALUE!</v>
      </c>
      <c r="N105" s="287" t="e">
        <f>M105/M111</f>
        <v>#VALUE!</v>
      </c>
      <c r="O105" s="289" t="s">
        <v>577</v>
      </c>
    </row>
    <row r="106" spans="13:15" ht="24" customHeight="1" x14ac:dyDescent="0.2">
      <c r="M106" s="288" t="e">
        <f>COUNTIFS([2]EXPEDIENTES!Q:Q,"Juicio Abreviado - Efectiva",[2]EXPEDIENTES!H:H,"&gt;=01/07/2023",[2]EXPEDIENTES!H:H,"&lt;=31/07/2023")</f>
        <v>#VALUE!</v>
      </c>
      <c r="N106" s="287" t="e">
        <f>M106/M111</f>
        <v>#VALUE!</v>
      </c>
      <c r="O106" s="289" t="s">
        <v>1323</v>
      </c>
    </row>
    <row r="107" spans="13:15" ht="24" customHeight="1" x14ac:dyDescent="0.2">
      <c r="M107" s="288" t="e">
        <f>COUNTIFS([2]EXPEDIENTES!Q:Q,"Juicio Abreviado - Condicional y reglas de conducta",[2]EXPEDIENTES!H:H,"&gt;=01/07/2023",[2]EXPEDIENTES!H:H,"&lt;=31/07/2023")</f>
        <v>#VALUE!</v>
      </c>
      <c r="N107" s="287" t="e">
        <f>M107/M111</f>
        <v>#VALUE!</v>
      </c>
      <c r="O107" s="289" t="s">
        <v>1324</v>
      </c>
    </row>
    <row r="108" spans="13:15" ht="24.75" customHeight="1" x14ac:dyDescent="0.2">
      <c r="M108" s="288" t="e">
        <f>COUNTIFS([2]EXPEDIENTES!R:R,"Libertad",[2]EXPEDIENTES!H:H,"&gt;=01/07/2023",[2]EXPEDIENTES!H:H,"&lt;=31/07/2023")</f>
        <v>#VALUE!</v>
      </c>
      <c r="N108" s="287" t="e">
        <f>M108/M111</f>
        <v>#VALUE!</v>
      </c>
      <c r="O108" s="289" t="s">
        <v>902</v>
      </c>
    </row>
    <row r="109" spans="13:15" ht="24.75" customHeight="1" x14ac:dyDescent="0.2">
      <c r="M109" s="291" t="e">
        <f>COUNTIFS([2]EXPEDIENTES!H:H,"&gt;=01/07/2023",[2]EXPEDIENTES!H:H,"&lt;=31/07/2023",[2]EXPEDIENTES!O:O,"&lt;&gt;NO")-SUM(M105:M108,M110)</f>
        <v>#VALUE!</v>
      </c>
      <c r="N109" s="287" t="e">
        <f>M109/M111</f>
        <v>#VALUE!</v>
      </c>
      <c r="O109" s="289" t="s">
        <v>1325</v>
      </c>
    </row>
    <row r="110" spans="13:15" ht="19.5" customHeight="1" x14ac:dyDescent="0.2">
      <c r="M110" s="288" t="e">
        <f>COUNTIFS([2]EXPEDIENTES!Q:Q,"Suspendida por otras causas procesales",[2]EXPEDIENTES!Q:Q,"Audiencia cancelada - inimputabilidad",[2]EXPEDIENTES!Q:Q,"Suspendida por pedido de las partes",[2]EXPEDIENTES!H:H,"&gt;=01/07/2023",[2]EXPEDIENTES!H:H,"&lt;=31/07/2023")</f>
        <v>#VALUE!</v>
      </c>
      <c r="N110" s="287" t="e">
        <f>M110/M111</f>
        <v>#VALUE!</v>
      </c>
      <c r="O110" s="289" t="s">
        <v>949</v>
      </c>
    </row>
    <row r="111" spans="13:15" ht="23.25" customHeight="1" x14ac:dyDescent="0.2">
      <c r="M111" s="285" t="e">
        <f>SUM(M105:M110)</f>
        <v>#VALUE!</v>
      </c>
      <c r="N111" s="284" t="e">
        <f>SUM(N105:N110)</f>
        <v>#VALUE!</v>
      </c>
      <c r="O111" s="283" t="s">
        <v>370</v>
      </c>
    </row>
    <row r="112" spans="13:15" ht="24.75" customHeight="1" x14ac:dyDescent="0.2"/>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H10" sqref="H10:I15"/>
    </sheetView>
  </sheetViews>
  <sheetFormatPr baseColWidth="10" defaultRowHeight="12.75" x14ac:dyDescent="0.2"/>
  <sheetData>
    <row r="1" spans="1:2" x14ac:dyDescent="0.2">
      <c r="A1" t="s">
        <v>1634</v>
      </c>
      <c r="B1" s="54">
        <v>44977</v>
      </c>
    </row>
    <row r="2" spans="1:2" x14ac:dyDescent="0.2">
      <c r="A2" s="54"/>
      <c r="B2" s="54">
        <v>44978</v>
      </c>
    </row>
    <row r="3" spans="1:2" x14ac:dyDescent="0.2">
      <c r="A3" s="54"/>
      <c r="B3" s="54">
        <v>45009</v>
      </c>
    </row>
    <row r="4" spans="1:2" x14ac:dyDescent="0.2">
      <c r="A4" s="54"/>
      <c r="B4" s="54">
        <v>45022</v>
      </c>
    </row>
    <row r="5" spans="1:2" x14ac:dyDescent="0.2">
      <c r="A5" s="54"/>
      <c r="B5" s="54">
        <v>45023</v>
      </c>
    </row>
    <row r="6" spans="1:2" x14ac:dyDescent="0.2">
      <c r="A6" s="54"/>
      <c r="B6" s="54">
        <v>45071</v>
      </c>
    </row>
    <row r="7" spans="1:2" x14ac:dyDescent="0.2">
      <c r="A7" s="54"/>
      <c r="B7" s="54">
        <v>45072</v>
      </c>
    </row>
    <row r="8" spans="1:2" x14ac:dyDescent="0.2">
      <c r="A8" s="54"/>
      <c r="B8" s="54">
        <v>45096</v>
      </c>
    </row>
    <row r="9" spans="1:2" x14ac:dyDescent="0.2">
      <c r="A9" s="54"/>
      <c r="B9" s="54">
        <v>45097</v>
      </c>
    </row>
    <row r="10" spans="1:2" x14ac:dyDescent="0.2">
      <c r="A10" s="54"/>
      <c r="B10" s="54">
        <v>45159</v>
      </c>
    </row>
    <row r="11" spans="1:2" x14ac:dyDescent="0.2">
      <c r="A11" s="54"/>
      <c r="B11" s="54">
        <v>45167</v>
      </c>
    </row>
    <row r="12" spans="1:2" x14ac:dyDescent="0.2">
      <c r="A12" s="54"/>
      <c r="B12" s="54">
        <v>45182</v>
      </c>
    </row>
    <row r="13" spans="1:2" x14ac:dyDescent="0.2">
      <c r="A13" s="54"/>
      <c r="B13" s="54">
        <v>45183</v>
      </c>
    </row>
    <row r="14" spans="1:2" x14ac:dyDescent="0.2">
      <c r="A14" s="54"/>
      <c r="B14" s="54">
        <v>45212</v>
      </c>
    </row>
    <row r="15" spans="1:2" x14ac:dyDescent="0.2">
      <c r="A15" s="54"/>
      <c r="B15" s="54">
        <v>45215</v>
      </c>
    </row>
    <row r="16" spans="1:2" x14ac:dyDescent="0.2">
      <c r="A16" s="54"/>
      <c r="B16" s="54">
        <v>45246</v>
      </c>
    </row>
    <row r="17" spans="1:2" x14ac:dyDescent="0.2">
      <c r="A17" s="54"/>
      <c r="B17" s="54">
        <v>45250</v>
      </c>
    </row>
    <row r="18" spans="1:2" x14ac:dyDescent="0.2">
      <c r="A18" s="54"/>
      <c r="B18" s="54">
        <v>45268</v>
      </c>
    </row>
    <row r="19" spans="1:2" x14ac:dyDescent="0.2">
      <c r="A19" s="54"/>
      <c r="B19" s="54">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E9" sqref="E9"/>
    </sheetView>
  </sheetViews>
  <sheetFormatPr baseColWidth="10" defaultRowHeight="12.75" x14ac:dyDescent="0.2"/>
  <cols>
    <col min="1" max="1" width="6.28515625" customWidth="1"/>
    <col min="2" max="2" width="42.42578125" customWidth="1"/>
    <col min="3" max="3" width="49.28515625" customWidth="1"/>
    <col min="5" max="13" width="11.42578125" style="222"/>
  </cols>
  <sheetData>
    <row r="1" spans="1:16384" ht="20.25" x14ac:dyDescent="0.3">
      <c r="B1" s="26" t="s">
        <v>514</v>
      </c>
      <c r="C1" s="20">
        <f ca="1">TODAY()</f>
        <v>45228</v>
      </c>
    </row>
    <row r="2" spans="1:16384" ht="21.95" customHeight="1" x14ac:dyDescent="0.2">
      <c r="B2" s="423" t="s">
        <v>393</v>
      </c>
      <c r="C2" s="423"/>
    </row>
    <row r="3" spans="1:16384" ht="21.95" customHeight="1" x14ac:dyDescent="0.2">
      <c r="B3" s="12" t="s">
        <v>3</v>
      </c>
      <c r="C3" s="12" t="s">
        <v>362</v>
      </c>
    </row>
    <row r="4" spans="1:16384" ht="21.95" customHeight="1" x14ac:dyDescent="0.2">
      <c r="B4" s="10" t="s">
        <v>43</v>
      </c>
      <c r="C4" s="10">
        <f ca="1">COUNTIFS(EXPEDIENTES!G:G,B4,EXPEDIENTES!O:O,"NO")</f>
        <v>2</v>
      </c>
    </row>
    <row r="5" spans="1:16384" ht="21.95" customHeight="1" x14ac:dyDescent="0.2">
      <c r="B5" s="10" t="s">
        <v>29</v>
      </c>
      <c r="C5" s="10">
        <f ca="1">COUNTIFS(EXPEDIENTES!G:G,B5,EXPEDIENTES!O:O,"NO")</f>
        <v>0</v>
      </c>
    </row>
    <row r="6" spans="1:16384" ht="21.95" customHeight="1" x14ac:dyDescent="0.2">
      <c r="B6" s="10" t="s">
        <v>283</v>
      </c>
      <c r="C6" s="10">
        <f ca="1">COUNTIFS(EXPEDIENTES!G:G,B6,EXPEDIENTES!O:O,"NO")</f>
        <v>8</v>
      </c>
    </row>
    <row r="7" spans="1:16384" ht="21.95" customHeight="1" x14ac:dyDescent="0.2">
      <c r="B7" s="10" t="s">
        <v>32</v>
      </c>
      <c r="C7" s="10">
        <f ca="1">COUNTIFS(EXPEDIENTES!G:G,B7,EXPEDIENTES!O:O,"NO")</f>
        <v>0</v>
      </c>
    </row>
    <row r="8" spans="1:16384" ht="21.95" customHeight="1" x14ac:dyDescent="0.2">
      <c r="B8" s="10" t="s">
        <v>1441</v>
      </c>
      <c r="C8" s="10">
        <f ca="1">COUNTIFS(EXPEDIENTES!G:G,B8,EXPEDIENTES!O:O,"NO")</f>
        <v>9</v>
      </c>
    </row>
    <row r="9" spans="1:16384" ht="21.95" customHeight="1" x14ac:dyDescent="0.2">
      <c r="B9" s="10" t="s">
        <v>568</v>
      </c>
      <c r="C9" s="10">
        <f ca="1">COUNTIFS(EXPEDIENTES!G:G,B9,EXPEDIENTES!O:O,"NO")</f>
        <v>7</v>
      </c>
    </row>
    <row r="10" spans="1:16384" ht="21.95" customHeight="1" x14ac:dyDescent="0.2">
      <c r="B10" s="10" t="s">
        <v>1442</v>
      </c>
      <c r="C10" s="10">
        <f ca="1">COUNTIFS(EXPEDIENTES!G:G,B10,EXPEDIENTES!O:O,"NO")</f>
        <v>9</v>
      </c>
    </row>
    <row r="11" spans="1:16384" s="112" customFormat="1" ht="21.95" customHeight="1" x14ac:dyDescent="0.2">
      <c r="A11" s="113"/>
      <c r="B11" s="10" t="s">
        <v>1443</v>
      </c>
      <c r="C11" s="10">
        <f ca="1">COUNTIFS(EXPEDIENTES!G:G,B11,EXPEDIENTES!O:O,"NO")</f>
        <v>8</v>
      </c>
      <c r="D11" s="113"/>
      <c r="E11" s="224"/>
      <c r="F11" s="224"/>
      <c r="G11" s="224"/>
      <c r="H11" s="224"/>
      <c r="I11" s="224"/>
      <c r="J11" s="224"/>
      <c r="K11" s="224"/>
      <c r="L11" s="224"/>
      <c r="M11" s="224"/>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c r="BS11" s="113"/>
      <c r="BT11" s="113"/>
      <c r="BU11" s="113"/>
      <c r="BV11" s="113"/>
      <c r="BW11" s="113"/>
      <c r="BX11" s="113"/>
      <c r="BY11" s="113"/>
      <c r="BZ11" s="113"/>
      <c r="CA11" s="113"/>
      <c r="CB11" s="113"/>
      <c r="CC11" s="113"/>
      <c r="CD11" s="113"/>
      <c r="CE11" s="113"/>
      <c r="CF11" s="113"/>
      <c r="CG11" s="113"/>
      <c r="CH11" s="113"/>
      <c r="CI11" s="113"/>
      <c r="CJ11" s="113"/>
      <c r="CK11" s="113"/>
      <c r="CL11" s="113"/>
      <c r="CM11" s="113"/>
      <c r="CN11" s="113"/>
      <c r="CO11" s="113"/>
      <c r="CP11" s="113"/>
      <c r="CQ11" s="113"/>
      <c r="CR11" s="113"/>
      <c r="CS11" s="113"/>
      <c r="CT11" s="113"/>
      <c r="CU11" s="113"/>
      <c r="CV11" s="113"/>
      <c r="CW11" s="113"/>
      <c r="CX11" s="113"/>
      <c r="CY11" s="113"/>
      <c r="CZ11" s="113"/>
      <c r="DA11" s="113"/>
      <c r="DB11" s="113"/>
      <c r="DC11" s="113"/>
      <c r="DD11" s="113"/>
      <c r="DE11" s="113"/>
      <c r="DF11" s="113"/>
      <c r="DG11" s="113"/>
      <c r="DH11" s="113"/>
      <c r="DI11" s="113"/>
      <c r="DJ11" s="113"/>
      <c r="DK11" s="113"/>
      <c r="DL11" s="113"/>
      <c r="DM11" s="113"/>
      <c r="DN11" s="113"/>
      <c r="DO11" s="113"/>
      <c r="DP11" s="113"/>
      <c r="DQ11" s="113"/>
      <c r="DR11" s="113"/>
      <c r="DS11" s="113"/>
      <c r="DT11" s="113"/>
      <c r="DU11" s="113"/>
      <c r="DV11" s="113"/>
      <c r="DW11" s="113"/>
      <c r="DX11" s="113"/>
      <c r="DY11" s="113"/>
      <c r="DZ11" s="113"/>
      <c r="EA11" s="113"/>
      <c r="EB11" s="113"/>
      <c r="EC11" s="113"/>
      <c r="ED11" s="113"/>
      <c r="EE11" s="113"/>
      <c r="EF11" s="113"/>
      <c r="EG11" s="113"/>
      <c r="EH11" s="113"/>
      <c r="EI11" s="113"/>
      <c r="EJ11" s="113"/>
      <c r="EK11" s="113"/>
      <c r="EL11" s="113"/>
      <c r="EM11" s="113"/>
      <c r="EN11" s="113"/>
      <c r="EO11" s="113"/>
      <c r="EP11" s="113"/>
      <c r="EQ11" s="113"/>
      <c r="ER11" s="113"/>
      <c r="ES11" s="113"/>
      <c r="ET11" s="113"/>
      <c r="EU11" s="113"/>
      <c r="EV11" s="113"/>
      <c r="EW11" s="113"/>
      <c r="EX11" s="113"/>
      <c r="EY11" s="113"/>
      <c r="EZ11" s="113"/>
      <c r="FA11" s="113"/>
      <c r="FB11" s="113"/>
      <c r="FC11" s="113"/>
      <c r="FD11" s="113"/>
      <c r="FE11" s="113"/>
      <c r="FF11" s="113"/>
      <c r="FG11" s="113"/>
      <c r="FH11" s="113"/>
      <c r="FI11" s="113"/>
      <c r="FJ11" s="113"/>
      <c r="FK11" s="113"/>
      <c r="FL11" s="113"/>
      <c r="FM11" s="113"/>
      <c r="FN11" s="113"/>
      <c r="FO11" s="113"/>
      <c r="FP11" s="113"/>
      <c r="FQ11" s="113"/>
      <c r="FR11" s="113"/>
      <c r="FS11" s="113"/>
      <c r="FT11" s="113"/>
      <c r="FU11" s="113"/>
      <c r="FV11" s="113"/>
      <c r="FW11" s="113"/>
      <c r="FX11" s="113"/>
      <c r="FY11" s="113"/>
      <c r="FZ11" s="113"/>
      <c r="GA11" s="113"/>
      <c r="GB11" s="113"/>
      <c r="GC11" s="113"/>
      <c r="GD11" s="113"/>
      <c r="GE11" s="113"/>
      <c r="GF11" s="113"/>
      <c r="GG11" s="113"/>
      <c r="GH11" s="113"/>
      <c r="GI11" s="113"/>
      <c r="GJ11" s="113"/>
      <c r="GK11" s="113"/>
      <c r="GL11" s="113"/>
      <c r="GM11" s="113"/>
      <c r="GN11" s="113"/>
      <c r="GO11" s="113"/>
      <c r="GP11" s="113"/>
      <c r="GQ11" s="113"/>
      <c r="GR11" s="113"/>
      <c r="GS11" s="113"/>
      <c r="GT11" s="113"/>
      <c r="GU11" s="113"/>
      <c r="GV11" s="113"/>
      <c r="GW11" s="113"/>
      <c r="GX11" s="113"/>
      <c r="GY11" s="113"/>
      <c r="GZ11" s="113"/>
      <c r="HA11" s="113"/>
      <c r="HB11" s="113"/>
      <c r="HC11" s="113"/>
      <c r="HD11" s="113"/>
      <c r="HE11" s="113"/>
      <c r="HF11" s="113"/>
      <c r="HG11" s="113"/>
      <c r="HH11" s="113"/>
      <c r="HI11" s="113"/>
      <c r="HJ11" s="113"/>
      <c r="HK11" s="113"/>
      <c r="HL11" s="113"/>
      <c r="HM11" s="113"/>
      <c r="HN11" s="113"/>
      <c r="HO11" s="113"/>
      <c r="HP11" s="113"/>
      <c r="HQ11" s="113"/>
      <c r="HR11" s="113"/>
      <c r="HS11" s="113"/>
      <c r="HT11" s="113"/>
      <c r="HU11" s="113"/>
      <c r="HV11" s="113"/>
      <c r="HW11" s="113"/>
      <c r="HX11" s="113"/>
      <c r="HY11" s="113"/>
      <c r="HZ11" s="113"/>
      <c r="IA11" s="113"/>
      <c r="IB11" s="113"/>
      <c r="IC11" s="113"/>
      <c r="ID11" s="113"/>
      <c r="IE11" s="113"/>
      <c r="IF11" s="113"/>
      <c r="IG11" s="113"/>
      <c r="IH11" s="113"/>
      <c r="II11" s="113"/>
      <c r="IJ11" s="113"/>
      <c r="IK11" s="113"/>
      <c r="IL11" s="113"/>
      <c r="IM11" s="113"/>
      <c r="IN11" s="113"/>
      <c r="IO11" s="113"/>
      <c r="IP11" s="113"/>
      <c r="IQ11" s="113"/>
      <c r="IR11" s="113"/>
      <c r="IS11" s="113"/>
      <c r="IT11" s="113"/>
      <c r="IU11" s="113"/>
      <c r="IV11" s="113"/>
      <c r="IW11" s="113"/>
      <c r="IX11" s="113"/>
      <c r="IY11" s="113"/>
      <c r="IZ11" s="113"/>
      <c r="JA11" s="113"/>
      <c r="JB11" s="113"/>
      <c r="JC11" s="113"/>
      <c r="JD11" s="113"/>
      <c r="JE11" s="113"/>
      <c r="JF11" s="113"/>
      <c r="JG11" s="113"/>
      <c r="JH11" s="113"/>
      <c r="JI11" s="113"/>
      <c r="JJ11" s="113"/>
      <c r="JK11" s="113"/>
      <c r="JL11" s="113"/>
      <c r="JM11" s="113"/>
      <c r="JN11" s="113"/>
      <c r="JO11" s="113"/>
      <c r="JP11" s="113"/>
      <c r="JQ11" s="113"/>
      <c r="JR11" s="113"/>
      <c r="JS11" s="113"/>
      <c r="JT11" s="113"/>
      <c r="JU11" s="113"/>
      <c r="JV11" s="113"/>
      <c r="JW11" s="113"/>
      <c r="JX11" s="113"/>
      <c r="JY11" s="113"/>
      <c r="JZ11" s="113"/>
      <c r="KA11" s="113"/>
      <c r="KB11" s="113"/>
      <c r="KC11" s="113"/>
      <c r="KD11" s="113"/>
      <c r="KE11" s="113"/>
      <c r="KF11" s="113"/>
      <c r="KG11" s="113"/>
      <c r="KH11" s="113"/>
      <c r="KI11" s="113"/>
      <c r="KJ11" s="113"/>
      <c r="KK11" s="113"/>
      <c r="KL11" s="113"/>
      <c r="KM11" s="113"/>
      <c r="KN11" s="113"/>
      <c r="KO11" s="113"/>
      <c r="KP11" s="113"/>
      <c r="KQ11" s="113"/>
      <c r="KR11" s="113"/>
      <c r="KS11" s="113"/>
      <c r="KT11" s="113"/>
      <c r="KU11" s="113"/>
      <c r="KV11" s="113"/>
      <c r="KW11" s="113"/>
      <c r="KX11" s="113"/>
      <c r="KY11" s="113"/>
      <c r="KZ11" s="113"/>
      <c r="LA11" s="113"/>
      <c r="LB11" s="113"/>
      <c r="LC11" s="113"/>
      <c r="LD11" s="113"/>
      <c r="LE11" s="113"/>
      <c r="LF11" s="113"/>
      <c r="LG11" s="113"/>
      <c r="LH11" s="113"/>
      <c r="LI11" s="113"/>
      <c r="LJ11" s="113"/>
      <c r="LK11" s="113"/>
      <c r="LL11" s="113"/>
      <c r="LM11" s="113"/>
      <c r="LN11" s="113"/>
      <c r="LO11" s="113"/>
      <c r="LP11" s="113"/>
      <c r="LQ11" s="113"/>
      <c r="LR11" s="113"/>
      <c r="LS11" s="113"/>
      <c r="LT11" s="113"/>
      <c r="LU11" s="113"/>
      <c r="LV11" s="113"/>
      <c r="LW11" s="113"/>
      <c r="LX11" s="113"/>
      <c r="LY11" s="113"/>
      <c r="LZ11" s="113"/>
      <c r="MA11" s="113"/>
      <c r="MB11" s="113"/>
      <c r="MC11" s="113"/>
      <c r="MD11" s="113"/>
      <c r="ME11" s="113"/>
      <c r="MF11" s="113"/>
      <c r="MG11" s="113"/>
      <c r="MH11" s="113"/>
      <c r="MI11" s="113"/>
      <c r="MJ11" s="113"/>
      <c r="MK11" s="113"/>
      <c r="ML11" s="113"/>
      <c r="MM11" s="113"/>
      <c r="MN11" s="113"/>
      <c r="MO11" s="113"/>
      <c r="MP11" s="113"/>
      <c r="MQ11" s="113"/>
      <c r="MR11" s="113"/>
      <c r="MS11" s="113"/>
      <c r="MT11" s="113"/>
      <c r="MU11" s="113"/>
      <c r="MV11" s="113"/>
      <c r="MW11" s="113"/>
      <c r="MX11" s="113"/>
      <c r="MY11" s="113"/>
      <c r="MZ11" s="113"/>
      <c r="NA11" s="113"/>
      <c r="NB11" s="113"/>
      <c r="NC11" s="113"/>
      <c r="ND11" s="113"/>
      <c r="NE11" s="113"/>
      <c r="NF11" s="113"/>
      <c r="NG11" s="113"/>
      <c r="NH11" s="113"/>
      <c r="NI11" s="113"/>
      <c r="NJ11" s="113"/>
      <c r="NK11" s="113"/>
      <c r="NL11" s="113"/>
      <c r="NM11" s="113"/>
      <c r="NN11" s="113"/>
      <c r="NO11" s="113"/>
      <c r="NP11" s="113"/>
      <c r="NQ11" s="113"/>
      <c r="NR11" s="113"/>
      <c r="NS11" s="113"/>
      <c r="NT11" s="113"/>
      <c r="NU11" s="113"/>
      <c r="NV11" s="113"/>
      <c r="NW11" s="113"/>
      <c r="NX11" s="113"/>
      <c r="NY11" s="113"/>
      <c r="NZ11" s="113"/>
      <c r="OA11" s="113"/>
      <c r="OB11" s="113"/>
      <c r="OC11" s="113"/>
      <c r="OD11" s="113"/>
      <c r="OE11" s="113"/>
      <c r="OF11" s="113"/>
      <c r="OG11" s="113"/>
      <c r="OH11" s="113"/>
      <c r="OI11" s="113"/>
      <c r="OJ11" s="113"/>
      <c r="OK11" s="113"/>
      <c r="OL11" s="113"/>
      <c r="OM11" s="113"/>
      <c r="ON11" s="113"/>
      <c r="OO11" s="113"/>
      <c r="OP11" s="113"/>
      <c r="OQ11" s="113"/>
      <c r="OR11" s="113"/>
      <c r="OS11" s="113"/>
      <c r="OT11" s="113"/>
      <c r="OU11" s="113"/>
      <c r="OV11" s="113"/>
      <c r="OW11" s="113"/>
      <c r="OX11" s="113"/>
      <c r="OY11" s="113"/>
      <c r="OZ11" s="113"/>
      <c r="PA11" s="113"/>
      <c r="PB11" s="113"/>
      <c r="PC11" s="113"/>
      <c r="PD11" s="113"/>
      <c r="PE11" s="113"/>
      <c r="PF11" s="113"/>
      <c r="PG11" s="113"/>
      <c r="PH11" s="113"/>
      <c r="PI11" s="113"/>
      <c r="PJ11" s="113"/>
      <c r="PK11" s="113"/>
      <c r="PL11" s="113"/>
      <c r="PM11" s="113"/>
      <c r="PN11" s="113"/>
      <c r="PO11" s="113"/>
      <c r="PP11" s="113"/>
      <c r="PQ11" s="113"/>
      <c r="PR11" s="113"/>
      <c r="PS11" s="113"/>
      <c r="PT11" s="113"/>
      <c r="PU11" s="113"/>
      <c r="PV11" s="113"/>
      <c r="PW11" s="113"/>
      <c r="PX11" s="113"/>
      <c r="PY11" s="113"/>
      <c r="PZ11" s="113"/>
      <c r="QA11" s="113"/>
      <c r="QB11" s="113"/>
      <c r="QC11" s="113"/>
      <c r="QD11" s="113"/>
      <c r="QE11" s="113"/>
      <c r="QF11" s="113"/>
      <c r="QG11" s="113"/>
      <c r="QH11" s="113"/>
      <c r="QI11" s="113"/>
      <c r="QJ11" s="113"/>
      <c r="QK11" s="113"/>
      <c r="QL11" s="113"/>
      <c r="QM11" s="113"/>
      <c r="QN11" s="113"/>
      <c r="QO11" s="113"/>
      <c r="QP11" s="113"/>
      <c r="QQ11" s="113"/>
      <c r="QR11" s="113"/>
      <c r="QS11" s="113"/>
      <c r="QT11" s="113"/>
      <c r="QU11" s="113"/>
      <c r="QV11" s="113"/>
      <c r="QW11" s="113"/>
      <c r="QX11" s="113"/>
      <c r="QY11" s="113"/>
      <c r="QZ11" s="113"/>
      <c r="RA11" s="113"/>
      <c r="RB11" s="113"/>
      <c r="RC11" s="113"/>
      <c r="RD11" s="113"/>
      <c r="RE11" s="113"/>
      <c r="RF11" s="113"/>
      <c r="RG11" s="113"/>
      <c r="RH11" s="113"/>
      <c r="RI11" s="113"/>
      <c r="RJ11" s="113"/>
      <c r="RK11" s="113"/>
      <c r="RL11" s="113"/>
      <c r="RM11" s="113"/>
      <c r="RN11" s="113"/>
      <c r="RO11" s="113"/>
      <c r="RP11" s="113"/>
      <c r="RQ11" s="113"/>
      <c r="RR11" s="113"/>
      <c r="RS11" s="113"/>
      <c r="RT11" s="113"/>
      <c r="RU11" s="113"/>
      <c r="RV11" s="113"/>
      <c r="RW11" s="113"/>
      <c r="RX11" s="113"/>
      <c r="RY11" s="113"/>
      <c r="RZ11" s="113"/>
      <c r="SA11" s="113"/>
      <c r="SB11" s="113"/>
      <c r="SC11" s="113"/>
      <c r="SD11" s="113"/>
      <c r="SE11" s="113"/>
      <c r="SF11" s="113"/>
      <c r="SG11" s="113"/>
      <c r="SH11" s="113"/>
      <c r="SI11" s="113"/>
      <c r="SJ11" s="113"/>
      <c r="SK11" s="113"/>
      <c r="SL11" s="113"/>
      <c r="SM11" s="113"/>
      <c r="SN11" s="113"/>
      <c r="SO11" s="113"/>
      <c r="SP11" s="113"/>
      <c r="SQ11" s="113"/>
      <c r="SR11" s="113"/>
      <c r="SS11" s="113"/>
      <c r="ST11" s="113"/>
      <c r="SU11" s="113"/>
      <c r="SV11" s="113"/>
      <c r="SW11" s="113"/>
      <c r="SX11" s="113"/>
      <c r="SY11" s="113"/>
      <c r="SZ11" s="113"/>
      <c r="TA11" s="113"/>
      <c r="TB11" s="113"/>
      <c r="TC11" s="113"/>
      <c r="TD11" s="113"/>
      <c r="TE11" s="113"/>
      <c r="TF11" s="113"/>
      <c r="TG11" s="113"/>
      <c r="TH11" s="113"/>
      <c r="TI11" s="113"/>
      <c r="TJ11" s="113"/>
      <c r="TK11" s="113"/>
      <c r="TL11" s="113"/>
      <c r="TM11" s="113"/>
      <c r="TN11" s="113"/>
      <c r="TO11" s="113"/>
      <c r="TP11" s="113"/>
      <c r="TQ11" s="113"/>
      <c r="TR11" s="113"/>
      <c r="TS11" s="113"/>
      <c r="TT11" s="113"/>
      <c r="TU11" s="113"/>
      <c r="TV11" s="113"/>
      <c r="TW11" s="113"/>
      <c r="TX11" s="113"/>
      <c r="TY11" s="113"/>
      <c r="TZ11" s="113"/>
      <c r="UA11" s="113"/>
      <c r="UB11" s="113"/>
      <c r="UC11" s="113"/>
      <c r="UD11" s="113"/>
      <c r="UE11" s="113"/>
      <c r="UF11" s="113"/>
      <c r="UG11" s="113"/>
      <c r="UH11" s="113"/>
      <c r="UI11" s="113"/>
      <c r="UJ11" s="113"/>
      <c r="UK11" s="113"/>
      <c r="UL11" s="113"/>
      <c r="UM11" s="113"/>
      <c r="UN11" s="113"/>
      <c r="UO11" s="113"/>
      <c r="UP11" s="113"/>
      <c r="UQ11" s="113"/>
      <c r="UR11" s="113"/>
      <c r="US11" s="113"/>
      <c r="UT11" s="113"/>
      <c r="UU11" s="113"/>
      <c r="UV11" s="113"/>
      <c r="UW11" s="113"/>
      <c r="UX11" s="113"/>
      <c r="UY11" s="113"/>
      <c r="UZ11" s="113"/>
      <c r="VA11" s="113"/>
      <c r="VB11" s="113"/>
      <c r="VC11" s="113"/>
      <c r="VD11" s="113"/>
      <c r="VE11" s="113"/>
      <c r="VF11" s="113"/>
      <c r="VG11" s="113"/>
      <c r="VH11" s="113"/>
      <c r="VI11" s="113"/>
      <c r="VJ11" s="113"/>
      <c r="VK11" s="113"/>
      <c r="VL11" s="113"/>
      <c r="VM11" s="113"/>
      <c r="VN11" s="113"/>
      <c r="VO11" s="113"/>
      <c r="VP11" s="113"/>
      <c r="VQ11" s="113"/>
      <c r="VR11" s="113"/>
      <c r="VS11" s="113"/>
      <c r="VT11" s="113"/>
      <c r="VU11" s="113"/>
      <c r="VV11" s="113"/>
      <c r="VW11" s="113"/>
      <c r="VX11" s="113"/>
      <c r="VY11" s="113"/>
      <c r="VZ11" s="113"/>
      <c r="WA11" s="113"/>
      <c r="WB11" s="113"/>
      <c r="WC11" s="113"/>
      <c r="WD11" s="113"/>
      <c r="WE11" s="113"/>
      <c r="WF11" s="113"/>
      <c r="WG11" s="113"/>
      <c r="WH11" s="113"/>
      <c r="WI11" s="113"/>
      <c r="WJ11" s="113"/>
      <c r="WK11" s="113"/>
      <c r="WL11" s="113"/>
      <c r="WM11" s="113"/>
      <c r="WN11" s="113"/>
      <c r="WO11" s="113"/>
      <c r="WP11" s="113"/>
      <c r="WQ11" s="113"/>
      <c r="WR11" s="113"/>
      <c r="WS11" s="113"/>
      <c r="WT11" s="113"/>
      <c r="WU11" s="113"/>
      <c r="WV11" s="113"/>
      <c r="WW11" s="113"/>
      <c r="WX11" s="113"/>
      <c r="WY11" s="113"/>
      <c r="WZ11" s="113"/>
      <c r="XA11" s="113"/>
      <c r="XB11" s="113"/>
      <c r="XC11" s="113"/>
      <c r="XD11" s="113"/>
      <c r="XE11" s="113"/>
      <c r="XF11" s="113"/>
      <c r="XG11" s="113"/>
      <c r="XH11" s="113"/>
      <c r="XI11" s="113"/>
      <c r="XJ11" s="113"/>
      <c r="XK11" s="113"/>
      <c r="XL11" s="113"/>
      <c r="XM11" s="113"/>
      <c r="XN11" s="113"/>
      <c r="XO11" s="113"/>
      <c r="XP11" s="113"/>
      <c r="XQ11" s="113"/>
      <c r="XR11" s="113"/>
      <c r="XS11" s="113"/>
      <c r="XT11" s="113"/>
      <c r="XU11" s="113"/>
      <c r="XV11" s="113"/>
      <c r="XW11" s="113"/>
      <c r="XX11" s="113"/>
      <c r="XY11" s="113"/>
      <c r="XZ11" s="113"/>
      <c r="YA11" s="113"/>
      <c r="YB11" s="113"/>
      <c r="YC11" s="113"/>
      <c r="YD11" s="113"/>
      <c r="YE11" s="113"/>
      <c r="YF11" s="113"/>
      <c r="YG11" s="113"/>
      <c r="YH11" s="113"/>
      <c r="YI11" s="113"/>
      <c r="YJ11" s="113"/>
      <c r="YK11" s="113"/>
      <c r="YL11" s="113"/>
      <c r="YM11" s="113"/>
      <c r="YN11" s="113"/>
      <c r="YO11" s="113"/>
      <c r="YP11" s="113"/>
      <c r="YQ11" s="113"/>
      <c r="YR11" s="113"/>
      <c r="YS11" s="113"/>
      <c r="YT11" s="113"/>
      <c r="YU11" s="113"/>
      <c r="YV11" s="113"/>
      <c r="YW11" s="113"/>
      <c r="YX11" s="113"/>
      <c r="YY11" s="113"/>
      <c r="YZ11" s="113"/>
      <c r="ZA11" s="113"/>
      <c r="ZB11" s="113"/>
      <c r="ZC11" s="113"/>
      <c r="ZD11" s="113"/>
      <c r="ZE11" s="113"/>
      <c r="ZF11" s="113"/>
      <c r="ZG11" s="113"/>
      <c r="ZH11" s="113"/>
      <c r="ZI11" s="113"/>
      <c r="ZJ11" s="113"/>
      <c r="ZK11" s="113"/>
      <c r="ZL11" s="113"/>
      <c r="ZM11" s="113"/>
      <c r="ZN11" s="113"/>
      <c r="ZO11" s="113"/>
      <c r="ZP11" s="113"/>
      <c r="ZQ11" s="113"/>
      <c r="ZR11" s="113"/>
      <c r="ZS11" s="113"/>
      <c r="ZT11" s="113"/>
      <c r="ZU11" s="113"/>
      <c r="ZV11" s="113"/>
      <c r="ZW11" s="113"/>
      <c r="ZX11" s="113"/>
      <c r="ZY11" s="113"/>
      <c r="ZZ11" s="113"/>
      <c r="AAA11" s="113"/>
      <c r="AAB11" s="113"/>
      <c r="AAC11" s="113"/>
      <c r="AAD11" s="113"/>
      <c r="AAE11" s="113"/>
      <c r="AAF11" s="113"/>
      <c r="AAG11" s="113"/>
      <c r="AAH11" s="113"/>
      <c r="AAI11" s="113"/>
      <c r="AAJ11" s="113"/>
      <c r="AAK11" s="113"/>
      <c r="AAL11" s="113"/>
      <c r="AAM11" s="113"/>
      <c r="AAN11" s="113"/>
      <c r="AAO11" s="113"/>
      <c r="AAP11" s="113"/>
      <c r="AAQ11" s="113"/>
      <c r="AAR11" s="113"/>
      <c r="AAS11" s="113"/>
      <c r="AAT11" s="113"/>
      <c r="AAU11" s="113"/>
      <c r="AAV11" s="113"/>
      <c r="AAW11" s="113"/>
      <c r="AAX11" s="113"/>
      <c r="AAY11" s="113"/>
      <c r="AAZ11" s="113"/>
      <c r="ABA11" s="113"/>
      <c r="ABB11" s="113"/>
      <c r="ABC11" s="113"/>
      <c r="ABD11" s="113"/>
      <c r="ABE11" s="113"/>
      <c r="ABF11" s="113"/>
      <c r="ABG11" s="113"/>
      <c r="ABH11" s="113"/>
      <c r="ABI11" s="113"/>
      <c r="ABJ11" s="113"/>
      <c r="ABK11" s="113"/>
      <c r="ABL11" s="113"/>
      <c r="ABM11" s="113"/>
      <c r="ABN11" s="113"/>
      <c r="ABO11" s="113"/>
      <c r="ABP11" s="113"/>
      <c r="ABQ11" s="113"/>
      <c r="ABR11" s="113"/>
      <c r="ABS11" s="113"/>
      <c r="ABT11" s="113"/>
      <c r="ABU11" s="113"/>
      <c r="ABV11" s="113"/>
      <c r="ABW11" s="113"/>
      <c r="ABX11" s="113"/>
      <c r="ABY11" s="113"/>
      <c r="ABZ11" s="113"/>
      <c r="ACA11" s="113"/>
      <c r="ACB11" s="113"/>
      <c r="ACC11" s="113"/>
      <c r="ACD11" s="113"/>
      <c r="ACE11" s="113"/>
      <c r="ACF11" s="113"/>
      <c r="ACG11" s="113"/>
      <c r="ACH11" s="113"/>
      <c r="ACI11" s="113"/>
      <c r="ACJ11" s="113"/>
      <c r="ACK11" s="113"/>
      <c r="ACL11" s="113"/>
      <c r="ACM11" s="113"/>
      <c r="ACN11" s="113"/>
      <c r="ACO11" s="113"/>
      <c r="ACP11" s="113"/>
      <c r="ACQ11" s="113"/>
      <c r="ACR11" s="113"/>
      <c r="ACS11" s="113"/>
      <c r="ACT11" s="113"/>
      <c r="ACU11" s="113"/>
      <c r="ACV11" s="113"/>
      <c r="ACW11" s="113"/>
      <c r="ACX11" s="113"/>
      <c r="ACY11" s="113"/>
      <c r="ACZ11" s="113"/>
      <c r="ADA11" s="113"/>
      <c r="ADB11" s="113"/>
      <c r="ADC11" s="113"/>
      <c r="ADD11" s="113"/>
      <c r="ADE11" s="113"/>
      <c r="ADF11" s="113"/>
      <c r="ADG11" s="113"/>
      <c r="ADH11" s="113"/>
      <c r="ADI11" s="113"/>
      <c r="ADJ11" s="113"/>
      <c r="ADK11" s="113"/>
      <c r="ADL11" s="113"/>
      <c r="ADM11" s="113"/>
      <c r="ADN11" s="113"/>
      <c r="ADO11" s="113"/>
      <c r="ADP11" s="113"/>
      <c r="ADQ11" s="113"/>
      <c r="ADR11" s="113"/>
      <c r="ADS11" s="113"/>
      <c r="ADT11" s="113"/>
      <c r="ADU11" s="113"/>
      <c r="ADV11" s="113"/>
      <c r="ADW11" s="113"/>
      <c r="ADX11" s="113"/>
      <c r="ADY11" s="113"/>
      <c r="ADZ11" s="113"/>
      <c r="AEA11" s="113"/>
      <c r="AEB11" s="113"/>
      <c r="AEC11" s="113"/>
      <c r="AED11" s="113"/>
      <c r="AEE11" s="113"/>
      <c r="AEF11" s="113"/>
      <c r="AEG11" s="113"/>
      <c r="AEH11" s="113"/>
      <c r="AEI11" s="113"/>
      <c r="AEJ11" s="113"/>
      <c r="AEK11" s="113"/>
      <c r="AEL11" s="113"/>
      <c r="AEM11" s="113"/>
      <c r="AEN11" s="113"/>
      <c r="AEO11" s="113"/>
      <c r="AEP11" s="113"/>
      <c r="AEQ11" s="113"/>
      <c r="AER11" s="113"/>
      <c r="AES11" s="113"/>
      <c r="AET11" s="113"/>
      <c r="AEU11" s="113"/>
      <c r="AEV11" s="113"/>
      <c r="AEW11" s="113"/>
      <c r="AEX11" s="113"/>
      <c r="AEY11" s="113"/>
      <c r="AEZ11" s="113"/>
      <c r="AFA11" s="113"/>
      <c r="AFB11" s="113"/>
      <c r="AFC11" s="113"/>
      <c r="AFD11" s="113"/>
      <c r="AFE11" s="113"/>
      <c r="AFF11" s="113"/>
      <c r="AFG11" s="113"/>
      <c r="AFH11" s="113"/>
      <c r="AFI11" s="113"/>
      <c r="AFJ11" s="113"/>
      <c r="AFK11" s="113"/>
      <c r="AFL11" s="113"/>
      <c r="AFM11" s="113"/>
      <c r="AFN11" s="113"/>
      <c r="AFO11" s="113"/>
      <c r="AFP11" s="113"/>
      <c r="AFQ11" s="113"/>
      <c r="AFR11" s="113"/>
      <c r="AFS11" s="113"/>
      <c r="AFT11" s="113"/>
      <c r="AFU11" s="113"/>
      <c r="AFV11" s="113"/>
      <c r="AFW11" s="113"/>
      <c r="AFX11" s="113"/>
      <c r="AFY11" s="113"/>
      <c r="AFZ11" s="113"/>
      <c r="AGA11" s="113"/>
      <c r="AGB11" s="113"/>
      <c r="AGC11" s="113"/>
      <c r="AGD11" s="113"/>
      <c r="AGE11" s="113"/>
      <c r="AGF11" s="113"/>
      <c r="AGG11" s="113"/>
      <c r="AGH11" s="113"/>
      <c r="AGI11" s="113"/>
      <c r="AGJ11" s="113"/>
      <c r="AGK11" s="113"/>
      <c r="AGL11" s="113"/>
      <c r="AGM11" s="113"/>
      <c r="AGN11" s="113"/>
      <c r="AGO11" s="113"/>
      <c r="AGP11" s="113"/>
      <c r="AGQ11" s="113"/>
      <c r="AGR11" s="113"/>
      <c r="AGS11" s="113"/>
      <c r="AGT11" s="113"/>
      <c r="AGU11" s="113"/>
      <c r="AGV11" s="113"/>
      <c r="AGW11" s="113"/>
      <c r="AGX11" s="113"/>
      <c r="AGY11" s="113"/>
      <c r="AGZ11" s="113"/>
      <c r="AHA11" s="113"/>
      <c r="AHB11" s="113"/>
      <c r="AHC11" s="113"/>
      <c r="AHD11" s="113"/>
      <c r="AHE11" s="113"/>
      <c r="AHF11" s="113"/>
      <c r="AHG11" s="113"/>
      <c r="AHH11" s="113"/>
      <c r="AHI11" s="113"/>
      <c r="AHJ11" s="113"/>
      <c r="AHK11" s="113"/>
      <c r="AHL11" s="113"/>
      <c r="AHM11" s="113"/>
      <c r="AHN11" s="113"/>
      <c r="AHO11" s="113"/>
      <c r="AHP11" s="113"/>
      <c r="AHQ11" s="113"/>
      <c r="AHR11" s="113"/>
      <c r="AHS11" s="113"/>
      <c r="AHT11" s="113"/>
      <c r="AHU11" s="113"/>
      <c r="AHV11" s="113"/>
      <c r="AHW11" s="113"/>
      <c r="AHX11" s="113"/>
      <c r="AHY11" s="113"/>
      <c r="AHZ11" s="113"/>
      <c r="AIA11" s="113"/>
      <c r="AIB11" s="113"/>
      <c r="AIC11" s="113"/>
      <c r="AID11" s="113"/>
      <c r="AIE11" s="113"/>
      <c r="AIF11" s="113"/>
      <c r="AIG11" s="113"/>
      <c r="AIH11" s="113"/>
      <c r="AII11" s="113"/>
      <c r="AIJ11" s="113"/>
      <c r="AIK11" s="113"/>
      <c r="AIL11" s="113"/>
      <c r="AIM11" s="113"/>
      <c r="AIN11" s="113"/>
      <c r="AIO11" s="113"/>
      <c r="AIP11" s="113"/>
      <c r="AIQ11" s="113"/>
      <c r="AIR11" s="113"/>
      <c r="AIS11" s="113"/>
      <c r="AIT11" s="113"/>
      <c r="AIU11" s="113"/>
      <c r="AIV11" s="113"/>
      <c r="AIW11" s="113"/>
      <c r="AIX11" s="113"/>
      <c r="AIY11" s="113"/>
      <c r="AIZ11" s="113"/>
      <c r="AJA11" s="113"/>
      <c r="AJB11" s="113"/>
      <c r="AJC11" s="113"/>
      <c r="AJD11" s="113"/>
      <c r="AJE11" s="113"/>
      <c r="AJF11" s="113"/>
      <c r="AJG11" s="113"/>
      <c r="AJH11" s="113"/>
      <c r="AJI11" s="113"/>
      <c r="AJJ11" s="113"/>
      <c r="AJK11" s="113"/>
      <c r="AJL11" s="113"/>
      <c r="AJM11" s="113"/>
      <c r="AJN11" s="113"/>
      <c r="AJO11" s="113"/>
      <c r="AJP11" s="113"/>
      <c r="AJQ11" s="113"/>
      <c r="AJR11" s="113"/>
      <c r="AJS11" s="113"/>
      <c r="AJT11" s="113"/>
      <c r="AJU11" s="113"/>
      <c r="AJV11" s="113"/>
      <c r="AJW11" s="113"/>
      <c r="AJX11" s="113"/>
      <c r="AJY11" s="113"/>
      <c r="AJZ11" s="113"/>
      <c r="AKA11" s="113"/>
      <c r="AKB11" s="113"/>
      <c r="AKC11" s="113"/>
      <c r="AKD11" s="113"/>
      <c r="AKE11" s="113"/>
      <c r="AKF11" s="113"/>
      <c r="AKG11" s="113"/>
      <c r="AKH11" s="113"/>
      <c r="AKI11" s="113"/>
      <c r="AKJ11" s="113"/>
      <c r="AKK11" s="113"/>
      <c r="AKL11" s="113"/>
      <c r="AKM11" s="113"/>
      <c r="AKN11" s="113"/>
      <c r="AKO11" s="113"/>
      <c r="AKP11" s="113"/>
      <c r="AKQ11" s="113"/>
      <c r="AKR11" s="113"/>
      <c r="AKS11" s="113"/>
      <c r="AKT11" s="113"/>
      <c r="AKU11" s="113"/>
      <c r="AKV11" s="113"/>
      <c r="AKW11" s="113"/>
      <c r="AKX11" s="113"/>
      <c r="AKY11" s="113"/>
      <c r="AKZ11" s="113"/>
      <c r="ALA11" s="113"/>
      <c r="ALB11" s="113"/>
      <c r="ALC11" s="113"/>
      <c r="ALD11" s="113"/>
      <c r="ALE11" s="113"/>
      <c r="ALF11" s="113"/>
      <c r="ALG11" s="113"/>
      <c r="ALH11" s="113"/>
      <c r="ALI11" s="113"/>
      <c r="ALJ11" s="113"/>
      <c r="ALK11" s="113"/>
      <c r="ALL11" s="113"/>
      <c r="ALM11" s="113"/>
      <c r="ALN11" s="113"/>
      <c r="ALO11" s="113"/>
      <c r="ALP11" s="113"/>
      <c r="ALQ11" s="113"/>
      <c r="ALR11" s="113"/>
      <c r="ALS11" s="113"/>
      <c r="ALT11" s="113"/>
      <c r="ALU11" s="113"/>
      <c r="ALV11" s="113"/>
      <c r="ALW11" s="113"/>
      <c r="ALX11" s="113"/>
      <c r="ALY11" s="113"/>
      <c r="ALZ11" s="113"/>
      <c r="AMA11" s="113"/>
      <c r="AMB11" s="113"/>
      <c r="AMC11" s="113"/>
      <c r="AMD11" s="113"/>
      <c r="AME11" s="113"/>
      <c r="AMF11" s="113"/>
      <c r="AMG11" s="113"/>
      <c r="AMH11" s="113"/>
      <c r="AMI11" s="113"/>
      <c r="AMJ11" s="113"/>
      <c r="AMK11" s="113"/>
      <c r="AML11" s="113"/>
      <c r="AMM11" s="113"/>
      <c r="AMN11" s="113"/>
      <c r="AMO11" s="113"/>
      <c r="AMP11" s="113"/>
      <c r="AMQ11" s="113"/>
      <c r="AMR11" s="113"/>
      <c r="AMS11" s="113"/>
      <c r="AMT11" s="113"/>
      <c r="AMU11" s="113"/>
      <c r="AMV11" s="113"/>
      <c r="AMW11" s="113"/>
      <c r="AMX11" s="113"/>
      <c r="AMY11" s="113"/>
      <c r="AMZ11" s="113"/>
      <c r="ANA11" s="113"/>
      <c r="ANB11" s="113"/>
      <c r="ANC11" s="113"/>
      <c r="AND11" s="113"/>
      <c r="ANE11" s="113"/>
      <c r="ANF11" s="113"/>
      <c r="ANG11" s="113"/>
      <c r="ANH11" s="113"/>
      <c r="ANI11" s="113"/>
      <c r="ANJ11" s="113"/>
      <c r="ANK11" s="113"/>
      <c r="ANL11" s="113"/>
      <c r="ANM11" s="113"/>
      <c r="ANN11" s="113"/>
      <c r="ANO11" s="113"/>
      <c r="ANP11" s="113"/>
      <c r="ANQ11" s="113"/>
      <c r="ANR11" s="113"/>
      <c r="ANS11" s="113"/>
      <c r="ANT11" s="113"/>
      <c r="ANU11" s="113"/>
      <c r="ANV11" s="113"/>
      <c r="ANW11" s="113"/>
      <c r="ANX11" s="113"/>
      <c r="ANY11" s="113"/>
      <c r="ANZ11" s="113"/>
      <c r="AOA11" s="113"/>
      <c r="AOB11" s="113"/>
      <c r="AOC11" s="113"/>
      <c r="AOD11" s="113"/>
      <c r="AOE11" s="113"/>
      <c r="AOF11" s="113"/>
      <c r="AOG11" s="113"/>
      <c r="AOH11" s="113"/>
      <c r="AOI11" s="113"/>
      <c r="AOJ11" s="113"/>
      <c r="AOK11" s="113"/>
      <c r="AOL11" s="113"/>
      <c r="AOM11" s="113"/>
      <c r="AON11" s="113"/>
      <c r="AOO11" s="113"/>
      <c r="AOP11" s="113"/>
      <c r="AOQ11" s="113"/>
      <c r="AOR11" s="113"/>
      <c r="AOS11" s="113"/>
      <c r="AOT11" s="113"/>
      <c r="AOU11" s="113"/>
      <c r="AOV11" s="113"/>
      <c r="AOW11" s="113"/>
      <c r="AOX11" s="113"/>
      <c r="AOY11" s="113"/>
      <c r="AOZ11" s="113"/>
      <c r="APA11" s="113"/>
      <c r="APB11" s="113"/>
      <c r="APC11" s="113"/>
      <c r="APD11" s="113"/>
      <c r="APE11" s="113"/>
      <c r="APF11" s="113"/>
      <c r="APG11" s="113"/>
      <c r="APH11" s="113"/>
      <c r="API11" s="113"/>
      <c r="APJ11" s="113"/>
      <c r="APK11" s="113"/>
      <c r="APL11" s="113"/>
      <c r="APM11" s="113"/>
      <c r="APN11" s="113"/>
      <c r="APO11" s="113"/>
      <c r="APP11" s="113"/>
      <c r="APQ11" s="113"/>
      <c r="APR11" s="113"/>
      <c r="APS11" s="113"/>
      <c r="APT11" s="113"/>
      <c r="APU11" s="113"/>
      <c r="APV11" s="113"/>
      <c r="APW11" s="113"/>
      <c r="APX11" s="113"/>
      <c r="APY11" s="113"/>
      <c r="APZ11" s="113"/>
      <c r="AQA11" s="113"/>
      <c r="AQB11" s="113"/>
      <c r="AQC11" s="113"/>
      <c r="AQD11" s="113"/>
      <c r="AQE11" s="113"/>
      <c r="AQF11" s="113"/>
      <c r="AQG11" s="113"/>
      <c r="AQH11" s="113"/>
      <c r="AQI11" s="113"/>
      <c r="AQJ11" s="113"/>
      <c r="AQK11" s="113"/>
      <c r="AQL11" s="113"/>
      <c r="AQM11" s="113"/>
      <c r="AQN11" s="113"/>
      <c r="AQO11" s="113"/>
      <c r="AQP11" s="113"/>
      <c r="AQQ11" s="113"/>
      <c r="AQR11" s="113"/>
      <c r="AQS11" s="113"/>
      <c r="AQT11" s="113"/>
      <c r="AQU11" s="113"/>
      <c r="AQV11" s="113"/>
      <c r="AQW11" s="113"/>
      <c r="AQX11" s="113"/>
      <c r="AQY11" s="113"/>
      <c r="AQZ11" s="113"/>
      <c r="ARA11" s="113"/>
      <c r="ARB11" s="113"/>
      <c r="ARC11" s="113"/>
      <c r="ARD11" s="113"/>
      <c r="ARE11" s="113"/>
      <c r="ARF11" s="113"/>
      <c r="ARG11" s="113"/>
      <c r="ARH11" s="113"/>
      <c r="ARI11" s="113"/>
      <c r="ARJ11" s="113"/>
      <c r="ARK11" s="113"/>
      <c r="ARL11" s="113"/>
      <c r="ARM11" s="113"/>
      <c r="ARN11" s="113"/>
      <c r="ARO11" s="113"/>
      <c r="ARP11" s="113"/>
      <c r="ARQ11" s="113"/>
      <c r="ARR11" s="113"/>
      <c r="ARS11" s="113"/>
      <c r="ART11" s="113"/>
      <c r="ARU11" s="113"/>
      <c r="ARV11" s="113"/>
      <c r="ARW11" s="113"/>
      <c r="ARX11" s="113"/>
      <c r="ARY11" s="113"/>
      <c r="ARZ11" s="113"/>
      <c r="ASA11" s="113"/>
      <c r="ASB11" s="113"/>
      <c r="ASC11" s="113"/>
      <c r="ASD11" s="113"/>
      <c r="ASE11" s="113"/>
      <c r="ASF11" s="113"/>
      <c r="ASG11" s="113"/>
      <c r="ASH11" s="113"/>
      <c r="ASI11" s="113"/>
      <c r="ASJ11" s="113"/>
      <c r="ASK11" s="113"/>
      <c r="ASL11" s="113"/>
      <c r="ASM11" s="113"/>
      <c r="ASN11" s="113"/>
      <c r="ASO11" s="113"/>
      <c r="ASP11" s="113"/>
      <c r="ASQ11" s="113"/>
      <c r="ASR11" s="113"/>
      <c r="ASS11" s="113"/>
      <c r="AST11" s="113"/>
      <c r="ASU11" s="113"/>
      <c r="ASV11" s="113"/>
      <c r="ASW11" s="113"/>
      <c r="ASX11" s="113"/>
      <c r="ASY11" s="113"/>
      <c r="ASZ11" s="113"/>
      <c r="ATA11" s="113"/>
      <c r="ATB11" s="113"/>
      <c r="ATC11" s="113"/>
      <c r="ATD11" s="113"/>
      <c r="ATE11" s="113"/>
      <c r="ATF11" s="113"/>
      <c r="ATG11" s="113"/>
      <c r="ATH11" s="113"/>
      <c r="ATI11" s="113"/>
      <c r="ATJ11" s="113"/>
      <c r="ATK11" s="113"/>
      <c r="ATL11" s="113"/>
      <c r="ATM11" s="113"/>
      <c r="ATN11" s="113"/>
      <c r="ATO11" s="113"/>
      <c r="ATP11" s="113"/>
      <c r="ATQ11" s="113"/>
      <c r="ATR11" s="113"/>
      <c r="ATS11" s="113"/>
      <c r="ATT11" s="113"/>
      <c r="ATU11" s="113"/>
      <c r="ATV11" s="113"/>
      <c r="ATW11" s="113"/>
      <c r="ATX11" s="113"/>
      <c r="ATY11" s="113"/>
      <c r="ATZ11" s="113"/>
      <c r="AUA11" s="113"/>
      <c r="AUB11" s="113"/>
      <c r="AUC11" s="113"/>
      <c r="AUD11" s="113"/>
      <c r="AUE11" s="113"/>
      <c r="AUF11" s="113"/>
      <c r="AUG11" s="113"/>
      <c r="AUH11" s="113"/>
      <c r="AUI11" s="113"/>
      <c r="AUJ11" s="113"/>
      <c r="AUK11" s="113"/>
      <c r="AUL11" s="113"/>
      <c r="AUM11" s="113"/>
      <c r="AUN11" s="113"/>
      <c r="AUO11" s="113"/>
      <c r="AUP11" s="113"/>
      <c r="AUQ11" s="113"/>
      <c r="AUR11" s="113"/>
      <c r="AUS11" s="113"/>
      <c r="AUT11" s="113"/>
      <c r="AUU11" s="113"/>
      <c r="AUV11" s="113"/>
      <c r="AUW11" s="113"/>
      <c r="AUX11" s="113"/>
      <c r="AUY11" s="113"/>
      <c r="AUZ11" s="113"/>
      <c r="AVA11" s="113"/>
      <c r="AVB11" s="113"/>
      <c r="AVC11" s="113"/>
      <c r="AVD11" s="113"/>
      <c r="AVE11" s="113"/>
      <c r="AVF11" s="113"/>
      <c r="AVG11" s="113"/>
      <c r="AVH11" s="113"/>
      <c r="AVI11" s="113"/>
      <c r="AVJ11" s="113"/>
      <c r="AVK11" s="113"/>
      <c r="AVL11" s="113"/>
      <c r="AVM11" s="113"/>
      <c r="AVN11" s="113"/>
      <c r="AVO11" s="113"/>
      <c r="AVP11" s="113"/>
      <c r="AVQ11" s="113"/>
      <c r="AVR11" s="113"/>
      <c r="AVS11" s="113"/>
      <c r="AVT11" s="113"/>
      <c r="AVU11" s="113"/>
      <c r="AVV11" s="113"/>
      <c r="AVW11" s="113"/>
      <c r="AVX11" s="113"/>
      <c r="AVY11" s="113"/>
      <c r="AVZ11" s="113"/>
      <c r="AWA11" s="113"/>
      <c r="AWB11" s="113"/>
      <c r="AWC11" s="113"/>
      <c r="AWD11" s="113"/>
      <c r="AWE11" s="113"/>
      <c r="AWF11" s="113"/>
      <c r="AWG11" s="113"/>
      <c r="AWH11" s="113"/>
      <c r="AWI11" s="113"/>
      <c r="AWJ11" s="113"/>
      <c r="AWK11" s="113"/>
      <c r="AWL11" s="113"/>
      <c r="AWM11" s="113"/>
      <c r="AWN11" s="113"/>
      <c r="AWO11" s="113"/>
      <c r="AWP11" s="113"/>
      <c r="AWQ11" s="113"/>
      <c r="AWR11" s="113"/>
      <c r="AWS11" s="113"/>
      <c r="AWT11" s="113"/>
      <c r="AWU11" s="113"/>
      <c r="AWV11" s="113"/>
      <c r="AWW11" s="113"/>
      <c r="AWX11" s="113"/>
      <c r="AWY11" s="113"/>
      <c r="AWZ11" s="113"/>
      <c r="AXA11" s="113"/>
      <c r="AXB11" s="113"/>
      <c r="AXC11" s="113"/>
      <c r="AXD11" s="113"/>
      <c r="AXE11" s="113"/>
      <c r="AXF11" s="113"/>
      <c r="AXG11" s="113"/>
      <c r="AXH11" s="113"/>
      <c r="AXI11" s="113"/>
      <c r="AXJ11" s="113"/>
      <c r="AXK11" s="113"/>
      <c r="AXL11" s="113"/>
      <c r="AXM11" s="113"/>
      <c r="AXN11" s="113"/>
      <c r="AXO11" s="113"/>
      <c r="AXP11" s="113"/>
      <c r="AXQ11" s="113"/>
      <c r="AXR11" s="113"/>
      <c r="AXS11" s="113"/>
      <c r="AXT11" s="113"/>
      <c r="AXU11" s="113"/>
      <c r="AXV11" s="113"/>
      <c r="AXW11" s="113"/>
      <c r="AXX11" s="113"/>
      <c r="AXY11" s="113"/>
      <c r="AXZ11" s="113"/>
      <c r="AYA11" s="113"/>
      <c r="AYB11" s="113"/>
      <c r="AYC11" s="113"/>
      <c r="AYD11" s="113"/>
      <c r="AYE11" s="113"/>
      <c r="AYF11" s="113"/>
      <c r="AYG11" s="113"/>
      <c r="AYH11" s="113"/>
      <c r="AYI11" s="113"/>
      <c r="AYJ11" s="113"/>
      <c r="AYK11" s="113"/>
      <c r="AYL11" s="113"/>
      <c r="AYM11" s="113"/>
      <c r="AYN11" s="113"/>
      <c r="AYO11" s="113"/>
      <c r="AYP11" s="113"/>
      <c r="AYQ11" s="113"/>
      <c r="AYR11" s="113"/>
      <c r="AYS11" s="113"/>
      <c r="AYT11" s="113"/>
      <c r="AYU11" s="113"/>
      <c r="AYV11" s="113"/>
      <c r="AYW11" s="113"/>
      <c r="AYX11" s="113"/>
      <c r="AYY11" s="113"/>
      <c r="AYZ11" s="113"/>
      <c r="AZA11" s="113"/>
      <c r="AZB11" s="113"/>
      <c r="AZC11" s="113"/>
      <c r="AZD11" s="113"/>
      <c r="AZE11" s="113"/>
      <c r="AZF11" s="113"/>
      <c r="AZG11" s="113"/>
      <c r="AZH11" s="113"/>
      <c r="AZI11" s="113"/>
      <c r="AZJ11" s="113"/>
      <c r="AZK11" s="113"/>
      <c r="AZL11" s="113"/>
      <c r="AZM11" s="113"/>
      <c r="AZN11" s="113"/>
      <c r="AZO11" s="113"/>
      <c r="AZP11" s="113"/>
      <c r="AZQ11" s="113"/>
      <c r="AZR11" s="113"/>
      <c r="AZS11" s="113"/>
      <c r="AZT11" s="113"/>
      <c r="AZU11" s="113"/>
      <c r="AZV11" s="113"/>
      <c r="AZW11" s="113"/>
      <c r="AZX11" s="113"/>
      <c r="AZY11" s="113"/>
      <c r="AZZ11" s="113"/>
      <c r="BAA11" s="113"/>
      <c r="BAB11" s="113"/>
      <c r="BAC11" s="113"/>
      <c r="BAD11" s="113"/>
      <c r="BAE11" s="113"/>
      <c r="BAF11" s="113"/>
      <c r="BAG11" s="113"/>
      <c r="BAH11" s="113"/>
      <c r="BAI11" s="113"/>
      <c r="BAJ11" s="113"/>
      <c r="BAK11" s="113"/>
      <c r="BAL11" s="113"/>
      <c r="BAM11" s="113"/>
      <c r="BAN11" s="113"/>
      <c r="BAO11" s="113"/>
      <c r="BAP11" s="113"/>
      <c r="BAQ11" s="113"/>
      <c r="BAR11" s="113"/>
      <c r="BAS11" s="113"/>
      <c r="BAT11" s="113"/>
      <c r="BAU11" s="113"/>
      <c r="BAV11" s="113"/>
      <c r="BAW11" s="113"/>
      <c r="BAX11" s="113"/>
      <c r="BAY11" s="113"/>
      <c r="BAZ11" s="113"/>
      <c r="BBA11" s="113"/>
      <c r="BBB11" s="113"/>
      <c r="BBC11" s="113"/>
      <c r="BBD11" s="113"/>
      <c r="BBE11" s="113"/>
      <c r="BBF11" s="113"/>
      <c r="BBG11" s="113"/>
      <c r="BBH11" s="113"/>
      <c r="BBI11" s="113"/>
      <c r="BBJ11" s="113"/>
      <c r="BBK11" s="113"/>
      <c r="BBL11" s="113"/>
      <c r="BBM11" s="113"/>
      <c r="BBN11" s="113"/>
      <c r="BBO11" s="113"/>
      <c r="BBP11" s="113"/>
      <c r="BBQ11" s="113"/>
      <c r="BBR11" s="113"/>
      <c r="BBS11" s="113"/>
      <c r="BBT11" s="113"/>
      <c r="BBU11" s="113"/>
      <c r="BBV11" s="113"/>
      <c r="BBW11" s="113"/>
      <c r="BBX11" s="113"/>
      <c r="BBY11" s="113"/>
      <c r="BBZ11" s="113"/>
      <c r="BCA11" s="113"/>
      <c r="BCB11" s="113"/>
      <c r="BCC11" s="113"/>
      <c r="BCD11" s="113"/>
      <c r="BCE11" s="113"/>
      <c r="BCF11" s="113"/>
      <c r="BCG11" s="113"/>
      <c r="BCH11" s="113"/>
      <c r="BCI11" s="113"/>
      <c r="BCJ11" s="113"/>
      <c r="BCK11" s="113"/>
      <c r="BCL11" s="113"/>
      <c r="BCM11" s="113"/>
      <c r="BCN11" s="113"/>
      <c r="BCO11" s="113"/>
      <c r="BCP11" s="113"/>
      <c r="BCQ11" s="113"/>
      <c r="BCR11" s="113"/>
      <c r="BCS11" s="113"/>
      <c r="BCT11" s="113"/>
      <c r="BCU11" s="113"/>
      <c r="BCV11" s="113"/>
      <c r="BCW11" s="113"/>
      <c r="BCX11" s="113"/>
      <c r="BCY11" s="113"/>
      <c r="BCZ11" s="113"/>
      <c r="BDA11" s="113"/>
      <c r="BDB11" s="113"/>
      <c r="BDC11" s="113"/>
      <c r="BDD11" s="113"/>
      <c r="BDE11" s="113"/>
      <c r="BDF11" s="113"/>
      <c r="BDG11" s="113"/>
      <c r="BDH11" s="113"/>
      <c r="BDI11" s="113"/>
      <c r="BDJ11" s="113"/>
      <c r="BDK11" s="113"/>
      <c r="BDL11" s="113"/>
      <c r="BDM11" s="113"/>
      <c r="BDN11" s="113"/>
      <c r="BDO11" s="113"/>
      <c r="BDP11" s="113"/>
      <c r="BDQ11" s="113"/>
      <c r="BDR11" s="113"/>
      <c r="BDS11" s="113"/>
      <c r="BDT11" s="113"/>
      <c r="BDU11" s="113"/>
      <c r="BDV11" s="113"/>
      <c r="BDW11" s="113"/>
      <c r="BDX11" s="113"/>
      <c r="BDY11" s="113"/>
      <c r="BDZ11" s="113"/>
      <c r="BEA11" s="113"/>
      <c r="BEB11" s="113"/>
      <c r="BEC11" s="113"/>
      <c r="BED11" s="113"/>
      <c r="BEE11" s="113"/>
      <c r="BEF11" s="113"/>
      <c r="BEG11" s="113"/>
      <c r="BEH11" s="113"/>
      <c r="BEI11" s="113"/>
      <c r="BEJ11" s="113"/>
      <c r="BEK11" s="113"/>
      <c r="BEL11" s="113"/>
      <c r="BEM11" s="113"/>
      <c r="BEN11" s="113"/>
      <c r="BEO11" s="113"/>
      <c r="BEP11" s="113"/>
      <c r="BEQ11" s="113"/>
      <c r="BER11" s="113"/>
      <c r="BES11" s="113"/>
      <c r="BET11" s="113"/>
      <c r="BEU11" s="113"/>
      <c r="BEV11" s="113"/>
      <c r="BEW11" s="113"/>
      <c r="BEX11" s="113"/>
      <c r="BEY11" s="113"/>
      <c r="BEZ11" s="113"/>
      <c r="BFA11" s="113"/>
      <c r="BFB11" s="113"/>
      <c r="BFC11" s="113"/>
      <c r="BFD11" s="113"/>
      <c r="BFE11" s="113"/>
      <c r="BFF11" s="113"/>
      <c r="BFG11" s="113"/>
      <c r="BFH11" s="113"/>
      <c r="BFI11" s="113"/>
      <c r="BFJ11" s="113"/>
      <c r="BFK11" s="113"/>
      <c r="BFL11" s="113"/>
      <c r="BFM11" s="113"/>
      <c r="BFN11" s="113"/>
      <c r="BFO11" s="113"/>
      <c r="BFP11" s="113"/>
      <c r="BFQ11" s="113"/>
      <c r="BFR11" s="113"/>
      <c r="BFS11" s="113"/>
      <c r="BFT11" s="113"/>
      <c r="BFU11" s="113"/>
      <c r="BFV11" s="113"/>
      <c r="BFW11" s="113"/>
      <c r="BFX11" s="113"/>
      <c r="BFY11" s="113"/>
      <c r="BFZ11" s="113"/>
      <c r="BGA11" s="113"/>
      <c r="BGB11" s="113"/>
      <c r="BGC11" s="113"/>
      <c r="BGD11" s="113"/>
      <c r="BGE11" s="113"/>
      <c r="BGF11" s="113"/>
      <c r="BGG11" s="113"/>
      <c r="BGH11" s="113"/>
      <c r="BGI11" s="113"/>
      <c r="BGJ11" s="113"/>
      <c r="BGK11" s="113"/>
      <c r="BGL11" s="113"/>
      <c r="BGM11" s="113"/>
      <c r="BGN11" s="113"/>
      <c r="BGO11" s="113"/>
      <c r="BGP11" s="113"/>
      <c r="BGQ11" s="113"/>
      <c r="BGR11" s="113"/>
      <c r="BGS11" s="113"/>
      <c r="BGT11" s="113"/>
      <c r="BGU11" s="113"/>
      <c r="BGV11" s="113"/>
      <c r="BGW11" s="113"/>
      <c r="BGX11" s="113"/>
      <c r="BGY11" s="113"/>
      <c r="BGZ11" s="113"/>
      <c r="BHA11" s="113"/>
      <c r="BHB11" s="113"/>
      <c r="BHC11" s="113"/>
      <c r="BHD11" s="113"/>
      <c r="BHE11" s="113"/>
      <c r="BHF11" s="113"/>
      <c r="BHG11" s="113"/>
      <c r="BHH11" s="113"/>
      <c r="BHI11" s="113"/>
      <c r="BHJ11" s="113"/>
      <c r="BHK11" s="113"/>
      <c r="BHL11" s="113"/>
      <c r="BHM11" s="113"/>
      <c r="BHN11" s="113"/>
      <c r="BHO11" s="113"/>
      <c r="BHP11" s="113"/>
      <c r="BHQ11" s="113"/>
      <c r="BHR11" s="113"/>
      <c r="BHS11" s="113"/>
      <c r="BHT11" s="113"/>
      <c r="BHU11" s="113"/>
      <c r="BHV11" s="113"/>
      <c r="BHW11" s="113"/>
      <c r="BHX11" s="113"/>
      <c r="BHY11" s="113"/>
      <c r="BHZ11" s="113"/>
      <c r="BIA11" s="113"/>
      <c r="BIB11" s="113"/>
      <c r="BIC11" s="113"/>
      <c r="BID11" s="113"/>
      <c r="BIE11" s="113"/>
      <c r="BIF11" s="113"/>
      <c r="BIG11" s="113"/>
      <c r="BIH11" s="113"/>
      <c r="BII11" s="113"/>
      <c r="BIJ11" s="113"/>
      <c r="BIK11" s="113"/>
      <c r="BIL11" s="113"/>
      <c r="BIM11" s="113"/>
      <c r="BIN11" s="113"/>
      <c r="BIO11" s="113"/>
      <c r="BIP11" s="113"/>
      <c r="BIQ11" s="113"/>
      <c r="BIR11" s="113"/>
      <c r="BIS11" s="113"/>
      <c r="BIT11" s="113"/>
      <c r="BIU11" s="113"/>
      <c r="BIV11" s="113"/>
      <c r="BIW11" s="113"/>
      <c r="BIX11" s="113"/>
      <c r="BIY11" s="113"/>
      <c r="BIZ11" s="113"/>
      <c r="BJA11" s="113"/>
      <c r="BJB11" s="113"/>
      <c r="BJC11" s="113"/>
      <c r="BJD11" s="113"/>
      <c r="BJE11" s="113"/>
      <c r="BJF11" s="113"/>
      <c r="BJG11" s="113"/>
      <c r="BJH11" s="113"/>
      <c r="BJI11" s="113"/>
      <c r="BJJ11" s="113"/>
      <c r="BJK11" s="113"/>
      <c r="BJL11" s="113"/>
      <c r="BJM11" s="113"/>
      <c r="BJN11" s="113"/>
      <c r="BJO11" s="113"/>
      <c r="BJP11" s="113"/>
      <c r="BJQ11" s="113"/>
      <c r="BJR11" s="113"/>
      <c r="BJS11" s="113"/>
      <c r="BJT11" s="113"/>
      <c r="BJU11" s="113"/>
      <c r="BJV11" s="113"/>
      <c r="BJW11" s="113"/>
      <c r="BJX11" s="113"/>
      <c r="BJY11" s="113"/>
      <c r="BJZ11" s="113"/>
      <c r="BKA11" s="113"/>
      <c r="BKB11" s="113"/>
      <c r="BKC11" s="113"/>
      <c r="BKD11" s="113"/>
      <c r="BKE11" s="113"/>
      <c r="BKF11" s="113"/>
      <c r="BKG11" s="113"/>
      <c r="BKH11" s="113"/>
      <c r="BKI11" s="113"/>
      <c r="BKJ11" s="113"/>
      <c r="BKK11" s="113"/>
      <c r="BKL11" s="113"/>
      <c r="BKM11" s="113"/>
      <c r="BKN11" s="113"/>
      <c r="BKO11" s="113"/>
      <c r="BKP11" s="113"/>
      <c r="BKQ11" s="113"/>
      <c r="BKR11" s="113"/>
      <c r="BKS11" s="113"/>
      <c r="BKT11" s="113"/>
      <c r="BKU11" s="113"/>
      <c r="BKV11" s="113"/>
      <c r="BKW11" s="113"/>
      <c r="BKX11" s="113"/>
      <c r="BKY11" s="113"/>
      <c r="BKZ11" s="113"/>
      <c r="BLA11" s="113"/>
      <c r="BLB11" s="113"/>
      <c r="BLC11" s="113"/>
      <c r="BLD11" s="113"/>
      <c r="BLE11" s="113"/>
      <c r="BLF11" s="113"/>
      <c r="BLG11" s="113"/>
      <c r="BLH11" s="113"/>
      <c r="BLI11" s="113"/>
      <c r="BLJ11" s="113"/>
      <c r="BLK11" s="113"/>
      <c r="BLL11" s="113"/>
      <c r="BLM11" s="113"/>
      <c r="BLN11" s="113"/>
      <c r="BLO11" s="113"/>
      <c r="BLP11" s="113"/>
      <c r="BLQ11" s="113"/>
      <c r="BLR11" s="113"/>
      <c r="BLS11" s="113"/>
      <c r="BLT11" s="113"/>
      <c r="BLU11" s="113"/>
      <c r="BLV11" s="113"/>
      <c r="BLW11" s="113"/>
      <c r="BLX11" s="113"/>
      <c r="BLY11" s="113"/>
      <c r="BLZ11" s="113"/>
      <c r="BMA11" s="113"/>
      <c r="BMB11" s="113"/>
      <c r="BMC11" s="113"/>
      <c r="BMD11" s="113"/>
      <c r="BME11" s="113"/>
      <c r="BMF11" s="113"/>
      <c r="BMG11" s="113"/>
      <c r="BMH11" s="113"/>
      <c r="BMI11" s="113"/>
      <c r="BMJ11" s="113"/>
      <c r="BMK11" s="113"/>
      <c r="BML11" s="113"/>
      <c r="BMM11" s="113"/>
      <c r="BMN11" s="113"/>
      <c r="BMO11" s="113"/>
      <c r="BMP11" s="113"/>
      <c r="BMQ11" s="113"/>
      <c r="BMR11" s="113"/>
      <c r="BMS11" s="113"/>
      <c r="BMT11" s="113"/>
      <c r="BMU11" s="113"/>
      <c r="BMV11" s="113"/>
      <c r="BMW11" s="113"/>
      <c r="BMX11" s="113"/>
      <c r="BMY11" s="113"/>
      <c r="BMZ11" s="113"/>
      <c r="BNA11" s="113"/>
      <c r="BNB11" s="113"/>
      <c r="BNC11" s="113"/>
      <c r="BND11" s="113"/>
      <c r="BNE11" s="113"/>
      <c r="BNF11" s="113"/>
      <c r="BNG11" s="113"/>
      <c r="BNH11" s="113"/>
      <c r="BNI11" s="113"/>
      <c r="BNJ11" s="113"/>
      <c r="BNK11" s="113"/>
      <c r="BNL11" s="113"/>
      <c r="BNM11" s="113"/>
      <c r="BNN11" s="113"/>
      <c r="BNO11" s="113"/>
      <c r="BNP11" s="113"/>
      <c r="BNQ11" s="113"/>
      <c r="BNR11" s="113"/>
      <c r="BNS11" s="113"/>
      <c r="BNT11" s="113"/>
      <c r="BNU11" s="113"/>
      <c r="BNV11" s="113"/>
      <c r="BNW11" s="113"/>
      <c r="BNX11" s="113"/>
      <c r="BNY11" s="113"/>
      <c r="BNZ11" s="113"/>
      <c r="BOA11" s="113"/>
      <c r="BOB11" s="113"/>
      <c r="BOC11" s="113"/>
      <c r="BOD11" s="113"/>
      <c r="BOE11" s="113"/>
      <c r="BOF11" s="113"/>
      <c r="BOG11" s="113"/>
      <c r="BOH11" s="113"/>
      <c r="BOI11" s="113"/>
      <c r="BOJ11" s="113"/>
      <c r="BOK11" s="113"/>
      <c r="BOL11" s="113"/>
      <c r="BOM11" s="113"/>
      <c r="BON11" s="113"/>
      <c r="BOO11" s="113"/>
      <c r="BOP11" s="113"/>
      <c r="BOQ11" s="113"/>
      <c r="BOR11" s="113"/>
      <c r="BOS11" s="113"/>
      <c r="BOT11" s="113"/>
      <c r="BOU11" s="113"/>
      <c r="BOV11" s="113"/>
      <c r="BOW11" s="113"/>
      <c r="BOX11" s="113"/>
      <c r="BOY11" s="113"/>
      <c r="BOZ11" s="113"/>
      <c r="BPA11" s="113"/>
      <c r="BPB11" s="113"/>
      <c r="BPC11" s="113"/>
      <c r="BPD11" s="113"/>
      <c r="BPE11" s="113"/>
      <c r="BPF11" s="113"/>
      <c r="BPG11" s="113"/>
      <c r="BPH11" s="113"/>
      <c r="BPI11" s="113"/>
      <c r="BPJ11" s="113"/>
      <c r="BPK11" s="113"/>
      <c r="BPL11" s="113"/>
      <c r="BPM11" s="113"/>
      <c r="BPN11" s="113"/>
      <c r="BPO11" s="113"/>
      <c r="BPP11" s="113"/>
      <c r="BPQ11" s="113"/>
      <c r="BPR11" s="113"/>
      <c r="BPS11" s="113"/>
      <c r="BPT11" s="113"/>
      <c r="BPU11" s="113"/>
      <c r="BPV11" s="113"/>
      <c r="BPW11" s="113"/>
      <c r="BPX11" s="113"/>
      <c r="BPY11" s="113"/>
      <c r="BPZ11" s="113"/>
      <c r="BQA11" s="113"/>
      <c r="BQB11" s="113"/>
      <c r="BQC11" s="113"/>
      <c r="BQD11" s="113"/>
      <c r="BQE11" s="113"/>
      <c r="BQF11" s="113"/>
      <c r="BQG11" s="113"/>
      <c r="BQH11" s="113"/>
      <c r="BQI11" s="113"/>
      <c r="BQJ11" s="113"/>
      <c r="BQK11" s="113"/>
      <c r="BQL11" s="113"/>
      <c r="BQM11" s="113"/>
      <c r="BQN11" s="113"/>
      <c r="BQO11" s="113"/>
      <c r="BQP11" s="113"/>
      <c r="BQQ11" s="113"/>
      <c r="BQR11" s="113"/>
      <c r="BQS11" s="113"/>
      <c r="BQT11" s="113"/>
      <c r="BQU11" s="113"/>
      <c r="BQV11" s="113"/>
      <c r="BQW11" s="113"/>
      <c r="BQX11" s="113"/>
      <c r="BQY11" s="113"/>
      <c r="BQZ11" s="113"/>
      <c r="BRA11" s="113"/>
      <c r="BRB11" s="113"/>
      <c r="BRC11" s="113"/>
      <c r="BRD11" s="113"/>
      <c r="BRE11" s="113"/>
      <c r="BRF11" s="113"/>
      <c r="BRG11" s="113"/>
      <c r="BRH11" s="113"/>
      <c r="BRI11" s="113"/>
      <c r="BRJ11" s="113"/>
      <c r="BRK11" s="113"/>
      <c r="BRL11" s="113"/>
      <c r="BRM11" s="113"/>
      <c r="BRN11" s="113"/>
      <c r="BRO11" s="113"/>
      <c r="BRP11" s="113"/>
      <c r="BRQ11" s="113"/>
      <c r="BRR11" s="113"/>
      <c r="BRS11" s="113"/>
      <c r="BRT11" s="113"/>
      <c r="BRU11" s="113"/>
      <c r="BRV11" s="113"/>
      <c r="BRW11" s="113"/>
      <c r="BRX11" s="113"/>
      <c r="BRY11" s="113"/>
      <c r="BRZ11" s="113"/>
      <c r="BSA11" s="113"/>
      <c r="BSB11" s="113"/>
      <c r="BSC11" s="113"/>
      <c r="BSD11" s="113"/>
      <c r="BSE11" s="113"/>
      <c r="BSF11" s="113"/>
      <c r="BSG11" s="113"/>
      <c r="BSH11" s="113"/>
      <c r="BSI11" s="113"/>
      <c r="BSJ11" s="113"/>
      <c r="BSK11" s="113"/>
      <c r="BSL11" s="113"/>
      <c r="BSM11" s="113"/>
      <c r="BSN11" s="113"/>
      <c r="BSO11" s="113"/>
      <c r="BSP11" s="113"/>
      <c r="BSQ11" s="113"/>
      <c r="BSR11" s="113"/>
      <c r="BSS11" s="113"/>
      <c r="BST11" s="113"/>
      <c r="BSU11" s="113"/>
      <c r="BSV11" s="113"/>
      <c r="BSW11" s="113"/>
      <c r="BSX11" s="113"/>
      <c r="BSY11" s="113"/>
      <c r="BSZ11" s="113"/>
      <c r="BTA11" s="113"/>
      <c r="BTB11" s="113"/>
      <c r="BTC11" s="113"/>
      <c r="BTD11" s="113"/>
      <c r="BTE11" s="113"/>
      <c r="BTF11" s="113"/>
      <c r="BTG11" s="113"/>
      <c r="BTH11" s="113"/>
      <c r="BTI11" s="113"/>
      <c r="BTJ11" s="113"/>
      <c r="BTK11" s="113"/>
      <c r="BTL11" s="113"/>
      <c r="BTM11" s="113"/>
      <c r="BTN11" s="113"/>
      <c r="BTO11" s="113"/>
      <c r="BTP11" s="113"/>
      <c r="BTQ11" s="113"/>
      <c r="BTR11" s="113"/>
      <c r="BTS11" s="113"/>
      <c r="BTT11" s="113"/>
      <c r="BTU11" s="113"/>
      <c r="BTV11" s="113"/>
      <c r="BTW11" s="113"/>
      <c r="BTX11" s="113"/>
      <c r="BTY11" s="113"/>
      <c r="BTZ11" s="113"/>
      <c r="BUA11" s="113"/>
      <c r="BUB11" s="113"/>
      <c r="BUC11" s="113"/>
      <c r="BUD11" s="113"/>
      <c r="BUE11" s="113"/>
      <c r="BUF11" s="113"/>
      <c r="BUG11" s="113"/>
      <c r="BUH11" s="113"/>
      <c r="BUI11" s="113"/>
      <c r="BUJ11" s="113"/>
      <c r="BUK11" s="113"/>
      <c r="BUL11" s="113"/>
      <c r="BUM11" s="113"/>
      <c r="BUN11" s="113"/>
      <c r="BUO11" s="113"/>
      <c r="BUP11" s="113"/>
      <c r="BUQ11" s="113"/>
      <c r="BUR11" s="113"/>
      <c r="BUS11" s="113"/>
      <c r="BUT11" s="113"/>
      <c r="BUU11" s="113"/>
      <c r="BUV11" s="113"/>
      <c r="BUW11" s="113"/>
      <c r="BUX11" s="113"/>
      <c r="BUY11" s="113"/>
      <c r="BUZ11" s="113"/>
      <c r="BVA11" s="113"/>
      <c r="BVB11" s="113"/>
      <c r="BVC11" s="113"/>
      <c r="BVD11" s="113"/>
      <c r="BVE11" s="113"/>
      <c r="BVF11" s="113"/>
      <c r="BVG11" s="113"/>
      <c r="BVH11" s="113"/>
      <c r="BVI11" s="113"/>
      <c r="BVJ11" s="113"/>
      <c r="BVK11" s="113"/>
      <c r="BVL11" s="113"/>
      <c r="BVM11" s="113"/>
      <c r="BVN11" s="113"/>
      <c r="BVO11" s="113"/>
      <c r="BVP11" s="113"/>
      <c r="BVQ11" s="113"/>
      <c r="BVR11" s="113"/>
      <c r="BVS11" s="113"/>
      <c r="BVT11" s="113"/>
      <c r="BVU11" s="113"/>
      <c r="BVV11" s="113"/>
      <c r="BVW11" s="113"/>
      <c r="BVX11" s="113"/>
      <c r="BVY11" s="113"/>
      <c r="BVZ11" s="113"/>
      <c r="BWA11" s="113"/>
      <c r="BWB11" s="113"/>
      <c r="BWC11" s="113"/>
      <c r="BWD11" s="113"/>
      <c r="BWE11" s="113"/>
      <c r="BWF11" s="113"/>
      <c r="BWG11" s="113"/>
      <c r="BWH11" s="113"/>
      <c r="BWI11" s="113"/>
      <c r="BWJ11" s="113"/>
      <c r="BWK11" s="113"/>
      <c r="BWL11" s="113"/>
      <c r="BWM11" s="113"/>
      <c r="BWN11" s="113"/>
      <c r="BWO11" s="113"/>
      <c r="BWP11" s="113"/>
      <c r="BWQ11" s="113"/>
      <c r="BWR11" s="113"/>
      <c r="BWS11" s="113"/>
      <c r="BWT11" s="113"/>
      <c r="BWU11" s="113"/>
      <c r="BWV11" s="113"/>
      <c r="BWW11" s="113"/>
      <c r="BWX11" s="113"/>
      <c r="BWY11" s="113"/>
      <c r="BWZ11" s="113"/>
      <c r="BXA11" s="113"/>
      <c r="BXB11" s="113"/>
      <c r="BXC11" s="113"/>
      <c r="BXD11" s="113"/>
      <c r="BXE11" s="113"/>
      <c r="BXF11" s="113"/>
      <c r="BXG11" s="113"/>
      <c r="BXH11" s="113"/>
      <c r="BXI11" s="113"/>
      <c r="BXJ11" s="113"/>
      <c r="BXK11" s="113"/>
      <c r="BXL11" s="113"/>
      <c r="BXM11" s="113"/>
      <c r="BXN11" s="113"/>
      <c r="BXO11" s="113"/>
      <c r="BXP11" s="113"/>
      <c r="BXQ11" s="113"/>
      <c r="BXR11" s="113"/>
      <c r="BXS11" s="113"/>
      <c r="BXT11" s="113"/>
      <c r="BXU11" s="113"/>
      <c r="BXV11" s="113"/>
      <c r="BXW11" s="113"/>
      <c r="BXX11" s="113"/>
      <c r="BXY11" s="113"/>
      <c r="BXZ11" s="113"/>
      <c r="BYA11" s="113"/>
      <c r="BYB11" s="113"/>
      <c r="BYC11" s="113"/>
      <c r="BYD11" s="113"/>
      <c r="BYE11" s="113"/>
      <c r="BYF11" s="113"/>
      <c r="BYG11" s="113"/>
      <c r="BYH11" s="113"/>
      <c r="BYI11" s="113"/>
      <c r="BYJ11" s="113"/>
      <c r="BYK11" s="113"/>
      <c r="BYL11" s="113"/>
      <c r="BYM11" s="113"/>
      <c r="BYN11" s="113"/>
      <c r="BYO11" s="113"/>
      <c r="BYP11" s="113"/>
      <c r="BYQ11" s="113"/>
      <c r="BYR11" s="113"/>
      <c r="BYS11" s="113"/>
      <c r="BYT11" s="113"/>
      <c r="BYU11" s="113"/>
      <c r="BYV11" s="113"/>
      <c r="BYW11" s="113"/>
      <c r="BYX11" s="113"/>
      <c r="BYY11" s="113"/>
      <c r="BYZ11" s="113"/>
      <c r="BZA11" s="113"/>
      <c r="BZB11" s="113"/>
      <c r="BZC11" s="113"/>
      <c r="BZD11" s="113"/>
      <c r="BZE11" s="113"/>
      <c r="BZF11" s="113"/>
      <c r="BZG11" s="113"/>
      <c r="BZH11" s="113"/>
      <c r="BZI11" s="113"/>
      <c r="BZJ11" s="113"/>
      <c r="BZK11" s="113"/>
      <c r="BZL11" s="113"/>
      <c r="BZM11" s="113"/>
      <c r="BZN11" s="113"/>
      <c r="BZO11" s="113"/>
      <c r="BZP11" s="113"/>
      <c r="BZQ11" s="113"/>
      <c r="BZR11" s="113"/>
      <c r="BZS11" s="113"/>
      <c r="BZT11" s="113"/>
      <c r="BZU11" s="113"/>
      <c r="BZV11" s="113"/>
      <c r="BZW11" s="113"/>
      <c r="BZX11" s="113"/>
      <c r="BZY11" s="113"/>
      <c r="BZZ11" s="113"/>
      <c r="CAA11" s="113"/>
      <c r="CAB11" s="113"/>
      <c r="CAC11" s="113"/>
      <c r="CAD11" s="113"/>
      <c r="CAE11" s="113"/>
      <c r="CAF11" s="113"/>
      <c r="CAG11" s="113"/>
      <c r="CAH11" s="113"/>
      <c r="CAI11" s="113"/>
      <c r="CAJ11" s="113"/>
      <c r="CAK11" s="113"/>
      <c r="CAL11" s="113"/>
      <c r="CAM11" s="113"/>
      <c r="CAN11" s="113"/>
      <c r="CAO11" s="113"/>
      <c r="CAP11" s="113"/>
      <c r="CAQ11" s="113"/>
      <c r="CAR11" s="113"/>
      <c r="CAS11" s="113"/>
      <c r="CAT11" s="113"/>
      <c r="CAU11" s="113"/>
      <c r="CAV11" s="113"/>
      <c r="CAW11" s="113"/>
      <c r="CAX11" s="113"/>
      <c r="CAY11" s="113"/>
      <c r="CAZ11" s="113"/>
      <c r="CBA11" s="113"/>
      <c r="CBB11" s="113"/>
      <c r="CBC11" s="113"/>
      <c r="CBD11" s="113"/>
      <c r="CBE11" s="113"/>
      <c r="CBF11" s="113"/>
      <c r="CBG11" s="113"/>
      <c r="CBH11" s="113"/>
      <c r="CBI11" s="113"/>
      <c r="CBJ11" s="113"/>
      <c r="CBK11" s="113"/>
      <c r="CBL11" s="113"/>
      <c r="CBM11" s="113"/>
      <c r="CBN11" s="113"/>
      <c r="CBO11" s="113"/>
      <c r="CBP11" s="113"/>
      <c r="CBQ11" s="113"/>
      <c r="CBR11" s="113"/>
      <c r="CBS11" s="113"/>
      <c r="CBT11" s="113"/>
      <c r="CBU11" s="113"/>
      <c r="CBV11" s="113"/>
      <c r="CBW11" s="113"/>
      <c r="CBX11" s="113"/>
      <c r="CBY11" s="113"/>
      <c r="CBZ11" s="113"/>
      <c r="CCA11" s="113"/>
      <c r="CCB11" s="113"/>
      <c r="CCC11" s="113"/>
      <c r="CCD11" s="113"/>
      <c r="CCE11" s="113"/>
      <c r="CCF11" s="113"/>
      <c r="CCG11" s="113"/>
      <c r="CCH11" s="113"/>
      <c r="CCI11" s="113"/>
      <c r="CCJ11" s="113"/>
      <c r="CCK11" s="113"/>
      <c r="CCL11" s="113"/>
      <c r="CCM11" s="113"/>
      <c r="CCN11" s="113"/>
      <c r="CCO11" s="113"/>
      <c r="CCP11" s="113"/>
      <c r="CCQ11" s="113"/>
      <c r="CCR11" s="113"/>
      <c r="CCS11" s="113"/>
      <c r="CCT11" s="113"/>
      <c r="CCU11" s="113"/>
      <c r="CCV11" s="113"/>
      <c r="CCW11" s="113"/>
      <c r="CCX11" s="113"/>
      <c r="CCY11" s="113"/>
      <c r="CCZ11" s="113"/>
      <c r="CDA11" s="113"/>
      <c r="CDB11" s="113"/>
      <c r="CDC11" s="113"/>
      <c r="CDD11" s="113"/>
      <c r="CDE11" s="113"/>
      <c r="CDF11" s="113"/>
      <c r="CDG11" s="113"/>
      <c r="CDH11" s="113"/>
      <c r="CDI11" s="113"/>
      <c r="CDJ11" s="113"/>
      <c r="CDK11" s="113"/>
      <c r="CDL11" s="113"/>
      <c r="CDM11" s="113"/>
      <c r="CDN11" s="113"/>
      <c r="CDO11" s="113"/>
      <c r="CDP11" s="113"/>
      <c r="CDQ11" s="113"/>
      <c r="CDR11" s="113"/>
      <c r="CDS11" s="113"/>
      <c r="CDT11" s="113"/>
      <c r="CDU11" s="113"/>
      <c r="CDV11" s="113"/>
      <c r="CDW11" s="113"/>
      <c r="CDX11" s="113"/>
      <c r="CDY11" s="113"/>
      <c r="CDZ11" s="113"/>
      <c r="CEA11" s="113"/>
      <c r="CEB11" s="113"/>
      <c r="CEC11" s="113"/>
      <c r="CED11" s="113"/>
      <c r="CEE11" s="113"/>
      <c r="CEF11" s="113"/>
      <c r="CEG11" s="113"/>
      <c r="CEH11" s="113"/>
      <c r="CEI11" s="113"/>
      <c r="CEJ11" s="113"/>
      <c r="CEK11" s="113"/>
      <c r="CEL11" s="113"/>
      <c r="CEM11" s="113"/>
      <c r="CEN11" s="113"/>
      <c r="CEO11" s="113"/>
      <c r="CEP11" s="113"/>
      <c r="CEQ11" s="113"/>
      <c r="CER11" s="113"/>
      <c r="CES11" s="113"/>
      <c r="CET11" s="113"/>
      <c r="CEU11" s="113"/>
      <c r="CEV11" s="113"/>
      <c r="CEW11" s="113"/>
      <c r="CEX11" s="113"/>
      <c r="CEY11" s="113"/>
      <c r="CEZ11" s="113"/>
      <c r="CFA11" s="113"/>
      <c r="CFB11" s="113"/>
      <c r="CFC11" s="113"/>
      <c r="CFD11" s="113"/>
      <c r="CFE11" s="113"/>
      <c r="CFF11" s="113"/>
      <c r="CFG11" s="113"/>
      <c r="CFH11" s="113"/>
      <c r="CFI11" s="113"/>
      <c r="CFJ11" s="113"/>
      <c r="CFK11" s="113"/>
      <c r="CFL11" s="113"/>
      <c r="CFM11" s="113"/>
      <c r="CFN11" s="113"/>
      <c r="CFO11" s="113"/>
      <c r="CFP11" s="113"/>
      <c r="CFQ11" s="113"/>
      <c r="CFR11" s="113"/>
      <c r="CFS11" s="113"/>
      <c r="CFT11" s="113"/>
      <c r="CFU11" s="113"/>
      <c r="CFV11" s="113"/>
      <c r="CFW11" s="113"/>
      <c r="CFX11" s="113"/>
      <c r="CFY11" s="113"/>
      <c r="CFZ11" s="113"/>
      <c r="CGA11" s="113"/>
      <c r="CGB11" s="113"/>
      <c r="CGC11" s="113"/>
      <c r="CGD11" s="113"/>
      <c r="CGE11" s="113"/>
      <c r="CGF11" s="113"/>
      <c r="CGG11" s="113"/>
      <c r="CGH11" s="113"/>
      <c r="CGI11" s="113"/>
      <c r="CGJ11" s="113"/>
      <c r="CGK11" s="113"/>
      <c r="CGL11" s="113"/>
      <c r="CGM11" s="113"/>
      <c r="CGN11" s="113"/>
      <c r="CGO11" s="113"/>
      <c r="CGP11" s="113"/>
      <c r="CGQ11" s="113"/>
      <c r="CGR11" s="113"/>
      <c r="CGS11" s="113"/>
      <c r="CGT11" s="113"/>
      <c r="CGU11" s="113"/>
      <c r="CGV11" s="113"/>
      <c r="CGW11" s="113"/>
      <c r="CGX11" s="113"/>
      <c r="CGY11" s="113"/>
      <c r="CGZ11" s="113"/>
      <c r="CHA11" s="113"/>
      <c r="CHB11" s="113"/>
      <c r="CHC11" s="113"/>
      <c r="CHD11" s="113"/>
      <c r="CHE11" s="113"/>
      <c r="CHF11" s="113"/>
      <c r="CHG11" s="113"/>
      <c r="CHH11" s="113"/>
      <c r="CHI11" s="113"/>
      <c r="CHJ11" s="113"/>
      <c r="CHK11" s="113"/>
      <c r="CHL11" s="113"/>
      <c r="CHM11" s="113"/>
      <c r="CHN11" s="113"/>
      <c r="CHO11" s="113"/>
      <c r="CHP11" s="113"/>
      <c r="CHQ11" s="113"/>
      <c r="CHR11" s="113"/>
      <c r="CHS11" s="113"/>
      <c r="CHT11" s="113"/>
      <c r="CHU11" s="113"/>
      <c r="CHV11" s="113"/>
      <c r="CHW11" s="113"/>
      <c r="CHX11" s="113"/>
      <c r="CHY11" s="113"/>
      <c r="CHZ11" s="113"/>
      <c r="CIA11" s="113"/>
      <c r="CIB11" s="113"/>
      <c r="CIC11" s="113"/>
      <c r="CID11" s="113"/>
      <c r="CIE11" s="113"/>
      <c r="CIF11" s="113"/>
      <c r="CIG11" s="113"/>
      <c r="CIH11" s="113"/>
      <c r="CII11" s="113"/>
      <c r="CIJ11" s="113"/>
      <c r="CIK11" s="113"/>
      <c r="CIL11" s="113"/>
      <c r="CIM11" s="113"/>
      <c r="CIN11" s="113"/>
      <c r="CIO11" s="113"/>
      <c r="CIP11" s="113"/>
      <c r="CIQ11" s="113"/>
      <c r="CIR11" s="113"/>
      <c r="CIS11" s="113"/>
      <c r="CIT11" s="113"/>
      <c r="CIU11" s="113"/>
      <c r="CIV11" s="113"/>
      <c r="CIW11" s="113"/>
      <c r="CIX11" s="113"/>
      <c r="CIY11" s="113"/>
      <c r="CIZ11" s="113"/>
      <c r="CJA11" s="113"/>
      <c r="CJB11" s="113"/>
      <c r="CJC11" s="113"/>
      <c r="CJD11" s="113"/>
      <c r="CJE11" s="113"/>
      <c r="CJF11" s="113"/>
      <c r="CJG11" s="113"/>
      <c r="CJH11" s="113"/>
      <c r="CJI11" s="113"/>
      <c r="CJJ11" s="113"/>
      <c r="CJK11" s="113"/>
      <c r="CJL11" s="113"/>
      <c r="CJM11" s="113"/>
      <c r="CJN11" s="113"/>
      <c r="CJO11" s="113"/>
      <c r="CJP11" s="113"/>
      <c r="CJQ11" s="113"/>
      <c r="CJR11" s="113"/>
      <c r="CJS11" s="113"/>
      <c r="CJT11" s="113"/>
      <c r="CJU11" s="113"/>
      <c r="CJV11" s="113"/>
      <c r="CJW11" s="113"/>
      <c r="CJX11" s="113"/>
      <c r="CJY11" s="113"/>
      <c r="CJZ11" s="113"/>
      <c r="CKA11" s="113"/>
      <c r="CKB11" s="113"/>
      <c r="CKC11" s="113"/>
      <c r="CKD11" s="113"/>
      <c r="CKE11" s="113"/>
      <c r="CKF11" s="113"/>
      <c r="CKG11" s="113"/>
      <c r="CKH11" s="113"/>
      <c r="CKI11" s="113"/>
      <c r="CKJ11" s="113"/>
      <c r="CKK11" s="113"/>
      <c r="CKL11" s="113"/>
      <c r="CKM11" s="113"/>
      <c r="CKN11" s="113"/>
      <c r="CKO11" s="113"/>
      <c r="CKP11" s="113"/>
      <c r="CKQ11" s="113"/>
      <c r="CKR11" s="113"/>
      <c r="CKS11" s="113"/>
      <c r="CKT11" s="113"/>
      <c r="CKU11" s="113"/>
      <c r="CKV11" s="113"/>
      <c r="CKW11" s="113"/>
      <c r="CKX11" s="113"/>
      <c r="CKY11" s="113"/>
      <c r="CKZ11" s="113"/>
      <c r="CLA11" s="113"/>
      <c r="CLB11" s="113"/>
      <c r="CLC11" s="113"/>
      <c r="CLD11" s="113"/>
      <c r="CLE11" s="113"/>
      <c r="CLF11" s="113"/>
      <c r="CLG11" s="113"/>
      <c r="CLH11" s="113"/>
      <c r="CLI11" s="113"/>
      <c r="CLJ11" s="113"/>
      <c r="CLK11" s="113"/>
      <c r="CLL11" s="113"/>
      <c r="CLM11" s="113"/>
      <c r="CLN11" s="113"/>
      <c r="CLO11" s="113"/>
      <c r="CLP11" s="113"/>
      <c r="CLQ11" s="113"/>
      <c r="CLR11" s="113"/>
      <c r="CLS11" s="113"/>
      <c r="CLT11" s="113"/>
      <c r="CLU11" s="113"/>
      <c r="CLV11" s="113"/>
      <c r="CLW11" s="113"/>
      <c r="CLX11" s="113"/>
      <c r="CLY11" s="113"/>
      <c r="CLZ11" s="113"/>
      <c r="CMA11" s="113"/>
      <c r="CMB11" s="113"/>
      <c r="CMC11" s="113"/>
      <c r="CMD11" s="113"/>
      <c r="CME11" s="113"/>
      <c r="CMF11" s="113"/>
      <c r="CMG11" s="113"/>
      <c r="CMH11" s="113"/>
      <c r="CMI11" s="113"/>
      <c r="CMJ11" s="113"/>
      <c r="CMK11" s="113"/>
      <c r="CML11" s="113"/>
      <c r="CMM11" s="113"/>
      <c r="CMN11" s="113"/>
      <c r="CMO11" s="113"/>
      <c r="CMP11" s="113"/>
      <c r="CMQ11" s="113"/>
      <c r="CMR11" s="113"/>
      <c r="CMS11" s="113"/>
      <c r="CMT11" s="113"/>
      <c r="CMU11" s="113"/>
      <c r="CMV11" s="113"/>
      <c r="CMW11" s="113"/>
      <c r="CMX11" s="113"/>
      <c r="CMY11" s="113"/>
      <c r="CMZ11" s="113"/>
      <c r="CNA11" s="113"/>
      <c r="CNB11" s="113"/>
      <c r="CNC11" s="113"/>
      <c r="CND11" s="113"/>
      <c r="CNE11" s="113"/>
      <c r="CNF11" s="113"/>
      <c r="CNG11" s="113"/>
      <c r="CNH11" s="113"/>
      <c r="CNI11" s="113"/>
      <c r="CNJ11" s="113"/>
      <c r="CNK11" s="113"/>
      <c r="CNL11" s="113"/>
      <c r="CNM11" s="113"/>
      <c r="CNN11" s="113"/>
      <c r="CNO11" s="113"/>
      <c r="CNP11" s="113"/>
      <c r="CNQ11" s="113"/>
      <c r="CNR11" s="113"/>
      <c r="CNS11" s="113"/>
      <c r="CNT11" s="113"/>
      <c r="CNU11" s="113"/>
      <c r="CNV11" s="113"/>
      <c r="CNW11" s="113"/>
      <c r="CNX11" s="113"/>
      <c r="CNY11" s="113"/>
      <c r="CNZ11" s="113"/>
      <c r="COA11" s="113"/>
      <c r="COB11" s="113"/>
      <c r="COC11" s="113"/>
      <c r="COD11" s="113"/>
      <c r="COE11" s="113"/>
      <c r="COF11" s="113"/>
      <c r="COG11" s="113"/>
      <c r="COH11" s="113"/>
      <c r="COI11" s="113"/>
      <c r="COJ11" s="113"/>
      <c r="COK11" s="113"/>
      <c r="COL11" s="113"/>
      <c r="COM11" s="113"/>
      <c r="CON11" s="113"/>
      <c r="COO11" s="113"/>
      <c r="COP11" s="113"/>
      <c r="COQ11" s="113"/>
      <c r="COR11" s="113"/>
      <c r="COS11" s="113"/>
      <c r="COT11" s="113"/>
      <c r="COU11" s="113"/>
      <c r="COV11" s="113"/>
      <c r="COW11" s="113"/>
      <c r="COX11" s="113"/>
      <c r="COY11" s="113"/>
      <c r="COZ11" s="113"/>
      <c r="CPA11" s="113"/>
      <c r="CPB11" s="113"/>
      <c r="CPC11" s="113"/>
      <c r="CPD11" s="113"/>
      <c r="CPE11" s="113"/>
      <c r="CPF11" s="113"/>
      <c r="CPG11" s="113"/>
      <c r="CPH11" s="113"/>
      <c r="CPI11" s="113"/>
      <c r="CPJ11" s="113"/>
      <c r="CPK11" s="113"/>
      <c r="CPL11" s="113"/>
      <c r="CPM11" s="113"/>
      <c r="CPN11" s="113"/>
      <c r="CPO11" s="113"/>
      <c r="CPP11" s="113"/>
      <c r="CPQ11" s="113"/>
      <c r="CPR11" s="113"/>
      <c r="CPS11" s="113"/>
      <c r="CPT11" s="113"/>
      <c r="CPU11" s="113"/>
      <c r="CPV11" s="113"/>
      <c r="CPW11" s="113"/>
      <c r="CPX11" s="113"/>
      <c r="CPY11" s="113"/>
      <c r="CPZ11" s="113"/>
      <c r="CQA11" s="113"/>
      <c r="CQB11" s="113"/>
      <c r="CQC11" s="113"/>
      <c r="CQD11" s="113"/>
      <c r="CQE11" s="113"/>
      <c r="CQF11" s="113"/>
      <c r="CQG11" s="113"/>
      <c r="CQH11" s="113"/>
      <c r="CQI11" s="113"/>
      <c r="CQJ11" s="113"/>
      <c r="CQK11" s="113"/>
      <c r="CQL11" s="113"/>
      <c r="CQM11" s="113"/>
      <c r="CQN11" s="113"/>
      <c r="CQO11" s="113"/>
      <c r="CQP11" s="113"/>
      <c r="CQQ11" s="113"/>
      <c r="CQR11" s="113"/>
      <c r="CQS11" s="113"/>
      <c r="CQT11" s="113"/>
      <c r="CQU11" s="113"/>
      <c r="CQV11" s="113"/>
      <c r="CQW11" s="113"/>
      <c r="CQX11" s="113"/>
      <c r="CQY11" s="113"/>
      <c r="CQZ11" s="113"/>
      <c r="CRA11" s="113"/>
      <c r="CRB11" s="113"/>
      <c r="CRC11" s="113"/>
      <c r="CRD11" s="113"/>
      <c r="CRE11" s="113"/>
      <c r="CRF11" s="113"/>
      <c r="CRG11" s="113"/>
      <c r="CRH11" s="113"/>
      <c r="CRI11" s="113"/>
      <c r="CRJ11" s="113"/>
      <c r="CRK11" s="113"/>
      <c r="CRL11" s="113"/>
      <c r="CRM11" s="113"/>
      <c r="CRN11" s="113"/>
      <c r="CRO11" s="113"/>
      <c r="CRP11" s="113"/>
      <c r="CRQ11" s="113"/>
      <c r="CRR11" s="113"/>
      <c r="CRS11" s="113"/>
      <c r="CRT11" s="113"/>
      <c r="CRU11" s="113"/>
      <c r="CRV11" s="113"/>
      <c r="CRW11" s="113"/>
      <c r="CRX11" s="113"/>
      <c r="CRY11" s="113"/>
      <c r="CRZ11" s="113"/>
      <c r="CSA11" s="113"/>
      <c r="CSB11" s="113"/>
      <c r="CSC11" s="113"/>
      <c r="CSD11" s="113"/>
      <c r="CSE11" s="113"/>
      <c r="CSF11" s="113"/>
      <c r="CSG11" s="113"/>
      <c r="CSH11" s="113"/>
      <c r="CSI11" s="113"/>
      <c r="CSJ11" s="113"/>
      <c r="CSK11" s="113"/>
      <c r="CSL11" s="113"/>
      <c r="CSM11" s="113"/>
      <c r="CSN11" s="113"/>
      <c r="CSO11" s="113"/>
      <c r="CSP11" s="113"/>
      <c r="CSQ11" s="113"/>
      <c r="CSR11" s="113"/>
      <c r="CSS11" s="113"/>
      <c r="CST11" s="113"/>
      <c r="CSU11" s="113"/>
      <c r="CSV11" s="113"/>
      <c r="CSW11" s="113"/>
      <c r="CSX11" s="113"/>
      <c r="CSY11" s="113"/>
      <c r="CSZ11" s="113"/>
      <c r="CTA11" s="113"/>
      <c r="CTB11" s="113"/>
      <c r="CTC11" s="113"/>
      <c r="CTD11" s="113"/>
      <c r="CTE11" s="113"/>
      <c r="CTF11" s="113"/>
      <c r="CTG11" s="113"/>
      <c r="CTH11" s="113"/>
      <c r="CTI11" s="113"/>
      <c r="CTJ11" s="113"/>
      <c r="CTK11" s="113"/>
      <c r="CTL11" s="113"/>
      <c r="CTM11" s="113"/>
      <c r="CTN11" s="113"/>
      <c r="CTO11" s="113"/>
      <c r="CTP11" s="113"/>
      <c r="CTQ11" s="113"/>
      <c r="CTR11" s="113"/>
      <c r="CTS11" s="113"/>
      <c r="CTT11" s="113"/>
      <c r="CTU11" s="113"/>
      <c r="CTV11" s="113"/>
      <c r="CTW11" s="113"/>
      <c r="CTX11" s="113"/>
      <c r="CTY11" s="113"/>
      <c r="CTZ11" s="113"/>
      <c r="CUA11" s="113"/>
      <c r="CUB11" s="113"/>
      <c r="CUC11" s="113"/>
      <c r="CUD11" s="113"/>
      <c r="CUE11" s="113"/>
      <c r="CUF11" s="113"/>
      <c r="CUG11" s="113"/>
      <c r="CUH11" s="113"/>
      <c r="CUI11" s="113"/>
      <c r="CUJ11" s="113"/>
      <c r="CUK11" s="113"/>
      <c r="CUL11" s="113"/>
      <c r="CUM11" s="113"/>
      <c r="CUN11" s="113"/>
      <c r="CUO11" s="113"/>
      <c r="CUP11" s="113"/>
      <c r="CUQ11" s="113"/>
      <c r="CUR11" s="113"/>
      <c r="CUS11" s="113"/>
      <c r="CUT11" s="113"/>
      <c r="CUU11" s="113"/>
      <c r="CUV11" s="113"/>
      <c r="CUW11" s="113"/>
      <c r="CUX11" s="113"/>
      <c r="CUY11" s="113"/>
      <c r="CUZ11" s="113"/>
      <c r="CVA11" s="113"/>
      <c r="CVB11" s="113"/>
      <c r="CVC11" s="113"/>
      <c r="CVD11" s="113"/>
      <c r="CVE11" s="113"/>
      <c r="CVF11" s="113"/>
      <c r="CVG11" s="113"/>
      <c r="CVH11" s="113"/>
      <c r="CVI11" s="113"/>
      <c r="CVJ11" s="113"/>
      <c r="CVK11" s="113"/>
      <c r="CVL11" s="113"/>
      <c r="CVM11" s="113"/>
      <c r="CVN11" s="113"/>
      <c r="CVO11" s="113"/>
      <c r="CVP11" s="113"/>
      <c r="CVQ11" s="113"/>
      <c r="CVR11" s="113"/>
      <c r="CVS11" s="113"/>
      <c r="CVT11" s="113"/>
      <c r="CVU11" s="113"/>
      <c r="CVV11" s="113"/>
      <c r="CVW11" s="113"/>
      <c r="CVX11" s="113"/>
      <c r="CVY11" s="113"/>
      <c r="CVZ11" s="113"/>
      <c r="CWA11" s="113"/>
      <c r="CWB11" s="113"/>
      <c r="CWC11" s="113"/>
      <c r="CWD11" s="113"/>
      <c r="CWE11" s="113"/>
      <c r="CWF11" s="113"/>
      <c r="CWG11" s="113"/>
      <c r="CWH11" s="113"/>
      <c r="CWI11" s="113"/>
      <c r="CWJ11" s="113"/>
      <c r="CWK11" s="113"/>
      <c r="CWL11" s="113"/>
      <c r="CWM11" s="113"/>
      <c r="CWN11" s="113"/>
      <c r="CWO11" s="113"/>
      <c r="CWP11" s="113"/>
      <c r="CWQ11" s="113"/>
      <c r="CWR11" s="113"/>
      <c r="CWS11" s="113"/>
      <c r="CWT11" s="113"/>
      <c r="CWU11" s="113"/>
      <c r="CWV11" s="113"/>
      <c r="CWW11" s="113"/>
      <c r="CWX11" s="113"/>
      <c r="CWY11" s="113"/>
      <c r="CWZ11" s="113"/>
      <c r="CXA11" s="113"/>
      <c r="CXB11" s="113"/>
      <c r="CXC11" s="113"/>
      <c r="CXD11" s="113"/>
      <c r="CXE11" s="113"/>
      <c r="CXF11" s="113"/>
      <c r="CXG11" s="113"/>
      <c r="CXH11" s="113"/>
      <c r="CXI11" s="113"/>
      <c r="CXJ11" s="113"/>
      <c r="CXK11" s="113"/>
      <c r="CXL11" s="113"/>
      <c r="CXM11" s="113"/>
      <c r="CXN11" s="113"/>
      <c r="CXO11" s="113"/>
      <c r="CXP11" s="113"/>
      <c r="CXQ11" s="113"/>
      <c r="CXR11" s="113"/>
      <c r="CXS11" s="113"/>
      <c r="CXT11" s="113"/>
      <c r="CXU11" s="113"/>
      <c r="CXV11" s="113"/>
      <c r="CXW11" s="113"/>
      <c r="CXX11" s="113"/>
      <c r="CXY11" s="113"/>
      <c r="CXZ11" s="113"/>
      <c r="CYA11" s="113"/>
      <c r="CYB11" s="113"/>
      <c r="CYC11" s="113"/>
      <c r="CYD11" s="113"/>
      <c r="CYE11" s="113"/>
      <c r="CYF11" s="113"/>
      <c r="CYG11" s="113"/>
      <c r="CYH11" s="113"/>
      <c r="CYI11" s="113"/>
      <c r="CYJ11" s="113"/>
      <c r="CYK11" s="113"/>
      <c r="CYL11" s="113"/>
      <c r="CYM11" s="113"/>
      <c r="CYN11" s="113"/>
      <c r="CYO11" s="113"/>
      <c r="CYP11" s="113"/>
      <c r="CYQ11" s="113"/>
      <c r="CYR11" s="113"/>
      <c r="CYS11" s="113"/>
      <c r="CYT11" s="113"/>
      <c r="CYU11" s="113"/>
      <c r="CYV11" s="113"/>
      <c r="CYW11" s="113"/>
      <c r="CYX11" s="113"/>
      <c r="CYY11" s="113"/>
      <c r="CYZ11" s="113"/>
      <c r="CZA11" s="113"/>
      <c r="CZB11" s="113"/>
      <c r="CZC11" s="113"/>
      <c r="CZD11" s="113"/>
      <c r="CZE11" s="113"/>
      <c r="CZF11" s="113"/>
      <c r="CZG11" s="113"/>
      <c r="CZH11" s="113"/>
      <c r="CZI11" s="113"/>
      <c r="CZJ11" s="113"/>
      <c r="CZK11" s="113"/>
      <c r="CZL11" s="113"/>
      <c r="CZM11" s="113"/>
      <c r="CZN11" s="113"/>
      <c r="CZO11" s="113"/>
      <c r="CZP11" s="113"/>
      <c r="CZQ11" s="113"/>
      <c r="CZR11" s="113"/>
      <c r="CZS11" s="113"/>
      <c r="CZT11" s="113"/>
      <c r="CZU11" s="113"/>
      <c r="CZV11" s="113"/>
      <c r="CZW11" s="113"/>
      <c r="CZX11" s="113"/>
      <c r="CZY11" s="113"/>
      <c r="CZZ11" s="113"/>
      <c r="DAA11" s="113"/>
      <c r="DAB11" s="113"/>
      <c r="DAC11" s="113"/>
      <c r="DAD11" s="113"/>
      <c r="DAE11" s="113"/>
      <c r="DAF11" s="113"/>
      <c r="DAG11" s="113"/>
      <c r="DAH11" s="113"/>
      <c r="DAI11" s="113"/>
      <c r="DAJ11" s="113"/>
      <c r="DAK11" s="113"/>
      <c r="DAL11" s="113"/>
      <c r="DAM11" s="113"/>
      <c r="DAN11" s="113"/>
      <c r="DAO11" s="113"/>
      <c r="DAP11" s="113"/>
      <c r="DAQ11" s="113"/>
      <c r="DAR11" s="113"/>
      <c r="DAS11" s="113"/>
      <c r="DAT11" s="113"/>
      <c r="DAU11" s="113"/>
      <c r="DAV11" s="113"/>
      <c r="DAW11" s="113"/>
      <c r="DAX11" s="113"/>
      <c r="DAY11" s="113"/>
      <c r="DAZ11" s="113"/>
      <c r="DBA11" s="113"/>
      <c r="DBB11" s="113"/>
      <c r="DBC11" s="113"/>
      <c r="DBD11" s="113"/>
      <c r="DBE11" s="113"/>
      <c r="DBF11" s="113"/>
      <c r="DBG11" s="113"/>
      <c r="DBH11" s="113"/>
      <c r="DBI11" s="113"/>
      <c r="DBJ11" s="113"/>
      <c r="DBK11" s="113"/>
      <c r="DBL11" s="113"/>
      <c r="DBM11" s="113"/>
      <c r="DBN11" s="113"/>
      <c r="DBO11" s="113"/>
      <c r="DBP11" s="113"/>
      <c r="DBQ11" s="113"/>
      <c r="DBR11" s="113"/>
      <c r="DBS11" s="113"/>
      <c r="DBT11" s="113"/>
      <c r="DBU11" s="113"/>
      <c r="DBV11" s="113"/>
      <c r="DBW11" s="113"/>
      <c r="DBX11" s="113"/>
      <c r="DBY11" s="113"/>
      <c r="DBZ11" s="113"/>
      <c r="DCA11" s="113"/>
      <c r="DCB11" s="113"/>
      <c r="DCC11" s="113"/>
      <c r="DCD11" s="113"/>
      <c r="DCE11" s="113"/>
      <c r="DCF11" s="113"/>
      <c r="DCG11" s="113"/>
      <c r="DCH11" s="113"/>
      <c r="DCI11" s="113"/>
      <c r="DCJ11" s="113"/>
      <c r="DCK11" s="113"/>
      <c r="DCL11" s="113"/>
      <c r="DCM11" s="113"/>
      <c r="DCN11" s="113"/>
      <c r="DCO11" s="113"/>
      <c r="DCP11" s="113"/>
      <c r="DCQ11" s="113"/>
      <c r="DCR11" s="113"/>
      <c r="DCS11" s="113"/>
      <c r="DCT11" s="113"/>
      <c r="DCU11" s="113"/>
      <c r="DCV11" s="113"/>
      <c r="DCW11" s="113"/>
      <c r="DCX11" s="113"/>
      <c r="DCY11" s="113"/>
      <c r="DCZ11" s="113"/>
      <c r="DDA11" s="113"/>
      <c r="DDB11" s="113"/>
      <c r="DDC11" s="113"/>
      <c r="DDD11" s="113"/>
      <c r="DDE11" s="113"/>
      <c r="DDF11" s="113"/>
      <c r="DDG11" s="113"/>
      <c r="DDH11" s="113"/>
      <c r="DDI11" s="113"/>
      <c r="DDJ11" s="113"/>
      <c r="DDK11" s="113"/>
      <c r="DDL11" s="113"/>
      <c r="DDM11" s="113"/>
      <c r="DDN11" s="113"/>
      <c r="DDO11" s="113"/>
      <c r="DDP11" s="113"/>
      <c r="DDQ11" s="113"/>
      <c r="DDR11" s="113"/>
      <c r="DDS11" s="113"/>
      <c r="DDT11" s="113"/>
      <c r="DDU11" s="113"/>
      <c r="DDV11" s="113"/>
      <c r="DDW11" s="113"/>
      <c r="DDX11" s="113"/>
      <c r="DDY11" s="113"/>
      <c r="DDZ11" s="113"/>
      <c r="DEA11" s="113"/>
      <c r="DEB11" s="113"/>
      <c r="DEC11" s="113"/>
      <c r="DED11" s="113"/>
      <c r="DEE11" s="113"/>
      <c r="DEF11" s="113"/>
      <c r="DEG11" s="113"/>
      <c r="DEH11" s="113"/>
      <c r="DEI11" s="113"/>
      <c r="DEJ11" s="113"/>
      <c r="DEK11" s="113"/>
      <c r="DEL11" s="113"/>
      <c r="DEM11" s="113"/>
      <c r="DEN11" s="113"/>
      <c r="DEO11" s="113"/>
      <c r="DEP11" s="113"/>
      <c r="DEQ11" s="113"/>
      <c r="DER11" s="113"/>
      <c r="DES11" s="113"/>
      <c r="DET11" s="113"/>
      <c r="DEU11" s="113"/>
      <c r="DEV11" s="113"/>
      <c r="DEW11" s="113"/>
      <c r="DEX11" s="113"/>
      <c r="DEY11" s="113"/>
      <c r="DEZ11" s="113"/>
      <c r="DFA11" s="113"/>
      <c r="DFB11" s="113"/>
      <c r="DFC11" s="113"/>
      <c r="DFD11" s="113"/>
      <c r="DFE11" s="113"/>
      <c r="DFF11" s="113"/>
      <c r="DFG11" s="113"/>
      <c r="DFH11" s="113"/>
      <c r="DFI11" s="113"/>
      <c r="DFJ11" s="113"/>
      <c r="DFK11" s="113"/>
      <c r="DFL11" s="113"/>
      <c r="DFM11" s="113"/>
      <c r="DFN11" s="113"/>
      <c r="DFO11" s="113"/>
      <c r="DFP11" s="113"/>
      <c r="DFQ11" s="113"/>
      <c r="DFR11" s="113"/>
      <c r="DFS11" s="113"/>
      <c r="DFT11" s="113"/>
      <c r="DFU11" s="113"/>
      <c r="DFV11" s="113"/>
      <c r="DFW11" s="113"/>
      <c r="DFX11" s="113"/>
      <c r="DFY11" s="113"/>
      <c r="DFZ11" s="113"/>
      <c r="DGA11" s="113"/>
      <c r="DGB11" s="113"/>
      <c r="DGC11" s="113"/>
      <c r="DGD11" s="113"/>
      <c r="DGE11" s="113"/>
      <c r="DGF11" s="113"/>
      <c r="DGG11" s="113"/>
      <c r="DGH11" s="113"/>
      <c r="DGI11" s="113"/>
      <c r="DGJ11" s="113"/>
      <c r="DGK11" s="113"/>
      <c r="DGL11" s="113"/>
      <c r="DGM11" s="113"/>
      <c r="DGN11" s="113"/>
      <c r="DGO11" s="113"/>
      <c r="DGP11" s="113"/>
      <c r="DGQ11" s="113"/>
      <c r="DGR11" s="113"/>
      <c r="DGS11" s="113"/>
      <c r="DGT11" s="113"/>
      <c r="DGU11" s="113"/>
      <c r="DGV11" s="113"/>
      <c r="DGW11" s="113"/>
      <c r="DGX11" s="113"/>
      <c r="DGY11" s="113"/>
      <c r="DGZ11" s="113"/>
      <c r="DHA11" s="113"/>
      <c r="DHB11" s="113"/>
      <c r="DHC11" s="113"/>
      <c r="DHD11" s="113"/>
      <c r="DHE11" s="113"/>
      <c r="DHF11" s="113"/>
      <c r="DHG11" s="113"/>
      <c r="DHH11" s="113"/>
      <c r="DHI11" s="113"/>
      <c r="DHJ11" s="113"/>
      <c r="DHK11" s="113"/>
      <c r="DHL11" s="113"/>
      <c r="DHM11" s="113"/>
      <c r="DHN11" s="113"/>
      <c r="DHO11" s="113"/>
      <c r="DHP11" s="113"/>
      <c r="DHQ11" s="113"/>
      <c r="DHR11" s="113"/>
      <c r="DHS11" s="113"/>
      <c r="DHT11" s="113"/>
      <c r="DHU11" s="113"/>
      <c r="DHV11" s="113"/>
      <c r="DHW11" s="113"/>
      <c r="DHX11" s="113"/>
      <c r="DHY11" s="113"/>
      <c r="DHZ11" s="113"/>
      <c r="DIA11" s="113"/>
      <c r="DIB11" s="113"/>
      <c r="DIC11" s="113"/>
      <c r="DID11" s="113"/>
      <c r="DIE11" s="113"/>
      <c r="DIF11" s="113"/>
      <c r="DIG11" s="113"/>
      <c r="DIH11" s="113"/>
      <c r="DII11" s="113"/>
      <c r="DIJ11" s="113"/>
      <c r="DIK11" s="113"/>
      <c r="DIL11" s="113"/>
      <c r="DIM11" s="113"/>
      <c r="DIN11" s="113"/>
      <c r="DIO11" s="113"/>
      <c r="DIP11" s="113"/>
      <c r="DIQ11" s="113"/>
      <c r="DIR11" s="113"/>
      <c r="DIS11" s="113"/>
      <c r="DIT11" s="113"/>
      <c r="DIU11" s="113"/>
      <c r="DIV11" s="113"/>
      <c r="DIW11" s="113"/>
      <c r="DIX11" s="113"/>
      <c r="DIY11" s="113"/>
      <c r="DIZ11" s="113"/>
      <c r="DJA11" s="113"/>
      <c r="DJB11" s="113"/>
      <c r="DJC11" s="113"/>
      <c r="DJD11" s="113"/>
      <c r="DJE11" s="113"/>
      <c r="DJF11" s="113"/>
      <c r="DJG11" s="113"/>
      <c r="DJH11" s="113"/>
      <c r="DJI11" s="113"/>
      <c r="DJJ11" s="113"/>
      <c r="DJK11" s="113"/>
      <c r="DJL11" s="113"/>
      <c r="DJM11" s="113"/>
      <c r="DJN11" s="113"/>
      <c r="DJO11" s="113"/>
      <c r="DJP11" s="113"/>
      <c r="DJQ11" s="113"/>
      <c r="DJR11" s="113"/>
      <c r="DJS11" s="113"/>
      <c r="DJT11" s="113"/>
      <c r="DJU11" s="113"/>
      <c r="DJV11" s="113"/>
      <c r="DJW11" s="113"/>
      <c r="DJX11" s="113"/>
      <c r="DJY11" s="113"/>
      <c r="DJZ11" s="113"/>
      <c r="DKA11" s="113"/>
      <c r="DKB11" s="113"/>
      <c r="DKC11" s="113"/>
      <c r="DKD11" s="113"/>
      <c r="DKE11" s="113"/>
      <c r="DKF11" s="113"/>
      <c r="DKG11" s="113"/>
      <c r="DKH11" s="113"/>
      <c r="DKI11" s="113"/>
      <c r="DKJ11" s="113"/>
      <c r="DKK11" s="113"/>
      <c r="DKL11" s="113"/>
      <c r="DKM11" s="113"/>
      <c r="DKN11" s="113"/>
      <c r="DKO11" s="113"/>
      <c r="DKP11" s="113"/>
      <c r="DKQ11" s="113"/>
      <c r="DKR11" s="113"/>
      <c r="DKS11" s="113"/>
      <c r="DKT11" s="113"/>
      <c r="DKU11" s="113"/>
      <c r="DKV11" s="113"/>
      <c r="DKW11" s="113"/>
      <c r="DKX11" s="113"/>
      <c r="DKY11" s="113"/>
      <c r="DKZ11" s="113"/>
      <c r="DLA11" s="113"/>
      <c r="DLB11" s="113"/>
      <c r="DLC11" s="113"/>
      <c r="DLD11" s="113"/>
      <c r="DLE11" s="113"/>
      <c r="DLF11" s="113"/>
      <c r="DLG11" s="113"/>
      <c r="DLH11" s="113"/>
      <c r="DLI11" s="113"/>
      <c r="DLJ11" s="113"/>
      <c r="DLK11" s="113"/>
      <c r="DLL11" s="113"/>
      <c r="DLM11" s="113"/>
      <c r="DLN11" s="113"/>
      <c r="DLO11" s="113"/>
      <c r="DLP11" s="113"/>
      <c r="DLQ11" s="113"/>
      <c r="DLR11" s="113"/>
      <c r="DLS11" s="113"/>
      <c r="DLT11" s="113"/>
      <c r="DLU11" s="113"/>
      <c r="DLV11" s="113"/>
      <c r="DLW11" s="113"/>
      <c r="DLX11" s="113"/>
      <c r="DLY11" s="113"/>
      <c r="DLZ11" s="113"/>
      <c r="DMA11" s="113"/>
      <c r="DMB11" s="113"/>
      <c r="DMC11" s="113"/>
      <c r="DMD11" s="113"/>
      <c r="DME11" s="113"/>
      <c r="DMF11" s="113"/>
      <c r="DMG11" s="113"/>
      <c r="DMH11" s="113"/>
      <c r="DMI11" s="113"/>
      <c r="DMJ11" s="113"/>
      <c r="DMK11" s="113"/>
      <c r="DML11" s="113"/>
      <c r="DMM11" s="113"/>
      <c r="DMN11" s="113"/>
      <c r="DMO11" s="113"/>
      <c r="DMP11" s="113"/>
      <c r="DMQ11" s="113"/>
      <c r="DMR11" s="113"/>
      <c r="DMS11" s="113"/>
      <c r="DMT11" s="113"/>
      <c r="DMU11" s="113"/>
      <c r="DMV11" s="113"/>
      <c r="DMW11" s="113"/>
      <c r="DMX11" s="113"/>
      <c r="DMY11" s="113"/>
      <c r="DMZ11" s="113"/>
      <c r="DNA11" s="113"/>
      <c r="DNB11" s="113"/>
      <c r="DNC11" s="113"/>
      <c r="DND11" s="113"/>
      <c r="DNE11" s="113"/>
      <c r="DNF11" s="113"/>
      <c r="DNG11" s="113"/>
      <c r="DNH11" s="113"/>
      <c r="DNI11" s="113"/>
      <c r="DNJ11" s="113"/>
      <c r="DNK11" s="113"/>
      <c r="DNL11" s="113"/>
      <c r="DNM11" s="113"/>
      <c r="DNN11" s="113"/>
      <c r="DNO11" s="113"/>
      <c r="DNP11" s="113"/>
      <c r="DNQ11" s="113"/>
      <c r="DNR11" s="113"/>
      <c r="DNS11" s="113"/>
      <c r="DNT11" s="113"/>
      <c r="DNU11" s="113"/>
      <c r="DNV11" s="113"/>
      <c r="DNW11" s="113"/>
      <c r="DNX11" s="113"/>
      <c r="DNY11" s="113"/>
      <c r="DNZ11" s="113"/>
      <c r="DOA11" s="113"/>
      <c r="DOB11" s="113"/>
      <c r="DOC11" s="113"/>
      <c r="DOD11" s="113"/>
      <c r="DOE11" s="113"/>
      <c r="DOF11" s="113"/>
      <c r="DOG11" s="113"/>
      <c r="DOH11" s="113"/>
      <c r="DOI11" s="113"/>
      <c r="DOJ11" s="113"/>
      <c r="DOK11" s="113"/>
      <c r="DOL11" s="113"/>
      <c r="DOM11" s="113"/>
      <c r="DON11" s="113"/>
      <c r="DOO11" s="113"/>
      <c r="DOP11" s="113"/>
      <c r="DOQ11" s="113"/>
      <c r="DOR11" s="113"/>
      <c r="DOS11" s="113"/>
      <c r="DOT11" s="113"/>
      <c r="DOU11" s="113"/>
      <c r="DOV11" s="113"/>
      <c r="DOW11" s="113"/>
      <c r="DOX11" s="113"/>
      <c r="DOY11" s="113"/>
      <c r="DOZ11" s="113"/>
      <c r="DPA11" s="113"/>
      <c r="DPB11" s="113"/>
      <c r="DPC11" s="113"/>
      <c r="DPD11" s="113"/>
      <c r="DPE11" s="113"/>
      <c r="DPF11" s="113"/>
      <c r="DPG11" s="113"/>
      <c r="DPH11" s="113"/>
      <c r="DPI11" s="113"/>
      <c r="DPJ11" s="113"/>
      <c r="DPK11" s="113"/>
      <c r="DPL11" s="113"/>
      <c r="DPM11" s="113"/>
      <c r="DPN11" s="113"/>
      <c r="DPO11" s="113"/>
      <c r="DPP11" s="113"/>
      <c r="DPQ11" s="113"/>
      <c r="DPR11" s="113"/>
      <c r="DPS11" s="113"/>
      <c r="DPT11" s="113"/>
      <c r="DPU11" s="113"/>
      <c r="DPV11" s="113"/>
      <c r="DPW11" s="113"/>
      <c r="DPX11" s="113"/>
      <c r="DPY11" s="113"/>
      <c r="DPZ11" s="113"/>
      <c r="DQA11" s="113"/>
      <c r="DQB11" s="113"/>
      <c r="DQC11" s="113"/>
      <c r="DQD11" s="113"/>
      <c r="DQE11" s="113"/>
      <c r="DQF11" s="113"/>
      <c r="DQG11" s="113"/>
      <c r="DQH11" s="113"/>
      <c r="DQI11" s="113"/>
      <c r="DQJ11" s="113"/>
      <c r="DQK11" s="113"/>
      <c r="DQL11" s="113"/>
      <c r="DQM11" s="113"/>
      <c r="DQN11" s="113"/>
      <c r="DQO11" s="113"/>
      <c r="DQP11" s="113"/>
      <c r="DQQ11" s="113"/>
      <c r="DQR11" s="113"/>
      <c r="DQS11" s="113"/>
      <c r="DQT11" s="113"/>
      <c r="DQU11" s="113"/>
      <c r="DQV11" s="113"/>
      <c r="DQW11" s="113"/>
      <c r="DQX11" s="113"/>
      <c r="DQY11" s="113"/>
      <c r="DQZ11" s="113"/>
      <c r="DRA11" s="113"/>
      <c r="DRB11" s="113"/>
      <c r="DRC11" s="113"/>
      <c r="DRD11" s="113"/>
      <c r="DRE11" s="113"/>
      <c r="DRF11" s="113"/>
      <c r="DRG11" s="113"/>
      <c r="DRH11" s="113"/>
      <c r="DRI11" s="113"/>
      <c r="DRJ11" s="113"/>
      <c r="DRK11" s="113"/>
      <c r="DRL11" s="113"/>
      <c r="DRM11" s="113"/>
      <c r="DRN11" s="113"/>
      <c r="DRO11" s="113"/>
      <c r="DRP11" s="113"/>
      <c r="DRQ11" s="113"/>
      <c r="DRR11" s="113"/>
      <c r="DRS11" s="113"/>
      <c r="DRT11" s="113"/>
      <c r="DRU11" s="113"/>
      <c r="DRV11" s="113"/>
      <c r="DRW11" s="113"/>
      <c r="DRX11" s="113"/>
      <c r="DRY11" s="113"/>
      <c r="DRZ11" s="113"/>
      <c r="DSA11" s="113"/>
      <c r="DSB11" s="113"/>
      <c r="DSC11" s="113"/>
      <c r="DSD11" s="113"/>
      <c r="DSE11" s="113"/>
      <c r="DSF11" s="113"/>
      <c r="DSG11" s="113"/>
      <c r="DSH11" s="113"/>
      <c r="DSI11" s="113"/>
      <c r="DSJ11" s="113"/>
      <c r="DSK11" s="113"/>
      <c r="DSL11" s="113"/>
      <c r="DSM11" s="113"/>
      <c r="DSN11" s="113"/>
      <c r="DSO11" s="113"/>
      <c r="DSP11" s="113"/>
      <c r="DSQ11" s="113"/>
      <c r="DSR11" s="113"/>
      <c r="DSS11" s="113"/>
      <c r="DST11" s="113"/>
      <c r="DSU11" s="113"/>
      <c r="DSV11" s="113"/>
      <c r="DSW11" s="113"/>
      <c r="DSX11" s="113"/>
      <c r="DSY11" s="113"/>
      <c r="DSZ11" s="113"/>
      <c r="DTA11" s="113"/>
      <c r="DTB11" s="113"/>
      <c r="DTC11" s="113"/>
      <c r="DTD11" s="113"/>
      <c r="DTE11" s="113"/>
      <c r="DTF11" s="113"/>
      <c r="DTG11" s="113"/>
      <c r="DTH11" s="113"/>
      <c r="DTI11" s="113"/>
      <c r="DTJ11" s="113"/>
      <c r="DTK11" s="113"/>
      <c r="DTL11" s="113"/>
      <c r="DTM11" s="113"/>
      <c r="DTN11" s="113"/>
      <c r="DTO11" s="113"/>
      <c r="DTP11" s="113"/>
      <c r="DTQ11" s="113"/>
      <c r="DTR11" s="113"/>
      <c r="DTS11" s="113"/>
      <c r="DTT11" s="113"/>
      <c r="DTU11" s="113"/>
      <c r="DTV11" s="113"/>
      <c r="DTW11" s="113"/>
      <c r="DTX11" s="113"/>
      <c r="DTY11" s="113"/>
      <c r="DTZ11" s="113"/>
      <c r="DUA11" s="113"/>
      <c r="DUB11" s="113"/>
      <c r="DUC11" s="113"/>
      <c r="DUD11" s="113"/>
      <c r="DUE11" s="113"/>
      <c r="DUF11" s="113"/>
      <c r="DUG11" s="113"/>
      <c r="DUH11" s="113"/>
      <c r="DUI11" s="113"/>
      <c r="DUJ11" s="113"/>
      <c r="DUK11" s="113"/>
      <c r="DUL11" s="113"/>
      <c r="DUM11" s="113"/>
      <c r="DUN11" s="113"/>
      <c r="DUO11" s="113"/>
      <c r="DUP11" s="113"/>
      <c r="DUQ11" s="113"/>
      <c r="DUR11" s="113"/>
      <c r="DUS11" s="113"/>
      <c r="DUT11" s="113"/>
      <c r="DUU11" s="113"/>
      <c r="DUV11" s="113"/>
      <c r="DUW11" s="113"/>
      <c r="DUX11" s="113"/>
      <c r="DUY11" s="113"/>
      <c r="DUZ11" s="113"/>
      <c r="DVA11" s="113"/>
      <c r="DVB11" s="113"/>
      <c r="DVC11" s="113"/>
      <c r="DVD11" s="113"/>
      <c r="DVE11" s="113"/>
      <c r="DVF11" s="113"/>
      <c r="DVG11" s="113"/>
      <c r="DVH11" s="113"/>
      <c r="DVI11" s="113"/>
      <c r="DVJ11" s="113"/>
      <c r="DVK11" s="113"/>
      <c r="DVL11" s="113"/>
      <c r="DVM11" s="113"/>
      <c r="DVN11" s="113"/>
      <c r="DVO11" s="113"/>
      <c r="DVP11" s="113"/>
      <c r="DVQ11" s="113"/>
      <c r="DVR11" s="113"/>
      <c r="DVS11" s="113"/>
      <c r="DVT11" s="113"/>
      <c r="DVU11" s="113"/>
      <c r="DVV11" s="113"/>
      <c r="DVW11" s="113"/>
      <c r="DVX11" s="113"/>
      <c r="DVY11" s="113"/>
      <c r="DVZ11" s="113"/>
      <c r="DWA11" s="113"/>
      <c r="DWB11" s="113"/>
      <c r="DWC11" s="113"/>
      <c r="DWD11" s="113"/>
      <c r="DWE11" s="113"/>
      <c r="DWF11" s="113"/>
      <c r="DWG11" s="113"/>
      <c r="DWH11" s="113"/>
      <c r="DWI11" s="113"/>
      <c r="DWJ11" s="113"/>
      <c r="DWK11" s="113"/>
      <c r="DWL11" s="113"/>
      <c r="DWM11" s="113"/>
      <c r="DWN11" s="113"/>
      <c r="DWO11" s="113"/>
      <c r="DWP11" s="113"/>
      <c r="DWQ11" s="113"/>
      <c r="DWR11" s="113"/>
      <c r="DWS11" s="113"/>
      <c r="DWT11" s="113"/>
      <c r="DWU11" s="113"/>
      <c r="DWV11" s="113"/>
      <c r="DWW11" s="113"/>
      <c r="DWX11" s="113"/>
      <c r="DWY11" s="113"/>
      <c r="DWZ11" s="113"/>
      <c r="DXA11" s="113"/>
      <c r="DXB11" s="113"/>
      <c r="DXC11" s="113"/>
      <c r="DXD11" s="113"/>
      <c r="DXE11" s="113"/>
      <c r="DXF11" s="113"/>
      <c r="DXG11" s="113"/>
      <c r="DXH11" s="113"/>
      <c r="DXI11" s="113"/>
      <c r="DXJ11" s="113"/>
      <c r="DXK11" s="113"/>
      <c r="DXL11" s="113"/>
      <c r="DXM11" s="113"/>
      <c r="DXN11" s="113"/>
      <c r="DXO11" s="113"/>
      <c r="DXP11" s="113"/>
      <c r="DXQ11" s="113"/>
      <c r="DXR11" s="113"/>
      <c r="DXS11" s="113"/>
      <c r="DXT11" s="113"/>
      <c r="DXU11" s="113"/>
      <c r="DXV11" s="113"/>
      <c r="DXW11" s="113"/>
      <c r="DXX11" s="113"/>
      <c r="DXY11" s="113"/>
      <c r="DXZ11" s="113"/>
      <c r="DYA11" s="113"/>
      <c r="DYB11" s="113"/>
      <c r="DYC11" s="113"/>
      <c r="DYD11" s="113"/>
      <c r="DYE11" s="113"/>
      <c r="DYF11" s="113"/>
      <c r="DYG11" s="113"/>
      <c r="DYH11" s="113"/>
      <c r="DYI11" s="113"/>
      <c r="DYJ11" s="113"/>
      <c r="DYK11" s="113"/>
      <c r="DYL11" s="113"/>
      <c r="DYM11" s="113"/>
      <c r="DYN11" s="113"/>
      <c r="DYO11" s="113"/>
      <c r="DYP11" s="113"/>
      <c r="DYQ11" s="113"/>
      <c r="DYR11" s="113"/>
      <c r="DYS11" s="113"/>
      <c r="DYT11" s="113"/>
      <c r="DYU11" s="113"/>
      <c r="DYV11" s="113"/>
      <c r="DYW11" s="113"/>
      <c r="DYX11" s="113"/>
      <c r="DYY11" s="113"/>
      <c r="DYZ11" s="113"/>
      <c r="DZA11" s="113"/>
      <c r="DZB11" s="113"/>
      <c r="DZC11" s="113"/>
      <c r="DZD11" s="113"/>
      <c r="DZE11" s="113"/>
      <c r="DZF11" s="113"/>
      <c r="DZG11" s="113"/>
      <c r="DZH11" s="113"/>
      <c r="DZI11" s="113"/>
      <c r="DZJ11" s="113"/>
      <c r="DZK11" s="113"/>
      <c r="DZL11" s="113"/>
      <c r="DZM11" s="113"/>
      <c r="DZN11" s="113"/>
      <c r="DZO11" s="113"/>
      <c r="DZP11" s="113"/>
      <c r="DZQ11" s="113"/>
      <c r="DZR11" s="113"/>
      <c r="DZS11" s="113"/>
      <c r="DZT11" s="113"/>
      <c r="DZU11" s="113"/>
      <c r="DZV11" s="113"/>
      <c r="DZW11" s="113"/>
      <c r="DZX11" s="113"/>
      <c r="DZY11" s="113"/>
      <c r="DZZ11" s="113"/>
      <c r="EAA11" s="113"/>
      <c r="EAB11" s="113"/>
      <c r="EAC11" s="113"/>
      <c r="EAD11" s="113"/>
      <c r="EAE11" s="113"/>
      <c r="EAF11" s="113"/>
      <c r="EAG11" s="113"/>
      <c r="EAH11" s="113"/>
      <c r="EAI11" s="113"/>
      <c r="EAJ11" s="113"/>
      <c r="EAK11" s="113"/>
      <c r="EAL11" s="113"/>
      <c r="EAM11" s="113"/>
      <c r="EAN11" s="113"/>
      <c r="EAO11" s="113"/>
      <c r="EAP11" s="113"/>
      <c r="EAQ11" s="113"/>
      <c r="EAR11" s="113"/>
      <c r="EAS11" s="113"/>
      <c r="EAT11" s="113"/>
      <c r="EAU11" s="113"/>
      <c r="EAV11" s="113"/>
      <c r="EAW11" s="113"/>
      <c r="EAX11" s="113"/>
      <c r="EAY11" s="113"/>
      <c r="EAZ11" s="113"/>
      <c r="EBA11" s="113"/>
      <c r="EBB11" s="113"/>
      <c r="EBC11" s="113"/>
      <c r="EBD11" s="113"/>
      <c r="EBE11" s="113"/>
      <c r="EBF11" s="113"/>
      <c r="EBG11" s="113"/>
      <c r="EBH11" s="113"/>
      <c r="EBI11" s="113"/>
      <c r="EBJ11" s="113"/>
      <c r="EBK11" s="113"/>
      <c r="EBL11" s="113"/>
      <c r="EBM11" s="113"/>
      <c r="EBN11" s="113"/>
      <c r="EBO11" s="113"/>
      <c r="EBP11" s="113"/>
      <c r="EBQ11" s="113"/>
      <c r="EBR11" s="113"/>
      <c r="EBS11" s="113"/>
      <c r="EBT11" s="113"/>
      <c r="EBU11" s="113"/>
      <c r="EBV11" s="113"/>
      <c r="EBW11" s="113"/>
      <c r="EBX11" s="113"/>
      <c r="EBY11" s="113"/>
      <c r="EBZ11" s="113"/>
      <c r="ECA11" s="113"/>
      <c r="ECB11" s="113"/>
      <c r="ECC11" s="113"/>
      <c r="ECD11" s="113"/>
      <c r="ECE11" s="113"/>
      <c r="ECF11" s="113"/>
      <c r="ECG11" s="113"/>
      <c r="ECH11" s="113"/>
      <c r="ECI11" s="113"/>
      <c r="ECJ11" s="113"/>
      <c r="ECK11" s="113"/>
      <c r="ECL11" s="113"/>
      <c r="ECM11" s="113"/>
      <c r="ECN11" s="113"/>
      <c r="ECO11" s="113"/>
      <c r="ECP11" s="113"/>
      <c r="ECQ11" s="113"/>
      <c r="ECR11" s="113"/>
      <c r="ECS11" s="113"/>
      <c r="ECT11" s="113"/>
      <c r="ECU11" s="113"/>
      <c r="ECV11" s="113"/>
      <c r="ECW11" s="113"/>
      <c r="ECX11" s="113"/>
      <c r="ECY11" s="113"/>
      <c r="ECZ11" s="113"/>
      <c r="EDA11" s="113"/>
      <c r="EDB11" s="113"/>
      <c r="EDC11" s="113"/>
      <c r="EDD11" s="113"/>
      <c r="EDE11" s="113"/>
      <c r="EDF11" s="113"/>
      <c r="EDG11" s="113"/>
      <c r="EDH11" s="113"/>
      <c r="EDI11" s="113"/>
      <c r="EDJ11" s="113"/>
      <c r="EDK11" s="113"/>
      <c r="EDL11" s="113"/>
      <c r="EDM11" s="113"/>
      <c r="EDN11" s="113"/>
      <c r="EDO11" s="113"/>
      <c r="EDP11" s="113"/>
      <c r="EDQ11" s="113"/>
      <c r="EDR11" s="113"/>
      <c r="EDS11" s="113"/>
      <c r="EDT11" s="113"/>
      <c r="EDU11" s="113"/>
      <c r="EDV11" s="113"/>
      <c r="EDW11" s="113"/>
      <c r="EDX11" s="113"/>
      <c r="EDY11" s="113"/>
      <c r="EDZ11" s="113"/>
      <c r="EEA11" s="113"/>
      <c r="EEB11" s="113"/>
      <c r="EEC11" s="113"/>
      <c r="EED11" s="113"/>
      <c r="EEE11" s="113"/>
      <c r="EEF11" s="113"/>
      <c r="EEG11" s="113"/>
      <c r="EEH11" s="113"/>
      <c r="EEI11" s="113"/>
      <c r="EEJ11" s="113"/>
      <c r="EEK11" s="113"/>
      <c r="EEL11" s="113"/>
      <c r="EEM11" s="113"/>
      <c r="EEN11" s="113"/>
      <c r="EEO11" s="113"/>
      <c r="EEP11" s="113"/>
      <c r="EEQ11" s="113"/>
      <c r="EER11" s="113"/>
      <c r="EES11" s="113"/>
      <c r="EET11" s="113"/>
      <c r="EEU11" s="113"/>
      <c r="EEV11" s="113"/>
      <c r="EEW11" s="113"/>
      <c r="EEX11" s="113"/>
      <c r="EEY11" s="113"/>
      <c r="EEZ11" s="113"/>
      <c r="EFA11" s="113"/>
      <c r="EFB11" s="113"/>
      <c r="EFC11" s="113"/>
      <c r="EFD11" s="113"/>
      <c r="EFE11" s="113"/>
      <c r="EFF11" s="113"/>
      <c r="EFG11" s="113"/>
      <c r="EFH11" s="113"/>
      <c r="EFI11" s="113"/>
      <c r="EFJ11" s="113"/>
      <c r="EFK11" s="113"/>
      <c r="EFL11" s="113"/>
      <c r="EFM11" s="113"/>
      <c r="EFN11" s="113"/>
      <c r="EFO11" s="113"/>
      <c r="EFP11" s="113"/>
      <c r="EFQ11" s="113"/>
      <c r="EFR11" s="113"/>
      <c r="EFS11" s="113"/>
      <c r="EFT11" s="113"/>
      <c r="EFU11" s="113"/>
      <c r="EFV11" s="113"/>
      <c r="EFW11" s="113"/>
      <c r="EFX11" s="113"/>
      <c r="EFY11" s="113"/>
      <c r="EFZ11" s="113"/>
      <c r="EGA11" s="113"/>
      <c r="EGB11" s="113"/>
      <c r="EGC11" s="113"/>
      <c r="EGD11" s="113"/>
      <c r="EGE11" s="113"/>
      <c r="EGF11" s="113"/>
      <c r="EGG11" s="113"/>
      <c r="EGH11" s="113"/>
      <c r="EGI11" s="113"/>
      <c r="EGJ11" s="113"/>
      <c r="EGK11" s="113"/>
      <c r="EGL11" s="113"/>
      <c r="EGM11" s="113"/>
      <c r="EGN11" s="113"/>
      <c r="EGO11" s="113"/>
      <c r="EGP11" s="113"/>
      <c r="EGQ11" s="113"/>
      <c r="EGR11" s="113"/>
      <c r="EGS11" s="113"/>
      <c r="EGT11" s="113"/>
      <c r="EGU11" s="113"/>
      <c r="EGV11" s="113"/>
      <c r="EGW11" s="113"/>
      <c r="EGX11" s="113"/>
      <c r="EGY11" s="113"/>
      <c r="EGZ11" s="113"/>
      <c r="EHA11" s="113"/>
      <c r="EHB11" s="113"/>
      <c r="EHC11" s="113"/>
      <c r="EHD11" s="113"/>
      <c r="EHE11" s="113"/>
      <c r="EHF11" s="113"/>
      <c r="EHG11" s="113"/>
      <c r="EHH11" s="113"/>
      <c r="EHI11" s="113"/>
      <c r="EHJ11" s="113"/>
      <c r="EHK11" s="113"/>
      <c r="EHL11" s="113"/>
      <c r="EHM11" s="113"/>
      <c r="EHN11" s="113"/>
      <c r="EHO11" s="113"/>
      <c r="EHP11" s="113"/>
      <c r="EHQ11" s="113"/>
      <c r="EHR11" s="113"/>
      <c r="EHS11" s="113"/>
      <c r="EHT11" s="113"/>
      <c r="EHU11" s="113"/>
      <c r="EHV11" s="113"/>
      <c r="EHW11" s="113"/>
      <c r="EHX11" s="113"/>
      <c r="EHY11" s="113"/>
      <c r="EHZ11" s="113"/>
      <c r="EIA11" s="113"/>
      <c r="EIB11" s="113"/>
      <c r="EIC11" s="113"/>
      <c r="EID11" s="113"/>
      <c r="EIE11" s="113"/>
      <c r="EIF11" s="113"/>
      <c r="EIG11" s="113"/>
      <c r="EIH11" s="113"/>
      <c r="EII11" s="113"/>
      <c r="EIJ11" s="113"/>
      <c r="EIK11" s="113"/>
      <c r="EIL11" s="113"/>
      <c r="EIM11" s="113"/>
      <c r="EIN11" s="113"/>
      <c r="EIO11" s="113"/>
      <c r="EIP11" s="113"/>
      <c r="EIQ11" s="113"/>
      <c r="EIR11" s="113"/>
      <c r="EIS11" s="113"/>
      <c r="EIT11" s="113"/>
      <c r="EIU11" s="113"/>
      <c r="EIV11" s="113"/>
      <c r="EIW11" s="113"/>
      <c r="EIX11" s="113"/>
      <c r="EIY11" s="113"/>
      <c r="EIZ11" s="113"/>
      <c r="EJA11" s="113"/>
      <c r="EJB11" s="113"/>
      <c r="EJC11" s="113"/>
      <c r="EJD11" s="113"/>
      <c r="EJE11" s="113"/>
      <c r="EJF11" s="113"/>
      <c r="EJG11" s="113"/>
      <c r="EJH11" s="113"/>
      <c r="EJI11" s="113"/>
      <c r="EJJ11" s="113"/>
      <c r="EJK11" s="113"/>
      <c r="EJL11" s="113"/>
      <c r="EJM11" s="113"/>
      <c r="EJN11" s="113"/>
      <c r="EJO11" s="113"/>
      <c r="EJP11" s="113"/>
      <c r="EJQ11" s="113"/>
      <c r="EJR11" s="113"/>
      <c r="EJS11" s="113"/>
      <c r="EJT11" s="113"/>
      <c r="EJU11" s="113"/>
      <c r="EJV11" s="113"/>
      <c r="EJW11" s="113"/>
      <c r="EJX11" s="113"/>
      <c r="EJY11" s="113"/>
      <c r="EJZ11" s="113"/>
      <c r="EKA11" s="113"/>
      <c r="EKB11" s="113"/>
      <c r="EKC11" s="113"/>
      <c r="EKD11" s="113"/>
      <c r="EKE11" s="113"/>
      <c r="EKF11" s="113"/>
      <c r="EKG11" s="113"/>
      <c r="EKH11" s="113"/>
      <c r="EKI11" s="113"/>
      <c r="EKJ11" s="113"/>
      <c r="EKK11" s="113"/>
      <c r="EKL11" s="113"/>
      <c r="EKM11" s="113"/>
      <c r="EKN11" s="113"/>
      <c r="EKO11" s="113"/>
      <c r="EKP11" s="113"/>
      <c r="EKQ11" s="113"/>
      <c r="EKR11" s="113"/>
      <c r="EKS11" s="113"/>
      <c r="EKT11" s="113"/>
      <c r="EKU11" s="113"/>
      <c r="EKV11" s="113"/>
      <c r="EKW11" s="113"/>
      <c r="EKX11" s="113"/>
      <c r="EKY11" s="113"/>
      <c r="EKZ11" s="113"/>
      <c r="ELA11" s="113"/>
      <c r="ELB11" s="113"/>
      <c r="ELC11" s="113"/>
      <c r="ELD11" s="113"/>
      <c r="ELE11" s="113"/>
      <c r="ELF11" s="113"/>
      <c r="ELG11" s="113"/>
      <c r="ELH11" s="113"/>
      <c r="ELI11" s="113"/>
      <c r="ELJ11" s="113"/>
      <c r="ELK11" s="113"/>
      <c r="ELL11" s="113"/>
      <c r="ELM11" s="113"/>
      <c r="ELN11" s="113"/>
      <c r="ELO11" s="113"/>
      <c r="ELP11" s="113"/>
      <c r="ELQ11" s="113"/>
      <c r="ELR11" s="113"/>
      <c r="ELS11" s="113"/>
      <c r="ELT11" s="113"/>
      <c r="ELU11" s="113"/>
      <c r="ELV11" s="113"/>
      <c r="ELW11" s="113"/>
      <c r="ELX11" s="113"/>
      <c r="ELY11" s="113"/>
      <c r="ELZ11" s="113"/>
      <c r="EMA11" s="113"/>
      <c r="EMB11" s="113"/>
      <c r="EMC11" s="113"/>
      <c r="EMD11" s="113"/>
      <c r="EME11" s="113"/>
      <c r="EMF11" s="113"/>
      <c r="EMG11" s="113"/>
      <c r="EMH11" s="113"/>
      <c r="EMI11" s="113"/>
      <c r="EMJ11" s="113"/>
      <c r="EMK11" s="113"/>
      <c r="EML11" s="113"/>
      <c r="EMM11" s="113"/>
      <c r="EMN11" s="113"/>
      <c r="EMO11" s="113"/>
      <c r="EMP11" s="113"/>
      <c r="EMQ11" s="113"/>
      <c r="EMR11" s="113"/>
      <c r="EMS11" s="113"/>
      <c r="EMT11" s="113"/>
      <c r="EMU11" s="113"/>
      <c r="EMV11" s="113"/>
      <c r="EMW11" s="113"/>
      <c r="EMX11" s="113"/>
      <c r="EMY11" s="113"/>
      <c r="EMZ11" s="113"/>
      <c r="ENA11" s="113"/>
      <c r="ENB11" s="113"/>
      <c r="ENC11" s="113"/>
      <c r="END11" s="113"/>
      <c r="ENE11" s="113"/>
      <c r="ENF11" s="113"/>
      <c r="ENG11" s="113"/>
      <c r="ENH11" s="113"/>
      <c r="ENI11" s="113"/>
      <c r="ENJ11" s="113"/>
      <c r="ENK11" s="113"/>
      <c r="ENL11" s="113"/>
      <c r="ENM11" s="113"/>
      <c r="ENN11" s="113"/>
      <c r="ENO11" s="113"/>
      <c r="ENP11" s="113"/>
      <c r="ENQ11" s="113"/>
      <c r="ENR11" s="113"/>
      <c r="ENS11" s="113"/>
      <c r="ENT11" s="113"/>
      <c r="ENU11" s="113"/>
      <c r="ENV11" s="113"/>
      <c r="ENW11" s="113"/>
      <c r="ENX11" s="113"/>
      <c r="ENY11" s="113"/>
      <c r="ENZ11" s="113"/>
      <c r="EOA11" s="113"/>
      <c r="EOB11" s="113"/>
      <c r="EOC11" s="113"/>
      <c r="EOD11" s="113"/>
      <c r="EOE11" s="113"/>
      <c r="EOF11" s="113"/>
      <c r="EOG11" s="113"/>
      <c r="EOH11" s="113"/>
      <c r="EOI11" s="113"/>
      <c r="EOJ11" s="113"/>
      <c r="EOK11" s="113"/>
      <c r="EOL11" s="113"/>
      <c r="EOM11" s="113"/>
      <c r="EON11" s="113"/>
      <c r="EOO11" s="113"/>
      <c r="EOP11" s="113"/>
      <c r="EOQ11" s="113"/>
      <c r="EOR11" s="113"/>
      <c r="EOS11" s="113"/>
      <c r="EOT11" s="113"/>
      <c r="EOU11" s="113"/>
      <c r="EOV11" s="113"/>
      <c r="EOW11" s="113"/>
      <c r="EOX11" s="113"/>
      <c r="EOY11" s="113"/>
      <c r="EOZ11" s="113"/>
      <c r="EPA11" s="113"/>
      <c r="EPB11" s="113"/>
      <c r="EPC11" s="113"/>
      <c r="EPD11" s="113"/>
      <c r="EPE11" s="113"/>
      <c r="EPF11" s="113"/>
      <c r="EPG11" s="113"/>
      <c r="EPH11" s="113"/>
      <c r="EPI11" s="113"/>
      <c r="EPJ11" s="113"/>
      <c r="EPK11" s="113"/>
      <c r="EPL11" s="113"/>
      <c r="EPM11" s="113"/>
      <c r="EPN11" s="113"/>
      <c r="EPO11" s="113"/>
      <c r="EPP11" s="113"/>
      <c r="EPQ11" s="113"/>
      <c r="EPR11" s="113"/>
      <c r="EPS11" s="113"/>
      <c r="EPT11" s="113"/>
      <c r="EPU11" s="113"/>
      <c r="EPV11" s="113"/>
      <c r="EPW11" s="113"/>
      <c r="EPX11" s="113"/>
      <c r="EPY11" s="113"/>
      <c r="EPZ11" s="113"/>
      <c r="EQA11" s="113"/>
      <c r="EQB11" s="113"/>
      <c r="EQC11" s="113"/>
      <c r="EQD11" s="113"/>
      <c r="EQE11" s="113"/>
      <c r="EQF11" s="113"/>
      <c r="EQG11" s="113"/>
      <c r="EQH11" s="113"/>
      <c r="EQI11" s="113"/>
      <c r="EQJ11" s="113"/>
      <c r="EQK11" s="113"/>
      <c r="EQL11" s="113"/>
      <c r="EQM11" s="113"/>
      <c r="EQN11" s="113"/>
      <c r="EQO11" s="113"/>
      <c r="EQP11" s="113"/>
      <c r="EQQ11" s="113"/>
      <c r="EQR11" s="113"/>
      <c r="EQS11" s="113"/>
      <c r="EQT11" s="113"/>
      <c r="EQU11" s="113"/>
      <c r="EQV11" s="113"/>
      <c r="EQW11" s="113"/>
      <c r="EQX11" s="113"/>
      <c r="EQY11" s="113"/>
      <c r="EQZ11" s="113"/>
      <c r="ERA11" s="113"/>
      <c r="ERB11" s="113"/>
      <c r="ERC11" s="113"/>
      <c r="ERD11" s="113"/>
      <c r="ERE11" s="113"/>
      <c r="ERF11" s="113"/>
      <c r="ERG11" s="113"/>
      <c r="ERH11" s="113"/>
      <c r="ERI11" s="113"/>
      <c r="ERJ11" s="113"/>
      <c r="ERK11" s="113"/>
      <c r="ERL11" s="113"/>
      <c r="ERM11" s="113"/>
      <c r="ERN11" s="113"/>
      <c r="ERO11" s="113"/>
      <c r="ERP11" s="113"/>
      <c r="ERQ11" s="113"/>
      <c r="ERR11" s="113"/>
      <c r="ERS11" s="113"/>
      <c r="ERT11" s="113"/>
      <c r="ERU11" s="113"/>
      <c r="ERV11" s="113"/>
      <c r="ERW11" s="113"/>
      <c r="ERX11" s="113"/>
      <c r="ERY11" s="113"/>
      <c r="ERZ11" s="113"/>
      <c r="ESA11" s="113"/>
      <c r="ESB11" s="113"/>
      <c r="ESC11" s="113"/>
      <c r="ESD11" s="113"/>
      <c r="ESE11" s="113"/>
      <c r="ESF11" s="113"/>
      <c r="ESG11" s="113"/>
      <c r="ESH11" s="113"/>
      <c r="ESI11" s="113"/>
      <c r="ESJ11" s="113"/>
      <c r="ESK11" s="113"/>
      <c r="ESL11" s="113"/>
      <c r="ESM11" s="113"/>
      <c r="ESN11" s="113"/>
      <c r="ESO11" s="113"/>
      <c r="ESP11" s="113"/>
      <c r="ESQ11" s="113"/>
      <c r="ESR11" s="113"/>
      <c r="ESS11" s="113"/>
      <c r="EST11" s="113"/>
      <c r="ESU11" s="113"/>
      <c r="ESV11" s="113"/>
      <c r="ESW11" s="113"/>
      <c r="ESX11" s="113"/>
      <c r="ESY11" s="113"/>
      <c r="ESZ11" s="113"/>
      <c r="ETA11" s="113"/>
      <c r="ETB11" s="113"/>
      <c r="ETC11" s="113"/>
      <c r="ETD11" s="113"/>
      <c r="ETE11" s="113"/>
      <c r="ETF11" s="113"/>
      <c r="ETG11" s="113"/>
      <c r="ETH11" s="113"/>
      <c r="ETI11" s="113"/>
      <c r="ETJ11" s="113"/>
      <c r="ETK11" s="113"/>
      <c r="ETL11" s="113"/>
      <c r="ETM11" s="113"/>
      <c r="ETN11" s="113"/>
      <c r="ETO11" s="113"/>
      <c r="ETP11" s="113"/>
      <c r="ETQ11" s="113"/>
      <c r="ETR11" s="113"/>
      <c r="ETS11" s="113"/>
      <c r="ETT11" s="113"/>
      <c r="ETU11" s="113"/>
      <c r="ETV11" s="113"/>
      <c r="ETW11" s="113"/>
      <c r="ETX11" s="113"/>
      <c r="ETY11" s="113"/>
      <c r="ETZ11" s="113"/>
      <c r="EUA11" s="113"/>
      <c r="EUB11" s="113"/>
      <c r="EUC11" s="113"/>
      <c r="EUD11" s="113"/>
      <c r="EUE11" s="113"/>
      <c r="EUF11" s="113"/>
      <c r="EUG11" s="113"/>
      <c r="EUH11" s="113"/>
      <c r="EUI11" s="113"/>
      <c r="EUJ11" s="113"/>
      <c r="EUK11" s="113"/>
      <c r="EUL11" s="113"/>
      <c r="EUM11" s="113"/>
      <c r="EUN11" s="113"/>
      <c r="EUO11" s="113"/>
      <c r="EUP11" s="113"/>
      <c r="EUQ11" s="113"/>
      <c r="EUR11" s="113"/>
      <c r="EUS11" s="113"/>
      <c r="EUT11" s="113"/>
      <c r="EUU11" s="113"/>
      <c r="EUV11" s="113"/>
      <c r="EUW11" s="113"/>
      <c r="EUX11" s="113"/>
      <c r="EUY11" s="113"/>
      <c r="EUZ11" s="113"/>
      <c r="EVA11" s="113"/>
      <c r="EVB11" s="113"/>
      <c r="EVC11" s="113"/>
      <c r="EVD11" s="113"/>
      <c r="EVE11" s="113"/>
      <c r="EVF11" s="113"/>
      <c r="EVG11" s="113"/>
      <c r="EVH11" s="113"/>
      <c r="EVI11" s="113"/>
      <c r="EVJ11" s="113"/>
      <c r="EVK11" s="113"/>
      <c r="EVL11" s="113"/>
      <c r="EVM11" s="113"/>
      <c r="EVN11" s="113"/>
      <c r="EVO11" s="113"/>
      <c r="EVP11" s="113"/>
      <c r="EVQ11" s="113"/>
      <c r="EVR11" s="113"/>
      <c r="EVS11" s="113"/>
      <c r="EVT11" s="113"/>
      <c r="EVU11" s="113"/>
      <c r="EVV11" s="113"/>
      <c r="EVW11" s="113"/>
      <c r="EVX11" s="113"/>
      <c r="EVY11" s="113"/>
      <c r="EVZ11" s="113"/>
      <c r="EWA11" s="113"/>
      <c r="EWB11" s="113"/>
      <c r="EWC11" s="113"/>
      <c r="EWD11" s="113"/>
      <c r="EWE11" s="113"/>
      <c r="EWF11" s="113"/>
      <c r="EWG11" s="113"/>
      <c r="EWH11" s="113"/>
      <c r="EWI11" s="113"/>
      <c r="EWJ11" s="113"/>
      <c r="EWK11" s="113"/>
      <c r="EWL11" s="113"/>
      <c r="EWM11" s="113"/>
      <c r="EWN11" s="113"/>
      <c r="EWO11" s="113"/>
      <c r="EWP11" s="113"/>
      <c r="EWQ11" s="113"/>
      <c r="EWR11" s="113"/>
      <c r="EWS11" s="113"/>
      <c r="EWT11" s="113"/>
      <c r="EWU11" s="113"/>
      <c r="EWV11" s="113"/>
      <c r="EWW11" s="113"/>
      <c r="EWX11" s="113"/>
      <c r="EWY11" s="113"/>
      <c r="EWZ11" s="113"/>
      <c r="EXA11" s="113"/>
      <c r="EXB11" s="113"/>
      <c r="EXC11" s="113"/>
      <c r="EXD11" s="113"/>
      <c r="EXE11" s="113"/>
      <c r="EXF11" s="113"/>
      <c r="EXG11" s="113"/>
      <c r="EXH11" s="113"/>
      <c r="EXI11" s="113"/>
      <c r="EXJ11" s="113"/>
      <c r="EXK11" s="113"/>
      <c r="EXL11" s="113"/>
      <c r="EXM11" s="113"/>
      <c r="EXN11" s="113"/>
      <c r="EXO11" s="113"/>
      <c r="EXP11" s="113"/>
      <c r="EXQ11" s="113"/>
      <c r="EXR11" s="113"/>
      <c r="EXS11" s="113"/>
      <c r="EXT11" s="113"/>
      <c r="EXU11" s="113"/>
      <c r="EXV11" s="113"/>
      <c r="EXW11" s="113"/>
      <c r="EXX11" s="113"/>
      <c r="EXY11" s="113"/>
      <c r="EXZ11" s="113"/>
      <c r="EYA11" s="113"/>
      <c r="EYB11" s="113"/>
      <c r="EYC11" s="113"/>
      <c r="EYD11" s="113"/>
      <c r="EYE11" s="113"/>
      <c r="EYF11" s="113"/>
      <c r="EYG11" s="113"/>
      <c r="EYH11" s="113"/>
      <c r="EYI11" s="113"/>
      <c r="EYJ11" s="113"/>
      <c r="EYK11" s="113"/>
      <c r="EYL11" s="113"/>
      <c r="EYM11" s="113"/>
      <c r="EYN11" s="113"/>
      <c r="EYO11" s="113"/>
      <c r="EYP11" s="113"/>
      <c r="EYQ11" s="113"/>
      <c r="EYR11" s="113"/>
      <c r="EYS11" s="113"/>
      <c r="EYT11" s="113"/>
      <c r="EYU11" s="113"/>
      <c r="EYV11" s="113"/>
      <c r="EYW11" s="113"/>
      <c r="EYX11" s="113"/>
      <c r="EYY11" s="113"/>
      <c r="EYZ11" s="113"/>
      <c r="EZA11" s="113"/>
      <c r="EZB11" s="113"/>
      <c r="EZC11" s="113"/>
      <c r="EZD11" s="113"/>
      <c r="EZE11" s="113"/>
      <c r="EZF11" s="113"/>
      <c r="EZG11" s="113"/>
      <c r="EZH11" s="113"/>
      <c r="EZI11" s="113"/>
      <c r="EZJ11" s="113"/>
      <c r="EZK11" s="113"/>
      <c r="EZL11" s="113"/>
      <c r="EZM11" s="113"/>
      <c r="EZN11" s="113"/>
      <c r="EZO11" s="113"/>
      <c r="EZP11" s="113"/>
      <c r="EZQ11" s="113"/>
      <c r="EZR11" s="113"/>
      <c r="EZS11" s="113"/>
      <c r="EZT11" s="113"/>
      <c r="EZU11" s="113"/>
      <c r="EZV11" s="113"/>
      <c r="EZW11" s="113"/>
      <c r="EZX11" s="113"/>
      <c r="EZY11" s="113"/>
      <c r="EZZ11" s="113"/>
      <c r="FAA11" s="113"/>
      <c r="FAB11" s="113"/>
      <c r="FAC11" s="113"/>
      <c r="FAD11" s="113"/>
      <c r="FAE11" s="113"/>
      <c r="FAF11" s="113"/>
      <c r="FAG11" s="113"/>
      <c r="FAH11" s="113"/>
      <c r="FAI11" s="113"/>
      <c r="FAJ11" s="113"/>
      <c r="FAK11" s="113"/>
      <c r="FAL11" s="113"/>
      <c r="FAM11" s="113"/>
      <c r="FAN11" s="113"/>
      <c r="FAO11" s="113"/>
      <c r="FAP11" s="113"/>
      <c r="FAQ11" s="113"/>
      <c r="FAR11" s="113"/>
      <c r="FAS11" s="113"/>
      <c r="FAT11" s="113"/>
      <c r="FAU11" s="113"/>
      <c r="FAV11" s="113"/>
      <c r="FAW11" s="113"/>
      <c r="FAX11" s="113"/>
      <c r="FAY11" s="113"/>
      <c r="FAZ11" s="113"/>
      <c r="FBA11" s="113"/>
      <c r="FBB11" s="113"/>
      <c r="FBC11" s="113"/>
      <c r="FBD11" s="113"/>
      <c r="FBE11" s="113"/>
      <c r="FBF11" s="113"/>
      <c r="FBG11" s="113"/>
      <c r="FBH11" s="113"/>
      <c r="FBI11" s="113"/>
      <c r="FBJ11" s="113"/>
      <c r="FBK11" s="113"/>
      <c r="FBL11" s="113"/>
      <c r="FBM11" s="113"/>
      <c r="FBN11" s="113"/>
      <c r="FBO11" s="113"/>
      <c r="FBP11" s="113"/>
      <c r="FBQ11" s="113"/>
      <c r="FBR11" s="113"/>
      <c r="FBS11" s="113"/>
      <c r="FBT11" s="113"/>
      <c r="FBU11" s="113"/>
      <c r="FBV11" s="113"/>
      <c r="FBW11" s="113"/>
      <c r="FBX11" s="113"/>
      <c r="FBY11" s="113"/>
      <c r="FBZ11" s="113"/>
      <c r="FCA11" s="113"/>
      <c r="FCB11" s="113"/>
      <c r="FCC11" s="113"/>
      <c r="FCD11" s="113"/>
      <c r="FCE11" s="113"/>
      <c r="FCF11" s="113"/>
      <c r="FCG11" s="113"/>
      <c r="FCH11" s="113"/>
      <c r="FCI11" s="113"/>
      <c r="FCJ11" s="113"/>
      <c r="FCK11" s="113"/>
      <c r="FCL11" s="113"/>
      <c r="FCM11" s="113"/>
      <c r="FCN11" s="113"/>
      <c r="FCO11" s="113"/>
      <c r="FCP11" s="113"/>
      <c r="FCQ11" s="113"/>
      <c r="FCR11" s="113"/>
      <c r="FCS11" s="113"/>
      <c r="FCT11" s="113"/>
      <c r="FCU11" s="113"/>
      <c r="FCV11" s="113"/>
      <c r="FCW11" s="113"/>
      <c r="FCX11" s="113"/>
      <c r="FCY11" s="113"/>
      <c r="FCZ11" s="113"/>
      <c r="FDA11" s="113"/>
      <c r="FDB11" s="113"/>
      <c r="FDC11" s="113"/>
      <c r="FDD11" s="113"/>
      <c r="FDE11" s="113"/>
      <c r="FDF11" s="113"/>
      <c r="FDG11" s="113"/>
      <c r="FDH11" s="113"/>
      <c r="FDI11" s="113"/>
      <c r="FDJ11" s="113"/>
      <c r="FDK11" s="113"/>
      <c r="FDL11" s="113"/>
      <c r="FDM11" s="113"/>
      <c r="FDN11" s="113"/>
      <c r="FDO11" s="113"/>
      <c r="FDP11" s="113"/>
      <c r="FDQ11" s="113"/>
      <c r="FDR11" s="113"/>
      <c r="FDS11" s="113"/>
      <c r="FDT11" s="113"/>
      <c r="FDU11" s="113"/>
      <c r="FDV11" s="113"/>
      <c r="FDW11" s="113"/>
      <c r="FDX11" s="113"/>
      <c r="FDY11" s="113"/>
      <c r="FDZ11" s="113"/>
      <c r="FEA11" s="113"/>
      <c r="FEB11" s="113"/>
      <c r="FEC11" s="113"/>
      <c r="FED11" s="113"/>
      <c r="FEE11" s="113"/>
      <c r="FEF11" s="113"/>
      <c r="FEG11" s="113"/>
      <c r="FEH11" s="113"/>
      <c r="FEI11" s="113"/>
      <c r="FEJ11" s="113"/>
      <c r="FEK11" s="113"/>
      <c r="FEL11" s="113"/>
      <c r="FEM11" s="113"/>
      <c r="FEN11" s="113"/>
      <c r="FEO11" s="113"/>
      <c r="FEP11" s="113"/>
      <c r="FEQ11" s="113"/>
      <c r="FER11" s="113"/>
      <c r="FES11" s="113"/>
      <c r="FET11" s="113"/>
      <c r="FEU11" s="113"/>
      <c r="FEV11" s="113"/>
      <c r="FEW11" s="113"/>
      <c r="FEX11" s="113"/>
      <c r="FEY11" s="113"/>
      <c r="FEZ11" s="113"/>
      <c r="FFA11" s="113"/>
      <c r="FFB11" s="113"/>
      <c r="FFC11" s="113"/>
      <c r="FFD11" s="113"/>
      <c r="FFE11" s="113"/>
      <c r="FFF11" s="113"/>
      <c r="FFG11" s="113"/>
      <c r="FFH11" s="113"/>
      <c r="FFI11" s="113"/>
      <c r="FFJ11" s="113"/>
      <c r="FFK11" s="113"/>
      <c r="FFL11" s="113"/>
      <c r="FFM11" s="113"/>
      <c r="FFN11" s="113"/>
      <c r="FFO11" s="113"/>
      <c r="FFP11" s="113"/>
      <c r="FFQ11" s="113"/>
      <c r="FFR11" s="113"/>
      <c r="FFS11" s="113"/>
      <c r="FFT11" s="113"/>
      <c r="FFU11" s="113"/>
      <c r="FFV11" s="113"/>
      <c r="FFW11" s="113"/>
      <c r="FFX11" s="113"/>
      <c r="FFY11" s="113"/>
      <c r="FFZ11" s="113"/>
      <c r="FGA11" s="113"/>
      <c r="FGB11" s="113"/>
      <c r="FGC11" s="113"/>
      <c r="FGD11" s="113"/>
      <c r="FGE11" s="113"/>
      <c r="FGF11" s="113"/>
      <c r="FGG11" s="113"/>
      <c r="FGH11" s="113"/>
      <c r="FGI11" s="113"/>
      <c r="FGJ11" s="113"/>
      <c r="FGK11" s="113"/>
      <c r="FGL11" s="113"/>
      <c r="FGM11" s="113"/>
      <c r="FGN11" s="113"/>
      <c r="FGO11" s="113"/>
      <c r="FGP11" s="113"/>
      <c r="FGQ11" s="113"/>
      <c r="FGR11" s="113"/>
      <c r="FGS11" s="113"/>
      <c r="FGT11" s="113"/>
      <c r="FGU11" s="113"/>
      <c r="FGV11" s="113"/>
      <c r="FGW11" s="113"/>
      <c r="FGX11" s="113"/>
      <c r="FGY11" s="113"/>
      <c r="FGZ11" s="113"/>
      <c r="FHA11" s="113"/>
      <c r="FHB11" s="113"/>
      <c r="FHC11" s="113"/>
      <c r="FHD11" s="113"/>
      <c r="FHE11" s="113"/>
      <c r="FHF11" s="113"/>
      <c r="FHG11" s="113"/>
      <c r="FHH11" s="113"/>
      <c r="FHI11" s="113"/>
      <c r="FHJ11" s="113"/>
      <c r="FHK11" s="113"/>
      <c r="FHL11" s="113"/>
      <c r="FHM11" s="113"/>
      <c r="FHN11" s="113"/>
      <c r="FHO11" s="113"/>
      <c r="FHP11" s="113"/>
      <c r="FHQ11" s="113"/>
      <c r="FHR11" s="113"/>
      <c r="FHS11" s="113"/>
      <c r="FHT11" s="113"/>
      <c r="FHU11" s="113"/>
      <c r="FHV11" s="113"/>
      <c r="FHW11" s="113"/>
      <c r="FHX11" s="113"/>
      <c r="FHY11" s="113"/>
      <c r="FHZ11" s="113"/>
      <c r="FIA11" s="113"/>
      <c r="FIB11" s="113"/>
      <c r="FIC11" s="113"/>
      <c r="FID11" s="113"/>
      <c r="FIE11" s="113"/>
      <c r="FIF11" s="113"/>
      <c r="FIG11" s="113"/>
      <c r="FIH11" s="113"/>
      <c r="FII11" s="113"/>
      <c r="FIJ11" s="113"/>
      <c r="FIK11" s="113"/>
      <c r="FIL11" s="113"/>
      <c r="FIM11" s="113"/>
      <c r="FIN11" s="113"/>
      <c r="FIO11" s="113"/>
      <c r="FIP11" s="113"/>
      <c r="FIQ11" s="113"/>
      <c r="FIR11" s="113"/>
      <c r="FIS11" s="113"/>
      <c r="FIT11" s="113"/>
      <c r="FIU11" s="113"/>
      <c r="FIV11" s="113"/>
      <c r="FIW11" s="113"/>
      <c r="FIX11" s="113"/>
      <c r="FIY11" s="113"/>
      <c r="FIZ11" s="113"/>
      <c r="FJA11" s="113"/>
      <c r="FJB11" s="113"/>
      <c r="FJC11" s="113"/>
      <c r="FJD11" s="113"/>
      <c r="FJE11" s="113"/>
      <c r="FJF11" s="113"/>
      <c r="FJG11" s="113"/>
      <c r="FJH11" s="113"/>
      <c r="FJI11" s="113"/>
      <c r="FJJ11" s="113"/>
      <c r="FJK11" s="113"/>
      <c r="FJL11" s="113"/>
      <c r="FJM11" s="113"/>
      <c r="FJN11" s="113"/>
      <c r="FJO11" s="113"/>
      <c r="FJP11" s="113"/>
      <c r="FJQ11" s="113"/>
      <c r="FJR11" s="113"/>
      <c r="FJS11" s="113"/>
      <c r="FJT11" s="113"/>
      <c r="FJU11" s="113"/>
      <c r="FJV11" s="113"/>
      <c r="FJW11" s="113"/>
      <c r="FJX11" s="113"/>
      <c r="FJY11" s="113"/>
      <c r="FJZ11" s="113"/>
      <c r="FKA11" s="113"/>
      <c r="FKB11" s="113"/>
      <c r="FKC11" s="113"/>
      <c r="FKD11" s="113"/>
      <c r="FKE11" s="113"/>
      <c r="FKF11" s="113"/>
      <c r="FKG11" s="113"/>
      <c r="FKH11" s="113"/>
      <c r="FKI11" s="113"/>
      <c r="FKJ11" s="113"/>
      <c r="FKK11" s="113"/>
      <c r="FKL11" s="113"/>
      <c r="FKM11" s="113"/>
      <c r="FKN11" s="113"/>
      <c r="FKO11" s="113"/>
      <c r="FKP11" s="113"/>
      <c r="FKQ11" s="113"/>
      <c r="FKR11" s="113"/>
      <c r="FKS11" s="113"/>
      <c r="FKT11" s="113"/>
      <c r="FKU11" s="113"/>
      <c r="FKV11" s="113"/>
      <c r="FKW11" s="113"/>
      <c r="FKX11" s="113"/>
      <c r="FKY11" s="113"/>
      <c r="FKZ11" s="113"/>
      <c r="FLA11" s="113"/>
      <c r="FLB11" s="113"/>
      <c r="FLC11" s="113"/>
      <c r="FLD11" s="113"/>
      <c r="FLE11" s="113"/>
      <c r="FLF11" s="113"/>
      <c r="FLG11" s="113"/>
      <c r="FLH11" s="113"/>
      <c r="FLI11" s="113"/>
      <c r="FLJ11" s="113"/>
      <c r="FLK11" s="113"/>
      <c r="FLL11" s="113"/>
      <c r="FLM11" s="113"/>
      <c r="FLN11" s="113"/>
      <c r="FLO11" s="113"/>
      <c r="FLP11" s="113"/>
      <c r="FLQ11" s="113"/>
      <c r="FLR11" s="113"/>
      <c r="FLS11" s="113"/>
      <c r="FLT11" s="113"/>
      <c r="FLU11" s="113"/>
      <c r="FLV11" s="113"/>
      <c r="FLW11" s="113"/>
      <c r="FLX11" s="113"/>
      <c r="FLY11" s="113"/>
      <c r="FLZ11" s="113"/>
      <c r="FMA11" s="113"/>
      <c r="FMB11" s="113"/>
      <c r="FMC11" s="113"/>
      <c r="FMD11" s="113"/>
      <c r="FME11" s="113"/>
      <c r="FMF11" s="113"/>
      <c r="FMG11" s="113"/>
      <c r="FMH11" s="113"/>
      <c r="FMI11" s="113"/>
      <c r="FMJ11" s="113"/>
      <c r="FMK11" s="113"/>
      <c r="FML11" s="113"/>
      <c r="FMM11" s="113"/>
      <c r="FMN11" s="113"/>
      <c r="FMO11" s="113"/>
      <c r="FMP11" s="113"/>
      <c r="FMQ11" s="113"/>
      <c r="FMR11" s="113"/>
      <c r="FMS11" s="113"/>
      <c r="FMT11" s="113"/>
      <c r="FMU11" s="113"/>
      <c r="FMV11" s="113"/>
      <c r="FMW11" s="113"/>
      <c r="FMX11" s="113"/>
      <c r="FMY11" s="113"/>
      <c r="FMZ11" s="113"/>
      <c r="FNA11" s="113"/>
      <c r="FNB11" s="113"/>
      <c r="FNC11" s="113"/>
      <c r="FND11" s="113"/>
      <c r="FNE11" s="113"/>
      <c r="FNF11" s="113"/>
      <c r="FNG11" s="113"/>
      <c r="FNH11" s="113"/>
      <c r="FNI11" s="113"/>
      <c r="FNJ11" s="113"/>
      <c r="FNK11" s="113"/>
      <c r="FNL11" s="113"/>
      <c r="FNM11" s="113"/>
      <c r="FNN11" s="113"/>
      <c r="FNO11" s="113"/>
      <c r="FNP11" s="113"/>
      <c r="FNQ11" s="113"/>
      <c r="FNR11" s="113"/>
      <c r="FNS11" s="113"/>
      <c r="FNT11" s="113"/>
      <c r="FNU11" s="113"/>
      <c r="FNV11" s="113"/>
      <c r="FNW11" s="113"/>
      <c r="FNX11" s="113"/>
      <c r="FNY11" s="113"/>
      <c r="FNZ11" s="113"/>
      <c r="FOA11" s="113"/>
      <c r="FOB11" s="113"/>
      <c r="FOC11" s="113"/>
      <c r="FOD11" s="113"/>
      <c r="FOE11" s="113"/>
      <c r="FOF11" s="113"/>
      <c r="FOG11" s="113"/>
      <c r="FOH11" s="113"/>
      <c r="FOI11" s="113"/>
      <c r="FOJ11" s="113"/>
      <c r="FOK11" s="113"/>
      <c r="FOL11" s="113"/>
      <c r="FOM11" s="113"/>
      <c r="FON11" s="113"/>
      <c r="FOO11" s="113"/>
      <c r="FOP11" s="113"/>
      <c r="FOQ11" s="113"/>
      <c r="FOR11" s="113"/>
      <c r="FOS11" s="113"/>
      <c r="FOT11" s="113"/>
      <c r="FOU11" s="113"/>
      <c r="FOV11" s="113"/>
      <c r="FOW11" s="113"/>
      <c r="FOX11" s="113"/>
      <c r="FOY11" s="113"/>
      <c r="FOZ11" s="113"/>
      <c r="FPA11" s="113"/>
      <c r="FPB11" s="113"/>
      <c r="FPC11" s="113"/>
      <c r="FPD11" s="113"/>
      <c r="FPE11" s="113"/>
      <c r="FPF11" s="113"/>
      <c r="FPG11" s="113"/>
      <c r="FPH11" s="113"/>
      <c r="FPI11" s="113"/>
      <c r="FPJ11" s="113"/>
      <c r="FPK11" s="113"/>
      <c r="FPL11" s="113"/>
      <c r="FPM11" s="113"/>
      <c r="FPN11" s="113"/>
      <c r="FPO11" s="113"/>
      <c r="FPP11" s="113"/>
      <c r="FPQ11" s="113"/>
      <c r="FPR11" s="113"/>
      <c r="FPS11" s="113"/>
      <c r="FPT11" s="113"/>
      <c r="FPU11" s="113"/>
      <c r="FPV11" s="113"/>
      <c r="FPW11" s="113"/>
      <c r="FPX11" s="113"/>
      <c r="FPY11" s="113"/>
      <c r="FPZ11" s="113"/>
      <c r="FQA11" s="113"/>
      <c r="FQB11" s="113"/>
      <c r="FQC11" s="113"/>
      <c r="FQD11" s="113"/>
      <c r="FQE11" s="113"/>
      <c r="FQF11" s="113"/>
      <c r="FQG11" s="113"/>
      <c r="FQH11" s="113"/>
      <c r="FQI11" s="113"/>
      <c r="FQJ11" s="113"/>
      <c r="FQK11" s="113"/>
      <c r="FQL11" s="113"/>
      <c r="FQM11" s="113"/>
      <c r="FQN11" s="113"/>
      <c r="FQO11" s="113"/>
      <c r="FQP11" s="113"/>
      <c r="FQQ11" s="113"/>
      <c r="FQR11" s="113"/>
      <c r="FQS11" s="113"/>
      <c r="FQT11" s="113"/>
      <c r="FQU11" s="113"/>
      <c r="FQV11" s="113"/>
      <c r="FQW11" s="113"/>
      <c r="FQX11" s="113"/>
      <c r="FQY11" s="113"/>
      <c r="FQZ11" s="113"/>
      <c r="FRA11" s="113"/>
      <c r="FRB11" s="113"/>
      <c r="FRC11" s="113"/>
      <c r="FRD11" s="113"/>
      <c r="FRE11" s="113"/>
      <c r="FRF11" s="113"/>
      <c r="FRG11" s="113"/>
      <c r="FRH11" s="113"/>
      <c r="FRI11" s="113"/>
      <c r="FRJ11" s="113"/>
      <c r="FRK11" s="113"/>
      <c r="FRL11" s="113"/>
      <c r="FRM11" s="113"/>
      <c r="FRN11" s="113"/>
      <c r="FRO11" s="113"/>
      <c r="FRP11" s="113"/>
      <c r="FRQ11" s="113"/>
      <c r="FRR11" s="113"/>
      <c r="FRS11" s="113"/>
      <c r="FRT11" s="113"/>
      <c r="FRU11" s="113"/>
      <c r="FRV11" s="113"/>
      <c r="FRW11" s="113"/>
      <c r="FRX11" s="113"/>
      <c r="FRY11" s="113"/>
      <c r="FRZ11" s="113"/>
      <c r="FSA11" s="113"/>
      <c r="FSB11" s="113"/>
      <c r="FSC11" s="113"/>
      <c r="FSD11" s="113"/>
      <c r="FSE11" s="113"/>
      <c r="FSF11" s="113"/>
      <c r="FSG11" s="113"/>
      <c r="FSH11" s="113"/>
      <c r="FSI11" s="113"/>
      <c r="FSJ11" s="113"/>
      <c r="FSK11" s="113"/>
      <c r="FSL11" s="113"/>
      <c r="FSM11" s="113"/>
      <c r="FSN11" s="113"/>
      <c r="FSO11" s="113"/>
      <c r="FSP11" s="113"/>
      <c r="FSQ11" s="113"/>
      <c r="FSR11" s="113"/>
      <c r="FSS11" s="113"/>
      <c r="FST11" s="113"/>
      <c r="FSU11" s="113"/>
      <c r="FSV11" s="113"/>
      <c r="FSW11" s="113"/>
      <c r="FSX11" s="113"/>
      <c r="FSY11" s="113"/>
      <c r="FSZ11" s="113"/>
      <c r="FTA11" s="113"/>
      <c r="FTB11" s="113"/>
      <c r="FTC11" s="113"/>
      <c r="FTD11" s="113"/>
      <c r="FTE11" s="113"/>
      <c r="FTF11" s="113"/>
      <c r="FTG11" s="113"/>
      <c r="FTH11" s="113"/>
      <c r="FTI11" s="113"/>
      <c r="FTJ11" s="113"/>
      <c r="FTK11" s="113"/>
      <c r="FTL11" s="113"/>
      <c r="FTM11" s="113"/>
      <c r="FTN11" s="113"/>
      <c r="FTO11" s="113"/>
      <c r="FTP11" s="113"/>
      <c r="FTQ11" s="113"/>
      <c r="FTR11" s="113"/>
      <c r="FTS11" s="113"/>
      <c r="FTT11" s="113"/>
      <c r="FTU11" s="113"/>
      <c r="FTV11" s="113"/>
      <c r="FTW11" s="113"/>
      <c r="FTX11" s="113"/>
      <c r="FTY11" s="113"/>
      <c r="FTZ11" s="113"/>
      <c r="FUA11" s="113"/>
      <c r="FUB11" s="113"/>
      <c r="FUC11" s="113"/>
      <c r="FUD11" s="113"/>
      <c r="FUE11" s="113"/>
      <c r="FUF11" s="113"/>
      <c r="FUG11" s="113"/>
      <c r="FUH11" s="113"/>
      <c r="FUI11" s="113"/>
      <c r="FUJ11" s="113"/>
      <c r="FUK11" s="113"/>
      <c r="FUL11" s="113"/>
      <c r="FUM11" s="113"/>
      <c r="FUN11" s="113"/>
      <c r="FUO11" s="113"/>
      <c r="FUP11" s="113"/>
      <c r="FUQ11" s="113"/>
      <c r="FUR11" s="113"/>
      <c r="FUS11" s="113"/>
      <c r="FUT11" s="113"/>
      <c r="FUU11" s="113"/>
      <c r="FUV11" s="113"/>
      <c r="FUW11" s="113"/>
      <c r="FUX11" s="113"/>
      <c r="FUY11" s="113"/>
      <c r="FUZ11" s="113"/>
      <c r="FVA11" s="113"/>
      <c r="FVB11" s="113"/>
      <c r="FVC11" s="113"/>
      <c r="FVD11" s="113"/>
      <c r="FVE11" s="113"/>
      <c r="FVF11" s="113"/>
      <c r="FVG11" s="113"/>
      <c r="FVH11" s="113"/>
      <c r="FVI11" s="113"/>
      <c r="FVJ11" s="113"/>
      <c r="FVK11" s="113"/>
      <c r="FVL11" s="113"/>
      <c r="FVM11" s="113"/>
      <c r="FVN11" s="113"/>
      <c r="FVO11" s="113"/>
      <c r="FVP11" s="113"/>
      <c r="FVQ11" s="113"/>
      <c r="FVR11" s="113"/>
      <c r="FVS11" s="113"/>
      <c r="FVT11" s="113"/>
      <c r="FVU11" s="113"/>
      <c r="FVV11" s="113"/>
      <c r="FVW11" s="113"/>
      <c r="FVX11" s="113"/>
      <c r="FVY11" s="113"/>
      <c r="FVZ11" s="113"/>
      <c r="FWA11" s="113"/>
      <c r="FWB11" s="113"/>
      <c r="FWC11" s="113"/>
      <c r="FWD11" s="113"/>
      <c r="FWE11" s="113"/>
      <c r="FWF11" s="113"/>
      <c r="FWG11" s="113"/>
      <c r="FWH11" s="113"/>
      <c r="FWI11" s="113"/>
      <c r="FWJ11" s="113"/>
      <c r="FWK11" s="113"/>
      <c r="FWL11" s="113"/>
      <c r="FWM11" s="113"/>
      <c r="FWN11" s="113"/>
      <c r="FWO11" s="113"/>
      <c r="FWP11" s="113"/>
      <c r="FWQ11" s="113"/>
      <c r="FWR11" s="113"/>
      <c r="FWS11" s="113"/>
      <c r="FWT11" s="113"/>
      <c r="FWU11" s="113"/>
      <c r="FWV11" s="113"/>
      <c r="FWW11" s="113"/>
      <c r="FWX11" s="113"/>
      <c r="FWY11" s="113"/>
      <c r="FWZ11" s="113"/>
      <c r="FXA11" s="113"/>
      <c r="FXB11" s="113"/>
      <c r="FXC11" s="113"/>
      <c r="FXD11" s="113"/>
      <c r="FXE11" s="113"/>
      <c r="FXF11" s="113"/>
      <c r="FXG11" s="113"/>
      <c r="FXH11" s="113"/>
      <c r="FXI11" s="113"/>
      <c r="FXJ11" s="113"/>
      <c r="FXK11" s="113"/>
      <c r="FXL11" s="113"/>
      <c r="FXM11" s="113"/>
      <c r="FXN11" s="113"/>
      <c r="FXO11" s="113"/>
      <c r="FXP11" s="113"/>
      <c r="FXQ11" s="113"/>
      <c r="FXR11" s="113"/>
      <c r="FXS11" s="113"/>
      <c r="FXT11" s="113"/>
      <c r="FXU11" s="113"/>
      <c r="FXV11" s="113"/>
      <c r="FXW11" s="113"/>
      <c r="FXX11" s="113"/>
      <c r="FXY11" s="113"/>
      <c r="FXZ11" s="113"/>
      <c r="FYA11" s="113"/>
      <c r="FYB11" s="113"/>
      <c r="FYC11" s="113"/>
      <c r="FYD11" s="113"/>
      <c r="FYE11" s="113"/>
      <c r="FYF11" s="113"/>
      <c r="FYG11" s="113"/>
      <c r="FYH11" s="113"/>
      <c r="FYI11" s="113"/>
      <c r="FYJ11" s="113"/>
      <c r="FYK11" s="113"/>
      <c r="FYL11" s="113"/>
      <c r="FYM11" s="113"/>
      <c r="FYN11" s="113"/>
      <c r="FYO11" s="113"/>
      <c r="FYP11" s="113"/>
      <c r="FYQ11" s="113"/>
      <c r="FYR11" s="113"/>
      <c r="FYS11" s="113"/>
      <c r="FYT11" s="113"/>
      <c r="FYU11" s="113"/>
      <c r="FYV11" s="113"/>
      <c r="FYW11" s="113"/>
      <c r="FYX11" s="113"/>
      <c r="FYY11" s="113"/>
      <c r="FYZ11" s="113"/>
      <c r="FZA11" s="113"/>
      <c r="FZB11" s="113"/>
      <c r="FZC11" s="113"/>
      <c r="FZD11" s="113"/>
      <c r="FZE11" s="113"/>
      <c r="FZF11" s="113"/>
      <c r="FZG11" s="113"/>
      <c r="FZH11" s="113"/>
      <c r="FZI11" s="113"/>
      <c r="FZJ11" s="113"/>
      <c r="FZK11" s="113"/>
      <c r="FZL11" s="113"/>
      <c r="FZM11" s="113"/>
      <c r="FZN11" s="113"/>
      <c r="FZO11" s="113"/>
      <c r="FZP11" s="113"/>
      <c r="FZQ11" s="113"/>
      <c r="FZR11" s="113"/>
      <c r="FZS11" s="113"/>
      <c r="FZT11" s="113"/>
      <c r="FZU11" s="113"/>
      <c r="FZV11" s="113"/>
      <c r="FZW11" s="113"/>
      <c r="FZX11" s="113"/>
      <c r="FZY11" s="113"/>
      <c r="FZZ11" s="113"/>
      <c r="GAA11" s="113"/>
      <c r="GAB11" s="113"/>
      <c r="GAC11" s="113"/>
      <c r="GAD11" s="113"/>
      <c r="GAE11" s="113"/>
      <c r="GAF11" s="113"/>
      <c r="GAG11" s="113"/>
      <c r="GAH11" s="113"/>
      <c r="GAI11" s="113"/>
      <c r="GAJ11" s="113"/>
      <c r="GAK11" s="113"/>
      <c r="GAL11" s="113"/>
      <c r="GAM11" s="113"/>
      <c r="GAN11" s="113"/>
      <c r="GAO11" s="113"/>
      <c r="GAP11" s="113"/>
      <c r="GAQ11" s="113"/>
      <c r="GAR11" s="113"/>
      <c r="GAS11" s="113"/>
      <c r="GAT11" s="113"/>
      <c r="GAU11" s="113"/>
      <c r="GAV11" s="113"/>
      <c r="GAW11" s="113"/>
      <c r="GAX11" s="113"/>
      <c r="GAY11" s="113"/>
      <c r="GAZ11" s="113"/>
      <c r="GBA11" s="113"/>
      <c r="GBB11" s="113"/>
      <c r="GBC11" s="113"/>
      <c r="GBD11" s="113"/>
      <c r="GBE11" s="113"/>
      <c r="GBF11" s="113"/>
      <c r="GBG11" s="113"/>
      <c r="GBH11" s="113"/>
      <c r="GBI11" s="113"/>
      <c r="GBJ11" s="113"/>
      <c r="GBK11" s="113"/>
      <c r="GBL11" s="113"/>
      <c r="GBM11" s="113"/>
      <c r="GBN11" s="113"/>
      <c r="GBO11" s="113"/>
      <c r="GBP11" s="113"/>
      <c r="GBQ11" s="113"/>
      <c r="GBR11" s="113"/>
      <c r="GBS11" s="113"/>
      <c r="GBT11" s="113"/>
      <c r="GBU11" s="113"/>
      <c r="GBV11" s="113"/>
      <c r="GBW11" s="113"/>
      <c r="GBX11" s="113"/>
      <c r="GBY11" s="113"/>
      <c r="GBZ11" s="113"/>
      <c r="GCA11" s="113"/>
      <c r="GCB11" s="113"/>
      <c r="GCC11" s="113"/>
      <c r="GCD11" s="113"/>
      <c r="GCE11" s="113"/>
      <c r="GCF11" s="113"/>
      <c r="GCG11" s="113"/>
      <c r="GCH11" s="113"/>
      <c r="GCI11" s="113"/>
      <c r="GCJ11" s="113"/>
      <c r="GCK11" s="113"/>
      <c r="GCL11" s="113"/>
      <c r="GCM11" s="113"/>
      <c r="GCN11" s="113"/>
      <c r="GCO11" s="113"/>
      <c r="GCP11" s="113"/>
      <c r="GCQ11" s="113"/>
      <c r="GCR11" s="113"/>
      <c r="GCS11" s="113"/>
      <c r="GCT11" s="113"/>
      <c r="GCU11" s="113"/>
      <c r="GCV11" s="113"/>
      <c r="GCW11" s="113"/>
      <c r="GCX11" s="113"/>
      <c r="GCY11" s="113"/>
      <c r="GCZ11" s="113"/>
      <c r="GDA11" s="113"/>
      <c r="GDB11" s="113"/>
      <c r="GDC11" s="113"/>
      <c r="GDD11" s="113"/>
      <c r="GDE11" s="113"/>
      <c r="GDF11" s="113"/>
      <c r="GDG11" s="113"/>
      <c r="GDH11" s="113"/>
      <c r="GDI11" s="113"/>
      <c r="GDJ11" s="113"/>
      <c r="GDK11" s="113"/>
      <c r="GDL11" s="113"/>
      <c r="GDM11" s="113"/>
      <c r="GDN11" s="113"/>
      <c r="GDO11" s="113"/>
      <c r="GDP11" s="113"/>
      <c r="GDQ11" s="113"/>
      <c r="GDR11" s="113"/>
      <c r="GDS11" s="113"/>
      <c r="GDT11" s="113"/>
      <c r="GDU11" s="113"/>
      <c r="GDV11" s="113"/>
      <c r="GDW11" s="113"/>
      <c r="GDX11" s="113"/>
      <c r="GDY11" s="113"/>
      <c r="GDZ11" s="113"/>
      <c r="GEA11" s="113"/>
      <c r="GEB11" s="113"/>
      <c r="GEC11" s="113"/>
      <c r="GED11" s="113"/>
      <c r="GEE11" s="113"/>
      <c r="GEF11" s="113"/>
      <c r="GEG11" s="113"/>
      <c r="GEH11" s="113"/>
      <c r="GEI11" s="113"/>
      <c r="GEJ11" s="113"/>
      <c r="GEK11" s="113"/>
      <c r="GEL11" s="113"/>
      <c r="GEM11" s="113"/>
      <c r="GEN11" s="113"/>
      <c r="GEO11" s="113"/>
      <c r="GEP11" s="113"/>
      <c r="GEQ11" s="113"/>
      <c r="GER11" s="113"/>
      <c r="GES11" s="113"/>
      <c r="GET11" s="113"/>
      <c r="GEU11" s="113"/>
      <c r="GEV11" s="113"/>
      <c r="GEW11" s="113"/>
      <c r="GEX11" s="113"/>
      <c r="GEY11" s="113"/>
      <c r="GEZ11" s="113"/>
      <c r="GFA11" s="113"/>
      <c r="GFB11" s="113"/>
      <c r="GFC11" s="113"/>
      <c r="GFD11" s="113"/>
      <c r="GFE11" s="113"/>
      <c r="GFF11" s="113"/>
      <c r="GFG11" s="113"/>
      <c r="GFH11" s="113"/>
      <c r="GFI11" s="113"/>
      <c r="GFJ11" s="113"/>
      <c r="GFK11" s="113"/>
      <c r="GFL11" s="113"/>
      <c r="GFM11" s="113"/>
      <c r="GFN11" s="113"/>
      <c r="GFO11" s="113"/>
      <c r="GFP11" s="113"/>
      <c r="GFQ11" s="113"/>
      <c r="GFR11" s="113"/>
      <c r="GFS11" s="113"/>
      <c r="GFT11" s="113"/>
      <c r="GFU11" s="113"/>
      <c r="GFV11" s="113"/>
      <c r="GFW11" s="113"/>
      <c r="GFX11" s="113"/>
      <c r="GFY11" s="113"/>
      <c r="GFZ11" s="113"/>
      <c r="GGA11" s="113"/>
      <c r="GGB11" s="113"/>
      <c r="GGC11" s="113"/>
      <c r="GGD11" s="113"/>
      <c r="GGE11" s="113"/>
      <c r="GGF11" s="113"/>
      <c r="GGG11" s="113"/>
      <c r="GGH11" s="113"/>
      <c r="GGI11" s="113"/>
      <c r="GGJ11" s="113"/>
      <c r="GGK11" s="113"/>
      <c r="GGL11" s="113"/>
      <c r="GGM11" s="113"/>
      <c r="GGN11" s="113"/>
      <c r="GGO11" s="113"/>
      <c r="GGP11" s="113"/>
      <c r="GGQ11" s="113"/>
      <c r="GGR11" s="113"/>
      <c r="GGS11" s="113"/>
      <c r="GGT11" s="113"/>
      <c r="GGU11" s="113"/>
      <c r="GGV11" s="113"/>
      <c r="GGW11" s="113"/>
      <c r="GGX11" s="113"/>
      <c r="GGY11" s="113"/>
      <c r="GGZ11" s="113"/>
      <c r="GHA11" s="113"/>
      <c r="GHB11" s="113"/>
      <c r="GHC11" s="113"/>
      <c r="GHD11" s="113"/>
      <c r="GHE11" s="113"/>
      <c r="GHF11" s="113"/>
      <c r="GHG11" s="113"/>
      <c r="GHH11" s="113"/>
      <c r="GHI11" s="113"/>
      <c r="GHJ11" s="113"/>
      <c r="GHK11" s="113"/>
      <c r="GHL11" s="113"/>
      <c r="GHM11" s="113"/>
      <c r="GHN11" s="113"/>
      <c r="GHO11" s="113"/>
      <c r="GHP11" s="113"/>
      <c r="GHQ11" s="113"/>
      <c r="GHR11" s="113"/>
      <c r="GHS11" s="113"/>
      <c r="GHT11" s="113"/>
      <c r="GHU11" s="113"/>
      <c r="GHV11" s="113"/>
      <c r="GHW11" s="113"/>
      <c r="GHX11" s="113"/>
      <c r="GHY11" s="113"/>
      <c r="GHZ11" s="113"/>
      <c r="GIA11" s="113"/>
      <c r="GIB11" s="113"/>
      <c r="GIC11" s="113"/>
      <c r="GID11" s="113"/>
      <c r="GIE11" s="113"/>
      <c r="GIF11" s="113"/>
      <c r="GIG11" s="113"/>
      <c r="GIH11" s="113"/>
      <c r="GII11" s="113"/>
      <c r="GIJ11" s="113"/>
      <c r="GIK11" s="113"/>
      <c r="GIL11" s="113"/>
      <c r="GIM11" s="113"/>
      <c r="GIN11" s="113"/>
      <c r="GIO11" s="113"/>
      <c r="GIP11" s="113"/>
      <c r="GIQ11" s="113"/>
      <c r="GIR11" s="113"/>
      <c r="GIS11" s="113"/>
      <c r="GIT11" s="113"/>
      <c r="GIU11" s="113"/>
      <c r="GIV11" s="113"/>
      <c r="GIW11" s="113"/>
      <c r="GIX11" s="113"/>
      <c r="GIY11" s="113"/>
      <c r="GIZ11" s="113"/>
      <c r="GJA11" s="113"/>
      <c r="GJB11" s="113"/>
      <c r="GJC11" s="113"/>
      <c r="GJD11" s="113"/>
      <c r="GJE11" s="113"/>
      <c r="GJF11" s="113"/>
      <c r="GJG11" s="113"/>
      <c r="GJH11" s="113"/>
      <c r="GJI11" s="113"/>
      <c r="GJJ11" s="113"/>
      <c r="GJK11" s="113"/>
      <c r="GJL11" s="113"/>
      <c r="GJM11" s="113"/>
      <c r="GJN11" s="113"/>
      <c r="GJO11" s="113"/>
      <c r="GJP11" s="113"/>
      <c r="GJQ11" s="113"/>
      <c r="GJR11" s="113"/>
      <c r="GJS11" s="113"/>
      <c r="GJT11" s="113"/>
      <c r="GJU11" s="113"/>
      <c r="GJV11" s="113"/>
      <c r="GJW11" s="113"/>
      <c r="GJX11" s="113"/>
      <c r="GJY11" s="113"/>
      <c r="GJZ11" s="113"/>
      <c r="GKA11" s="113"/>
      <c r="GKB11" s="113"/>
      <c r="GKC11" s="113"/>
      <c r="GKD11" s="113"/>
      <c r="GKE11" s="113"/>
      <c r="GKF11" s="113"/>
      <c r="GKG11" s="113"/>
      <c r="GKH11" s="113"/>
      <c r="GKI11" s="113"/>
      <c r="GKJ11" s="113"/>
      <c r="GKK11" s="113"/>
      <c r="GKL11" s="113"/>
      <c r="GKM11" s="113"/>
      <c r="GKN11" s="113"/>
      <c r="GKO11" s="113"/>
      <c r="GKP11" s="113"/>
      <c r="GKQ11" s="113"/>
      <c r="GKR11" s="113"/>
      <c r="GKS11" s="113"/>
      <c r="GKT11" s="113"/>
      <c r="GKU11" s="113"/>
      <c r="GKV11" s="113"/>
      <c r="GKW11" s="113"/>
      <c r="GKX11" s="113"/>
      <c r="GKY11" s="113"/>
      <c r="GKZ11" s="113"/>
      <c r="GLA11" s="113"/>
      <c r="GLB11" s="113"/>
      <c r="GLC11" s="113"/>
      <c r="GLD11" s="113"/>
      <c r="GLE11" s="113"/>
      <c r="GLF11" s="113"/>
      <c r="GLG11" s="113"/>
      <c r="GLH11" s="113"/>
      <c r="GLI11" s="113"/>
      <c r="GLJ11" s="113"/>
      <c r="GLK11" s="113"/>
      <c r="GLL11" s="113"/>
      <c r="GLM11" s="113"/>
      <c r="GLN11" s="113"/>
      <c r="GLO11" s="113"/>
      <c r="GLP11" s="113"/>
      <c r="GLQ11" s="113"/>
      <c r="GLR11" s="113"/>
      <c r="GLS11" s="113"/>
      <c r="GLT11" s="113"/>
      <c r="GLU11" s="113"/>
      <c r="GLV11" s="113"/>
      <c r="GLW11" s="113"/>
      <c r="GLX11" s="113"/>
      <c r="GLY11" s="113"/>
      <c r="GLZ11" s="113"/>
      <c r="GMA11" s="113"/>
      <c r="GMB11" s="113"/>
      <c r="GMC11" s="113"/>
      <c r="GMD11" s="113"/>
      <c r="GME11" s="113"/>
      <c r="GMF11" s="113"/>
      <c r="GMG11" s="113"/>
      <c r="GMH11" s="113"/>
      <c r="GMI11" s="113"/>
      <c r="GMJ11" s="113"/>
      <c r="GMK11" s="113"/>
      <c r="GML11" s="113"/>
      <c r="GMM11" s="113"/>
      <c r="GMN11" s="113"/>
      <c r="GMO11" s="113"/>
      <c r="GMP11" s="113"/>
      <c r="GMQ11" s="113"/>
      <c r="GMR11" s="113"/>
      <c r="GMS11" s="113"/>
      <c r="GMT11" s="113"/>
      <c r="GMU11" s="113"/>
      <c r="GMV11" s="113"/>
      <c r="GMW11" s="113"/>
      <c r="GMX11" s="113"/>
      <c r="GMY11" s="113"/>
      <c r="GMZ11" s="113"/>
      <c r="GNA11" s="113"/>
      <c r="GNB11" s="113"/>
      <c r="GNC11" s="113"/>
      <c r="GND11" s="113"/>
      <c r="GNE11" s="113"/>
      <c r="GNF11" s="113"/>
      <c r="GNG11" s="113"/>
      <c r="GNH11" s="113"/>
      <c r="GNI11" s="113"/>
      <c r="GNJ11" s="113"/>
      <c r="GNK11" s="113"/>
      <c r="GNL11" s="113"/>
      <c r="GNM11" s="113"/>
      <c r="GNN11" s="113"/>
      <c r="GNO11" s="113"/>
      <c r="GNP11" s="113"/>
      <c r="GNQ11" s="113"/>
      <c r="GNR11" s="113"/>
      <c r="GNS11" s="113"/>
      <c r="GNT11" s="113"/>
      <c r="GNU11" s="113"/>
      <c r="GNV11" s="113"/>
      <c r="GNW11" s="113"/>
      <c r="GNX11" s="113"/>
      <c r="GNY11" s="113"/>
      <c r="GNZ11" s="113"/>
      <c r="GOA11" s="113"/>
      <c r="GOB11" s="113"/>
      <c r="GOC11" s="113"/>
      <c r="GOD11" s="113"/>
      <c r="GOE11" s="113"/>
      <c r="GOF11" s="113"/>
      <c r="GOG11" s="113"/>
      <c r="GOH11" s="113"/>
      <c r="GOI11" s="113"/>
      <c r="GOJ11" s="113"/>
      <c r="GOK11" s="113"/>
      <c r="GOL11" s="113"/>
      <c r="GOM11" s="113"/>
      <c r="GON11" s="113"/>
      <c r="GOO11" s="113"/>
      <c r="GOP11" s="113"/>
      <c r="GOQ11" s="113"/>
      <c r="GOR11" s="113"/>
      <c r="GOS11" s="113"/>
      <c r="GOT11" s="113"/>
      <c r="GOU11" s="113"/>
      <c r="GOV11" s="113"/>
      <c r="GOW11" s="113"/>
      <c r="GOX11" s="113"/>
      <c r="GOY11" s="113"/>
      <c r="GOZ11" s="113"/>
      <c r="GPA11" s="113"/>
      <c r="GPB11" s="113"/>
      <c r="GPC11" s="113"/>
      <c r="GPD11" s="113"/>
      <c r="GPE11" s="113"/>
      <c r="GPF11" s="113"/>
      <c r="GPG11" s="113"/>
      <c r="GPH11" s="113"/>
      <c r="GPI11" s="113"/>
      <c r="GPJ11" s="113"/>
      <c r="GPK11" s="113"/>
      <c r="GPL11" s="113"/>
      <c r="GPM11" s="113"/>
      <c r="GPN11" s="113"/>
      <c r="GPO11" s="113"/>
      <c r="GPP11" s="113"/>
      <c r="GPQ11" s="113"/>
      <c r="GPR11" s="113"/>
      <c r="GPS11" s="113"/>
      <c r="GPT11" s="113"/>
      <c r="GPU11" s="113"/>
      <c r="GPV11" s="113"/>
      <c r="GPW11" s="113"/>
      <c r="GPX11" s="113"/>
      <c r="GPY11" s="113"/>
      <c r="GPZ11" s="113"/>
      <c r="GQA11" s="113"/>
      <c r="GQB11" s="113"/>
      <c r="GQC11" s="113"/>
      <c r="GQD11" s="113"/>
      <c r="GQE11" s="113"/>
      <c r="GQF11" s="113"/>
      <c r="GQG11" s="113"/>
      <c r="GQH11" s="113"/>
      <c r="GQI11" s="113"/>
      <c r="GQJ11" s="113"/>
      <c r="GQK11" s="113"/>
      <c r="GQL11" s="113"/>
      <c r="GQM11" s="113"/>
      <c r="GQN11" s="113"/>
      <c r="GQO11" s="113"/>
      <c r="GQP11" s="113"/>
      <c r="GQQ11" s="113"/>
      <c r="GQR11" s="113"/>
      <c r="GQS11" s="113"/>
      <c r="GQT11" s="113"/>
      <c r="GQU11" s="113"/>
      <c r="GQV11" s="113"/>
      <c r="GQW11" s="113"/>
      <c r="GQX11" s="113"/>
      <c r="GQY11" s="113"/>
      <c r="GQZ11" s="113"/>
      <c r="GRA11" s="113"/>
      <c r="GRB11" s="113"/>
      <c r="GRC11" s="113"/>
      <c r="GRD11" s="113"/>
      <c r="GRE11" s="113"/>
      <c r="GRF11" s="113"/>
      <c r="GRG11" s="113"/>
      <c r="GRH11" s="113"/>
      <c r="GRI11" s="113"/>
      <c r="GRJ11" s="113"/>
      <c r="GRK11" s="113"/>
      <c r="GRL11" s="113"/>
      <c r="GRM11" s="113"/>
      <c r="GRN11" s="113"/>
      <c r="GRO11" s="113"/>
      <c r="GRP11" s="113"/>
      <c r="GRQ11" s="113"/>
      <c r="GRR11" s="113"/>
      <c r="GRS11" s="113"/>
      <c r="GRT11" s="113"/>
      <c r="GRU11" s="113"/>
      <c r="GRV11" s="113"/>
      <c r="GRW11" s="113"/>
      <c r="GRX11" s="113"/>
      <c r="GRY11" s="113"/>
      <c r="GRZ11" s="113"/>
      <c r="GSA11" s="113"/>
      <c r="GSB11" s="113"/>
      <c r="GSC11" s="113"/>
      <c r="GSD11" s="113"/>
      <c r="GSE11" s="113"/>
      <c r="GSF11" s="113"/>
      <c r="GSG11" s="113"/>
      <c r="GSH11" s="113"/>
      <c r="GSI11" s="113"/>
      <c r="GSJ11" s="113"/>
      <c r="GSK11" s="113"/>
      <c r="GSL11" s="113"/>
      <c r="GSM11" s="113"/>
      <c r="GSN11" s="113"/>
      <c r="GSO11" s="113"/>
      <c r="GSP11" s="113"/>
      <c r="GSQ11" s="113"/>
      <c r="GSR11" s="113"/>
      <c r="GSS11" s="113"/>
      <c r="GST11" s="113"/>
      <c r="GSU11" s="113"/>
      <c r="GSV11" s="113"/>
      <c r="GSW11" s="113"/>
      <c r="GSX11" s="113"/>
      <c r="GSY11" s="113"/>
      <c r="GSZ11" s="113"/>
      <c r="GTA11" s="113"/>
      <c r="GTB11" s="113"/>
      <c r="GTC11" s="113"/>
      <c r="GTD11" s="113"/>
      <c r="GTE11" s="113"/>
      <c r="GTF11" s="113"/>
      <c r="GTG11" s="113"/>
      <c r="GTH11" s="113"/>
      <c r="GTI11" s="113"/>
      <c r="GTJ11" s="113"/>
      <c r="GTK11" s="113"/>
      <c r="GTL11" s="113"/>
      <c r="GTM11" s="113"/>
      <c r="GTN11" s="113"/>
      <c r="GTO11" s="113"/>
      <c r="GTP11" s="113"/>
      <c r="GTQ11" s="113"/>
      <c r="GTR11" s="113"/>
      <c r="GTS11" s="113"/>
      <c r="GTT11" s="113"/>
      <c r="GTU11" s="113"/>
      <c r="GTV11" s="113"/>
      <c r="GTW11" s="113"/>
      <c r="GTX11" s="113"/>
      <c r="GTY11" s="113"/>
      <c r="GTZ11" s="113"/>
      <c r="GUA11" s="113"/>
      <c r="GUB11" s="113"/>
      <c r="GUC11" s="113"/>
      <c r="GUD11" s="113"/>
      <c r="GUE11" s="113"/>
      <c r="GUF11" s="113"/>
      <c r="GUG11" s="113"/>
      <c r="GUH11" s="113"/>
      <c r="GUI11" s="113"/>
      <c r="GUJ11" s="113"/>
      <c r="GUK11" s="113"/>
      <c r="GUL11" s="113"/>
      <c r="GUM11" s="113"/>
      <c r="GUN11" s="113"/>
      <c r="GUO11" s="113"/>
      <c r="GUP11" s="113"/>
      <c r="GUQ11" s="113"/>
      <c r="GUR11" s="113"/>
      <c r="GUS11" s="113"/>
      <c r="GUT11" s="113"/>
      <c r="GUU11" s="113"/>
      <c r="GUV11" s="113"/>
      <c r="GUW11" s="113"/>
      <c r="GUX11" s="113"/>
      <c r="GUY11" s="113"/>
      <c r="GUZ11" s="113"/>
      <c r="GVA11" s="113"/>
      <c r="GVB11" s="113"/>
      <c r="GVC11" s="113"/>
      <c r="GVD11" s="113"/>
      <c r="GVE11" s="113"/>
      <c r="GVF11" s="113"/>
      <c r="GVG11" s="113"/>
      <c r="GVH11" s="113"/>
      <c r="GVI11" s="113"/>
      <c r="GVJ11" s="113"/>
      <c r="GVK11" s="113"/>
      <c r="GVL11" s="113"/>
      <c r="GVM11" s="113"/>
      <c r="GVN11" s="113"/>
      <c r="GVO11" s="113"/>
      <c r="GVP11" s="113"/>
      <c r="GVQ11" s="113"/>
      <c r="GVR11" s="113"/>
      <c r="GVS11" s="113"/>
      <c r="GVT11" s="113"/>
      <c r="GVU11" s="113"/>
      <c r="GVV11" s="113"/>
      <c r="GVW11" s="113"/>
      <c r="GVX11" s="113"/>
      <c r="GVY11" s="113"/>
      <c r="GVZ11" s="113"/>
      <c r="GWA11" s="113"/>
      <c r="GWB11" s="113"/>
      <c r="GWC11" s="113"/>
      <c r="GWD11" s="113"/>
      <c r="GWE11" s="113"/>
      <c r="GWF11" s="113"/>
      <c r="GWG11" s="113"/>
      <c r="GWH11" s="113"/>
      <c r="GWI11" s="113"/>
      <c r="GWJ11" s="113"/>
      <c r="GWK11" s="113"/>
      <c r="GWL11" s="113"/>
      <c r="GWM11" s="113"/>
      <c r="GWN11" s="113"/>
      <c r="GWO11" s="113"/>
      <c r="GWP11" s="113"/>
      <c r="GWQ11" s="113"/>
      <c r="GWR11" s="113"/>
      <c r="GWS11" s="113"/>
      <c r="GWT11" s="113"/>
      <c r="GWU11" s="113"/>
      <c r="GWV11" s="113"/>
      <c r="GWW11" s="113"/>
      <c r="GWX11" s="113"/>
      <c r="GWY11" s="113"/>
      <c r="GWZ11" s="113"/>
      <c r="GXA11" s="113"/>
      <c r="GXB11" s="113"/>
      <c r="GXC11" s="113"/>
      <c r="GXD11" s="113"/>
      <c r="GXE11" s="113"/>
      <c r="GXF11" s="113"/>
      <c r="GXG11" s="113"/>
      <c r="GXH11" s="113"/>
      <c r="GXI11" s="113"/>
      <c r="GXJ11" s="113"/>
      <c r="GXK11" s="113"/>
      <c r="GXL11" s="113"/>
      <c r="GXM11" s="113"/>
      <c r="GXN11" s="113"/>
      <c r="GXO11" s="113"/>
      <c r="GXP11" s="113"/>
      <c r="GXQ11" s="113"/>
      <c r="GXR11" s="113"/>
      <c r="GXS11" s="113"/>
      <c r="GXT11" s="113"/>
      <c r="GXU11" s="113"/>
      <c r="GXV11" s="113"/>
      <c r="GXW11" s="113"/>
      <c r="GXX11" s="113"/>
      <c r="GXY11" s="113"/>
      <c r="GXZ11" s="113"/>
      <c r="GYA11" s="113"/>
      <c r="GYB11" s="113"/>
      <c r="GYC11" s="113"/>
      <c r="GYD11" s="113"/>
      <c r="GYE11" s="113"/>
      <c r="GYF11" s="113"/>
      <c r="GYG11" s="113"/>
      <c r="GYH11" s="113"/>
      <c r="GYI11" s="113"/>
      <c r="GYJ11" s="113"/>
      <c r="GYK11" s="113"/>
      <c r="GYL11" s="113"/>
      <c r="GYM11" s="113"/>
      <c r="GYN11" s="113"/>
      <c r="GYO11" s="113"/>
      <c r="GYP11" s="113"/>
      <c r="GYQ11" s="113"/>
      <c r="GYR11" s="113"/>
      <c r="GYS11" s="113"/>
      <c r="GYT11" s="113"/>
      <c r="GYU11" s="113"/>
      <c r="GYV11" s="113"/>
      <c r="GYW11" s="113"/>
      <c r="GYX11" s="113"/>
      <c r="GYY11" s="113"/>
      <c r="GYZ11" s="113"/>
      <c r="GZA11" s="113"/>
      <c r="GZB11" s="113"/>
      <c r="GZC11" s="113"/>
      <c r="GZD11" s="113"/>
      <c r="GZE11" s="113"/>
      <c r="GZF11" s="113"/>
      <c r="GZG11" s="113"/>
      <c r="GZH11" s="113"/>
      <c r="GZI11" s="113"/>
      <c r="GZJ11" s="113"/>
      <c r="GZK11" s="113"/>
      <c r="GZL11" s="113"/>
      <c r="GZM11" s="113"/>
      <c r="GZN11" s="113"/>
      <c r="GZO11" s="113"/>
      <c r="GZP11" s="113"/>
      <c r="GZQ11" s="113"/>
      <c r="GZR11" s="113"/>
      <c r="GZS11" s="113"/>
      <c r="GZT11" s="113"/>
      <c r="GZU11" s="113"/>
      <c r="GZV11" s="113"/>
      <c r="GZW11" s="113"/>
      <c r="GZX11" s="113"/>
      <c r="GZY11" s="113"/>
      <c r="GZZ11" s="113"/>
      <c r="HAA11" s="113"/>
      <c r="HAB11" s="113"/>
      <c r="HAC11" s="113"/>
      <c r="HAD11" s="113"/>
      <c r="HAE11" s="113"/>
      <c r="HAF11" s="113"/>
      <c r="HAG11" s="113"/>
      <c r="HAH11" s="113"/>
      <c r="HAI11" s="113"/>
      <c r="HAJ11" s="113"/>
      <c r="HAK11" s="113"/>
      <c r="HAL11" s="113"/>
      <c r="HAM11" s="113"/>
      <c r="HAN11" s="113"/>
      <c r="HAO11" s="113"/>
      <c r="HAP11" s="113"/>
      <c r="HAQ11" s="113"/>
      <c r="HAR11" s="113"/>
      <c r="HAS11" s="113"/>
      <c r="HAT11" s="113"/>
      <c r="HAU11" s="113"/>
      <c r="HAV11" s="113"/>
      <c r="HAW11" s="113"/>
      <c r="HAX11" s="113"/>
      <c r="HAY11" s="113"/>
      <c r="HAZ11" s="113"/>
      <c r="HBA11" s="113"/>
      <c r="HBB11" s="113"/>
      <c r="HBC11" s="113"/>
      <c r="HBD11" s="113"/>
      <c r="HBE11" s="113"/>
      <c r="HBF11" s="113"/>
      <c r="HBG11" s="113"/>
      <c r="HBH11" s="113"/>
      <c r="HBI11" s="113"/>
      <c r="HBJ11" s="113"/>
      <c r="HBK11" s="113"/>
      <c r="HBL11" s="113"/>
      <c r="HBM11" s="113"/>
      <c r="HBN11" s="113"/>
      <c r="HBO11" s="113"/>
      <c r="HBP11" s="113"/>
      <c r="HBQ11" s="113"/>
      <c r="HBR11" s="113"/>
      <c r="HBS11" s="113"/>
      <c r="HBT11" s="113"/>
      <c r="HBU11" s="113"/>
      <c r="HBV11" s="113"/>
      <c r="HBW11" s="113"/>
      <c r="HBX11" s="113"/>
      <c r="HBY11" s="113"/>
      <c r="HBZ11" s="113"/>
      <c r="HCA11" s="113"/>
      <c r="HCB11" s="113"/>
      <c r="HCC11" s="113"/>
      <c r="HCD11" s="113"/>
      <c r="HCE11" s="113"/>
      <c r="HCF11" s="113"/>
      <c r="HCG11" s="113"/>
      <c r="HCH11" s="113"/>
      <c r="HCI11" s="113"/>
      <c r="HCJ11" s="113"/>
      <c r="HCK11" s="113"/>
      <c r="HCL11" s="113"/>
      <c r="HCM11" s="113"/>
      <c r="HCN11" s="113"/>
      <c r="HCO11" s="113"/>
      <c r="HCP11" s="113"/>
      <c r="HCQ11" s="113"/>
      <c r="HCR11" s="113"/>
      <c r="HCS11" s="113"/>
      <c r="HCT11" s="113"/>
      <c r="HCU11" s="113"/>
      <c r="HCV11" s="113"/>
      <c r="HCW11" s="113"/>
      <c r="HCX11" s="113"/>
      <c r="HCY11" s="113"/>
      <c r="HCZ11" s="113"/>
      <c r="HDA11" s="113"/>
      <c r="HDB11" s="113"/>
      <c r="HDC11" s="113"/>
      <c r="HDD11" s="113"/>
      <c r="HDE11" s="113"/>
      <c r="HDF11" s="113"/>
      <c r="HDG11" s="113"/>
      <c r="HDH11" s="113"/>
      <c r="HDI11" s="113"/>
      <c r="HDJ11" s="113"/>
      <c r="HDK11" s="113"/>
      <c r="HDL11" s="113"/>
      <c r="HDM11" s="113"/>
      <c r="HDN11" s="113"/>
      <c r="HDO11" s="113"/>
      <c r="HDP11" s="113"/>
      <c r="HDQ11" s="113"/>
      <c r="HDR11" s="113"/>
      <c r="HDS11" s="113"/>
      <c r="HDT11" s="113"/>
      <c r="HDU11" s="113"/>
      <c r="HDV11" s="113"/>
      <c r="HDW11" s="113"/>
      <c r="HDX11" s="113"/>
      <c r="HDY11" s="113"/>
      <c r="HDZ11" s="113"/>
      <c r="HEA11" s="113"/>
      <c r="HEB11" s="113"/>
      <c r="HEC11" s="113"/>
      <c r="HED11" s="113"/>
      <c r="HEE11" s="113"/>
      <c r="HEF11" s="113"/>
      <c r="HEG11" s="113"/>
      <c r="HEH11" s="113"/>
      <c r="HEI11" s="113"/>
      <c r="HEJ11" s="113"/>
      <c r="HEK11" s="113"/>
      <c r="HEL11" s="113"/>
      <c r="HEM11" s="113"/>
      <c r="HEN11" s="113"/>
      <c r="HEO11" s="113"/>
      <c r="HEP11" s="113"/>
      <c r="HEQ11" s="113"/>
      <c r="HER11" s="113"/>
      <c r="HES11" s="113"/>
      <c r="HET11" s="113"/>
      <c r="HEU11" s="113"/>
      <c r="HEV11" s="113"/>
      <c r="HEW11" s="113"/>
      <c r="HEX11" s="113"/>
      <c r="HEY11" s="113"/>
      <c r="HEZ11" s="113"/>
      <c r="HFA11" s="113"/>
      <c r="HFB11" s="113"/>
      <c r="HFC11" s="113"/>
      <c r="HFD11" s="113"/>
      <c r="HFE11" s="113"/>
      <c r="HFF11" s="113"/>
      <c r="HFG11" s="113"/>
      <c r="HFH11" s="113"/>
      <c r="HFI11" s="113"/>
      <c r="HFJ11" s="113"/>
      <c r="HFK11" s="113"/>
      <c r="HFL11" s="113"/>
      <c r="HFM11" s="113"/>
      <c r="HFN11" s="113"/>
      <c r="HFO11" s="113"/>
      <c r="HFP11" s="113"/>
      <c r="HFQ11" s="113"/>
      <c r="HFR11" s="113"/>
      <c r="HFS11" s="113"/>
      <c r="HFT11" s="113"/>
      <c r="HFU11" s="113"/>
      <c r="HFV11" s="113"/>
      <c r="HFW11" s="113"/>
      <c r="HFX11" s="113"/>
      <c r="HFY11" s="113"/>
      <c r="HFZ11" s="113"/>
      <c r="HGA11" s="113"/>
      <c r="HGB11" s="113"/>
      <c r="HGC11" s="113"/>
      <c r="HGD11" s="113"/>
      <c r="HGE11" s="113"/>
      <c r="HGF11" s="113"/>
      <c r="HGG11" s="113"/>
      <c r="HGH11" s="113"/>
      <c r="HGI11" s="113"/>
      <c r="HGJ11" s="113"/>
      <c r="HGK11" s="113"/>
      <c r="HGL11" s="113"/>
      <c r="HGM11" s="113"/>
      <c r="HGN11" s="113"/>
      <c r="HGO11" s="113"/>
      <c r="HGP11" s="113"/>
      <c r="HGQ11" s="113"/>
      <c r="HGR11" s="113"/>
      <c r="HGS11" s="113"/>
      <c r="HGT11" s="113"/>
      <c r="HGU11" s="113"/>
      <c r="HGV11" s="113"/>
      <c r="HGW11" s="113"/>
      <c r="HGX11" s="113"/>
      <c r="HGY11" s="113"/>
      <c r="HGZ11" s="113"/>
      <c r="HHA11" s="113"/>
      <c r="HHB11" s="113"/>
      <c r="HHC11" s="113"/>
      <c r="HHD11" s="113"/>
      <c r="HHE11" s="113"/>
      <c r="HHF11" s="113"/>
      <c r="HHG11" s="113"/>
      <c r="HHH11" s="113"/>
      <c r="HHI11" s="113"/>
      <c r="HHJ11" s="113"/>
      <c r="HHK11" s="113"/>
      <c r="HHL11" s="113"/>
      <c r="HHM11" s="113"/>
      <c r="HHN11" s="113"/>
      <c r="HHO11" s="113"/>
      <c r="HHP11" s="113"/>
      <c r="HHQ11" s="113"/>
      <c r="HHR11" s="113"/>
      <c r="HHS11" s="113"/>
      <c r="HHT11" s="113"/>
      <c r="HHU11" s="113"/>
      <c r="HHV11" s="113"/>
      <c r="HHW11" s="113"/>
      <c r="HHX11" s="113"/>
      <c r="HHY11" s="113"/>
      <c r="HHZ11" s="113"/>
      <c r="HIA11" s="113"/>
      <c r="HIB11" s="113"/>
      <c r="HIC11" s="113"/>
      <c r="HID11" s="113"/>
      <c r="HIE11" s="113"/>
      <c r="HIF11" s="113"/>
      <c r="HIG11" s="113"/>
      <c r="HIH11" s="113"/>
      <c r="HII11" s="113"/>
      <c r="HIJ11" s="113"/>
      <c r="HIK11" s="113"/>
      <c r="HIL11" s="113"/>
      <c r="HIM11" s="113"/>
      <c r="HIN11" s="113"/>
      <c r="HIO11" s="113"/>
      <c r="HIP11" s="113"/>
      <c r="HIQ11" s="113"/>
      <c r="HIR11" s="113"/>
      <c r="HIS11" s="113"/>
      <c r="HIT11" s="113"/>
      <c r="HIU11" s="113"/>
      <c r="HIV11" s="113"/>
      <c r="HIW11" s="113"/>
      <c r="HIX11" s="113"/>
      <c r="HIY11" s="113"/>
      <c r="HIZ11" s="113"/>
      <c r="HJA11" s="113"/>
      <c r="HJB11" s="113"/>
      <c r="HJC11" s="113"/>
      <c r="HJD11" s="113"/>
      <c r="HJE11" s="113"/>
      <c r="HJF11" s="113"/>
      <c r="HJG11" s="113"/>
      <c r="HJH11" s="113"/>
      <c r="HJI11" s="113"/>
      <c r="HJJ11" s="113"/>
      <c r="HJK11" s="113"/>
      <c r="HJL11" s="113"/>
      <c r="HJM11" s="113"/>
      <c r="HJN11" s="113"/>
      <c r="HJO11" s="113"/>
      <c r="HJP11" s="113"/>
      <c r="HJQ11" s="113"/>
      <c r="HJR11" s="113"/>
      <c r="HJS11" s="113"/>
      <c r="HJT11" s="113"/>
      <c r="HJU11" s="113"/>
      <c r="HJV11" s="113"/>
      <c r="HJW11" s="113"/>
      <c r="HJX11" s="113"/>
      <c r="HJY11" s="113"/>
      <c r="HJZ11" s="113"/>
      <c r="HKA11" s="113"/>
      <c r="HKB11" s="113"/>
      <c r="HKC11" s="113"/>
      <c r="HKD11" s="113"/>
      <c r="HKE11" s="113"/>
      <c r="HKF11" s="113"/>
      <c r="HKG11" s="113"/>
      <c r="HKH11" s="113"/>
      <c r="HKI11" s="113"/>
      <c r="HKJ11" s="113"/>
      <c r="HKK11" s="113"/>
      <c r="HKL11" s="113"/>
      <c r="HKM11" s="113"/>
      <c r="HKN11" s="113"/>
      <c r="HKO11" s="113"/>
      <c r="HKP11" s="113"/>
      <c r="HKQ11" s="113"/>
      <c r="HKR11" s="113"/>
      <c r="HKS11" s="113"/>
      <c r="HKT11" s="113"/>
      <c r="HKU11" s="113"/>
      <c r="HKV11" s="113"/>
      <c r="HKW11" s="113"/>
      <c r="HKX11" s="113"/>
      <c r="HKY11" s="113"/>
      <c r="HKZ11" s="113"/>
      <c r="HLA11" s="113"/>
      <c r="HLB11" s="113"/>
      <c r="HLC11" s="113"/>
      <c r="HLD11" s="113"/>
      <c r="HLE11" s="113"/>
      <c r="HLF11" s="113"/>
      <c r="HLG11" s="113"/>
      <c r="HLH11" s="113"/>
      <c r="HLI11" s="113"/>
      <c r="HLJ11" s="113"/>
      <c r="HLK11" s="113"/>
      <c r="HLL11" s="113"/>
      <c r="HLM11" s="113"/>
      <c r="HLN11" s="113"/>
      <c r="HLO11" s="113"/>
      <c r="HLP11" s="113"/>
      <c r="HLQ11" s="113"/>
      <c r="HLR11" s="113"/>
      <c r="HLS11" s="113"/>
      <c r="HLT11" s="113"/>
      <c r="HLU11" s="113"/>
      <c r="HLV11" s="113"/>
      <c r="HLW11" s="113"/>
      <c r="HLX11" s="113"/>
      <c r="HLY11" s="113"/>
      <c r="HLZ11" s="113"/>
      <c r="HMA11" s="113"/>
      <c r="HMB11" s="113"/>
      <c r="HMC11" s="113"/>
      <c r="HMD11" s="113"/>
      <c r="HME11" s="113"/>
      <c r="HMF11" s="113"/>
      <c r="HMG11" s="113"/>
      <c r="HMH11" s="113"/>
      <c r="HMI11" s="113"/>
      <c r="HMJ11" s="113"/>
      <c r="HMK11" s="113"/>
      <c r="HML11" s="113"/>
      <c r="HMM11" s="113"/>
      <c r="HMN11" s="113"/>
      <c r="HMO11" s="113"/>
      <c r="HMP11" s="113"/>
      <c r="HMQ11" s="113"/>
      <c r="HMR11" s="113"/>
      <c r="HMS11" s="113"/>
      <c r="HMT11" s="113"/>
      <c r="HMU11" s="113"/>
      <c r="HMV11" s="113"/>
      <c r="HMW11" s="113"/>
      <c r="HMX11" s="113"/>
      <c r="HMY11" s="113"/>
      <c r="HMZ11" s="113"/>
      <c r="HNA11" s="113"/>
      <c r="HNB11" s="113"/>
      <c r="HNC11" s="113"/>
      <c r="HND11" s="113"/>
      <c r="HNE11" s="113"/>
      <c r="HNF11" s="113"/>
      <c r="HNG11" s="113"/>
      <c r="HNH11" s="113"/>
      <c r="HNI11" s="113"/>
      <c r="HNJ11" s="113"/>
      <c r="HNK11" s="113"/>
      <c r="HNL11" s="113"/>
      <c r="HNM11" s="113"/>
      <c r="HNN11" s="113"/>
      <c r="HNO11" s="113"/>
      <c r="HNP11" s="113"/>
      <c r="HNQ11" s="113"/>
      <c r="HNR11" s="113"/>
      <c r="HNS11" s="113"/>
      <c r="HNT11" s="113"/>
      <c r="HNU11" s="113"/>
      <c r="HNV11" s="113"/>
      <c r="HNW11" s="113"/>
      <c r="HNX11" s="113"/>
      <c r="HNY11" s="113"/>
      <c r="HNZ11" s="113"/>
      <c r="HOA11" s="113"/>
      <c r="HOB11" s="113"/>
      <c r="HOC11" s="113"/>
      <c r="HOD11" s="113"/>
      <c r="HOE11" s="113"/>
      <c r="HOF11" s="113"/>
      <c r="HOG11" s="113"/>
      <c r="HOH11" s="113"/>
      <c r="HOI11" s="113"/>
      <c r="HOJ11" s="113"/>
      <c r="HOK11" s="113"/>
      <c r="HOL11" s="113"/>
      <c r="HOM11" s="113"/>
      <c r="HON11" s="113"/>
      <c r="HOO11" s="113"/>
      <c r="HOP11" s="113"/>
      <c r="HOQ11" s="113"/>
      <c r="HOR11" s="113"/>
      <c r="HOS11" s="113"/>
      <c r="HOT11" s="113"/>
      <c r="HOU11" s="113"/>
      <c r="HOV11" s="113"/>
      <c r="HOW11" s="113"/>
      <c r="HOX11" s="113"/>
      <c r="HOY11" s="113"/>
      <c r="HOZ11" s="113"/>
      <c r="HPA11" s="113"/>
      <c r="HPB11" s="113"/>
      <c r="HPC11" s="113"/>
      <c r="HPD11" s="113"/>
      <c r="HPE11" s="113"/>
      <c r="HPF11" s="113"/>
      <c r="HPG11" s="113"/>
      <c r="HPH11" s="113"/>
      <c r="HPI11" s="113"/>
      <c r="HPJ11" s="113"/>
      <c r="HPK11" s="113"/>
      <c r="HPL11" s="113"/>
      <c r="HPM11" s="113"/>
      <c r="HPN11" s="113"/>
      <c r="HPO11" s="113"/>
      <c r="HPP11" s="113"/>
      <c r="HPQ11" s="113"/>
      <c r="HPR11" s="113"/>
      <c r="HPS11" s="113"/>
      <c r="HPT11" s="113"/>
      <c r="HPU11" s="113"/>
      <c r="HPV11" s="113"/>
      <c r="HPW11" s="113"/>
      <c r="HPX11" s="113"/>
      <c r="HPY11" s="113"/>
      <c r="HPZ11" s="113"/>
      <c r="HQA11" s="113"/>
      <c r="HQB11" s="113"/>
      <c r="HQC11" s="113"/>
      <c r="HQD11" s="113"/>
      <c r="HQE11" s="113"/>
      <c r="HQF11" s="113"/>
      <c r="HQG11" s="113"/>
      <c r="HQH11" s="113"/>
      <c r="HQI11" s="113"/>
      <c r="HQJ11" s="113"/>
      <c r="HQK11" s="113"/>
      <c r="HQL11" s="113"/>
      <c r="HQM11" s="113"/>
      <c r="HQN11" s="113"/>
      <c r="HQO11" s="113"/>
      <c r="HQP11" s="113"/>
      <c r="HQQ11" s="113"/>
      <c r="HQR11" s="113"/>
      <c r="HQS11" s="113"/>
      <c r="HQT11" s="113"/>
      <c r="HQU11" s="113"/>
      <c r="HQV11" s="113"/>
      <c r="HQW11" s="113"/>
      <c r="HQX11" s="113"/>
      <c r="HQY11" s="113"/>
      <c r="HQZ11" s="113"/>
      <c r="HRA11" s="113"/>
      <c r="HRB11" s="113"/>
      <c r="HRC11" s="113"/>
      <c r="HRD11" s="113"/>
      <c r="HRE11" s="113"/>
      <c r="HRF11" s="113"/>
      <c r="HRG11" s="113"/>
      <c r="HRH11" s="113"/>
      <c r="HRI11" s="113"/>
      <c r="HRJ11" s="113"/>
      <c r="HRK11" s="113"/>
      <c r="HRL11" s="113"/>
      <c r="HRM11" s="113"/>
      <c r="HRN11" s="113"/>
      <c r="HRO11" s="113"/>
      <c r="HRP11" s="113"/>
      <c r="HRQ11" s="113"/>
      <c r="HRR11" s="113"/>
      <c r="HRS11" s="113"/>
      <c r="HRT11" s="113"/>
      <c r="HRU11" s="113"/>
      <c r="HRV11" s="113"/>
      <c r="HRW11" s="113"/>
      <c r="HRX11" s="113"/>
      <c r="HRY11" s="113"/>
      <c r="HRZ11" s="113"/>
      <c r="HSA11" s="113"/>
      <c r="HSB11" s="113"/>
      <c r="HSC11" s="113"/>
      <c r="HSD11" s="113"/>
      <c r="HSE11" s="113"/>
      <c r="HSF11" s="113"/>
      <c r="HSG11" s="113"/>
      <c r="HSH11" s="113"/>
      <c r="HSI11" s="113"/>
      <c r="HSJ11" s="113"/>
      <c r="HSK11" s="113"/>
      <c r="HSL11" s="113"/>
      <c r="HSM11" s="113"/>
      <c r="HSN11" s="113"/>
      <c r="HSO11" s="113"/>
      <c r="HSP11" s="113"/>
      <c r="HSQ11" s="113"/>
      <c r="HSR11" s="113"/>
      <c r="HSS11" s="113"/>
      <c r="HST11" s="113"/>
      <c r="HSU11" s="113"/>
      <c r="HSV11" s="113"/>
      <c r="HSW11" s="113"/>
      <c r="HSX11" s="113"/>
      <c r="HSY11" s="113"/>
      <c r="HSZ11" s="113"/>
      <c r="HTA11" s="113"/>
      <c r="HTB11" s="113"/>
      <c r="HTC11" s="113"/>
      <c r="HTD11" s="113"/>
      <c r="HTE11" s="113"/>
      <c r="HTF11" s="113"/>
      <c r="HTG11" s="113"/>
      <c r="HTH11" s="113"/>
      <c r="HTI11" s="113"/>
      <c r="HTJ11" s="113"/>
      <c r="HTK11" s="113"/>
      <c r="HTL11" s="113"/>
      <c r="HTM11" s="113"/>
      <c r="HTN11" s="113"/>
      <c r="HTO11" s="113"/>
      <c r="HTP11" s="113"/>
      <c r="HTQ11" s="113"/>
      <c r="HTR11" s="113"/>
      <c r="HTS11" s="113"/>
      <c r="HTT11" s="113"/>
      <c r="HTU11" s="113"/>
      <c r="HTV11" s="113"/>
      <c r="HTW11" s="113"/>
      <c r="HTX11" s="113"/>
      <c r="HTY11" s="113"/>
      <c r="HTZ11" s="113"/>
      <c r="HUA11" s="113"/>
      <c r="HUB11" s="113"/>
      <c r="HUC11" s="113"/>
      <c r="HUD11" s="113"/>
      <c r="HUE11" s="113"/>
      <c r="HUF11" s="113"/>
      <c r="HUG11" s="113"/>
      <c r="HUH11" s="113"/>
      <c r="HUI11" s="113"/>
      <c r="HUJ11" s="113"/>
      <c r="HUK11" s="113"/>
      <c r="HUL11" s="113"/>
      <c r="HUM11" s="113"/>
      <c r="HUN11" s="113"/>
      <c r="HUO11" s="113"/>
      <c r="HUP11" s="113"/>
      <c r="HUQ11" s="113"/>
      <c r="HUR11" s="113"/>
      <c r="HUS11" s="113"/>
      <c r="HUT11" s="113"/>
      <c r="HUU11" s="113"/>
      <c r="HUV11" s="113"/>
      <c r="HUW11" s="113"/>
      <c r="HUX11" s="113"/>
      <c r="HUY11" s="113"/>
      <c r="HUZ11" s="113"/>
      <c r="HVA11" s="113"/>
      <c r="HVB11" s="113"/>
      <c r="HVC11" s="113"/>
      <c r="HVD11" s="113"/>
      <c r="HVE11" s="113"/>
      <c r="HVF11" s="113"/>
      <c r="HVG11" s="113"/>
      <c r="HVH11" s="113"/>
      <c r="HVI11" s="113"/>
      <c r="HVJ11" s="113"/>
      <c r="HVK11" s="113"/>
      <c r="HVL11" s="113"/>
      <c r="HVM11" s="113"/>
      <c r="HVN11" s="113"/>
      <c r="HVO11" s="113"/>
      <c r="HVP11" s="113"/>
      <c r="HVQ11" s="113"/>
      <c r="HVR11" s="113"/>
      <c r="HVS11" s="113"/>
      <c r="HVT11" s="113"/>
      <c r="HVU11" s="113"/>
      <c r="HVV11" s="113"/>
      <c r="HVW11" s="113"/>
      <c r="HVX11" s="113"/>
      <c r="HVY11" s="113"/>
      <c r="HVZ11" s="113"/>
      <c r="HWA11" s="113"/>
      <c r="HWB11" s="113"/>
      <c r="HWC11" s="113"/>
      <c r="HWD11" s="113"/>
      <c r="HWE11" s="113"/>
      <c r="HWF11" s="113"/>
      <c r="HWG11" s="113"/>
      <c r="HWH11" s="113"/>
      <c r="HWI11" s="113"/>
      <c r="HWJ11" s="113"/>
      <c r="HWK11" s="113"/>
      <c r="HWL11" s="113"/>
      <c r="HWM11" s="113"/>
      <c r="HWN11" s="113"/>
      <c r="HWO11" s="113"/>
      <c r="HWP11" s="113"/>
      <c r="HWQ11" s="113"/>
      <c r="HWR11" s="113"/>
      <c r="HWS11" s="113"/>
      <c r="HWT11" s="113"/>
      <c r="HWU11" s="113"/>
      <c r="HWV11" s="113"/>
      <c r="HWW11" s="113"/>
      <c r="HWX11" s="113"/>
      <c r="HWY11" s="113"/>
      <c r="HWZ11" s="113"/>
      <c r="HXA11" s="113"/>
      <c r="HXB11" s="113"/>
      <c r="HXC11" s="113"/>
      <c r="HXD11" s="113"/>
      <c r="HXE11" s="113"/>
      <c r="HXF11" s="113"/>
      <c r="HXG11" s="113"/>
      <c r="HXH11" s="113"/>
      <c r="HXI11" s="113"/>
      <c r="HXJ11" s="113"/>
      <c r="HXK11" s="113"/>
      <c r="HXL11" s="113"/>
      <c r="HXM11" s="113"/>
      <c r="HXN11" s="113"/>
      <c r="HXO11" s="113"/>
      <c r="HXP11" s="113"/>
      <c r="HXQ11" s="113"/>
      <c r="HXR11" s="113"/>
      <c r="HXS11" s="113"/>
      <c r="HXT11" s="113"/>
      <c r="HXU11" s="113"/>
      <c r="HXV11" s="113"/>
      <c r="HXW11" s="113"/>
      <c r="HXX11" s="113"/>
      <c r="HXY11" s="113"/>
      <c r="HXZ11" s="113"/>
      <c r="HYA11" s="113"/>
      <c r="HYB11" s="113"/>
      <c r="HYC11" s="113"/>
      <c r="HYD11" s="113"/>
      <c r="HYE11" s="113"/>
      <c r="HYF11" s="113"/>
      <c r="HYG11" s="113"/>
      <c r="HYH11" s="113"/>
      <c r="HYI11" s="113"/>
      <c r="HYJ11" s="113"/>
      <c r="HYK11" s="113"/>
      <c r="HYL11" s="113"/>
      <c r="HYM11" s="113"/>
      <c r="HYN11" s="113"/>
      <c r="HYO11" s="113"/>
      <c r="HYP11" s="113"/>
      <c r="HYQ11" s="113"/>
      <c r="HYR11" s="113"/>
      <c r="HYS11" s="113"/>
      <c r="HYT11" s="113"/>
      <c r="HYU11" s="113"/>
      <c r="HYV11" s="113"/>
      <c r="HYW11" s="113"/>
      <c r="HYX11" s="113"/>
      <c r="HYY11" s="113"/>
      <c r="HYZ11" s="113"/>
      <c r="HZA11" s="113"/>
      <c r="HZB11" s="113"/>
      <c r="HZC11" s="113"/>
      <c r="HZD11" s="113"/>
      <c r="HZE11" s="113"/>
      <c r="HZF11" s="113"/>
      <c r="HZG11" s="113"/>
      <c r="HZH11" s="113"/>
      <c r="HZI11" s="113"/>
      <c r="HZJ11" s="113"/>
      <c r="HZK11" s="113"/>
      <c r="HZL11" s="113"/>
      <c r="HZM11" s="113"/>
      <c r="HZN11" s="113"/>
      <c r="HZO11" s="113"/>
      <c r="HZP11" s="113"/>
      <c r="HZQ11" s="113"/>
      <c r="HZR11" s="113"/>
      <c r="HZS11" s="113"/>
      <c r="HZT11" s="113"/>
      <c r="HZU11" s="113"/>
      <c r="HZV11" s="113"/>
      <c r="HZW11" s="113"/>
      <c r="HZX11" s="113"/>
      <c r="HZY11" s="113"/>
      <c r="HZZ11" s="113"/>
      <c r="IAA11" s="113"/>
      <c r="IAB11" s="113"/>
      <c r="IAC11" s="113"/>
      <c r="IAD11" s="113"/>
      <c r="IAE11" s="113"/>
      <c r="IAF11" s="113"/>
      <c r="IAG11" s="113"/>
      <c r="IAH11" s="113"/>
      <c r="IAI11" s="113"/>
      <c r="IAJ11" s="113"/>
      <c r="IAK11" s="113"/>
      <c r="IAL11" s="113"/>
      <c r="IAM11" s="113"/>
      <c r="IAN11" s="113"/>
      <c r="IAO11" s="113"/>
      <c r="IAP11" s="113"/>
      <c r="IAQ11" s="113"/>
      <c r="IAR11" s="113"/>
      <c r="IAS11" s="113"/>
      <c r="IAT11" s="113"/>
      <c r="IAU11" s="113"/>
      <c r="IAV11" s="113"/>
      <c r="IAW11" s="113"/>
      <c r="IAX11" s="113"/>
      <c r="IAY11" s="113"/>
      <c r="IAZ11" s="113"/>
      <c r="IBA11" s="113"/>
      <c r="IBB11" s="113"/>
      <c r="IBC11" s="113"/>
      <c r="IBD11" s="113"/>
      <c r="IBE11" s="113"/>
      <c r="IBF11" s="113"/>
      <c r="IBG11" s="113"/>
      <c r="IBH11" s="113"/>
      <c r="IBI11" s="113"/>
      <c r="IBJ11" s="113"/>
      <c r="IBK11" s="113"/>
      <c r="IBL11" s="113"/>
      <c r="IBM11" s="113"/>
      <c r="IBN11" s="113"/>
      <c r="IBO11" s="113"/>
      <c r="IBP11" s="113"/>
      <c r="IBQ11" s="113"/>
      <c r="IBR11" s="113"/>
      <c r="IBS11" s="113"/>
      <c r="IBT11" s="113"/>
      <c r="IBU11" s="113"/>
      <c r="IBV11" s="113"/>
      <c r="IBW11" s="113"/>
      <c r="IBX11" s="113"/>
      <c r="IBY11" s="113"/>
      <c r="IBZ11" s="113"/>
      <c r="ICA11" s="113"/>
      <c r="ICB11" s="113"/>
      <c r="ICC11" s="113"/>
      <c r="ICD11" s="113"/>
      <c r="ICE11" s="113"/>
      <c r="ICF11" s="113"/>
      <c r="ICG11" s="113"/>
      <c r="ICH11" s="113"/>
      <c r="ICI11" s="113"/>
      <c r="ICJ11" s="113"/>
      <c r="ICK11" s="113"/>
      <c r="ICL11" s="113"/>
      <c r="ICM11" s="113"/>
      <c r="ICN11" s="113"/>
      <c r="ICO11" s="113"/>
      <c r="ICP11" s="113"/>
      <c r="ICQ11" s="113"/>
      <c r="ICR11" s="113"/>
      <c r="ICS11" s="113"/>
      <c r="ICT11" s="113"/>
      <c r="ICU11" s="113"/>
      <c r="ICV11" s="113"/>
      <c r="ICW11" s="113"/>
      <c r="ICX11" s="113"/>
      <c r="ICY11" s="113"/>
      <c r="ICZ11" s="113"/>
      <c r="IDA11" s="113"/>
      <c r="IDB11" s="113"/>
      <c r="IDC11" s="113"/>
      <c r="IDD11" s="113"/>
      <c r="IDE11" s="113"/>
      <c r="IDF11" s="113"/>
      <c r="IDG11" s="113"/>
      <c r="IDH11" s="113"/>
      <c r="IDI11" s="113"/>
      <c r="IDJ11" s="113"/>
      <c r="IDK11" s="113"/>
      <c r="IDL11" s="113"/>
      <c r="IDM11" s="113"/>
      <c r="IDN11" s="113"/>
      <c r="IDO11" s="113"/>
      <c r="IDP11" s="113"/>
      <c r="IDQ11" s="113"/>
      <c r="IDR11" s="113"/>
      <c r="IDS11" s="113"/>
      <c r="IDT11" s="113"/>
      <c r="IDU11" s="113"/>
      <c r="IDV11" s="113"/>
      <c r="IDW11" s="113"/>
      <c r="IDX11" s="113"/>
      <c r="IDY11" s="113"/>
      <c r="IDZ11" s="113"/>
      <c r="IEA11" s="113"/>
      <c r="IEB11" s="113"/>
      <c r="IEC11" s="113"/>
      <c r="IED11" s="113"/>
      <c r="IEE11" s="113"/>
      <c r="IEF11" s="113"/>
      <c r="IEG11" s="113"/>
      <c r="IEH11" s="113"/>
      <c r="IEI11" s="113"/>
      <c r="IEJ11" s="113"/>
      <c r="IEK11" s="113"/>
      <c r="IEL11" s="113"/>
      <c r="IEM11" s="113"/>
      <c r="IEN11" s="113"/>
      <c r="IEO11" s="113"/>
      <c r="IEP11" s="113"/>
      <c r="IEQ11" s="113"/>
      <c r="IER11" s="113"/>
      <c r="IES11" s="113"/>
      <c r="IET11" s="113"/>
      <c r="IEU11" s="113"/>
      <c r="IEV11" s="113"/>
      <c r="IEW11" s="113"/>
      <c r="IEX11" s="113"/>
      <c r="IEY11" s="113"/>
      <c r="IEZ11" s="113"/>
      <c r="IFA11" s="113"/>
      <c r="IFB11" s="113"/>
      <c r="IFC11" s="113"/>
      <c r="IFD11" s="113"/>
      <c r="IFE11" s="113"/>
      <c r="IFF11" s="113"/>
      <c r="IFG11" s="113"/>
      <c r="IFH11" s="113"/>
      <c r="IFI11" s="113"/>
      <c r="IFJ11" s="113"/>
      <c r="IFK11" s="113"/>
      <c r="IFL11" s="113"/>
      <c r="IFM11" s="113"/>
      <c r="IFN11" s="113"/>
      <c r="IFO11" s="113"/>
      <c r="IFP11" s="113"/>
      <c r="IFQ11" s="113"/>
      <c r="IFR11" s="113"/>
      <c r="IFS11" s="113"/>
      <c r="IFT11" s="113"/>
      <c r="IFU11" s="113"/>
      <c r="IFV11" s="113"/>
      <c r="IFW11" s="113"/>
      <c r="IFX11" s="113"/>
      <c r="IFY11" s="113"/>
      <c r="IFZ11" s="113"/>
      <c r="IGA11" s="113"/>
      <c r="IGB11" s="113"/>
      <c r="IGC11" s="113"/>
      <c r="IGD11" s="113"/>
      <c r="IGE11" s="113"/>
      <c r="IGF11" s="113"/>
      <c r="IGG11" s="113"/>
      <c r="IGH11" s="113"/>
      <c r="IGI11" s="113"/>
      <c r="IGJ11" s="113"/>
      <c r="IGK11" s="113"/>
      <c r="IGL11" s="113"/>
      <c r="IGM11" s="113"/>
      <c r="IGN11" s="113"/>
      <c r="IGO11" s="113"/>
      <c r="IGP11" s="113"/>
      <c r="IGQ11" s="113"/>
      <c r="IGR11" s="113"/>
      <c r="IGS11" s="113"/>
      <c r="IGT11" s="113"/>
      <c r="IGU11" s="113"/>
      <c r="IGV11" s="113"/>
      <c r="IGW11" s="113"/>
      <c r="IGX11" s="113"/>
      <c r="IGY11" s="113"/>
      <c r="IGZ11" s="113"/>
      <c r="IHA11" s="113"/>
      <c r="IHB11" s="113"/>
      <c r="IHC11" s="113"/>
      <c r="IHD11" s="113"/>
      <c r="IHE11" s="113"/>
      <c r="IHF11" s="113"/>
      <c r="IHG11" s="113"/>
      <c r="IHH11" s="113"/>
      <c r="IHI11" s="113"/>
      <c r="IHJ11" s="113"/>
      <c r="IHK11" s="113"/>
      <c r="IHL11" s="113"/>
      <c r="IHM11" s="113"/>
      <c r="IHN11" s="113"/>
      <c r="IHO11" s="113"/>
      <c r="IHP11" s="113"/>
      <c r="IHQ11" s="113"/>
      <c r="IHR11" s="113"/>
      <c r="IHS11" s="113"/>
      <c r="IHT11" s="113"/>
      <c r="IHU11" s="113"/>
      <c r="IHV11" s="113"/>
      <c r="IHW11" s="113"/>
      <c r="IHX11" s="113"/>
      <c r="IHY11" s="113"/>
      <c r="IHZ11" s="113"/>
      <c r="IIA11" s="113"/>
      <c r="IIB11" s="113"/>
      <c r="IIC11" s="113"/>
      <c r="IID11" s="113"/>
      <c r="IIE11" s="113"/>
      <c r="IIF11" s="113"/>
      <c r="IIG11" s="113"/>
      <c r="IIH11" s="113"/>
      <c r="III11" s="113"/>
      <c r="IIJ11" s="113"/>
      <c r="IIK11" s="113"/>
      <c r="IIL11" s="113"/>
      <c r="IIM11" s="113"/>
      <c r="IIN11" s="113"/>
      <c r="IIO11" s="113"/>
      <c r="IIP11" s="113"/>
      <c r="IIQ11" s="113"/>
      <c r="IIR11" s="113"/>
      <c r="IIS11" s="113"/>
      <c r="IIT11" s="113"/>
      <c r="IIU11" s="113"/>
      <c r="IIV11" s="113"/>
      <c r="IIW11" s="113"/>
      <c r="IIX11" s="113"/>
      <c r="IIY11" s="113"/>
      <c r="IIZ11" s="113"/>
      <c r="IJA11" s="113"/>
      <c r="IJB11" s="113"/>
      <c r="IJC11" s="113"/>
      <c r="IJD11" s="113"/>
      <c r="IJE11" s="113"/>
      <c r="IJF11" s="113"/>
      <c r="IJG11" s="113"/>
      <c r="IJH11" s="113"/>
      <c r="IJI11" s="113"/>
      <c r="IJJ11" s="113"/>
      <c r="IJK11" s="113"/>
      <c r="IJL11" s="113"/>
      <c r="IJM11" s="113"/>
      <c r="IJN11" s="113"/>
      <c r="IJO11" s="113"/>
      <c r="IJP11" s="113"/>
      <c r="IJQ11" s="113"/>
      <c r="IJR11" s="113"/>
      <c r="IJS11" s="113"/>
      <c r="IJT11" s="113"/>
      <c r="IJU11" s="113"/>
      <c r="IJV11" s="113"/>
      <c r="IJW11" s="113"/>
      <c r="IJX11" s="113"/>
      <c r="IJY11" s="113"/>
      <c r="IJZ11" s="113"/>
      <c r="IKA11" s="113"/>
      <c r="IKB11" s="113"/>
      <c r="IKC11" s="113"/>
      <c r="IKD11" s="113"/>
      <c r="IKE11" s="113"/>
      <c r="IKF11" s="113"/>
      <c r="IKG11" s="113"/>
      <c r="IKH11" s="113"/>
      <c r="IKI11" s="113"/>
      <c r="IKJ11" s="113"/>
      <c r="IKK11" s="113"/>
      <c r="IKL11" s="113"/>
      <c r="IKM11" s="113"/>
      <c r="IKN11" s="113"/>
      <c r="IKO11" s="113"/>
      <c r="IKP11" s="113"/>
      <c r="IKQ11" s="113"/>
      <c r="IKR11" s="113"/>
      <c r="IKS11" s="113"/>
      <c r="IKT11" s="113"/>
      <c r="IKU11" s="113"/>
      <c r="IKV11" s="113"/>
      <c r="IKW11" s="113"/>
      <c r="IKX11" s="113"/>
      <c r="IKY11" s="113"/>
      <c r="IKZ11" s="113"/>
      <c r="ILA11" s="113"/>
      <c r="ILB11" s="113"/>
      <c r="ILC11" s="113"/>
      <c r="ILD11" s="113"/>
      <c r="ILE11" s="113"/>
      <c r="ILF11" s="113"/>
      <c r="ILG11" s="113"/>
      <c r="ILH11" s="113"/>
      <c r="ILI11" s="113"/>
      <c r="ILJ11" s="113"/>
      <c r="ILK11" s="113"/>
      <c r="ILL11" s="113"/>
      <c r="ILM11" s="113"/>
      <c r="ILN11" s="113"/>
      <c r="ILO11" s="113"/>
      <c r="ILP11" s="113"/>
      <c r="ILQ11" s="113"/>
      <c r="ILR11" s="113"/>
      <c r="ILS11" s="113"/>
      <c r="ILT11" s="113"/>
      <c r="ILU11" s="113"/>
      <c r="ILV11" s="113"/>
      <c r="ILW11" s="113"/>
      <c r="ILX11" s="113"/>
      <c r="ILY11" s="113"/>
      <c r="ILZ11" s="113"/>
      <c r="IMA11" s="113"/>
      <c r="IMB11" s="113"/>
      <c r="IMC11" s="113"/>
      <c r="IMD11" s="113"/>
      <c r="IME11" s="113"/>
      <c r="IMF11" s="113"/>
      <c r="IMG11" s="113"/>
      <c r="IMH11" s="113"/>
      <c r="IMI11" s="113"/>
      <c r="IMJ11" s="113"/>
      <c r="IMK11" s="113"/>
      <c r="IML11" s="113"/>
      <c r="IMM11" s="113"/>
      <c r="IMN11" s="113"/>
      <c r="IMO11" s="113"/>
      <c r="IMP11" s="113"/>
      <c r="IMQ11" s="113"/>
      <c r="IMR11" s="113"/>
      <c r="IMS11" s="113"/>
      <c r="IMT11" s="113"/>
      <c r="IMU11" s="113"/>
      <c r="IMV11" s="113"/>
      <c r="IMW11" s="113"/>
      <c r="IMX11" s="113"/>
      <c r="IMY11" s="113"/>
      <c r="IMZ11" s="113"/>
      <c r="INA11" s="113"/>
      <c r="INB11" s="113"/>
      <c r="INC11" s="113"/>
      <c r="IND11" s="113"/>
      <c r="INE11" s="113"/>
      <c r="INF11" s="113"/>
      <c r="ING11" s="113"/>
      <c r="INH11" s="113"/>
      <c r="INI11" s="113"/>
      <c r="INJ11" s="113"/>
      <c r="INK11" s="113"/>
      <c r="INL11" s="113"/>
      <c r="INM11" s="113"/>
      <c r="INN11" s="113"/>
      <c r="INO11" s="113"/>
      <c r="INP11" s="113"/>
      <c r="INQ11" s="113"/>
      <c r="INR11" s="113"/>
      <c r="INS11" s="113"/>
      <c r="INT11" s="113"/>
      <c r="INU11" s="113"/>
      <c r="INV11" s="113"/>
      <c r="INW11" s="113"/>
      <c r="INX11" s="113"/>
      <c r="INY11" s="113"/>
      <c r="INZ11" s="113"/>
      <c r="IOA11" s="113"/>
      <c r="IOB11" s="113"/>
      <c r="IOC11" s="113"/>
      <c r="IOD11" s="113"/>
      <c r="IOE11" s="113"/>
      <c r="IOF11" s="113"/>
      <c r="IOG11" s="113"/>
      <c r="IOH11" s="113"/>
      <c r="IOI11" s="113"/>
      <c r="IOJ11" s="113"/>
      <c r="IOK11" s="113"/>
      <c r="IOL11" s="113"/>
      <c r="IOM11" s="113"/>
      <c r="ION11" s="113"/>
      <c r="IOO11" s="113"/>
      <c r="IOP11" s="113"/>
      <c r="IOQ11" s="113"/>
      <c r="IOR11" s="113"/>
      <c r="IOS11" s="113"/>
      <c r="IOT11" s="113"/>
      <c r="IOU11" s="113"/>
      <c r="IOV11" s="113"/>
      <c r="IOW11" s="113"/>
      <c r="IOX11" s="113"/>
      <c r="IOY11" s="113"/>
      <c r="IOZ11" s="113"/>
      <c r="IPA11" s="113"/>
      <c r="IPB11" s="113"/>
      <c r="IPC11" s="113"/>
      <c r="IPD11" s="113"/>
      <c r="IPE11" s="113"/>
      <c r="IPF11" s="113"/>
      <c r="IPG11" s="113"/>
      <c r="IPH11" s="113"/>
      <c r="IPI11" s="113"/>
      <c r="IPJ11" s="113"/>
      <c r="IPK11" s="113"/>
      <c r="IPL11" s="113"/>
      <c r="IPM11" s="113"/>
      <c r="IPN11" s="113"/>
      <c r="IPO11" s="113"/>
      <c r="IPP11" s="113"/>
      <c r="IPQ11" s="113"/>
      <c r="IPR11" s="113"/>
      <c r="IPS11" s="113"/>
      <c r="IPT11" s="113"/>
      <c r="IPU11" s="113"/>
      <c r="IPV11" s="113"/>
      <c r="IPW11" s="113"/>
      <c r="IPX11" s="113"/>
      <c r="IPY11" s="113"/>
      <c r="IPZ11" s="113"/>
      <c r="IQA11" s="113"/>
      <c r="IQB11" s="113"/>
      <c r="IQC11" s="113"/>
      <c r="IQD11" s="113"/>
      <c r="IQE11" s="113"/>
      <c r="IQF11" s="113"/>
      <c r="IQG11" s="113"/>
      <c r="IQH11" s="113"/>
      <c r="IQI11" s="113"/>
      <c r="IQJ11" s="113"/>
      <c r="IQK11" s="113"/>
      <c r="IQL11" s="113"/>
      <c r="IQM11" s="113"/>
      <c r="IQN11" s="113"/>
      <c r="IQO11" s="113"/>
      <c r="IQP11" s="113"/>
      <c r="IQQ11" s="113"/>
      <c r="IQR11" s="113"/>
      <c r="IQS11" s="113"/>
      <c r="IQT11" s="113"/>
      <c r="IQU11" s="113"/>
      <c r="IQV11" s="113"/>
      <c r="IQW11" s="113"/>
      <c r="IQX11" s="113"/>
      <c r="IQY11" s="113"/>
      <c r="IQZ11" s="113"/>
      <c r="IRA11" s="113"/>
      <c r="IRB11" s="113"/>
      <c r="IRC11" s="113"/>
      <c r="IRD11" s="113"/>
      <c r="IRE11" s="113"/>
      <c r="IRF11" s="113"/>
      <c r="IRG11" s="113"/>
      <c r="IRH11" s="113"/>
      <c r="IRI11" s="113"/>
      <c r="IRJ11" s="113"/>
      <c r="IRK11" s="113"/>
      <c r="IRL11" s="113"/>
      <c r="IRM11" s="113"/>
      <c r="IRN11" s="113"/>
      <c r="IRO11" s="113"/>
      <c r="IRP11" s="113"/>
      <c r="IRQ11" s="113"/>
      <c r="IRR11" s="113"/>
      <c r="IRS11" s="113"/>
      <c r="IRT11" s="113"/>
      <c r="IRU11" s="113"/>
      <c r="IRV11" s="113"/>
      <c r="IRW11" s="113"/>
      <c r="IRX11" s="113"/>
      <c r="IRY11" s="113"/>
      <c r="IRZ11" s="113"/>
      <c r="ISA11" s="113"/>
      <c r="ISB11" s="113"/>
      <c r="ISC11" s="113"/>
      <c r="ISD11" s="113"/>
      <c r="ISE11" s="113"/>
      <c r="ISF11" s="113"/>
      <c r="ISG11" s="113"/>
      <c r="ISH11" s="113"/>
      <c r="ISI11" s="113"/>
      <c r="ISJ11" s="113"/>
      <c r="ISK11" s="113"/>
      <c r="ISL11" s="113"/>
      <c r="ISM11" s="113"/>
      <c r="ISN11" s="113"/>
      <c r="ISO11" s="113"/>
      <c r="ISP11" s="113"/>
      <c r="ISQ11" s="113"/>
      <c r="ISR11" s="113"/>
      <c r="ISS11" s="113"/>
      <c r="IST11" s="113"/>
      <c r="ISU11" s="113"/>
      <c r="ISV11" s="113"/>
      <c r="ISW11" s="113"/>
      <c r="ISX11" s="113"/>
      <c r="ISY11" s="113"/>
      <c r="ISZ11" s="113"/>
      <c r="ITA11" s="113"/>
      <c r="ITB11" s="113"/>
      <c r="ITC11" s="113"/>
      <c r="ITD11" s="113"/>
      <c r="ITE11" s="113"/>
      <c r="ITF11" s="113"/>
      <c r="ITG11" s="113"/>
      <c r="ITH11" s="113"/>
      <c r="ITI11" s="113"/>
      <c r="ITJ11" s="113"/>
      <c r="ITK11" s="113"/>
      <c r="ITL11" s="113"/>
      <c r="ITM11" s="113"/>
      <c r="ITN11" s="113"/>
      <c r="ITO11" s="113"/>
      <c r="ITP11" s="113"/>
      <c r="ITQ11" s="113"/>
      <c r="ITR11" s="113"/>
      <c r="ITS11" s="113"/>
      <c r="ITT11" s="113"/>
      <c r="ITU11" s="113"/>
      <c r="ITV11" s="113"/>
      <c r="ITW11" s="113"/>
      <c r="ITX11" s="113"/>
      <c r="ITY11" s="113"/>
      <c r="ITZ11" s="113"/>
      <c r="IUA11" s="113"/>
      <c r="IUB11" s="113"/>
      <c r="IUC11" s="113"/>
      <c r="IUD11" s="113"/>
      <c r="IUE11" s="113"/>
      <c r="IUF11" s="113"/>
      <c r="IUG11" s="113"/>
      <c r="IUH11" s="113"/>
      <c r="IUI11" s="113"/>
      <c r="IUJ11" s="113"/>
      <c r="IUK11" s="113"/>
      <c r="IUL11" s="113"/>
      <c r="IUM11" s="113"/>
      <c r="IUN11" s="113"/>
      <c r="IUO11" s="113"/>
      <c r="IUP11" s="113"/>
      <c r="IUQ11" s="113"/>
      <c r="IUR11" s="113"/>
      <c r="IUS11" s="113"/>
      <c r="IUT11" s="113"/>
      <c r="IUU11" s="113"/>
      <c r="IUV11" s="113"/>
      <c r="IUW11" s="113"/>
      <c r="IUX11" s="113"/>
      <c r="IUY11" s="113"/>
      <c r="IUZ11" s="113"/>
      <c r="IVA11" s="113"/>
      <c r="IVB11" s="113"/>
      <c r="IVC11" s="113"/>
      <c r="IVD11" s="113"/>
      <c r="IVE11" s="113"/>
      <c r="IVF11" s="113"/>
      <c r="IVG11" s="113"/>
      <c r="IVH11" s="113"/>
      <c r="IVI11" s="113"/>
      <c r="IVJ11" s="113"/>
      <c r="IVK11" s="113"/>
      <c r="IVL11" s="113"/>
      <c r="IVM11" s="113"/>
      <c r="IVN11" s="113"/>
      <c r="IVO11" s="113"/>
      <c r="IVP11" s="113"/>
      <c r="IVQ11" s="113"/>
      <c r="IVR11" s="113"/>
      <c r="IVS11" s="113"/>
      <c r="IVT11" s="113"/>
      <c r="IVU11" s="113"/>
      <c r="IVV11" s="113"/>
      <c r="IVW11" s="113"/>
      <c r="IVX11" s="113"/>
      <c r="IVY11" s="113"/>
      <c r="IVZ11" s="113"/>
      <c r="IWA11" s="113"/>
      <c r="IWB11" s="113"/>
      <c r="IWC11" s="113"/>
      <c r="IWD11" s="113"/>
      <c r="IWE11" s="113"/>
      <c r="IWF11" s="113"/>
      <c r="IWG11" s="113"/>
      <c r="IWH11" s="113"/>
      <c r="IWI11" s="113"/>
      <c r="IWJ11" s="113"/>
      <c r="IWK11" s="113"/>
      <c r="IWL11" s="113"/>
      <c r="IWM11" s="113"/>
      <c r="IWN11" s="113"/>
      <c r="IWO11" s="113"/>
      <c r="IWP11" s="113"/>
      <c r="IWQ11" s="113"/>
      <c r="IWR11" s="113"/>
      <c r="IWS11" s="113"/>
      <c r="IWT11" s="113"/>
      <c r="IWU11" s="113"/>
      <c r="IWV11" s="113"/>
      <c r="IWW11" s="113"/>
      <c r="IWX11" s="113"/>
      <c r="IWY11" s="113"/>
      <c r="IWZ11" s="113"/>
      <c r="IXA11" s="113"/>
      <c r="IXB11" s="113"/>
      <c r="IXC11" s="113"/>
      <c r="IXD11" s="113"/>
      <c r="IXE11" s="113"/>
      <c r="IXF11" s="113"/>
      <c r="IXG11" s="113"/>
      <c r="IXH11" s="113"/>
      <c r="IXI11" s="113"/>
      <c r="IXJ11" s="113"/>
      <c r="IXK11" s="113"/>
      <c r="IXL11" s="113"/>
      <c r="IXM11" s="113"/>
      <c r="IXN11" s="113"/>
      <c r="IXO11" s="113"/>
      <c r="IXP11" s="113"/>
      <c r="IXQ11" s="113"/>
      <c r="IXR11" s="113"/>
      <c r="IXS11" s="113"/>
      <c r="IXT11" s="113"/>
      <c r="IXU11" s="113"/>
      <c r="IXV11" s="113"/>
      <c r="IXW11" s="113"/>
      <c r="IXX11" s="113"/>
      <c r="IXY11" s="113"/>
      <c r="IXZ11" s="113"/>
      <c r="IYA11" s="113"/>
      <c r="IYB11" s="113"/>
      <c r="IYC11" s="113"/>
      <c r="IYD11" s="113"/>
      <c r="IYE11" s="113"/>
      <c r="IYF11" s="113"/>
      <c r="IYG11" s="113"/>
      <c r="IYH11" s="113"/>
      <c r="IYI11" s="113"/>
      <c r="IYJ11" s="113"/>
      <c r="IYK11" s="113"/>
      <c r="IYL11" s="113"/>
      <c r="IYM11" s="113"/>
      <c r="IYN11" s="113"/>
      <c r="IYO11" s="113"/>
      <c r="IYP11" s="113"/>
      <c r="IYQ11" s="113"/>
      <c r="IYR11" s="113"/>
      <c r="IYS11" s="113"/>
      <c r="IYT11" s="113"/>
      <c r="IYU11" s="113"/>
      <c r="IYV11" s="113"/>
      <c r="IYW11" s="113"/>
      <c r="IYX11" s="113"/>
      <c r="IYY11" s="113"/>
      <c r="IYZ11" s="113"/>
      <c r="IZA11" s="113"/>
      <c r="IZB11" s="113"/>
      <c r="IZC11" s="113"/>
      <c r="IZD11" s="113"/>
      <c r="IZE11" s="113"/>
      <c r="IZF11" s="113"/>
      <c r="IZG11" s="113"/>
      <c r="IZH11" s="113"/>
      <c r="IZI11" s="113"/>
      <c r="IZJ11" s="113"/>
      <c r="IZK11" s="113"/>
      <c r="IZL11" s="113"/>
      <c r="IZM11" s="113"/>
      <c r="IZN11" s="113"/>
      <c r="IZO11" s="113"/>
      <c r="IZP11" s="113"/>
      <c r="IZQ11" s="113"/>
      <c r="IZR11" s="113"/>
      <c r="IZS11" s="113"/>
      <c r="IZT11" s="113"/>
      <c r="IZU11" s="113"/>
      <c r="IZV11" s="113"/>
      <c r="IZW11" s="113"/>
      <c r="IZX11" s="113"/>
      <c r="IZY11" s="113"/>
      <c r="IZZ11" s="113"/>
      <c r="JAA11" s="113"/>
      <c r="JAB11" s="113"/>
      <c r="JAC11" s="113"/>
      <c r="JAD11" s="113"/>
      <c r="JAE11" s="113"/>
      <c r="JAF11" s="113"/>
      <c r="JAG11" s="113"/>
      <c r="JAH11" s="113"/>
      <c r="JAI11" s="113"/>
      <c r="JAJ11" s="113"/>
      <c r="JAK11" s="113"/>
      <c r="JAL11" s="113"/>
      <c r="JAM11" s="113"/>
      <c r="JAN11" s="113"/>
      <c r="JAO11" s="113"/>
      <c r="JAP11" s="113"/>
      <c r="JAQ11" s="113"/>
      <c r="JAR11" s="113"/>
      <c r="JAS11" s="113"/>
      <c r="JAT11" s="113"/>
      <c r="JAU11" s="113"/>
      <c r="JAV11" s="113"/>
      <c r="JAW11" s="113"/>
      <c r="JAX11" s="113"/>
      <c r="JAY11" s="113"/>
      <c r="JAZ11" s="113"/>
      <c r="JBA11" s="113"/>
      <c r="JBB11" s="113"/>
      <c r="JBC11" s="113"/>
      <c r="JBD11" s="113"/>
      <c r="JBE11" s="113"/>
      <c r="JBF11" s="113"/>
      <c r="JBG11" s="113"/>
      <c r="JBH11" s="113"/>
      <c r="JBI11" s="113"/>
      <c r="JBJ11" s="113"/>
      <c r="JBK11" s="113"/>
      <c r="JBL11" s="113"/>
      <c r="JBM11" s="113"/>
      <c r="JBN11" s="113"/>
      <c r="JBO11" s="113"/>
      <c r="JBP11" s="113"/>
      <c r="JBQ11" s="113"/>
      <c r="JBR11" s="113"/>
      <c r="JBS11" s="113"/>
      <c r="JBT11" s="113"/>
      <c r="JBU11" s="113"/>
      <c r="JBV11" s="113"/>
      <c r="JBW11" s="113"/>
      <c r="JBX11" s="113"/>
      <c r="JBY11" s="113"/>
      <c r="JBZ11" s="113"/>
      <c r="JCA11" s="113"/>
      <c r="JCB11" s="113"/>
      <c r="JCC11" s="113"/>
      <c r="JCD11" s="113"/>
      <c r="JCE11" s="113"/>
      <c r="JCF11" s="113"/>
      <c r="JCG11" s="113"/>
      <c r="JCH11" s="113"/>
      <c r="JCI11" s="113"/>
      <c r="JCJ11" s="113"/>
      <c r="JCK11" s="113"/>
      <c r="JCL11" s="113"/>
      <c r="JCM11" s="113"/>
      <c r="JCN11" s="113"/>
      <c r="JCO11" s="113"/>
      <c r="JCP11" s="113"/>
      <c r="JCQ11" s="113"/>
      <c r="JCR11" s="113"/>
      <c r="JCS11" s="113"/>
      <c r="JCT11" s="113"/>
      <c r="JCU11" s="113"/>
      <c r="JCV11" s="113"/>
      <c r="JCW11" s="113"/>
      <c r="JCX11" s="113"/>
      <c r="JCY11" s="113"/>
      <c r="JCZ11" s="113"/>
      <c r="JDA11" s="113"/>
      <c r="JDB11" s="113"/>
      <c r="JDC11" s="113"/>
      <c r="JDD11" s="113"/>
      <c r="JDE11" s="113"/>
      <c r="JDF11" s="113"/>
      <c r="JDG11" s="113"/>
      <c r="JDH11" s="113"/>
      <c r="JDI11" s="113"/>
      <c r="JDJ11" s="113"/>
      <c r="JDK11" s="113"/>
      <c r="JDL11" s="113"/>
      <c r="JDM11" s="113"/>
      <c r="JDN11" s="113"/>
      <c r="JDO11" s="113"/>
      <c r="JDP11" s="113"/>
      <c r="JDQ11" s="113"/>
      <c r="JDR11" s="113"/>
      <c r="JDS11" s="113"/>
      <c r="JDT11" s="113"/>
      <c r="JDU11" s="113"/>
      <c r="JDV11" s="113"/>
      <c r="JDW11" s="113"/>
      <c r="JDX11" s="113"/>
      <c r="JDY11" s="113"/>
      <c r="JDZ11" s="113"/>
      <c r="JEA11" s="113"/>
      <c r="JEB11" s="113"/>
      <c r="JEC11" s="113"/>
      <c r="JED11" s="113"/>
      <c r="JEE11" s="113"/>
      <c r="JEF11" s="113"/>
      <c r="JEG11" s="113"/>
      <c r="JEH11" s="113"/>
      <c r="JEI11" s="113"/>
      <c r="JEJ11" s="113"/>
      <c r="JEK11" s="113"/>
      <c r="JEL11" s="113"/>
      <c r="JEM11" s="113"/>
      <c r="JEN11" s="113"/>
      <c r="JEO11" s="113"/>
      <c r="JEP11" s="113"/>
      <c r="JEQ11" s="113"/>
      <c r="JER11" s="113"/>
      <c r="JES11" s="113"/>
      <c r="JET11" s="113"/>
      <c r="JEU11" s="113"/>
      <c r="JEV11" s="113"/>
      <c r="JEW11" s="113"/>
      <c r="JEX11" s="113"/>
      <c r="JEY11" s="113"/>
      <c r="JEZ11" s="113"/>
      <c r="JFA11" s="113"/>
      <c r="JFB11" s="113"/>
      <c r="JFC11" s="113"/>
      <c r="JFD11" s="113"/>
      <c r="JFE11" s="113"/>
      <c r="JFF11" s="113"/>
      <c r="JFG11" s="113"/>
      <c r="JFH11" s="113"/>
      <c r="JFI11" s="113"/>
      <c r="JFJ11" s="113"/>
      <c r="JFK11" s="113"/>
      <c r="JFL11" s="113"/>
      <c r="JFM11" s="113"/>
      <c r="JFN11" s="113"/>
      <c r="JFO11" s="113"/>
      <c r="JFP11" s="113"/>
      <c r="JFQ11" s="113"/>
      <c r="JFR11" s="113"/>
      <c r="JFS11" s="113"/>
      <c r="JFT11" s="113"/>
      <c r="JFU11" s="113"/>
      <c r="JFV11" s="113"/>
      <c r="JFW11" s="113"/>
      <c r="JFX11" s="113"/>
      <c r="JFY11" s="113"/>
      <c r="JFZ11" s="113"/>
      <c r="JGA11" s="113"/>
      <c r="JGB11" s="113"/>
      <c r="JGC11" s="113"/>
      <c r="JGD11" s="113"/>
      <c r="JGE11" s="113"/>
      <c r="JGF11" s="113"/>
      <c r="JGG11" s="113"/>
      <c r="JGH11" s="113"/>
      <c r="JGI11" s="113"/>
      <c r="JGJ11" s="113"/>
      <c r="JGK11" s="113"/>
      <c r="JGL11" s="113"/>
      <c r="JGM11" s="113"/>
      <c r="JGN11" s="113"/>
      <c r="JGO11" s="113"/>
      <c r="JGP11" s="113"/>
      <c r="JGQ11" s="113"/>
      <c r="JGR11" s="113"/>
      <c r="JGS11" s="113"/>
      <c r="JGT11" s="113"/>
      <c r="JGU11" s="113"/>
      <c r="JGV11" s="113"/>
      <c r="JGW11" s="113"/>
      <c r="JGX11" s="113"/>
      <c r="JGY11" s="113"/>
      <c r="JGZ11" s="113"/>
      <c r="JHA11" s="113"/>
      <c r="JHB11" s="113"/>
      <c r="JHC11" s="113"/>
      <c r="JHD11" s="113"/>
      <c r="JHE11" s="113"/>
      <c r="JHF11" s="113"/>
      <c r="JHG11" s="113"/>
      <c r="JHH11" s="113"/>
      <c r="JHI11" s="113"/>
      <c r="JHJ11" s="113"/>
      <c r="JHK11" s="113"/>
      <c r="JHL11" s="113"/>
      <c r="JHM11" s="113"/>
      <c r="JHN11" s="113"/>
      <c r="JHO11" s="113"/>
      <c r="JHP11" s="113"/>
      <c r="JHQ11" s="113"/>
      <c r="JHR11" s="113"/>
      <c r="JHS11" s="113"/>
      <c r="JHT11" s="113"/>
      <c r="JHU11" s="113"/>
      <c r="JHV11" s="113"/>
      <c r="JHW11" s="113"/>
      <c r="JHX11" s="113"/>
      <c r="JHY11" s="113"/>
      <c r="JHZ11" s="113"/>
      <c r="JIA11" s="113"/>
      <c r="JIB11" s="113"/>
      <c r="JIC11" s="113"/>
      <c r="JID11" s="113"/>
      <c r="JIE11" s="113"/>
      <c r="JIF11" s="113"/>
      <c r="JIG11" s="113"/>
      <c r="JIH11" s="113"/>
      <c r="JII11" s="113"/>
      <c r="JIJ11" s="113"/>
      <c r="JIK11" s="113"/>
      <c r="JIL11" s="113"/>
      <c r="JIM11" s="113"/>
      <c r="JIN11" s="113"/>
      <c r="JIO11" s="113"/>
      <c r="JIP11" s="113"/>
      <c r="JIQ11" s="113"/>
      <c r="JIR11" s="113"/>
      <c r="JIS11" s="113"/>
      <c r="JIT11" s="113"/>
      <c r="JIU11" s="113"/>
      <c r="JIV11" s="113"/>
      <c r="JIW11" s="113"/>
      <c r="JIX11" s="113"/>
      <c r="JIY11" s="113"/>
      <c r="JIZ11" s="113"/>
      <c r="JJA11" s="113"/>
      <c r="JJB11" s="113"/>
      <c r="JJC11" s="113"/>
      <c r="JJD11" s="113"/>
      <c r="JJE11" s="113"/>
      <c r="JJF11" s="113"/>
      <c r="JJG11" s="113"/>
      <c r="JJH11" s="113"/>
      <c r="JJI11" s="113"/>
      <c r="JJJ11" s="113"/>
      <c r="JJK11" s="113"/>
      <c r="JJL11" s="113"/>
      <c r="JJM11" s="113"/>
      <c r="JJN11" s="113"/>
      <c r="JJO11" s="113"/>
      <c r="JJP11" s="113"/>
      <c r="JJQ11" s="113"/>
      <c r="JJR11" s="113"/>
      <c r="JJS11" s="113"/>
      <c r="JJT11" s="113"/>
      <c r="JJU11" s="113"/>
      <c r="JJV11" s="113"/>
      <c r="JJW11" s="113"/>
      <c r="JJX11" s="113"/>
      <c r="JJY11" s="113"/>
      <c r="JJZ11" s="113"/>
      <c r="JKA11" s="113"/>
      <c r="JKB11" s="113"/>
      <c r="JKC11" s="113"/>
      <c r="JKD11" s="113"/>
      <c r="JKE11" s="113"/>
      <c r="JKF11" s="113"/>
      <c r="JKG11" s="113"/>
      <c r="JKH11" s="113"/>
      <c r="JKI11" s="113"/>
      <c r="JKJ11" s="113"/>
      <c r="JKK11" s="113"/>
      <c r="JKL11" s="113"/>
      <c r="JKM11" s="113"/>
      <c r="JKN11" s="113"/>
      <c r="JKO11" s="113"/>
      <c r="JKP11" s="113"/>
      <c r="JKQ11" s="113"/>
      <c r="JKR11" s="113"/>
      <c r="JKS11" s="113"/>
      <c r="JKT11" s="113"/>
      <c r="JKU11" s="113"/>
      <c r="JKV11" s="113"/>
      <c r="JKW11" s="113"/>
      <c r="JKX11" s="113"/>
      <c r="JKY11" s="113"/>
      <c r="JKZ11" s="113"/>
      <c r="JLA11" s="113"/>
      <c r="JLB11" s="113"/>
      <c r="JLC11" s="113"/>
      <c r="JLD11" s="113"/>
      <c r="JLE11" s="113"/>
      <c r="JLF11" s="113"/>
      <c r="JLG11" s="113"/>
      <c r="JLH11" s="113"/>
      <c r="JLI11" s="113"/>
      <c r="JLJ11" s="113"/>
      <c r="JLK11" s="113"/>
      <c r="JLL11" s="113"/>
      <c r="JLM11" s="113"/>
      <c r="JLN11" s="113"/>
      <c r="JLO11" s="113"/>
      <c r="JLP11" s="113"/>
      <c r="JLQ11" s="113"/>
      <c r="JLR11" s="113"/>
      <c r="JLS11" s="113"/>
      <c r="JLT11" s="113"/>
      <c r="JLU11" s="113"/>
      <c r="JLV11" s="113"/>
      <c r="JLW11" s="113"/>
      <c r="JLX11" s="113"/>
      <c r="JLY11" s="113"/>
      <c r="JLZ11" s="113"/>
      <c r="JMA11" s="113"/>
      <c r="JMB11" s="113"/>
      <c r="JMC11" s="113"/>
      <c r="JMD11" s="113"/>
      <c r="JME11" s="113"/>
      <c r="JMF11" s="113"/>
      <c r="JMG11" s="113"/>
      <c r="JMH11" s="113"/>
      <c r="JMI11" s="113"/>
      <c r="JMJ11" s="113"/>
      <c r="JMK11" s="113"/>
      <c r="JML11" s="113"/>
      <c r="JMM11" s="113"/>
      <c r="JMN11" s="113"/>
      <c r="JMO11" s="113"/>
      <c r="JMP11" s="113"/>
      <c r="JMQ11" s="113"/>
      <c r="JMR11" s="113"/>
      <c r="JMS11" s="113"/>
      <c r="JMT11" s="113"/>
      <c r="JMU11" s="113"/>
      <c r="JMV11" s="113"/>
      <c r="JMW11" s="113"/>
      <c r="JMX11" s="113"/>
      <c r="JMY11" s="113"/>
      <c r="JMZ11" s="113"/>
      <c r="JNA11" s="113"/>
      <c r="JNB11" s="113"/>
      <c r="JNC11" s="113"/>
      <c r="JND11" s="113"/>
      <c r="JNE11" s="113"/>
      <c r="JNF11" s="113"/>
      <c r="JNG11" s="113"/>
      <c r="JNH11" s="113"/>
      <c r="JNI11" s="113"/>
      <c r="JNJ11" s="113"/>
      <c r="JNK11" s="113"/>
      <c r="JNL11" s="113"/>
      <c r="JNM11" s="113"/>
      <c r="JNN11" s="113"/>
      <c r="JNO11" s="113"/>
      <c r="JNP11" s="113"/>
      <c r="JNQ11" s="113"/>
      <c r="JNR11" s="113"/>
      <c r="JNS11" s="113"/>
      <c r="JNT11" s="113"/>
      <c r="JNU11" s="113"/>
      <c r="JNV11" s="113"/>
      <c r="JNW11" s="113"/>
      <c r="JNX11" s="113"/>
      <c r="JNY11" s="113"/>
      <c r="JNZ11" s="113"/>
      <c r="JOA11" s="113"/>
      <c r="JOB11" s="113"/>
      <c r="JOC11" s="113"/>
      <c r="JOD11" s="113"/>
      <c r="JOE11" s="113"/>
      <c r="JOF11" s="113"/>
      <c r="JOG11" s="113"/>
      <c r="JOH11" s="113"/>
      <c r="JOI11" s="113"/>
      <c r="JOJ11" s="113"/>
      <c r="JOK11" s="113"/>
      <c r="JOL11" s="113"/>
      <c r="JOM11" s="113"/>
      <c r="JON11" s="113"/>
      <c r="JOO11" s="113"/>
      <c r="JOP11" s="113"/>
      <c r="JOQ11" s="113"/>
      <c r="JOR11" s="113"/>
      <c r="JOS11" s="113"/>
      <c r="JOT11" s="113"/>
      <c r="JOU11" s="113"/>
      <c r="JOV11" s="113"/>
      <c r="JOW11" s="113"/>
      <c r="JOX11" s="113"/>
      <c r="JOY11" s="113"/>
      <c r="JOZ11" s="113"/>
      <c r="JPA11" s="113"/>
      <c r="JPB11" s="113"/>
      <c r="JPC11" s="113"/>
      <c r="JPD11" s="113"/>
      <c r="JPE11" s="113"/>
      <c r="JPF11" s="113"/>
      <c r="JPG11" s="113"/>
      <c r="JPH11" s="113"/>
      <c r="JPI11" s="113"/>
      <c r="JPJ11" s="113"/>
      <c r="JPK11" s="113"/>
      <c r="JPL11" s="113"/>
      <c r="JPM11" s="113"/>
      <c r="JPN11" s="113"/>
      <c r="JPO11" s="113"/>
      <c r="JPP11" s="113"/>
      <c r="JPQ11" s="113"/>
      <c r="JPR11" s="113"/>
      <c r="JPS11" s="113"/>
      <c r="JPT11" s="113"/>
      <c r="JPU11" s="113"/>
      <c r="JPV11" s="113"/>
      <c r="JPW11" s="113"/>
      <c r="JPX11" s="113"/>
      <c r="JPY11" s="113"/>
      <c r="JPZ11" s="113"/>
      <c r="JQA11" s="113"/>
      <c r="JQB11" s="113"/>
      <c r="JQC11" s="113"/>
      <c r="JQD11" s="113"/>
      <c r="JQE11" s="113"/>
      <c r="JQF11" s="113"/>
      <c r="JQG11" s="113"/>
      <c r="JQH11" s="113"/>
      <c r="JQI11" s="113"/>
      <c r="JQJ11" s="113"/>
      <c r="JQK11" s="113"/>
      <c r="JQL11" s="113"/>
      <c r="JQM11" s="113"/>
      <c r="JQN11" s="113"/>
      <c r="JQO11" s="113"/>
      <c r="JQP11" s="113"/>
      <c r="JQQ11" s="113"/>
      <c r="JQR11" s="113"/>
      <c r="JQS11" s="113"/>
      <c r="JQT11" s="113"/>
      <c r="JQU11" s="113"/>
      <c r="JQV11" s="113"/>
      <c r="JQW11" s="113"/>
      <c r="JQX11" s="113"/>
      <c r="JQY11" s="113"/>
      <c r="JQZ11" s="113"/>
      <c r="JRA11" s="113"/>
      <c r="JRB11" s="113"/>
      <c r="JRC11" s="113"/>
      <c r="JRD11" s="113"/>
      <c r="JRE11" s="113"/>
      <c r="JRF11" s="113"/>
      <c r="JRG11" s="113"/>
      <c r="JRH11" s="113"/>
      <c r="JRI11" s="113"/>
      <c r="JRJ11" s="113"/>
      <c r="JRK11" s="113"/>
      <c r="JRL11" s="113"/>
      <c r="JRM11" s="113"/>
      <c r="JRN11" s="113"/>
      <c r="JRO11" s="113"/>
      <c r="JRP11" s="113"/>
      <c r="JRQ11" s="113"/>
      <c r="JRR11" s="113"/>
      <c r="JRS11" s="113"/>
      <c r="JRT11" s="113"/>
      <c r="JRU11" s="113"/>
      <c r="JRV11" s="113"/>
      <c r="JRW11" s="113"/>
      <c r="JRX11" s="113"/>
      <c r="JRY11" s="113"/>
      <c r="JRZ11" s="113"/>
      <c r="JSA11" s="113"/>
      <c r="JSB11" s="113"/>
      <c r="JSC11" s="113"/>
      <c r="JSD11" s="113"/>
      <c r="JSE11" s="113"/>
      <c r="JSF11" s="113"/>
      <c r="JSG11" s="113"/>
      <c r="JSH11" s="113"/>
      <c r="JSI11" s="113"/>
      <c r="JSJ11" s="113"/>
      <c r="JSK11" s="113"/>
      <c r="JSL11" s="113"/>
      <c r="JSM11" s="113"/>
      <c r="JSN11" s="113"/>
      <c r="JSO11" s="113"/>
      <c r="JSP11" s="113"/>
      <c r="JSQ11" s="113"/>
      <c r="JSR11" s="113"/>
      <c r="JSS11" s="113"/>
      <c r="JST11" s="113"/>
      <c r="JSU11" s="113"/>
      <c r="JSV11" s="113"/>
      <c r="JSW11" s="113"/>
      <c r="JSX11" s="113"/>
      <c r="JSY11" s="113"/>
      <c r="JSZ11" s="113"/>
      <c r="JTA11" s="113"/>
      <c r="JTB11" s="113"/>
      <c r="JTC11" s="113"/>
      <c r="JTD11" s="113"/>
      <c r="JTE11" s="113"/>
      <c r="JTF11" s="113"/>
      <c r="JTG11" s="113"/>
      <c r="JTH11" s="113"/>
      <c r="JTI11" s="113"/>
      <c r="JTJ11" s="113"/>
      <c r="JTK11" s="113"/>
      <c r="JTL11" s="113"/>
      <c r="JTM11" s="113"/>
      <c r="JTN11" s="113"/>
      <c r="JTO11" s="113"/>
      <c r="JTP11" s="113"/>
      <c r="JTQ11" s="113"/>
      <c r="JTR11" s="113"/>
      <c r="JTS11" s="113"/>
      <c r="JTT11" s="113"/>
      <c r="JTU11" s="113"/>
      <c r="JTV11" s="113"/>
      <c r="JTW11" s="113"/>
      <c r="JTX11" s="113"/>
      <c r="JTY11" s="113"/>
      <c r="JTZ11" s="113"/>
      <c r="JUA11" s="113"/>
      <c r="JUB11" s="113"/>
      <c r="JUC11" s="113"/>
      <c r="JUD11" s="113"/>
      <c r="JUE11" s="113"/>
      <c r="JUF11" s="113"/>
      <c r="JUG11" s="113"/>
      <c r="JUH11" s="113"/>
      <c r="JUI11" s="113"/>
      <c r="JUJ11" s="113"/>
      <c r="JUK11" s="113"/>
      <c r="JUL11" s="113"/>
      <c r="JUM11" s="113"/>
      <c r="JUN11" s="113"/>
      <c r="JUO11" s="113"/>
      <c r="JUP11" s="113"/>
      <c r="JUQ11" s="113"/>
      <c r="JUR11" s="113"/>
      <c r="JUS11" s="113"/>
      <c r="JUT11" s="113"/>
      <c r="JUU11" s="113"/>
      <c r="JUV11" s="113"/>
      <c r="JUW11" s="113"/>
      <c r="JUX11" s="113"/>
      <c r="JUY11" s="113"/>
      <c r="JUZ11" s="113"/>
      <c r="JVA11" s="113"/>
      <c r="JVB11" s="113"/>
      <c r="JVC11" s="113"/>
      <c r="JVD11" s="113"/>
      <c r="JVE11" s="113"/>
      <c r="JVF11" s="113"/>
      <c r="JVG11" s="113"/>
      <c r="JVH11" s="113"/>
      <c r="JVI11" s="113"/>
      <c r="JVJ11" s="113"/>
      <c r="JVK11" s="113"/>
      <c r="JVL11" s="113"/>
      <c r="JVM11" s="113"/>
      <c r="JVN11" s="113"/>
      <c r="JVO11" s="113"/>
      <c r="JVP11" s="113"/>
      <c r="JVQ11" s="113"/>
      <c r="JVR11" s="113"/>
      <c r="JVS11" s="113"/>
      <c r="JVT11" s="113"/>
      <c r="JVU11" s="113"/>
      <c r="JVV11" s="113"/>
      <c r="JVW11" s="113"/>
      <c r="JVX11" s="113"/>
      <c r="JVY11" s="113"/>
      <c r="JVZ11" s="113"/>
      <c r="JWA11" s="113"/>
      <c r="JWB11" s="113"/>
      <c r="JWC11" s="113"/>
      <c r="JWD11" s="113"/>
      <c r="JWE11" s="113"/>
      <c r="JWF11" s="113"/>
      <c r="JWG11" s="113"/>
      <c r="JWH11" s="113"/>
      <c r="JWI11" s="113"/>
      <c r="JWJ11" s="113"/>
      <c r="JWK11" s="113"/>
      <c r="JWL11" s="113"/>
      <c r="JWM11" s="113"/>
      <c r="JWN11" s="113"/>
      <c r="JWO11" s="113"/>
      <c r="JWP11" s="113"/>
      <c r="JWQ11" s="113"/>
      <c r="JWR11" s="113"/>
      <c r="JWS11" s="113"/>
      <c r="JWT11" s="113"/>
      <c r="JWU11" s="113"/>
      <c r="JWV11" s="113"/>
      <c r="JWW11" s="113"/>
      <c r="JWX11" s="113"/>
      <c r="JWY11" s="113"/>
      <c r="JWZ11" s="113"/>
      <c r="JXA11" s="113"/>
      <c r="JXB11" s="113"/>
      <c r="JXC11" s="113"/>
      <c r="JXD11" s="113"/>
      <c r="JXE11" s="113"/>
      <c r="JXF11" s="113"/>
      <c r="JXG11" s="113"/>
      <c r="JXH11" s="113"/>
      <c r="JXI11" s="113"/>
      <c r="JXJ11" s="113"/>
      <c r="JXK11" s="113"/>
      <c r="JXL11" s="113"/>
      <c r="JXM11" s="113"/>
      <c r="JXN11" s="113"/>
      <c r="JXO11" s="113"/>
      <c r="JXP11" s="113"/>
      <c r="JXQ11" s="113"/>
      <c r="JXR11" s="113"/>
      <c r="JXS11" s="113"/>
      <c r="JXT11" s="113"/>
      <c r="JXU11" s="113"/>
      <c r="JXV11" s="113"/>
      <c r="JXW11" s="113"/>
      <c r="JXX11" s="113"/>
      <c r="JXY11" s="113"/>
      <c r="JXZ11" s="113"/>
      <c r="JYA11" s="113"/>
      <c r="JYB11" s="113"/>
      <c r="JYC11" s="113"/>
      <c r="JYD11" s="113"/>
      <c r="JYE11" s="113"/>
      <c r="JYF11" s="113"/>
      <c r="JYG11" s="113"/>
      <c r="JYH11" s="113"/>
      <c r="JYI11" s="113"/>
      <c r="JYJ11" s="113"/>
      <c r="JYK11" s="113"/>
      <c r="JYL11" s="113"/>
      <c r="JYM11" s="113"/>
      <c r="JYN11" s="113"/>
      <c r="JYO11" s="113"/>
      <c r="JYP11" s="113"/>
      <c r="JYQ11" s="113"/>
      <c r="JYR11" s="113"/>
      <c r="JYS11" s="113"/>
      <c r="JYT11" s="113"/>
      <c r="JYU11" s="113"/>
      <c r="JYV11" s="113"/>
      <c r="JYW11" s="113"/>
      <c r="JYX11" s="113"/>
      <c r="JYY11" s="113"/>
      <c r="JYZ11" s="113"/>
      <c r="JZA11" s="113"/>
      <c r="JZB11" s="113"/>
      <c r="JZC11" s="113"/>
      <c r="JZD11" s="113"/>
      <c r="JZE11" s="113"/>
      <c r="JZF11" s="113"/>
      <c r="JZG11" s="113"/>
      <c r="JZH11" s="113"/>
      <c r="JZI11" s="113"/>
      <c r="JZJ11" s="113"/>
      <c r="JZK11" s="113"/>
      <c r="JZL11" s="113"/>
      <c r="JZM11" s="113"/>
      <c r="JZN11" s="113"/>
      <c r="JZO11" s="113"/>
      <c r="JZP11" s="113"/>
      <c r="JZQ11" s="113"/>
      <c r="JZR11" s="113"/>
      <c r="JZS11" s="113"/>
      <c r="JZT11" s="113"/>
      <c r="JZU11" s="113"/>
      <c r="JZV11" s="113"/>
      <c r="JZW11" s="113"/>
      <c r="JZX11" s="113"/>
      <c r="JZY11" s="113"/>
      <c r="JZZ11" s="113"/>
      <c r="KAA11" s="113"/>
      <c r="KAB11" s="113"/>
      <c r="KAC11" s="113"/>
      <c r="KAD11" s="113"/>
      <c r="KAE11" s="113"/>
      <c r="KAF11" s="113"/>
      <c r="KAG11" s="113"/>
      <c r="KAH11" s="113"/>
      <c r="KAI11" s="113"/>
      <c r="KAJ11" s="113"/>
      <c r="KAK11" s="113"/>
      <c r="KAL11" s="113"/>
      <c r="KAM11" s="113"/>
      <c r="KAN11" s="113"/>
      <c r="KAO11" s="113"/>
      <c r="KAP11" s="113"/>
      <c r="KAQ11" s="113"/>
      <c r="KAR11" s="113"/>
      <c r="KAS11" s="113"/>
      <c r="KAT11" s="113"/>
      <c r="KAU11" s="113"/>
      <c r="KAV11" s="113"/>
      <c r="KAW11" s="113"/>
      <c r="KAX11" s="113"/>
      <c r="KAY11" s="113"/>
      <c r="KAZ11" s="113"/>
      <c r="KBA11" s="113"/>
      <c r="KBB11" s="113"/>
      <c r="KBC11" s="113"/>
      <c r="KBD11" s="113"/>
      <c r="KBE11" s="113"/>
      <c r="KBF11" s="113"/>
      <c r="KBG11" s="113"/>
      <c r="KBH11" s="113"/>
      <c r="KBI11" s="113"/>
      <c r="KBJ11" s="113"/>
      <c r="KBK11" s="113"/>
      <c r="KBL11" s="113"/>
      <c r="KBM11" s="113"/>
      <c r="KBN11" s="113"/>
      <c r="KBO11" s="113"/>
      <c r="KBP11" s="113"/>
      <c r="KBQ11" s="113"/>
      <c r="KBR11" s="113"/>
      <c r="KBS11" s="113"/>
      <c r="KBT11" s="113"/>
      <c r="KBU11" s="113"/>
      <c r="KBV11" s="113"/>
      <c r="KBW11" s="113"/>
      <c r="KBX11" s="113"/>
      <c r="KBY11" s="113"/>
      <c r="KBZ11" s="113"/>
      <c r="KCA11" s="113"/>
      <c r="KCB11" s="113"/>
      <c r="KCC11" s="113"/>
      <c r="KCD11" s="113"/>
      <c r="KCE11" s="113"/>
      <c r="KCF11" s="113"/>
      <c r="KCG11" s="113"/>
      <c r="KCH11" s="113"/>
      <c r="KCI11" s="113"/>
      <c r="KCJ11" s="113"/>
      <c r="KCK11" s="113"/>
      <c r="KCL11" s="113"/>
      <c r="KCM11" s="113"/>
      <c r="KCN11" s="113"/>
      <c r="KCO11" s="113"/>
      <c r="KCP11" s="113"/>
      <c r="KCQ11" s="113"/>
      <c r="KCR11" s="113"/>
      <c r="KCS11" s="113"/>
      <c r="KCT11" s="113"/>
      <c r="KCU11" s="113"/>
      <c r="KCV11" s="113"/>
      <c r="KCW11" s="113"/>
      <c r="KCX11" s="113"/>
      <c r="KCY11" s="113"/>
      <c r="KCZ11" s="113"/>
      <c r="KDA11" s="113"/>
      <c r="KDB11" s="113"/>
      <c r="KDC11" s="113"/>
      <c r="KDD11" s="113"/>
      <c r="KDE11" s="113"/>
      <c r="KDF11" s="113"/>
      <c r="KDG11" s="113"/>
      <c r="KDH11" s="113"/>
      <c r="KDI11" s="113"/>
      <c r="KDJ11" s="113"/>
      <c r="KDK11" s="113"/>
      <c r="KDL11" s="113"/>
      <c r="KDM11" s="113"/>
      <c r="KDN11" s="113"/>
      <c r="KDO11" s="113"/>
      <c r="KDP11" s="113"/>
      <c r="KDQ11" s="113"/>
      <c r="KDR11" s="113"/>
      <c r="KDS11" s="113"/>
      <c r="KDT11" s="113"/>
      <c r="KDU11" s="113"/>
      <c r="KDV11" s="113"/>
      <c r="KDW11" s="113"/>
      <c r="KDX11" s="113"/>
      <c r="KDY11" s="113"/>
      <c r="KDZ11" s="113"/>
      <c r="KEA11" s="113"/>
      <c r="KEB11" s="113"/>
      <c r="KEC11" s="113"/>
      <c r="KED11" s="113"/>
      <c r="KEE11" s="113"/>
      <c r="KEF11" s="113"/>
      <c r="KEG11" s="113"/>
      <c r="KEH11" s="113"/>
      <c r="KEI11" s="113"/>
      <c r="KEJ11" s="113"/>
      <c r="KEK11" s="113"/>
      <c r="KEL11" s="113"/>
      <c r="KEM11" s="113"/>
      <c r="KEN11" s="113"/>
      <c r="KEO11" s="113"/>
      <c r="KEP11" s="113"/>
      <c r="KEQ11" s="113"/>
      <c r="KER11" s="113"/>
      <c r="KES11" s="113"/>
      <c r="KET11" s="113"/>
      <c r="KEU11" s="113"/>
      <c r="KEV11" s="113"/>
      <c r="KEW11" s="113"/>
      <c r="KEX11" s="113"/>
      <c r="KEY11" s="113"/>
      <c r="KEZ11" s="113"/>
      <c r="KFA11" s="113"/>
      <c r="KFB11" s="113"/>
      <c r="KFC11" s="113"/>
      <c r="KFD11" s="113"/>
      <c r="KFE11" s="113"/>
      <c r="KFF11" s="113"/>
      <c r="KFG11" s="113"/>
      <c r="KFH11" s="113"/>
      <c r="KFI11" s="113"/>
      <c r="KFJ11" s="113"/>
      <c r="KFK11" s="113"/>
      <c r="KFL11" s="113"/>
      <c r="KFM11" s="113"/>
      <c r="KFN11" s="113"/>
      <c r="KFO11" s="113"/>
      <c r="KFP11" s="113"/>
      <c r="KFQ11" s="113"/>
      <c r="KFR11" s="113"/>
      <c r="KFS11" s="113"/>
      <c r="KFT11" s="113"/>
      <c r="KFU11" s="113"/>
      <c r="KFV11" s="113"/>
      <c r="KFW11" s="113"/>
      <c r="KFX11" s="113"/>
      <c r="KFY11" s="113"/>
      <c r="KFZ11" s="113"/>
      <c r="KGA11" s="113"/>
      <c r="KGB11" s="113"/>
      <c r="KGC11" s="113"/>
      <c r="KGD11" s="113"/>
      <c r="KGE11" s="113"/>
      <c r="KGF11" s="113"/>
      <c r="KGG11" s="113"/>
      <c r="KGH11" s="113"/>
      <c r="KGI11" s="113"/>
      <c r="KGJ11" s="113"/>
      <c r="KGK11" s="113"/>
      <c r="KGL11" s="113"/>
      <c r="KGM11" s="113"/>
      <c r="KGN11" s="113"/>
      <c r="KGO11" s="113"/>
      <c r="KGP11" s="113"/>
      <c r="KGQ11" s="113"/>
      <c r="KGR11" s="113"/>
      <c r="KGS11" s="113"/>
      <c r="KGT11" s="113"/>
      <c r="KGU11" s="113"/>
      <c r="KGV11" s="113"/>
      <c r="KGW11" s="113"/>
      <c r="KGX11" s="113"/>
      <c r="KGY11" s="113"/>
      <c r="KGZ11" s="113"/>
      <c r="KHA11" s="113"/>
      <c r="KHB11" s="113"/>
      <c r="KHC11" s="113"/>
      <c r="KHD11" s="113"/>
      <c r="KHE11" s="113"/>
      <c r="KHF11" s="113"/>
      <c r="KHG11" s="113"/>
      <c r="KHH11" s="113"/>
      <c r="KHI11" s="113"/>
      <c r="KHJ11" s="113"/>
      <c r="KHK11" s="113"/>
      <c r="KHL11" s="113"/>
      <c r="KHM11" s="113"/>
      <c r="KHN11" s="113"/>
      <c r="KHO11" s="113"/>
      <c r="KHP11" s="113"/>
      <c r="KHQ11" s="113"/>
      <c r="KHR11" s="113"/>
      <c r="KHS11" s="113"/>
      <c r="KHT11" s="113"/>
      <c r="KHU11" s="113"/>
      <c r="KHV11" s="113"/>
      <c r="KHW11" s="113"/>
      <c r="KHX11" s="113"/>
      <c r="KHY11" s="113"/>
      <c r="KHZ11" s="113"/>
      <c r="KIA11" s="113"/>
      <c r="KIB11" s="113"/>
      <c r="KIC11" s="113"/>
      <c r="KID11" s="113"/>
      <c r="KIE11" s="113"/>
      <c r="KIF11" s="113"/>
      <c r="KIG11" s="113"/>
      <c r="KIH11" s="113"/>
      <c r="KII11" s="113"/>
      <c r="KIJ11" s="113"/>
      <c r="KIK11" s="113"/>
      <c r="KIL11" s="113"/>
      <c r="KIM11" s="113"/>
      <c r="KIN11" s="113"/>
      <c r="KIO11" s="113"/>
      <c r="KIP11" s="113"/>
      <c r="KIQ11" s="113"/>
      <c r="KIR11" s="113"/>
      <c r="KIS11" s="113"/>
      <c r="KIT11" s="113"/>
      <c r="KIU11" s="113"/>
      <c r="KIV11" s="113"/>
      <c r="KIW11" s="113"/>
      <c r="KIX11" s="113"/>
      <c r="KIY11" s="113"/>
      <c r="KIZ11" s="113"/>
      <c r="KJA11" s="113"/>
      <c r="KJB11" s="113"/>
      <c r="KJC11" s="113"/>
      <c r="KJD11" s="113"/>
      <c r="KJE11" s="113"/>
      <c r="KJF11" s="113"/>
      <c r="KJG11" s="113"/>
      <c r="KJH11" s="113"/>
      <c r="KJI11" s="113"/>
      <c r="KJJ11" s="113"/>
      <c r="KJK11" s="113"/>
      <c r="KJL11" s="113"/>
      <c r="KJM11" s="113"/>
      <c r="KJN11" s="113"/>
      <c r="KJO11" s="113"/>
      <c r="KJP11" s="113"/>
      <c r="KJQ11" s="113"/>
      <c r="KJR11" s="113"/>
      <c r="KJS11" s="113"/>
      <c r="KJT11" s="113"/>
      <c r="KJU11" s="113"/>
      <c r="KJV11" s="113"/>
      <c r="KJW11" s="113"/>
      <c r="KJX11" s="113"/>
      <c r="KJY11" s="113"/>
      <c r="KJZ11" s="113"/>
      <c r="KKA11" s="113"/>
      <c r="KKB11" s="113"/>
      <c r="KKC11" s="113"/>
      <c r="KKD11" s="113"/>
      <c r="KKE11" s="113"/>
      <c r="KKF11" s="113"/>
      <c r="KKG11" s="113"/>
      <c r="KKH11" s="113"/>
      <c r="KKI11" s="113"/>
      <c r="KKJ11" s="113"/>
      <c r="KKK11" s="113"/>
      <c r="KKL11" s="113"/>
      <c r="KKM11" s="113"/>
      <c r="KKN11" s="113"/>
      <c r="KKO11" s="113"/>
      <c r="KKP11" s="113"/>
      <c r="KKQ11" s="113"/>
      <c r="KKR11" s="113"/>
      <c r="KKS11" s="113"/>
      <c r="KKT11" s="113"/>
      <c r="KKU11" s="113"/>
      <c r="KKV11" s="113"/>
      <c r="KKW11" s="113"/>
      <c r="KKX11" s="113"/>
      <c r="KKY11" s="113"/>
      <c r="KKZ11" s="113"/>
      <c r="KLA11" s="113"/>
      <c r="KLB11" s="113"/>
      <c r="KLC11" s="113"/>
      <c r="KLD11" s="113"/>
      <c r="KLE11" s="113"/>
      <c r="KLF11" s="113"/>
      <c r="KLG11" s="113"/>
      <c r="KLH11" s="113"/>
      <c r="KLI11" s="113"/>
      <c r="KLJ11" s="113"/>
      <c r="KLK11" s="113"/>
      <c r="KLL11" s="113"/>
      <c r="KLM11" s="113"/>
      <c r="KLN11" s="113"/>
      <c r="KLO11" s="113"/>
      <c r="KLP11" s="113"/>
      <c r="KLQ11" s="113"/>
      <c r="KLR11" s="113"/>
      <c r="KLS11" s="113"/>
      <c r="KLT11" s="113"/>
      <c r="KLU11" s="113"/>
      <c r="KLV11" s="113"/>
      <c r="KLW11" s="113"/>
      <c r="KLX11" s="113"/>
      <c r="KLY11" s="113"/>
      <c r="KLZ11" s="113"/>
      <c r="KMA11" s="113"/>
      <c r="KMB11" s="113"/>
      <c r="KMC11" s="113"/>
      <c r="KMD11" s="113"/>
      <c r="KME11" s="113"/>
      <c r="KMF11" s="113"/>
      <c r="KMG11" s="113"/>
      <c r="KMH11" s="113"/>
      <c r="KMI11" s="113"/>
      <c r="KMJ11" s="113"/>
      <c r="KMK11" s="113"/>
      <c r="KML11" s="113"/>
      <c r="KMM11" s="113"/>
      <c r="KMN11" s="113"/>
      <c r="KMO11" s="113"/>
      <c r="KMP11" s="113"/>
      <c r="KMQ11" s="113"/>
      <c r="KMR11" s="113"/>
      <c r="KMS11" s="113"/>
      <c r="KMT11" s="113"/>
      <c r="KMU11" s="113"/>
      <c r="KMV11" s="113"/>
      <c r="KMW11" s="113"/>
      <c r="KMX11" s="113"/>
      <c r="KMY11" s="113"/>
      <c r="KMZ11" s="113"/>
      <c r="KNA11" s="113"/>
      <c r="KNB11" s="113"/>
      <c r="KNC11" s="113"/>
      <c r="KND11" s="113"/>
      <c r="KNE11" s="113"/>
      <c r="KNF11" s="113"/>
      <c r="KNG11" s="113"/>
      <c r="KNH11" s="113"/>
      <c r="KNI11" s="113"/>
      <c r="KNJ11" s="113"/>
      <c r="KNK11" s="113"/>
      <c r="KNL11" s="113"/>
      <c r="KNM11" s="113"/>
      <c r="KNN11" s="113"/>
      <c r="KNO11" s="113"/>
      <c r="KNP11" s="113"/>
      <c r="KNQ11" s="113"/>
      <c r="KNR11" s="113"/>
      <c r="KNS11" s="113"/>
      <c r="KNT11" s="113"/>
      <c r="KNU11" s="113"/>
      <c r="KNV11" s="113"/>
      <c r="KNW11" s="113"/>
      <c r="KNX11" s="113"/>
      <c r="KNY11" s="113"/>
      <c r="KNZ11" s="113"/>
      <c r="KOA11" s="113"/>
      <c r="KOB11" s="113"/>
      <c r="KOC11" s="113"/>
      <c r="KOD11" s="113"/>
      <c r="KOE11" s="113"/>
      <c r="KOF11" s="113"/>
      <c r="KOG11" s="113"/>
      <c r="KOH11" s="113"/>
      <c r="KOI11" s="113"/>
      <c r="KOJ11" s="113"/>
      <c r="KOK11" s="113"/>
      <c r="KOL11" s="113"/>
      <c r="KOM11" s="113"/>
      <c r="KON11" s="113"/>
      <c r="KOO11" s="113"/>
      <c r="KOP11" s="113"/>
      <c r="KOQ11" s="113"/>
      <c r="KOR11" s="113"/>
      <c r="KOS11" s="113"/>
      <c r="KOT11" s="113"/>
      <c r="KOU11" s="113"/>
      <c r="KOV11" s="113"/>
      <c r="KOW11" s="113"/>
      <c r="KOX11" s="113"/>
      <c r="KOY11" s="113"/>
      <c r="KOZ11" s="113"/>
      <c r="KPA11" s="113"/>
      <c r="KPB11" s="113"/>
      <c r="KPC11" s="113"/>
      <c r="KPD11" s="113"/>
      <c r="KPE11" s="113"/>
      <c r="KPF11" s="113"/>
      <c r="KPG11" s="113"/>
      <c r="KPH11" s="113"/>
      <c r="KPI11" s="113"/>
      <c r="KPJ11" s="113"/>
      <c r="KPK11" s="113"/>
      <c r="KPL11" s="113"/>
      <c r="KPM11" s="113"/>
      <c r="KPN11" s="113"/>
      <c r="KPO11" s="113"/>
      <c r="KPP11" s="113"/>
      <c r="KPQ11" s="113"/>
      <c r="KPR11" s="113"/>
      <c r="KPS11" s="113"/>
      <c r="KPT11" s="113"/>
      <c r="KPU11" s="113"/>
      <c r="KPV11" s="113"/>
      <c r="KPW11" s="113"/>
      <c r="KPX11" s="113"/>
      <c r="KPY11" s="113"/>
      <c r="KPZ11" s="113"/>
      <c r="KQA11" s="113"/>
      <c r="KQB11" s="113"/>
      <c r="KQC11" s="113"/>
      <c r="KQD11" s="113"/>
      <c r="KQE11" s="113"/>
      <c r="KQF11" s="113"/>
      <c r="KQG11" s="113"/>
      <c r="KQH11" s="113"/>
      <c r="KQI11" s="113"/>
      <c r="KQJ11" s="113"/>
      <c r="KQK11" s="113"/>
      <c r="KQL11" s="113"/>
      <c r="KQM11" s="113"/>
      <c r="KQN11" s="113"/>
      <c r="KQO11" s="113"/>
      <c r="KQP11" s="113"/>
      <c r="KQQ11" s="113"/>
      <c r="KQR11" s="113"/>
      <c r="KQS11" s="113"/>
      <c r="KQT11" s="113"/>
      <c r="KQU11" s="113"/>
      <c r="KQV11" s="113"/>
      <c r="KQW11" s="113"/>
      <c r="KQX11" s="113"/>
      <c r="KQY11" s="113"/>
      <c r="KQZ11" s="113"/>
      <c r="KRA11" s="113"/>
      <c r="KRB11" s="113"/>
      <c r="KRC11" s="113"/>
      <c r="KRD11" s="113"/>
      <c r="KRE11" s="113"/>
      <c r="KRF11" s="113"/>
      <c r="KRG11" s="113"/>
      <c r="KRH11" s="113"/>
      <c r="KRI11" s="113"/>
      <c r="KRJ11" s="113"/>
      <c r="KRK11" s="113"/>
      <c r="KRL11" s="113"/>
      <c r="KRM11" s="113"/>
      <c r="KRN11" s="113"/>
      <c r="KRO11" s="113"/>
      <c r="KRP11" s="113"/>
      <c r="KRQ11" s="113"/>
      <c r="KRR11" s="113"/>
      <c r="KRS11" s="113"/>
      <c r="KRT11" s="113"/>
      <c r="KRU11" s="113"/>
      <c r="KRV11" s="113"/>
      <c r="KRW11" s="113"/>
      <c r="KRX11" s="113"/>
      <c r="KRY11" s="113"/>
      <c r="KRZ11" s="113"/>
      <c r="KSA11" s="113"/>
      <c r="KSB11" s="113"/>
      <c r="KSC11" s="113"/>
      <c r="KSD11" s="113"/>
      <c r="KSE11" s="113"/>
      <c r="KSF11" s="113"/>
      <c r="KSG11" s="113"/>
      <c r="KSH11" s="113"/>
      <c r="KSI11" s="113"/>
      <c r="KSJ11" s="113"/>
      <c r="KSK11" s="113"/>
      <c r="KSL11" s="113"/>
      <c r="KSM11" s="113"/>
      <c r="KSN11" s="113"/>
      <c r="KSO11" s="113"/>
      <c r="KSP11" s="113"/>
      <c r="KSQ11" s="113"/>
      <c r="KSR11" s="113"/>
      <c r="KSS11" s="113"/>
      <c r="KST11" s="113"/>
      <c r="KSU11" s="113"/>
      <c r="KSV11" s="113"/>
      <c r="KSW11" s="113"/>
      <c r="KSX11" s="113"/>
      <c r="KSY11" s="113"/>
      <c r="KSZ11" s="113"/>
      <c r="KTA11" s="113"/>
      <c r="KTB11" s="113"/>
      <c r="KTC11" s="113"/>
      <c r="KTD11" s="113"/>
      <c r="KTE11" s="113"/>
      <c r="KTF11" s="113"/>
      <c r="KTG11" s="113"/>
      <c r="KTH11" s="113"/>
      <c r="KTI11" s="113"/>
      <c r="KTJ11" s="113"/>
      <c r="KTK11" s="113"/>
      <c r="KTL11" s="113"/>
      <c r="KTM11" s="113"/>
      <c r="KTN11" s="113"/>
      <c r="KTO11" s="113"/>
      <c r="KTP11" s="113"/>
      <c r="KTQ11" s="113"/>
      <c r="KTR11" s="113"/>
      <c r="KTS11" s="113"/>
      <c r="KTT11" s="113"/>
      <c r="KTU11" s="113"/>
      <c r="KTV11" s="113"/>
      <c r="KTW11" s="113"/>
      <c r="KTX11" s="113"/>
      <c r="KTY11" s="113"/>
      <c r="KTZ11" s="113"/>
      <c r="KUA11" s="113"/>
      <c r="KUB11" s="113"/>
      <c r="KUC11" s="113"/>
      <c r="KUD11" s="113"/>
      <c r="KUE11" s="113"/>
      <c r="KUF11" s="113"/>
      <c r="KUG11" s="113"/>
      <c r="KUH11" s="113"/>
      <c r="KUI11" s="113"/>
      <c r="KUJ11" s="113"/>
      <c r="KUK11" s="113"/>
      <c r="KUL11" s="113"/>
      <c r="KUM11" s="113"/>
      <c r="KUN11" s="113"/>
      <c r="KUO11" s="113"/>
      <c r="KUP11" s="113"/>
      <c r="KUQ11" s="113"/>
      <c r="KUR11" s="113"/>
      <c r="KUS11" s="113"/>
      <c r="KUT11" s="113"/>
      <c r="KUU11" s="113"/>
      <c r="KUV11" s="113"/>
      <c r="KUW11" s="113"/>
      <c r="KUX11" s="113"/>
      <c r="KUY11" s="113"/>
      <c r="KUZ11" s="113"/>
      <c r="KVA11" s="113"/>
      <c r="KVB11" s="113"/>
      <c r="KVC11" s="113"/>
      <c r="KVD11" s="113"/>
      <c r="KVE11" s="113"/>
      <c r="KVF11" s="113"/>
      <c r="KVG11" s="113"/>
      <c r="KVH11" s="113"/>
      <c r="KVI11" s="113"/>
      <c r="KVJ11" s="113"/>
      <c r="KVK11" s="113"/>
      <c r="KVL11" s="113"/>
      <c r="KVM11" s="113"/>
      <c r="KVN11" s="113"/>
      <c r="KVO11" s="113"/>
      <c r="KVP11" s="113"/>
      <c r="KVQ11" s="113"/>
      <c r="KVR11" s="113"/>
      <c r="KVS11" s="113"/>
      <c r="KVT11" s="113"/>
      <c r="KVU11" s="113"/>
      <c r="KVV11" s="113"/>
      <c r="KVW11" s="113"/>
      <c r="KVX11" s="113"/>
      <c r="KVY11" s="113"/>
      <c r="KVZ11" s="113"/>
      <c r="KWA11" s="113"/>
      <c r="KWB11" s="113"/>
      <c r="KWC11" s="113"/>
      <c r="KWD11" s="113"/>
      <c r="KWE11" s="113"/>
      <c r="KWF11" s="113"/>
      <c r="KWG11" s="113"/>
      <c r="KWH11" s="113"/>
      <c r="KWI11" s="113"/>
      <c r="KWJ11" s="113"/>
      <c r="KWK11" s="113"/>
      <c r="KWL11" s="113"/>
      <c r="KWM11" s="113"/>
      <c r="KWN11" s="113"/>
      <c r="KWO11" s="113"/>
      <c r="KWP11" s="113"/>
      <c r="KWQ11" s="113"/>
      <c r="KWR11" s="113"/>
      <c r="KWS11" s="113"/>
      <c r="KWT11" s="113"/>
      <c r="KWU11" s="113"/>
      <c r="KWV11" s="113"/>
      <c r="KWW11" s="113"/>
      <c r="KWX11" s="113"/>
      <c r="KWY11" s="113"/>
      <c r="KWZ11" s="113"/>
      <c r="KXA11" s="113"/>
      <c r="KXB11" s="113"/>
      <c r="KXC11" s="113"/>
      <c r="KXD11" s="113"/>
      <c r="KXE11" s="113"/>
      <c r="KXF11" s="113"/>
      <c r="KXG11" s="113"/>
      <c r="KXH11" s="113"/>
      <c r="KXI11" s="113"/>
      <c r="KXJ11" s="113"/>
      <c r="KXK11" s="113"/>
      <c r="KXL11" s="113"/>
      <c r="KXM11" s="113"/>
      <c r="KXN11" s="113"/>
      <c r="KXO11" s="113"/>
      <c r="KXP11" s="113"/>
      <c r="KXQ11" s="113"/>
      <c r="KXR11" s="113"/>
      <c r="KXS11" s="113"/>
      <c r="KXT11" s="113"/>
      <c r="KXU11" s="113"/>
      <c r="KXV11" s="113"/>
      <c r="KXW11" s="113"/>
      <c r="KXX11" s="113"/>
      <c r="KXY11" s="113"/>
      <c r="KXZ11" s="113"/>
      <c r="KYA11" s="113"/>
      <c r="KYB11" s="113"/>
      <c r="KYC11" s="113"/>
      <c r="KYD11" s="113"/>
      <c r="KYE11" s="113"/>
      <c r="KYF11" s="113"/>
      <c r="KYG11" s="113"/>
      <c r="KYH11" s="113"/>
      <c r="KYI11" s="113"/>
      <c r="KYJ11" s="113"/>
      <c r="KYK11" s="113"/>
      <c r="KYL11" s="113"/>
      <c r="KYM11" s="113"/>
      <c r="KYN11" s="113"/>
      <c r="KYO11" s="113"/>
      <c r="KYP11" s="113"/>
      <c r="KYQ11" s="113"/>
      <c r="KYR11" s="113"/>
      <c r="KYS11" s="113"/>
      <c r="KYT11" s="113"/>
      <c r="KYU11" s="113"/>
      <c r="KYV11" s="113"/>
      <c r="KYW11" s="113"/>
      <c r="KYX11" s="113"/>
      <c r="KYY11" s="113"/>
      <c r="KYZ11" s="113"/>
      <c r="KZA11" s="113"/>
      <c r="KZB11" s="113"/>
      <c r="KZC11" s="113"/>
      <c r="KZD11" s="113"/>
      <c r="KZE11" s="113"/>
      <c r="KZF11" s="113"/>
      <c r="KZG11" s="113"/>
      <c r="KZH11" s="113"/>
      <c r="KZI11" s="113"/>
      <c r="KZJ11" s="113"/>
      <c r="KZK11" s="113"/>
      <c r="KZL11" s="113"/>
      <c r="KZM11" s="113"/>
      <c r="KZN11" s="113"/>
      <c r="KZO11" s="113"/>
      <c r="KZP11" s="113"/>
      <c r="KZQ11" s="113"/>
      <c r="KZR11" s="113"/>
      <c r="KZS11" s="113"/>
      <c r="KZT11" s="113"/>
      <c r="KZU11" s="113"/>
      <c r="KZV11" s="113"/>
      <c r="KZW11" s="113"/>
      <c r="KZX11" s="113"/>
      <c r="KZY11" s="113"/>
      <c r="KZZ11" s="113"/>
      <c r="LAA11" s="113"/>
      <c r="LAB11" s="113"/>
      <c r="LAC11" s="113"/>
      <c r="LAD11" s="113"/>
      <c r="LAE11" s="113"/>
      <c r="LAF11" s="113"/>
      <c r="LAG11" s="113"/>
      <c r="LAH11" s="113"/>
      <c r="LAI11" s="113"/>
      <c r="LAJ11" s="113"/>
      <c r="LAK11" s="113"/>
      <c r="LAL11" s="113"/>
      <c r="LAM11" s="113"/>
      <c r="LAN11" s="113"/>
      <c r="LAO11" s="113"/>
      <c r="LAP11" s="113"/>
      <c r="LAQ11" s="113"/>
      <c r="LAR11" s="113"/>
      <c r="LAS11" s="113"/>
      <c r="LAT11" s="113"/>
      <c r="LAU11" s="113"/>
      <c r="LAV11" s="113"/>
      <c r="LAW11" s="113"/>
      <c r="LAX11" s="113"/>
      <c r="LAY11" s="113"/>
      <c r="LAZ11" s="113"/>
      <c r="LBA11" s="113"/>
      <c r="LBB11" s="113"/>
      <c r="LBC11" s="113"/>
      <c r="LBD11" s="113"/>
      <c r="LBE11" s="113"/>
      <c r="LBF11" s="113"/>
      <c r="LBG11" s="113"/>
      <c r="LBH11" s="113"/>
      <c r="LBI11" s="113"/>
      <c r="LBJ11" s="113"/>
      <c r="LBK11" s="113"/>
      <c r="LBL11" s="113"/>
      <c r="LBM11" s="113"/>
      <c r="LBN11" s="113"/>
      <c r="LBO11" s="113"/>
      <c r="LBP11" s="113"/>
      <c r="LBQ11" s="113"/>
      <c r="LBR11" s="113"/>
      <c r="LBS11" s="113"/>
      <c r="LBT11" s="113"/>
      <c r="LBU11" s="113"/>
      <c r="LBV11" s="113"/>
      <c r="LBW11" s="113"/>
      <c r="LBX11" s="113"/>
      <c r="LBY11" s="113"/>
      <c r="LBZ11" s="113"/>
      <c r="LCA11" s="113"/>
      <c r="LCB11" s="113"/>
      <c r="LCC11" s="113"/>
      <c r="LCD11" s="113"/>
      <c r="LCE11" s="113"/>
      <c r="LCF11" s="113"/>
      <c r="LCG11" s="113"/>
      <c r="LCH11" s="113"/>
      <c r="LCI11" s="113"/>
      <c r="LCJ11" s="113"/>
      <c r="LCK11" s="113"/>
      <c r="LCL11" s="113"/>
      <c r="LCM11" s="113"/>
      <c r="LCN11" s="113"/>
      <c r="LCO11" s="113"/>
      <c r="LCP11" s="113"/>
      <c r="LCQ11" s="113"/>
      <c r="LCR11" s="113"/>
      <c r="LCS11" s="113"/>
      <c r="LCT11" s="113"/>
      <c r="LCU11" s="113"/>
      <c r="LCV11" s="113"/>
      <c r="LCW11" s="113"/>
      <c r="LCX11" s="113"/>
      <c r="LCY11" s="113"/>
      <c r="LCZ11" s="113"/>
      <c r="LDA11" s="113"/>
      <c r="LDB11" s="113"/>
      <c r="LDC11" s="113"/>
      <c r="LDD11" s="113"/>
      <c r="LDE11" s="113"/>
      <c r="LDF11" s="113"/>
      <c r="LDG11" s="113"/>
      <c r="LDH11" s="113"/>
      <c r="LDI11" s="113"/>
      <c r="LDJ11" s="113"/>
      <c r="LDK11" s="113"/>
      <c r="LDL11" s="113"/>
      <c r="LDM11" s="113"/>
      <c r="LDN11" s="113"/>
      <c r="LDO11" s="113"/>
      <c r="LDP11" s="113"/>
      <c r="LDQ11" s="113"/>
      <c r="LDR11" s="113"/>
      <c r="LDS11" s="113"/>
      <c r="LDT11" s="113"/>
      <c r="LDU11" s="113"/>
      <c r="LDV11" s="113"/>
      <c r="LDW11" s="113"/>
      <c r="LDX11" s="113"/>
      <c r="LDY11" s="113"/>
      <c r="LDZ11" s="113"/>
      <c r="LEA11" s="113"/>
      <c r="LEB11" s="113"/>
      <c r="LEC11" s="113"/>
      <c r="LED11" s="113"/>
      <c r="LEE11" s="113"/>
      <c r="LEF11" s="113"/>
      <c r="LEG11" s="113"/>
      <c r="LEH11" s="113"/>
      <c r="LEI11" s="113"/>
      <c r="LEJ11" s="113"/>
      <c r="LEK11" s="113"/>
      <c r="LEL11" s="113"/>
      <c r="LEM11" s="113"/>
      <c r="LEN11" s="113"/>
      <c r="LEO11" s="113"/>
      <c r="LEP11" s="113"/>
      <c r="LEQ11" s="113"/>
      <c r="LER11" s="113"/>
      <c r="LES11" s="113"/>
      <c r="LET11" s="113"/>
      <c r="LEU11" s="113"/>
      <c r="LEV11" s="113"/>
      <c r="LEW11" s="113"/>
      <c r="LEX11" s="113"/>
      <c r="LEY11" s="113"/>
      <c r="LEZ11" s="113"/>
      <c r="LFA11" s="113"/>
      <c r="LFB11" s="113"/>
      <c r="LFC11" s="113"/>
      <c r="LFD11" s="113"/>
      <c r="LFE11" s="113"/>
      <c r="LFF11" s="113"/>
      <c r="LFG11" s="113"/>
      <c r="LFH11" s="113"/>
      <c r="LFI11" s="113"/>
      <c r="LFJ11" s="113"/>
      <c r="LFK11" s="113"/>
      <c r="LFL11" s="113"/>
      <c r="LFM11" s="113"/>
      <c r="LFN11" s="113"/>
      <c r="LFO11" s="113"/>
      <c r="LFP11" s="113"/>
      <c r="LFQ11" s="113"/>
      <c r="LFR11" s="113"/>
      <c r="LFS11" s="113"/>
      <c r="LFT11" s="113"/>
      <c r="LFU11" s="113"/>
      <c r="LFV11" s="113"/>
      <c r="LFW11" s="113"/>
      <c r="LFX11" s="113"/>
      <c r="LFY11" s="113"/>
      <c r="LFZ11" s="113"/>
      <c r="LGA11" s="113"/>
      <c r="LGB11" s="113"/>
      <c r="LGC11" s="113"/>
      <c r="LGD11" s="113"/>
      <c r="LGE11" s="113"/>
      <c r="LGF11" s="113"/>
      <c r="LGG11" s="113"/>
      <c r="LGH11" s="113"/>
      <c r="LGI11" s="113"/>
      <c r="LGJ11" s="113"/>
      <c r="LGK11" s="113"/>
      <c r="LGL11" s="113"/>
      <c r="LGM11" s="113"/>
      <c r="LGN11" s="113"/>
      <c r="LGO11" s="113"/>
      <c r="LGP11" s="113"/>
      <c r="LGQ11" s="113"/>
      <c r="LGR11" s="113"/>
      <c r="LGS11" s="113"/>
      <c r="LGT11" s="113"/>
      <c r="LGU11" s="113"/>
      <c r="LGV11" s="113"/>
      <c r="LGW11" s="113"/>
      <c r="LGX11" s="113"/>
      <c r="LGY11" s="113"/>
      <c r="LGZ11" s="113"/>
      <c r="LHA11" s="113"/>
      <c r="LHB11" s="113"/>
      <c r="LHC11" s="113"/>
      <c r="LHD11" s="113"/>
      <c r="LHE11" s="113"/>
      <c r="LHF11" s="113"/>
      <c r="LHG11" s="113"/>
      <c r="LHH11" s="113"/>
      <c r="LHI11" s="113"/>
      <c r="LHJ11" s="113"/>
      <c r="LHK11" s="113"/>
      <c r="LHL11" s="113"/>
      <c r="LHM11" s="113"/>
      <c r="LHN11" s="113"/>
      <c r="LHO11" s="113"/>
      <c r="LHP11" s="113"/>
      <c r="LHQ11" s="113"/>
      <c r="LHR11" s="113"/>
      <c r="LHS11" s="113"/>
      <c r="LHT11" s="113"/>
      <c r="LHU11" s="113"/>
      <c r="LHV11" s="113"/>
      <c r="LHW11" s="113"/>
      <c r="LHX11" s="113"/>
      <c r="LHY11" s="113"/>
      <c r="LHZ11" s="113"/>
      <c r="LIA11" s="113"/>
      <c r="LIB11" s="113"/>
      <c r="LIC11" s="113"/>
      <c r="LID11" s="113"/>
      <c r="LIE11" s="113"/>
      <c r="LIF11" s="113"/>
      <c r="LIG11" s="113"/>
      <c r="LIH11" s="113"/>
      <c r="LII11" s="113"/>
      <c r="LIJ11" s="113"/>
      <c r="LIK11" s="113"/>
      <c r="LIL11" s="113"/>
      <c r="LIM11" s="113"/>
      <c r="LIN11" s="113"/>
      <c r="LIO11" s="113"/>
      <c r="LIP11" s="113"/>
      <c r="LIQ11" s="113"/>
      <c r="LIR11" s="113"/>
      <c r="LIS11" s="113"/>
      <c r="LIT11" s="113"/>
      <c r="LIU11" s="113"/>
      <c r="LIV11" s="113"/>
      <c r="LIW11" s="113"/>
      <c r="LIX11" s="113"/>
      <c r="LIY11" s="113"/>
      <c r="LIZ11" s="113"/>
      <c r="LJA11" s="113"/>
      <c r="LJB11" s="113"/>
      <c r="LJC11" s="113"/>
      <c r="LJD11" s="113"/>
      <c r="LJE11" s="113"/>
      <c r="LJF11" s="113"/>
      <c r="LJG11" s="113"/>
      <c r="LJH11" s="113"/>
      <c r="LJI11" s="113"/>
      <c r="LJJ11" s="113"/>
      <c r="LJK11" s="113"/>
      <c r="LJL11" s="113"/>
      <c r="LJM11" s="113"/>
      <c r="LJN11" s="113"/>
      <c r="LJO11" s="113"/>
      <c r="LJP11" s="113"/>
      <c r="LJQ11" s="113"/>
      <c r="LJR11" s="113"/>
      <c r="LJS11" s="113"/>
      <c r="LJT11" s="113"/>
      <c r="LJU11" s="113"/>
      <c r="LJV11" s="113"/>
      <c r="LJW11" s="113"/>
      <c r="LJX11" s="113"/>
      <c r="LJY11" s="113"/>
      <c r="LJZ11" s="113"/>
      <c r="LKA11" s="113"/>
      <c r="LKB11" s="113"/>
      <c r="LKC11" s="113"/>
      <c r="LKD11" s="113"/>
      <c r="LKE11" s="113"/>
      <c r="LKF11" s="113"/>
      <c r="LKG11" s="113"/>
      <c r="LKH11" s="113"/>
      <c r="LKI11" s="113"/>
      <c r="LKJ11" s="113"/>
      <c r="LKK11" s="113"/>
      <c r="LKL11" s="113"/>
      <c r="LKM11" s="113"/>
      <c r="LKN11" s="113"/>
      <c r="LKO11" s="113"/>
      <c r="LKP11" s="113"/>
      <c r="LKQ11" s="113"/>
      <c r="LKR11" s="113"/>
      <c r="LKS11" s="113"/>
      <c r="LKT11" s="113"/>
      <c r="LKU11" s="113"/>
      <c r="LKV11" s="113"/>
      <c r="LKW11" s="113"/>
      <c r="LKX11" s="113"/>
      <c r="LKY11" s="113"/>
      <c r="LKZ11" s="113"/>
      <c r="LLA11" s="113"/>
      <c r="LLB11" s="113"/>
      <c r="LLC11" s="113"/>
      <c r="LLD11" s="113"/>
      <c r="LLE11" s="113"/>
      <c r="LLF11" s="113"/>
      <c r="LLG11" s="113"/>
      <c r="LLH11" s="113"/>
      <c r="LLI11" s="113"/>
      <c r="LLJ11" s="113"/>
      <c r="LLK11" s="113"/>
      <c r="LLL11" s="113"/>
      <c r="LLM11" s="113"/>
      <c r="LLN11" s="113"/>
      <c r="LLO11" s="113"/>
      <c r="LLP11" s="113"/>
      <c r="LLQ11" s="113"/>
      <c r="LLR11" s="113"/>
      <c r="LLS11" s="113"/>
      <c r="LLT11" s="113"/>
      <c r="LLU11" s="113"/>
      <c r="LLV11" s="113"/>
      <c r="LLW11" s="113"/>
      <c r="LLX11" s="113"/>
      <c r="LLY11" s="113"/>
      <c r="LLZ11" s="113"/>
      <c r="LMA11" s="113"/>
      <c r="LMB11" s="113"/>
      <c r="LMC11" s="113"/>
      <c r="LMD11" s="113"/>
      <c r="LME11" s="113"/>
      <c r="LMF11" s="113"/>
      <c r="LMG11" s="113"/>
      <c r="LMH11" s="113"/>
      <c r="LMI11" s="113"/>
      <c r="LMJ11" s="113"/>
      <c r="LMK11" s="113"/>
      <c r="LML11" s="113"/>
      <c r="LMM11" s="113"/>
      <c r="LMN11" s="113"/>
      <c r="LMO11" s="113"/>
      <c r="LMP11" s="113"/>
      <c r="LMQ11" s="113"/>
      <c r="LMR11" s="113"/>
      <c r="LMS11" s="113"/>
      <c r="LMT11" s="113"/>
      <c r="LMU11" s="113"/>
      <c r="LMV11" s="113"/>
      <c r="LMW11" s="113"/>
      <c r="LMX11" s="113"/>
      <c r="LMY11" s="113"/>
      <c r="LMZ11" s="113"/>
      <c r="LNA11" s="113"/>
      <c r="LNB11" s="113"/>
      <c r="LNC11" s="113"/>
      <c r="LND11" s="113"/>
      <c r="LNE11" s="113"/>
      <c r="LNF11" s="113"/>
      <c r="LNG11" s="113"/>
      <c r="LNH11" s="113"/>
      <c r="LNI11" s="113"/>
      <c r="LNJ11" s="113"/>
      <c r="LNK11" s="113"/>
      <c r="LNL11" s="113"/>
      <c r="LNM11" s="113"/>
      <c r="LNN11" s="113"/>
      <c r="LNO11" s="113"/>
      <c r="LNP11" s="113"/>
      <c r="LNQ11" s="113"/>
      <c r="LNR11" s="113"/>
      <c r="LNS11" s="113"/>
      <c r="LNT11" s="113"/>
      <c r="LNU11" s="113"/>
      <c r="LNV11" s="113"/>
      <c r="LNW11" s="113"/>
      <c r="LNX11" s="113"/>
      <c r="LNY11" s="113"/>
      <c r="LNZ11" s="113"/>
      <c r="LOA11" s="113"/>
      <c r="LOB11" s="113"/>
      <c r="LOC11" s="113"/>
      <c r="LOD11" s="113"/>
      <c r="LOE11" s="113"/>
      <c r="LOF11" s="113"/>
      <c r="LOG11" s="113"/>
      <c r="LOH11" s="113"/>
      <c r="LOI11" s="113"/>
      <c r="LOJ11" s="113"/>
      <c r="LOK11" s="113"/>
      <c r="LOL11" s="113"/>
      <c r="LOM11" s="113"/>
      <c r="LON11" s="113"/>
      <c r="LOO11" s="113"/>
      <c r="LOP11" s="113"/>
      <c r="LOQ11" s="113"/>
      <c r="LOR11" s="113"/>
      <c r="LOS11" s="113"/>
      <c r="LOT11" s="113"/>
      <c r="LOU11" s="113"/>
      <c r="LOV11" s="113"/>
      <c r="LOW11" s="113"/>
      <c r="LOX11" s="113"/>
      <c r="LOY11" s="113"/>
      <c r="LOZ11" s="113"/>
      <c r="LPA11" s="113"/>
      <c r="LPB11" s="113"/>
      <c r="LPC11" s="113"/>
      <c r="LPD11" s="113"/>
      <c r="LPE11" s="113"/>
      <c r="LPF11" s="113"/>
      <c r="LPG11" s="113"/>
      <c r="LPH11" s="113"/>
      <c r="LPI11" s="113"/>
      <c r="LPJ11" s="113"/>
      <c r="LPK11" s="113"/>
      <c r="LPL11" s="113"/>
      <c r="LPM11" s="113"/>
      <c r="LPN11" s="113"/>
      <c r="LPO11" s="113"/>
      <c r="LPP11" s="113"/>
      <c r="LPQ11" s="113"/>
      <c r="LPR11" s="113"/>
      <c r="LPS11" s="113"/>
      <c r="LPT11" s="113"/>
      <c r="LPU11" s="113"/>
      <c r="LPV11" s="113"/>
      <c r="LPW11" s="113"/>
      <c r="LPX11" s="113"/>
      <c r="LPY11" s="113"/>
      <c r="LPZ11" s="113"/>
      <c r="LQA11" s="113"/>
      <c r="LQB11" s="113"/>
      <c r="LQC11" s="113"/>
      <c r="LQD11" s="113"/>
      <c r="LQE11" s="113"/>
      <c r="LQF11" s="113"/>
      <c r="LQG11" s="113"/>
      <c r="LQH11" s="113"/>
      <c r="LQI11" s="113"/>
      <c r="LQJ11" s="113"/>
      <c r="LQK11" s="113"/>
      <c r="LQL11" s="113"/>
      <c r="LQM11" s="113"/>
      <c r="LQN11" s="113"/>
      <c r="LQO11" s="113"/>
      <c r="LQP11" s="113"/>
      <c r="LQQ11" s="113"/>
      <c r="LQR11" s="113"/>
      <c r="LQS11" s="113"/>
      <c r="LQT11" s="113"/>
      <c r="LQU11" s="113"/>
      <c r="LQV11" s="113"/>
      <c r="LQW11" s="113"/>
      <c r="LQX11" s="113"/>
      <c r="LQY11" s="113"/>
      <c r="LQZ11" s="113"/>
      <c r="LRA11" s="113"/>
      <c r="LRB11" s="113"/>
      <c r="LRC11" s="113"/>
      <c r="LRD11" s="113"/>
      <c r="LRE11" s="113"/>
      <c r="LRF11" s="113"/>
      <c r="LRG11" s="113"/>
      <c r="LRH11" s="113"/>
      <c r="LRI11" s="113"/>
      <c r="LRJ11" s="113"/>
      <c r="LRK11" s="113"/>
      <c r="LRL11" s="113"/>
      <c r="LRM11" s="113"/>
      <c r="LRN11" s="113"/>
      <c r="LRO11" s="113"/>
      <c r="LRP11" s="113"/>
      <c r="LRQ11" s="113"/>
      <c r="LRR11" s="113"/>
      <c r="LRS11" s="113"/>
      <c r="LRT11" s="113"/>
      <c r="LRU11" s="113"/>
      <c r="LRV11" s="113"/>
      <c r="LRW11" s="113"/>
      <c r="LRX11" s="113"/>
      <c r="LRY11" s="113"/>
      <c r="LRZ11" s="113"/>
      <c r="LSA11" s="113"/>
      <c r="LSB11" s="113"/>
      <c r="LSC11" s="113"/>
      <c r="LSD11" s="113"/>
      <c r="LSE11" s="113"/>
      <c r="LSF11" s="113"/>
      <c r="LSG11" s="113"/>
      <c r="LSH11" s="113"/>
      <c r="LSI11" s="113"/>
      <c r="LSJ11" s="113"/>
      <c r="LSK11" s="113"/>
      <c r="LSL11" s="113"/>
      <c r="LSM11" s="113"/>
      <c r="LSN11" s="113"/>
      <c r="LSO11" s="113"/>
      <c r="LSP11" s="113"/>
      <c r="LSQ11" s="113"/>
      <c r="LSR11" s="113"/>
      <c r="LSS11" s="113"/>
      <c r="LST11" s="113"/>
      <c r="LSU11" s="113"/>
      <c r="LSV11" s="113"/>
      <c r="LSW11" s="113"/>
      <c r="LSX11" s="113"/>
      <c r="LSY11" s="113"/>
      <c r="LSZ11" s="113"/>
      <c r="LTA11" s="113"/>
      <c r="LTB11" s="113"/>
      <c r="LTC11" s="113"/>
      <c r="LTD11" s="113"/>
      <c r="LTE11" s="113"/>
      <c r="LTF11" s="113"/>
      <c r="LTG11" s="113"/>
      <c r="LTH11" s="113"/>
      <c r="LTI11" s="113"/>
      <c r="LTJ11" s="113"/>
      <c r="LTK11" s="113"/>
      <c r="LTL11" s="113"/>
      <c r="LTM11" s="113"/>
      <c r="LTN11" s="113"/>
      <c r="LTO11" s="113"/>
      <c r="LTP11" s="113"/>
      <c r="LTQ11" s="113"/>
      <c r="LTR11" s="113"/>
      <c r="LTS11" s="113"/>
      <c r="LTT11" s="113"/>
      <c r="LTU11" s="113"/>
      <c r="LTV11" s="113"/>
      <c r="LTW11" s="113"/>
      <c r="LTX11" s="113"/>
      <c r="LTY11" s="113"/>
      <c r="LTZ11" s="113"/>
      <c r="LUA11" s="113"/>
      <c r="LUB11" s="113"/>
      <c r="LUC11" s="113"/>
      <c r="LUD11" s="113"/>
      <c r="LUE11" s="113"/>
      <c r="LUF11" s="113"/>
      <c r="LUG11" s="113"/>
      <c r="LUH11" s="113"/>
      <c r="LUI11" s="113"/>
      <c r="LUJ11" s="113"/>
      <c r="LUK11" s="113"/>
      <c r="LUL11" s="113"/>
      <c r="LUM11" s="113"/>
      <c r="LUN11" s="113"/>
      <c r="LUO11" s="113"/>
      <c r="LUP11" s="113"/>
      <c r="LUQ11" s="113"/>
      <c r="LUR11" s="113"/>
      <c r="LUS11" s="113"/>
      <c r="LUT11" s="113"/>
      <c r="LUU11" s="113"/>
      <c r="LUV11" s="113"/>
      <c r="LUW11" s="113"/>
      <c r="LUX11" s="113"/>
      <c r="LUY11" s="113"/>
      <c r="LUZ11" s="113"/>
      <c r="LVA11" s="113"/>
      <c r="LVB11" s="113"/>
      <c r="LVC11" s="113"/>
      <c r="LVD11" s="113"/>
      <c r="LVE11" s="113"/>
      <c r="LVF11" s="113"/>
      <c r="LVG11" s="113"/>
      <c r="LVH11" s="113"/>
      <c r="LVI11" s="113"/>
      <c r="LVJ11" s="113"/>
      <c r="LVK11" s="113"/>
      <c r="LVL11" s="113"/>
      <c r="LVM11" s="113"/>
      <c r="LVN11" s="113"/>
      <c r="LVO11" s="113"/>
      <c r="LVP11" s="113"/>
      <c r="LVQ11" s="113"/>
      <c r="LVR11" s="113"/>
      <c r="LVS11" s="113"/>
      <c r="LVT11" s="113"/>
      <c r="LVU11" s="113"/>
      <c r="LVV11" s="113"/>
      <c r="LVW11" s="113"/>
      <c r="LVX11" s="113"/>
      <c r="LVY11" s="113"/>
      <c r="LVZ11" s="113"/>
      <c r="LWA11" s="113"/>
      <c r="LWB11" s="113"/>
      <c r="LWC11" s="113"/>
      <c r="LWD11" s="113"/>
      <c r="LWE11" s="113"/>
      <c r="LWF11" s="113"/>
      <c r="LWG11" s="113"/>
      <c r="LWH11" s="113"/>
      <c r="LWI11" s="113"/>
      <c r="LWJ11" s="113"/>
      <c r="LWK11" s="113"/>
      <c r="LWL11" s="113"/>
      <c r="LWM11" s="113"/>
      <c r="LWN11" s="113"/>
      <c r="LWO11" s="113"/>
      <c r="LWP11" s="113"/>
      <c r="LWQ11" s="113"/>
      <c r="LWR11" s="113"/>
      <c r="LWS11" s="113"/>
      <c r="LWT11" s="113"/>
      <c r="LWU11" s="113"/>
      <c r="LWV11" s="113"/>
      <c r="LWW11" s="113"/>
      <c r="LWX11" s="113"/>
      <c r="LWY11" s="113"/>
      <c r="LWZ11" s="113"/>
      <c r="LXA11" s="113"/>
      <c r="LXB11" s="113"/>
      <c r="LXC11" s="113"/>
      <c r="LXD11" s="113"/>
      <c r="LXE11" s="113"/>
      <c r="LXF11" s="113"/>
      <c r="LXG11" s="113"/>
      <c r="LXH11" s="113"/>
      <c r="LXI11" s="113"/>
      <c r="LXJ11" s="113"/>
      <c r="LXK11" s="113"/>
      <c r="LXL11" s="113"/>
      <c r="LXM11" s="113"/>
      <c r="LXN11" s="113"/>
      <c r="LXO11" s="113"/>
      <c r="LXP11" s="113"/>
      <c r="LXQ11" s="113"/>
      <c r="LXR11" s="113"/>
      <c r="LXS11" s="113"/>
      <c r="LXT11" s="113"/>
      <c r="LXU11" s="113"/>
      <c r="LXV11" s="113"/>
      <c r="LXW11" s="113"/>
      <c r="LXX11" s="113"/>
      <c r="LXY11" s="113"/>
      <c r="LXZ11" s="113"/>
      <c r="LYA11" s="113"/>
      <c r="LYB11" s="113"/>
      <c r="LYC11" s="113"/>
      <c r="LYD11" s="113"/>
      <c r="LYE11" s="113"/>
      <c r="LYF11" s="113"/>
      <c r="LYG11" s="113"/>
      <c r="LYH11" s="113"/>
      <c r="LYI11" s="113"/>
      <c r="LYJ11" s="113"/>
      <c r="LYK11" s="113"/>
      <c r="LYL11" s="113"/>
      <c r="LYM11" s="113"/>
      <c r="LYN11" s="113"/>
      <c r="LYO11" s="113"/>
      <c r="LYP11" s="113"/>
      <c r="LYQ11" s="113"/>
      <c r="LYR11" s="113"/>
      <c r="LYS11" s="113"/>
      <c r="LYT11" s="113"/>
      <c r="LYU11" s="113"/>
      <c r="LYV11" s="113"/>
      <c r="LYW11" s="113"/>
      <c r="LYX11" s="113"/>
      <c r="LYY11" s="113"/>
      <c r="LYZ11" s="113"/>
      <c r="LZA11" s="113"/>
      <c r="LZB11" s="113"/>
      <c r="LZC11" s="113"/>
      <c r="LZD11" s="113"/>
      <c r="LZE11" s="113"/>
      <c r="LZF11" s="113"/>
      <c r="LZG11" s="113"/>
      <c r="LZH11" s="113"/>
      <c r="LZI11" s="113"/>
      <c r="LZJ11" s="113"/>
      <c r="LZK11" s="113"/>
      <c r="LZL11" s="113"/>
      <c r="LZM11" s="113"/>
      <c r="LZN11" s="113"/>
      <c r="LZO11" s="113"/>
      <c r="LZP11" s="113"/>
      <c r="LZQ11" s="113"/>
      <c r="LZR11" s="113"/>
      <c r="LZS11" s="113"/>
      <c r="LZT11" s="113"/>
      <c r="LZU11" s="113"/>
      <c r="LZV11" s="113"/>
      <c r="LZW11" s="113"/>
      <c r="LZX11" s="113"/>
      <c r="LZY11" s="113"/>
      <c r="LZZ11" s="113"/>
      <c r="MAA11" s="113"/>
      <c r="MAB11" s="113"/>
      <c r="MAC11" s="113"/>
      <c r="MAD11" s="113"/>
      <c r="MAE11" s="113"/>
      <c r="MAF11" s="113"/>
      <c r="MAG11" s="113"/>
      <c r="MAH11" s="113"/>
      <c r="MAI11" s="113"/>
      <c r="MAJ11" s="113"/>
      <c r="MAK11" s="113"/>
      <c r="MAL11" s="113"/>
      <c r="MAM11" s="113"/>
      <c r="MAN11" s="113"/>
      <c r="MAO11" s="113"/>
      <c r="MAP11" s="113"/>
      <c r="MAQ11" s="113"/>
      <c r="MAR11" s="113"/>
      <c r="MAS11" s="113"/>
      <c r="MAT11" s="113"/>
      <c r="MAU11" s="113"/>
      <c r="MAV11" s="113"/>
      <c r="MAW11" s="113"/>
      <c r="MAX11" s="113"/>
      <c r="MAY11" s="113"/>
      <c r="MAZ11" s="113"/>
      <c r="MBA11" s="113"/>
      <c r="MBB11" s="113"/>
      <c r="MBC11" s="113"/>
      <c r="MBD11" s="113"/>
      <c r="MBE11" s="113"/>
      <c r="MBF11" s="113"/>
      <c r="MBG11" s="113"/>
      <c r="MBH11" s="113"/>
      <c r="MBI11" s="113"/>
      <c r="MBJ11" s="113"/>
      <c r="MBK11" s="113"/>
      <c r="MBL11" s="113"/>
      <c r="MBM11" s="113"/>
      <c r="MBN11" s="113"/>
      <c r="MBO11" s="113"/>
      <c r="MBP11" s="113"/>
      <c r="MBQ11" s="113"/>
      <c r="MBR11" s="113"/>
      <c r="MBS11" s="113"/>
      <c r="MBT11" s="113"/>
      <c r="MBU11" s="113"/>
      <c r="MBV11" s="113"/>
      <c r="MBW11" s="113"/>
      <c r="MBX11" s="113"/>
      <c r="MBY11" s="113"/>
      <c r="MBZ11" s="113"/>
      <c r="MCA11" s="113"/>
      <c r="MCB11" s="113"/>
      <c r="MCC11" s="113"/>
      <c r="MCD11" s="113"/>
      <c r="MCE11" s="113"/>
      <c r="MCF11" s="113"/>
      <c r="MCG11" s="113"/>
      <c r="MCH11" s="113"/>
      <c r="MCI11" s="113"/>
      <c r="MCJ11" s="113"/>
      <c r="MCK11" s="113"/>
      <c r="MCL11" s="113"/>
      <c r="MCM11" s="113"/>
      <c r="MCN11" s="113"/>
      <c r="MCO11" s="113"/>
      <c r="MCP11" s="113"/>
      <c r="MCQ11" s="113"/>
      <c r="MCR11" s="113"/>
      <c r="MCS11" s="113"/>
      <c r="MCT11" s="113"/>
      <c r="MCU11" s="113"/>
      <c r="MCV11" s="113"/>
      <c r="MCW11" s="113"/>
      <c r="MCX11" s="113"/>
      <c r="MCY11" s="113"/>
      <c r="MCZ11" s="113"/>
      <c r="MDA11" s="113"/>
      <c r="MDB11" s="113"/>
      <c r="MDC11" s="113"/>
      <c r="MDD11" s="113"/>
      <c r="MDE11" s="113"/>
      <c r="MDF11" s="113"/>
      <c r="MDG11" s="113"/>
      <c r="MDH11" s="113"/>
      <c r="MDI11" s="113"/>
      <c r="MDJ11" s="113"/>
      <c r="MDK11" s="113"/>
      <c r="MDL11" s="113"/>
      <c r="MDM11" s="113"/>
      <c r="MDN11" s="113"/>
      <c r="MDO11" s="113"/>
      <c r="MDP11" s="113"/>
      <c r="MDQ11" s="113"/>
      <c r="MDR11" s="113"/>
      <c r="MDS11" s="113"/>
      <c r="MDT11" s="113"/>
      <c r="MDU11" s="113"/>
      <c r="MDV11" s="113"/>
      <c r="MDW11" s="113"/>
      <c r="MDX11" s="113"/>
      <c r="MDY11" s="113"/>
      <c r="MDZ11" s="113"/>
      <c r="MEA11" s="113"/>
      <c r="MEB11" s="113"/>
      <c r="MEC11" s="113"/>
      <c r="MED11" s="113"/>
      <c r="MEE11" s="113"/>
      <c r="MEF11" s="113"/>
      <c r="MEG11" s="113"/>
      <c r="MEH11" s="113"/>
      <c r="MEI11" s="113"/>
      <c r="MEJ11" s="113"/>
      <c r="MEK11" s="113"/>
      <c r="MEL11" s="113"/>
      <c r="MEM11" s="113"/>
      <c r="MEN11" s="113"/>
      <c r="MEO11" s="113"/>
      <c r="MEP11" s="113"/>
      <c r="MEQ11" s="113"/>
      <c r="MER11" s="113"/>
      <c r="MES11" s="113"/>
      <c r="MET11" s="113"/>
      <c r="MEU11" s="113"/>
      <c r="MEV11" s="113"/>
      <c r="MEW11" s="113"/>
      <c r="MEX11" s="113"/>
      <c r="MEY11" s="113"/>
      <c r="MEZ11" s="113"/>
      <c r="MFA11" s="113"/>
      <c r="MFB11" s="113"/>
      <c r="MFC11" s="113"/>
      <c r="MFD11" s="113"/>
      <c r="MFE11" s="113"/>
      <c r="MFF11" s="113"/>
      <c r="MFG11" s="113"/>
      <c r="MFH11" s="113"/>
      <c r="MFI11" s="113"/>
      <c r="MFJ11" s="113"/>
      <c r="MFK11" s="113"/>
      <c r="MFL11" s="113"/>
      <c r="MFM11" s="113"/>
      <c r="MFN11" s="113"/>
      <c r="MFO11" s="113"/>
      <c r="MFP11" s="113"/>
      <c r="MFQ11" s="113"/>
      <c r="MFR11" s="113"/>
      <c r="MFS11" s="113"/>
      <c r="MFT11" s="113"/>
      <c r="MFU11" s="113"/>
      <c r="MFV11" s="113"/>
      <c r="MFW11" s="113"/>
      <c r="MFX11" s="113"/>
      <c r="MFY11" s="113"/>
      <c r="MFZ11" s="113"/>
      <c r="MGA11" s="113"/>
      <c r="MGB11" s="113"/>
      <c r="MGC11" s="113"/>
      <c r="MGD11" s="113"/>
      <c r="MGE11" s="113"/>
      <c r="MGF11" s="113"/>
      <c r="MGG11" s="113"/>
      <c r="MGH11" s="113"/>
      <c r="MGI11" s="113"/>
      <c r="MGJ11" s="113"/>
      <c r="MGK11" s="113"/>
      <c r="MGL11" s="113"/>
      <c r="MGM11" s="113"/>
      <c r="MGN11" s="113"/>
      <c r="MGO11" s="113"/>
      <c r="MGP11" s="113"/>
      <c r="MGQ11" s="113"/>
      <c r="MGR11" s="113"/>
      <c r="MGS11" s="113"/>
      <c r="MGT11" s="113"/>
      <c r="MGU11" s="113"/>
      <c r="MGV11" s="113"/>
      <c r="MGW11" s="113"/>
      <c r="MGX11" s="113"/>
      <c r="MGY11" s="113"/>
      <c r="MGZ11" s="113"/>
      <c r="MHA11" s="113"/>
      <c r="MHB11" s="113"/>
      <c r="MHC11" s="113"/>
      <c r="MHD11" s="113"/>
      <c r="MHE11" s="113"/>
      <c r="MHF11" s="113"/>
      <c r="MHG11" s="113"/>
      <c r="MHH11" s="113"/>
      <c r="MHI11" s="113"/>
      <c r="MHJ11" s="113"/>
      <c r="MHK11" s="113"/>
      <c r="MHL11" s="113"/>
      <c r="MHM11" s="113"/>
      <c r="MHN11" s="113"/>
      <c r="MHO11" s="113"/>
      <c r="MHP11" s="113"/>
      <c r="MHQ11" s="113"/>
      <c r="MHR11" s="113"/>
      <c r="MHS11" s="113"/>
      <c r="MHT11" s="113"/>
      <c r="MHU11" s="113"/>
      <c r="MHV11" s="113"/>
      <c r="MHW11" s="113"/>
      <c r="MHX11" s="113"/>
      <c r="MHY11" s="113"/>
      <c r="MHZ11" s="113"/>
      <c r="MIA11" s="113"/>
      <c r="MIB11" s="113"/>
      <c r="MIC11" s="113"/>
      <c r="MID11" s="113"/>
      <c r="MIE11" s="113"/>
      <c r="MIF11" s="113"/>
      <c r="MIG11" s="113"/>
      <c r="MIH11" s="113"/>
      <c r="MII11" s="113"/>
      <c r="MIJ11" s="113"/>
      <c r="MIK11" s="113"/>
      <c r="MIL11" s="113"/>
      <c r="MIM11" s="113"/>
      <c r="MIN11" s="113"/>
      <c r="MIO11" s="113"/>
      <c r="MIP11" s="113"/>
      <c r="MIQ11" s="113"/>
      <c r="MIR11" s="113"/>
      <c r="MIS11" s="113"/>
      <c r="MIT11" s="113"/>
      <c r="MIU11" s="113"/>
      <c r="MIV11" s="113"/>
      <c r="MIW11" s="113"/>
      <c r="MIX11" s="113"/>
      <c r="MIY11" s="113"/>
      <c r="MIZ11" s="113"/>
      <c r="MJA11" s="113"/>
      <c r="MJB11" s="113"/>
      <c r="MJC11" s="113"/>
      <c r="MJD11" s="113"/>
      <c r="MJE11" s="113"/>
      <c r="MJF11" s="113"/>
      <c r="MJG11" s="113"/>
      <c r="MJH11" s="113"/>
      <c r="MJI11" s="113"/>
      <c r="MJJ11" s="113"/>
      <c r="MJK11" s="113"/>
      <c r="MJL11" s="113"/>
      <c r="MJM11" s="113"/>
      <c r="MJN11" s="113"/>
      <c r="MJO11" s="113"/>
      <c r="MJP11" s="113"/>
      <c r="MJQ11" s="113"/>
      <c r="MJR11" s="113"/>
      <c r="MJS11" s="113"/>
      <c r="MJT11" s="113"/>
      <c r="MJU11" s="113"/>
      <c r="MJV11" s="113"/>
      <c r="MJW11" s="113"/>
      <c r="MJX11" s="113"/>
      <c r="MJY11" s="113"/>
      <c r="MJZ11" s="113"/>
      <c r="MKA11" s="113"/>
      <c r="MKB11" s="113"/>
      <c r="MKC11" s="113"/>
      <c r="MKD11" s="113"/>
      <c r="MKE11" s="113"/>
      <c r="MKF11" s="113"/>
      <c r="MKG11" s="113"/>
      <c r="MKH11" s="113"/>
      <c r="MKI11" s="113"/>
      <c r="MKJ11" s="113"/>
      <c r="MKK11" s="113"/>
      <c r="MKL11" s="113"/>
      <c r="MKM11" s="113"/>
      <c r="MKN11" s="113"/>
      <c r="MKO11" s="113"/>
      <c r="MKP11" s="113"/>
      <c r="MKQ11" s="113"/>
      <c r="MKR11" s="113"/>
      <c r="MKS11" s="113"/>
      <c r="MKT11" s="113"/>
      <c r="MKU11" s="113"/>
      <c r="MKV11" s="113"/>
      <c r="MKW11" s="113"/>
      <c r="MKX11" s="113"/>
      <c r="MKY11" s="113"/>
      <c r="MKZ11" s="113"/>
      <c r="MLA11" s="113"/>
      <c r="MLB11" s="113"/>
      <c r="MLC11" s="113"/>
      <c r="MLD11" s="113"/>
      <c r="MLE11" s="113"/>
      <c r="MLF11" s="113"/>
      <c r="MLG11" s="113"/>
      <c r="MLH11" s="113"/>
      <c r="MLI11" s="113"/>
      <c r="MLJ11" s="113"/>
      <c r="MLK11" s="113"/>
      <c r="MLL11" s="113"/>
      <c r="MLM11" s="113"/>
      <c r="MLN11" s="113"/>
      <c r="MLO11" s="113"/>
      <c r="MLP11" s="113"/>
      <c r="MLQ11" s="113"/>
      <c r="MLR11" s="113"/>
      <c r="MLS11" s="113"/>
      <c r="MLT11" s="113"/>
      <c r="MLU11" s="113"/>
      <c r="MLV11" s="113"/>
      <c r="MLW11" s="113"/>
      <c r="MLX11" s="113"/>
      <c r="MLY11" s="113"/>
      <c r="MLZ11" s="113"/>
      <c r="MMA11" s="113"/>
      <c r="MMB11" s="113"/>
      <c r="MMC11" s="113"/>
      <c r="MMD11" s="113"/>
      <c r="MME11" s="113"/>
      <c r="MMF11" s="113"/>
      <c r="MMG11" s="113"/>
      <c r="MMH11" s="113"/>
      <c r="MMI11" s="113"/>
      <c r="MMJ11" s="113"/>
      <c r="MMK11" s="113"/>
      <c r="MML11" s="113"/>
      <c r="MMM11" s="113"/>
      <c r="MMN11" s="113"/>
      <c r="MMO11" s="113"/>
      <c r="MMP11" s="113"/>
      <c r="MMQ11" s="113"/>
      <c r="MMR11" s="113"/>
      <c r="MMS11" s="113"/>
      <c r="MMT11" s="113"/>
      <c r="MMU11" s="113"/>
      <c r="MMV11" s="113"/>
      <c r="MMW11" s="113"/>
      <c r="MMX11" s="113"/>
      <c r="MMY11" s="113"/>
      <c r="MMZ11" s="113"/>
      <c r="MNA11" s="113"/>
      <c r="MNB11" s="113"/>
      <c r="MNC11" s="113"/>
      <c r="MND11" s="113"/>
      <c r="MNE11" s="113"/>
      <c r="MNF11" s="113"/>
      <c r="MNG11" s="113"/>
      <c r="MNH11" s="113"/>
      <c r="MNI11" s="113"/>
      <c r="MNJ11" s="113"/>
      <c r="MNK11" s="113"/>
      <c r="MNL11" s="113"/>
      <c r="MNM11" s="113"/>
      <c r="MNN11" s="113"/>
      <c r="MNO11" s="113"/>
      <c r="MNP11" s="113"/>
      <c r="MNQ11" s="113"/>
      <c r="MNR11" s="113"/>
      <c r="MNS11" s="113"/>
      <c r="MNT11" s="113"/>
      <c r="MNU11" s="113"/>
      <c r="MNV11" s="113"/>
      <c r="MNW11" s="113"/>
      <c r="MNX11" s="113"/>
      <c r="MNY11" s="113"/>
      <c r="MNZ11" s="113"/>
      <c r="MOA11" s="113"/>
      <c r="MOB11" s="113"/>
      <c r="MOC11" s="113"/>
      <c r="MOD11" s="113"/>
      <c r="MOE11" s="113"/>
      <c r="MOF11" s="113"/>
      <c r="MOG11" s="113"/>
      <c r="MOH11" s="113"/>
      <c r="MOI11" s="113"/>
      <c r="MOJ11" s="113"/>
      <c r="MOK11" s="113"/>
      <c r="MOL11" s="113"/>
      <c r="MOM11" s="113"/>
      <c r="MON11" s="113"/>
      <c r="MOO11" s="113"/>
      <c r="MOP11" s="113"/>
      <c r="MOQ11" s="113"/>
      <c r="MOR11" s="113"/>
      <c r="MOS11" s="113"/>
      <c r="MOT11" s="113"/>
      <c r="MOU11" s="113"/>
      <c r="MOV11" s="113"/>
      <c r="MOW11" s="113"/>
      <c r="MOX11" s="113"/>
      <c r="MOY11" s="113"/>
      <c r="MOZ11" s="113"/>
      <c r="MPA11" s="113"/>
      <c r="MPB11" s="113"/>
      <c r="MPC11" s="113"/>
      <c r="MPD11" s="113"/>
      <c r="MPE11" s="113"/>
      <c r="MPF11" s="113"/>
      <c r="MPG11" s="113"/>
      <c r="MPH11" s="113"/>
      <c r="MPI11" s="113"/>
      <c r="MPJ11" s="113"/>
      <c r="MPK11" s="113"/>
      <c r="MPL11" s="113"/>
      <c r="MPM11" s="113"/>
      <c r="MPN11" s="113"/>
      <c r="MPO11" s="113"/>
      <c r="MPP11" s="113"/>
      <c r="MPQ11" s="113"/>
      <c r="MPR11" s="113"/>
      <c r="MPS11" s="113"/>
      <c r="MPT11" s="113"/>
      <c r="MPU11" s="113"/>
      <c r="MPV11" s="113"/>
      <c r="MPW11" s="113"/>
      <c r="MPX11" s="113"/>
      <c r="MPY11" s="113"/>
      <c r="MPZ11" s="113"/>
      <c r="MQA11" s="113"/>
      <c r="MQB11" s="113"/>
      <c r="MQC11" s="113"/>
      <c r="MQD11" s="113"/>
      <c r="MQE11" s="113"/>
      <c r="MQF11" s="113"/>
      <c r="MQG11" s="113"/>
      <c r="MQH11" s="113"/>
      <c r="MQI11" s="113"/>
      <c r="MQJ11" s="113"/>
      <c r="MQK11" s="113"/>
      <c r="MQL11" s="113"/>
      <c r="MQM11" s="113"/>
      <c r="MQN11" s="113"/>
      <c r="MQO11" s="113"/>
      <c r="MQP11" s="113"/>
      <c r="MQQ11" s="113"/>
      <c r="MQR11" s="113"/>
      <c r="MQS11" s="113"/>
      <c r="MQT11" s="113"/>
      <c r="MQU11" s="113"/>
      <c r="MQV11" s="113"/>
      <c r="MQW11" s="113"/>
      <c r="MQX11" s="113"/>
      <c r="MQY11" s="113"/>
      <c r="MQZ11" s="113"/>
      <c r="MRA11" s="113"/>
      <c r="MRB11" s="113"/>
      <c r="MRC11" s="113"/>
      <c r="MRD11" s="113"/>
      <c r="MRE11" s="113"/>
      <c r="MRF11" s="113"/>
      <c r="MRG11" s="113"/>
      <c r="MRH11" s="113"/>
      <c r="MRI11" s="113"/>
      <c r="MRJ11" s="113"/>
      <c r="MRK11" s="113"/>
      <c r="MRL11" s="113"/>
      <c r="MRM11" s="113"/>
      <c r="MRN11" s="113"/>
      <c r="MRO11" s="113"/>
      <c r="MRP11" s="113"/>
      <c r="MRQ11" s="113"/>
      <c r="MRR11" s="113"/>
      <c r="MRS11" s="113"/>
      <c r="MRT11" s="113"/>
      <c r="MRU11" s="113"/>
      <c r="MRV11" s="113"/>
      <c r="MRW11" s="113"/>
      <c r="MRX11" s="113"/>
      <c r="MRY11" s="113"/>
      <c r="MRZ11" s="113"/>
      <c r="MSA11" s="113"/>
      <c r="MSB11" s="113"/>
      <c r="MSC11" s="113"/>
      <c r="MSD11" s="113"/>
      <c r="MSE11" s="113"/>
      <c r="MSF11" s="113"/>
      <c r="MSG11" s="113"/>
      <c r="MSH11" s="113"/>
      <c r="MSI11" s="113"/>
      <c r="MSJ11" s="113"/>
      <c r="MSK11" s="113"/>
      <c r="MSL11" s="113"/>
      <c r="MSM11" s="113"/>
      <c r="MSN11" s="113"/>
      <c r="MSO11" s="113"/>
      <c r="MSP11" s="113"/>
      <c r="MSQ11" s="113"/>
      <c r="MSR11" s="113"/>
      <c r="MSS11" s="113"/>
      <c r="MST11" s="113"/>
      <c r="MSU11" s="113"/>
      <c r="MSV11" s="113"/>
      <c r="MSW11" s="113"/>
      <c r="MSX11" s="113"/>
      <c r="MSY11" s="113"/>
      <c r="MSZ11" s="113"/>
      <c r="MTA11" s="113"/>
      <c r="MTB11" s="113"/>
      <c r="MTC11" s="113"/>
      <c r="MTD11" s="113"/>
      <c r="MTE11" s="113"/>
      <c r="MTF11" s="113"/>
      <c r="MTG11" s="113"/>
      <c r="MTH11" s="113"/>
      <c r="MTI11" s="113"/>
      <c r="MTJ11" s="113"/>
      <c r="MTK11" s="113"/>
      <c r="MTL11" s="113"/>
      <c r="MTM11" s="113"/>
      <c r="MTN11" s="113"/>
      <c r="MTO11" s="113"/>
      <c r="MTP11" s="113"/>
      <c r="MTQ11" s="113"/>
      <c r="MTR11" s="113"/>
      <c r="MTS11" s="113"/>
      <c r="MTT11" s="113"/>
      <c r="MTU11" s="113"/>
      <c r="MTV11" s="113"/>
      <c r="MTW11" s="113"/>
      <c r="MTX11" s="113"/>
      <c r="MTY11" s="113"/>
      <c r="MTZ11" s="113"/>
      <c r="MUA11" s="113"/>
      <c r="MUB11" s="113"/>
      <c r="MUC11" s="113"/>
      <c r="MUD11" s="113"/>
      <c r="MUE11" s="113"/>
      <c r="MUF11" s="113"/>
      <c r="MUG11" s="113"/>
      <c r="MUH11" s="113"/>
      <c r="MUI11" s="113"/>
      <c r="MUJ11" s="113"/>
      <c r="MUK11" s="113"/>
      <c r="MUL11" s="113"/>
      <c r="MUM11" s="113"/>
      <c r="MUN11" s="113"/>
      <c r="MUO11" s="113"/>
      <c r="MUP11" s="113"/>
      <c r="MUQ11" s="113"/>
      <c r="MUR11" s="113"/>
      <c r="MUS11" s="113"/>
      <c r="MUT11" s="113"/>
      <c r="MUU11" s="113"/>
      <c r="MUV11" s="113"/>
      <c r="MUW11" s="113"/>
      <c r="MUX11" s="113"/>
      <c r="MUY11" s="113"/>
      <c r="MUZ11" s="113"/>
      <c r="MVA11" s="113"/>
      <c r="MVB11" s="113"/>
      <c r="MVC11" s="113"/>
      <c r="MVD11" s="113"/>
      <c r="MVE11" s="113"/>
      <c r="MVF11" s="113"/>
      <c r="MVG11" s="113"/>
      <c r="MVH11" s="113"/>
      <c r="MVI11" s="113"/>
      <c r="MVJ11" s="113"/>
      <c r="MVK11" s="113"/>
      <c r="MVL11" s="113"/>
      <c r="MVM11" s="113"/>
      <c r="MVN11" s="113"/>
      <c r="MVO11" s="113"/>
      <c r="MVP11" s="113"/>
      <c r="MVQ11" s="113"/>
      <c r="MVR11" s="113"/>
      <c r="MVS11" s="113"/>
      <c r="MVT11" s="113"/>
      <c r="MVU11" s="113"/>
      <c r="MVV11" s="113"/>
      <c r="MVW11" s="113"/>
      <c r="MVX11" s="113"/>
      <c r="MVY11" s="113"/>
      <c r="MVZ11" s="113"/>
      <c r="MWA11" s="113"/>
      <c r="MWB11" s="113"/>
      <c r="MWC11" s="113"/>
      <c r="MWD11" s="113"/>
      <c r="MWE11" s="113"/>
      <c r="MWF11" s="113"/>
      <c r="MWG11" s="113"/>
      <c r="MWH11" s="113"/>
      <c r="MWI11" s="113"/>
      <c r="MWJ11" s="113"/>
      <c r="MWK11" s="113"/>
      <c r="MWL11" s="113"/>
      <c r="MWM11" s="113"/>
      <c r="MWN11" s="113"/>
      <c r="MWO11" s="113"/>
      <c r="MWP11" s="113"/>
      <c r="MWQ11" s="113"/>
      <c r="MWR11" s="113"/>
      <c r="MWS11" s="113"/>
      <c r="MWT11" s="113"/>
      <c r="MWU11" s="113"/>
      <c r="MWV11" s="113"/>
      <c r="MWW11" s="113"/>
      <c r="MWX11" s="113"/>
      <c r="MWY11" s="113"/>
      <c r="MWZ11" s="113"/>
      <c r="MXA11" s="113"/>
      <c r="MXB11" s="113"/>
      <c r="MXC11" s="113"/>
      <c r="MXD11" s="113"/>
      <c r="MXE11" s="113"/>
      <c r="MXF11" s="113"/>
      <c r="MXG11" s="113"/>
      <c r="MXH11" s="113"/>
      <c r="MXI11" s="113"/>
      <c r="MXJ11" s="113"/>
      <c r="MXK11" s="113"/>
      <c r="MXL11" s="113"/>
      <c r="MXM11" s="113"/>
      <c r="MXN11" s="113"/>
      <c r="MXO11" s="113"/>
      <c r="MXP11" s="113"/>
      <c r="MXQ11" s="113"/>
      <c r="MXR11" s="113"/>
      <c r="MXS11" s="113"/>
      <c r="MXT11" s="113"/>
      <c r="MXU11" s="113"/>
      <c r="MXV11" s="113"/>
      <c r="MXW11" s="113"/>
      <c r="MXX11" s="113"/>
      <c r="MXY11" s="113"/>
      <c r="MXZ11" s="113"/>
      <c r="MYA11" s="113"/>
      <c r="MYB11" s="113"/>
      <c r="MYC11" s="113"/>
      <c r="MYD11" s="113"/>
      <c r="MYE11" s="113"/>
      <c r="MYF11" s="113"/>
      <c r="MYG11" s="113"/>
      <c r="MYH11" s="113"/>
      <c r="MYI11" s="113"/>
      <c r="MYJ11" s="113"/>
      <c r="MYK11" s="113"/>
      <c r="MYL11" s="113"/>
      <c r="MYM11" s="113"/>
      <c r="MYN11" s="113"/>
      <c r="MYO11" s="113"/>
      <c r="MYP11" s="113"/>
      <c r="MYQ11" s="113"/>
      <c r="MYR11" s="113"/>
      <c r="MYS11" s="113"/>
      <c r="MYT11" s="113"/>
      <c r="MYU11" s="113"/>
      <c r="MYV11" s="113"/>
      <c r="MYW11" s="113"/>
      <c r="MYX11" s="113"/>
      <c r="MYY11" s="113"/>
      <c r="MYZ11" s="113"/>
      <c r="MZA11" s="113"/>
      <c r="MZB11" s="113"/>
      <c r="MZC11" s="113"/>
      <c r="MZD11" s="113"/>
      <c r="MZE11" s="113"/>
      <c r="MZF11" s="113"/>
      <c r="MZG11" s="113"/>
      <c r="MZH11" s="113"/>
      <c r="MZI11" s="113"/>
      <c r="MZJ11" s="113"/>
      <c r="MZK11" s="113"/>
      <c r="MZL11" s="113"/>
      <c r="MZM11" s="113"/>
      <c r="MZN11" s="113"/>
      <c r="MZO11" s="113"/>
      <c r="MZP11" s="113"/>
      <c r="MZQ11" s="113"/>
      <c r="MZR11" s="113"/>
      <c r="MZS11" s="113"/>
      <c r="MZT11" s="113"/>
      <c r="MZU11" s="113"/>
      <c r="MZV11" s="113"/>
      <c r="MZW11" s="113"/>
      <c r="MZX11" s="113"/>
      <c r="MZY11" s="113"/>
      <c r="MZZ11" s="113"/>
      <c r="NAA11" s="113"/>
      <c r="NAB11" s="113"/>
      <c r="NAC11" s="113"/>
      <c r="NAD11" s="113"/>
      <c r="NAE11" s="113"/>
      <c r="NAF11" s="113"/>
      <c r="NAG11" s="113"/>
      <c r="NAH11" s="113"/>
      <c r="NAI11" s="113"/>
      <c r="NAJ11" s="113"/>
      <c r="NAK11" s="113"/>
      <c r="NAL11" s="113"/>
      <c r="NAM11" s="113"/>
      <c r="NAN11" s="113"/>
      <c r="NAO11" s="113"/>
      <c r="NAP11" s="113"/>
      <c r="NAQ11" s="113"/>
      <c r="NAR11" s="113"/>
      <c r="NAS11" s="113"/>
      <c r="NAT11" s="113"/>
      <c r="NAU11" s="113"/>
      <c r="NAV11" s="113"/>
      <c r="NAW11" s="113"/>
      <c r="NAX11" s="113"/>
      <c r="NAY11" s="113"/>
      <c r="NAZ11" s="113"/>
      <c r="NBA11" s="113"/>
      <c r="NBB11" s="113"/>
      <c r="NBC11" s="113"/>
      <c r="NBD11" s="113"/>
      <c r="NBE11" s="113"/>
      <c r="NBF11" s="113"/>
      <c r="NBG11" s="113"/>
      <c r="NBH11" s="113"/>
      <c r="NBI11" s="113"/>
      <c r="NBJ11" s="113"/>
      <c r="NBK11" s="113"/>
      <c r="NBL11" s="113"/>
      <c r="NBM11" s="113"/>
      <c r="NBN11" s="113"/>
      <c r="NBO11" s="113"/>
      <c r="NBP11" s="113"/>
      <c r="NBQ11" s="113"/>
      <c r="NBR11" s="113"/>
      <c r="NBS11" s="113"/>
      <c r="NBT11" s="113"/>
      <c r="NBU11" s="113"/>
      <c r="NBV11" s="113"/>
      <c r="NBW11" s="113"/>
      <c r="NBX11" s="113"/>
      <c r="NBY11" s="113"/>
      <c r="NBZ11" s="113"/>
      <c r="NCA11" s="113"/>
      <c r="NCB11" s="113"/>
      <c r="NCC11" s="113"/>
      <c r="NCD11" s="113"/>
      <c r="NCE11" s="113"/>
      <c r="NCF11" s="113"/>
      <c r="NCG11" s="113"/>
      <c r="NCH11" s="113"/>
      <c r="NCI11" s="113"/>
      <c r="NCJ11" s="113"/>
      <c r="NCK11" s="113"/>
      <c r="NCL11" s="113"/>
      <c r="NCM11" s="113"/>
      <c r="NCN11" s="113"/>
      <c r="NCO11" s="113"/>
      <c r="NCP11" s="113"/>
      <c r="NCQ11" s="113"/>
      <c r="NCR11" s="113"/>
      <c r="NCS11" s="113"/>
      <c r="NCT11" s="113"/>
      <c r="NCU11" s="113"/>
      <c r="NCV11" s="113"/>
      <c r="NCW11" s="113"/>
      <c r="NCX11" s="113"/>
      <c r="NCY11" s="113"/>
      <c r="NCZ11" s="113"/>
      <c r="NDA11" s="113"/>
      <c r="NDB11" s="113"/>
      <c r="NDC11" s="113"/>
      <c r="NDD11" s="113"/>
      <c r="NDE11" s="113"/>
      <c r="NDF11" s="113"/>
      <c r="NDG11" s="113"/>
      <c r="NDH11" s="113"/>
      <c r="NDI11" s="113"/>
      <c r="NDJ11" s="113"/>
      <c r="NDK11" s="113"/>
      <c r="NDL11" s="113"/>
      <c r="NDM11" s="113"/>
      <c r="NDN11" s="113"/>
      <c r="NDO11" s="113"/>
      <c r="NDP11" s="113"/>
      <c r="NDQ11" s="113"/>
      <c r="NDR11" s="113"/>
      <c r="NDS11" s="113"/>
      <c r="NDT11" s="113"/>
      <c r="NDU11" s="113"/>
      <c r="NDV11" s="113"/>
      <c r="NDW11" s="113"/>
      <c r="NDX11" s="113"/>
      <c r="NDY11" s="113"/>
      <c r="NDZ11" s="113"/>
      <c r="NEA11" s="113"/>
      <c r="NEB11" s="113"/>
      <c r="NEC11" s="113"/>
      <c r="NED11" s="113"/>
      <c r="NEE11" s="113"/>
      <c r="NEF11" s="113"/>
      <c r="NEG11" s="113"/>
      <c r="NEH11" s="113"/>
      <c r="NEI11" s="113"/>
      <c r="NEJ11" s="113"/>
      <c r="NEK11" s="113"/>
      <c r="NEL11" s="113"/>
      <c r="NEM11" s="113"/>
      <c r="NEN11" s="113"/>
      <c r="NEO11" s="113"/>
      <c r="NEP11" s="113"/>
      <c r="NEQ11" s="113"/>
      <c r="NER11" s="113"/>
      <c r="NES11" s="113"/>
      <c r="NET11" s="113"/>
      <c r="NEU11" s="113"/>
      <c r="NEV11" s="113"/>
      <c r="NEW11" s="113"/>
      <c r="NEX11" s="113"/>
      <c r="NEY11" s="113"/>
      <c r="NEZ11" s="113"/>
      <c r="NFA11" s="113"/>
      <c r="NFB11" s="113"/>
      <c r="NFC11" s="113"/>
      <c r="NFD11" s="113"/>
      <c r="NFE11" s="113"/>
      <c r="NFF11" s="113"/>
      <c r="NFG11" s="113"/>
      <c r="NFH11" s="113"/>
      <c r="NFI11" s="113"/>
      <c r="NFJ11" s="113"/>
      <c r="NFK11" s="113"/>
      <c r="NFL11" s="113"/>
      <c r="NFM11" s="113"/>
      <c r="NFN11" s="113"/>
      <c r="NFO11" s="113"/>
      <c r="NFP11" s="113"/>
      <c r="NFQ11" s="113"/>
      <c r="NFR11" s="113"/>
      <c r="NFS11" s="113"/>
      <c r="NFT11" s="113"/>
      <c r="NFU11" s="113"/>
      <c r="NFV11" s="113"/>
      <c r="NFW11" s="113"/>
      <c r="NFX11" s="113"/>
      <c r="NFY11" s="113"/>
      <c r="NFZ11" s="113"/>
      <c r="NGA11" s="113"/>
      <c r="NGB11" s="113"/>
      <c r="NGC11" s="113"/>
      <c r="NGD11" s="113"/>
      <c r="NGE11" s="113"/>
      <c r="NGF11" s="113"/>
      <c r="NGG11" s="113"/>
      <c r="NGH11" s="113"/>
      <c r="NGI11" s="113"/>
      <c r="NGJ11" s="113"/>
      <c r="NGK11" s="113"/>
      <c r="NGL11" s="113"/>
      <c r="NGM11" s="113"/>
      <c r="NGN11" s="113"/>
      <c r="NGO11" s="113"/>
      <c r="NGP11" s="113"/>
      <c r="NGQ11" s="113"/>
      <c r="NGR11" s="113"/>
      <c r="NGS11" s="113"/>
      <c r="NGT11" s="113"/>
      <c r="NGU11" s="113"/>
      <c r="NGV11" s="113"/>
      <c r="NGW11" s="113"/>
      <c r="NGX11" s="113"/>
      <c r="NGY11" s="113"/>
      <c r="NGZ11" s="113"/>
      <c r="NHA11" s="113"/>
      <c r="NHB11" s="113"/>
      <c r="NHC11" s="113"/>
      <c r="NHD11" s="113"/>
      <c r="NHE11" s="113"/>
      <c r="NHF11" s="113"/>
      <c r="NHG11" s="113"/>
      <c r="NHH11" s="113"/>
      <c r="NHI11" s="113"/>
      <c r="NHJ11" s="113"/>
      <c r="NHK11" s="113"/>
      <c r="NHL11" s="113"/>
      <c r="NHM11" s="113"/>
      <c r="NHN11" s="113"/>
      <c r="NHO11" s="113"/>
      <c r="NHP11" s="113"/>
      <c r="NHQ11" s="113"/>
      <c r="NHR11" s="113"/>
      <c r="NHS11" s="113"/>
      <c r="NHT11" s="113"/>
      <c r="NHU11" s="113"/>
      <c r="NHV11" s="113"/>
      <c r="NHW11" s="113"/>
      <c r="NHX11" s="113"/>
      <c r="NHY11" s="113"/>
      <c r="NHZ11" s="113"/>
      <c r="NIA11" s="113"/>
      <c r="NIB11" s="113"/>
      <c r="NIC11" s="113"/>
      <c r="NID11" s="113"/>
      <c r="NIE11" s="113"/>
      <c r="NIF11" s="113"/>
      <c r="NIG11" s="113"/>
      <c r="NIH11" s="113"/>
      <c r="NII11" s="113"/>
      <c r="NIJ11" s="113"/>
      <c r="NIK11" s="113"/>
      <c r="NIL11" s="113"/>
      <c r="NIM11" s="113"/>
      <c r="NIN11" s="113"/>
      <c r="NIO11" s="113"/>
      <c r="NIP11" s="113"/>
      <c r="NIQ11" s="113"/>
      <c r="NIR11" s="113"/>
      <c r="NIS11" s="113"/>
      <c r="NIT11" s="113"/>
      <c r="NIU11" s="113"/>
      <c r="NIV11" s="113"/>
      <c r="NIW11" s="113"/>
      <c r="NIX11" s="113"/>
      <c r="NIY11" s="113"/>
      <c r="NIZ11" s="113"/>
      <c r="NJA11" s="113"/>
      <c r="NJB11" s="113"/>
      <c r="NJC11" s="113"/>
      <c r="NJD11" s="113"/>
      <c r="NJE11" s="113"/>
      <c r="NJF11" s="113"/>
      <c r="NJG11" s="113"/>
      <c r="NJH11" s="113"/>
      <c r="NJI11" s="113"/>
      <c r="NJJ11" s="113"/>
      <c r="NJK11" s="113"/>
      <c r="NJL11" s="113"/>
      <c r="NJM11" s="113"/>
      <c r="NJN11" s="113"/>
      <c r="NJO11" s="113"/>
      <c r="NJP11" s="113"/>
      <c r="NJQ11" s="113"/>
      <c r="NJR11" s="113"/>
      <c r="NJS11" s="113"/>
      <c r="NJT11" s="113"/>
      <c r="NJU11" s="113"/>
      <c r="NJV11" s="113"/>
      <c r="NJW11" s="113"/>
      <c r="NJX11" s="113"/>
      <c r="NJY11" s="113"/>
      <c r="NJZ11" s="113"/>
      <c r="NKA11" s="113"/>
      <c r="NKB11" s="113"/>
      <c r="NKC11" s="113"/>
      <c r="NKD11" s="113"/>
      <c r="NKE11" s="113"/>
      <c r="NKF11" s="113"/>
      <c r="NKG11" s="113"/>
      <c r="NKH11" s="113"/>
      <c r="NKI11" s="113"/>
      <c r="NKJ11" s="113"/>
      <c r="NKK11" s="113"/>
      <c r="NKL11" s="113"/>
      <c r="NKM11" s="113"/>
      <c r="NKN11" s="113"/>
      <c r="NKO11" s="113"/>
      <c r="NKP11" s="113"/>
      <c r="NKQ11" s="113"/>
      <c r="NKR11" s="113"/>
      <c r="NKS11" s="113"/>
      <c r="NKT11" s="113"/>
      <c r="NKU11" s="113"/>
      <c r="NKV11" s="113"/>
      <c r="NKW11" s="113"/>
      <c r="NKX11" s="113"/>
      <c r="NKY11" s="113"/>
      <c r="NKZ11" s="113"/>
      <c r="NLA11" s="113"/>
      <c r="NLB11" s="113"/>
      <c r="NLC11" s="113"/>
      <c r="NLD11" s="113"/>
      <c r="NLE11" s="113"/>
      <c r="NLF11" s="113"/>
      <c r="NLG11" s="113"/>
      <c r="NLH11" s="113"/>
      <c r="NLI11" s="113"/>
      <c r="NLJ11" s="113"/>
      <c r="NLK11" s="113"/>
      <c r="NLL11" s="113"/>
      <c r="NLM11" s="113"/>
      <c r="NLN11" s="113"/>
      <c r="NLO11" s="113"/>
      <c r="NLP11" s="113"/>
      <c r="NLQ11" s="113"/>
      <c r="NLR11" s="113"/>
      <c r="NLS11" s="113"/>
      <c r="NLT11" s="113"/>
      <c r="NLU11" s="113"/>
      <c r="NLV11" s="113"/>
      <c r="NLW11" s="113"/>
      <c r="NLX11" s="113"/>
      <c r="NLY11" s="113"/>
      <c r="NLZ11" s="113"/>
      <c r="NMA11" s="113"/>
      <c r="NMB11" s="113"/>
      <c r="NMC11" s="113"/>
      <c r="NMD11" s="113"/>
      <c r="NME11" s="113"/>
      <c r="NMF11" s="113"/>
      <c r="NMG11" s="113"/>
      <c r="NMH11" s="113"/>
      <c r="NMI11" s="113"/>
      <c r="NMJ11" s="113"/>
      <c r="NMK11" s="113"/>
      <c r="NML11" s="113"/>
      <c r="NMM11" s="113"/>
      <c r="NMN11" s="113"/>
      <c r="NMO11" s="113"/>
      <c r="NMP11" s="113"/>
      <c r="NMQ11" s="113"/>
      <c r="NMR11" s="113"/>
      <c r="NMS11" s="113"/>
      <c r="NMT11" s="113"/>
      <c r="NMU11" s="113"/>
      <c r="NMV11" s="113"/>
      <c r="NMW11" s="113"/>
      <c r="NMX11" s="113"/>
      <c r="NMY11" s="113"/>
      <c r="NMZ11" s="113"/>
      <c r="NNA11" s="113"/>
      <c r="NNB11" s="113"/>
      <c r="NNC11" s="113"/>
      <c r="NND11" s="113"/>
      <c r="NNE11" s="113"/>
      <c r="NNF11" s="113"/>
      <c r="NNG11" s="113"/>
      <c r="NNH11" s="113"/>
      <c r="NNI11" s="113"/>
      <c r="NNJ11" s="113"/>
      <c r="NNK11" s="113"/>
      <c r="NNL11" s="113"/>
      <c r="NNM11" s="113"/>
      <c r="NNN11" s="113"/>
      <c r="NNO11" s="113"/>
      <c r="NNP11" s="113"/>
      <c r="NNQ11" s="113"/>
      <c r="NNR11" s="113"/>
      <c r="NNS11" s="113"/>
      <c r="NNT11" s="113"/>
      <c r="NNU11" s="113"/>
      <c r="NNV11" s="113"/>
      <c r="NNW11" s="113"/>
      <c r="NNX11" s="113"/>
      <c r="NNY11" s="113"/>
      <c r="NNZ11" s="113"/>
      <c r="NOA11" s="113"/>
      <c r="NOB11" s="113"/>
      <c r="NOC11" s="113"/>
      <c r="NOD11" s="113"/>
      <c r="NOE11" s="113"/>
      <c r="NOF11" s="113"/>
      <c r="NOG11" s="113"/>
      <c r="NOH11" s="113"/>
      <c r="NOI11" s="113"/>
      <c r="NOJ11" s="113"/>
      <c r="NOK11" s="113"/>
      <c r="NOL11" s="113"/>
      <c r="NOM11" s="113"/>
      <c r="NON11" s="113"/>
      <c r="NOO11" s="113"/>
      <c r="NOP11" s="113"/>
      <c r="NOQ11" s="113"/>
      <c r="NOR11" s="113"/>
      <c r="NOS11" s="113"/>
      <c r="NOT11" s="113"/>
      <c r="NOU11" s="113"/>
      <c r="NOV11" s="113"/>
      <c r="NOW11" s="113"/>
      <c r="NOX11" s="113"/>
      <c r="NOY11" s="113"/>
      <c r="NOZ11" s="113"/>
      <c r="NPA11" s="113"/>
      <c r="NPB11" s="113"/>
      <c r="NPC11" s="113"/>
      <c r="NPD11" s="113"/>
      <c r="NPE11" s="113"/>
      <c r="NPF11" s="113"/>
      <c r="NPG11" s="113"/>
      <c r="NPH11" s="113"/>
      <c r="NPI11" s="113"/>
      <c r="NPJ11" s="113"/>
      <c r="NPK11" s="113"/>
      <c r="NPL11" s="113"/>
      <c r="NPM11" s="113"/>
      <c r="NPN11" s="113"/>
      <c r="NPO11" s="113"/>
      <c r="NPP11" s="113"/>
      <c r="NPQ11" s="113"/>
      <c r="NPR11" s="113"/>
      <c r="NPS11" s="113"/>
      <c r="NPT11" s="113"/>
      <c r="NPU11" s="113"/>
      <c r="NPV11" s="113"/>
      <c r="NPW11" s="113"/>
      <c r="NPX11" s="113"/>
      <c r="NPY11" s="113"/>
      <c r="NPZ11" s="113"/>
      <c r="NQA11" s="113"/>
      <c r="NQB11" s="113"/>
      <c r="NQC11" s="113"/>
      <c r="NQD11" s="113"/>
      <c r="NQE11" s="113"/>
      <c r="NQF11" s="113"/>
      <c r="NQG11" s="113"/>
      <c r="NQH11" s="113"/>
      <c r="NQI11" s="113"/>
      <c r="NQJ11" s="113"/>
      <c r="NQK11" s="113"/>
      <c r="NQL11" s="113"/>
      <c r="NQM11" s="113"/>
      <c r="NQN11" s="113"/>
      <c r="NQO11" s="113"/>
      <c r="NQP11" s="113"/>
      <c r="NQQ11" s="113"/>
      <c r="NQR11" s="113"/>
      <c r="NQS11" s="113"/>
      <c r="NQT11" s="113"/>
      <c r="NQU11" s="113"/>
      <c r="NQV11" s="113"/>
      <c r="NQW11" s="113"/>
      <c r="NQX11" s="113"/>
      <c r="NQY11" s="113"/>
      <c r="NQZ11" s="113"/>
      <c r="NRA11" s="113"/>
      <c r="NRB11" s="113"/>
      <c r="NRC11" s="113"/>
      <c r="NRD11" s="113"/>
      <c r="NRE11" s="113"/>
      <c r="NRF11" s="113"/>
      <c r="NRG11" s="113"/>
      <c r="NRH11" s="113"/>
      <c r="NRI11" s="113"/>
      <c r="NRJ11" s="113"/>
      <c r="NRK11" s="113"/>
      <c r="NRL11" s="113"/>
      <c r="NRM11" s="113"/>
      <c r="NRN11" s="113"/>
      <c r="NRO11" s="113"/>
      <c r="NRP11" s="113"/>
      <c r="NRQ11" s="113"/>
      <c r="NRR11" s="113"/>
      <c r="NRS11" s="113"/>
      <c r="NRT11" s="113"/>
      <c r="NRU11" s="113"/>
      <c r="NRV11" s="113"/>
      <c r="NRW11" s="113"/>
      <c r="NRX11" s="113"/>
      <c r="NRY11" s="113"/>
      <c r="NRZ11" s="113"/>
      <c r="NSA11" s="113"/>
      <c r="NSB11" s="113"/>
      <c r="NSC11" s="113"/>
      <c r="NSD11" s="113"/>
      <c r="NSE11" s="113"/>
      <c r="NSF11" s="113"/>
      <c r="NSG11" s="113"/>
      <c r="NSH11" s="113"/>
      <c r="NSI11" s="113"/>
      <c r="NSJ11" s="113"/>
      <c r="NSK11" s="113"/>
      <c r="NSL11" s="113"/>
      <c r="NSM11" s="113"/>
      <c r="NSN11" s="113"/>
      <c r="NSO11" s="113"/>
      <c r="NSP11" s="113"/>
      <c r="NSQ11" s="113"/>
      <c r="NSR11" s="113"/>
      <c r="NSS11" s="113"/>
      <c r="NST11" s="113"/>
      <c r="NSU11" s="113"/>
      <c r="NSV11" s="113"/>
      <c r="NSW11" s="113"/>
      <c r="NSX11" s="113"/>
      <c r="NSY11" s="113"/>
      <c r="NSZ11" s="113"/>
      <c r="NTA11" s="113"/>
      <c r="NTB11" s="113"/>
      <c r="NTC11" s="113"/>
      <c r="NTD11" s="113"/>
      <c r="NTE11" s="113"/>
      <c r="NTF11" s="113"/>
      <c r="NTG11" s="113"/>
      <c r="NTH11" s="113"/>
      <c r="NTI11" s="113"/>
      <c r="NTJ11" s="113"/>
      <c r="NTK11" s="113"/>
      <c r="NTL11" s="113"/>
      <c r="NTM11" s="113"/>
      <c r="NTN11" s="113"/>
      <c r="NTO11" s="113"/>
      <c r="NTP11" s="113"/>
      <c r="NTQ11" s="113"/>
      <c r="NTR11" s="113"/>
      <c r="NTS11" s="113"/>
      <c r="NTT11" s="113"/>
      <c r="NTU11" s="113"/>
      <c r="NTV11" s="113"/>
      <c r="NTW11" s="113"/>
      <c r="NTX11" s="113"/>
      <c r="NTY11" s="113"/>
      <c r="NTZ11" s="113"/>
      <c r="NUA11" s="113"/>
      <c r="NUB11" s="113"/>
      <c r="NUC11" s="113"/>
      <c r="NUD11" s="113"/>
      <c r="NUE11" s="113"/>
      <c r="NUF11" s="113"/>
      <c r="NUG11" s="113"/>
      <c r="NUH11" s="113"/>
      <c r="NUI11" s="113"/>
      <c r="NUJ11" s="113"/>
      <c r="NUK11" s="113"/>
      <c r="NUL11" s="113"/>
      <c r="NUM11" s="113"/>
      <c r="NUN11" s="113"/>
      <c r="NUO11" s="113"/>
      <c r="NUP11" s="113"/>
      <c r="NUQ11" s="113"/>
      <c r="NUR11" s="113"/>
      <c r="NUS11" s="113"/>
      <c r="NUT11" s="113"/>
      <c r="NUU11" s="113"/>
      <c r="NUV11" s="113"/>
      <c r="NUW11" s="113"/>
      <c r="NUX11" s="113"/>
      <c r="NUY11" s="113"/>
      <c r="NUZ11" s="113"/>
      <c r="NVA11" s="113"/>
      <c r="NVB11" s="113"/>
      <c r="NVC11" s="113"/>
      <c r="NVD11" s="113"/>
      <c r="NVE11" s="113"/>
      <c r="NVF11" s="113"/>
      <c r="NVG11" s="113"/>
      <c r="NVH11" s="113"/>
      <c r="NVI11" s="113"/>
      <c r="NVJ11" s="113"/>
      <c r="NVK11" s="113"/>
      <c r="NVL11" s="113"/>
      <c r="NVM11" s="113"/>
      <c r="NVN11" s="113"/>
      <c r="NVO11" s="113"/>
      <c r="NVP11" s="113"/>
      <c r="NVQ11" s="113"/>
      <c r="NVR11" s="113"/>
      <c r="NVS11" s="113"/>
      <c r="NVT11" s="113"/>
      <c r="NVU11" s="113"/>
      <c r="NVV11" s="113"/>
      <c r="NVW11" s="113"/>
      <c r="NVX11" s="113"/>
      <c r="NVY11" s="113"/>
      <c r="NVZ11" s="113"/>
      <c r="NWA11" s="113"/>
      <c r="NWB11" s="113"/>
      <c r="NWC11" s="113"/>
      <c r="NWD11" s="113"/>
      <c r="NWE11" s="113"/>
      <c r="NWF11" s="113"/>
      <c r="NWG11" s="113"/>
      <c r="NWH11" s="113"/>
      <c r="NWI11" s="113"/>
      <c r="NWJ11" s="113"/>
      <c r="NWK11" s="113"/>
      <c r="NWL11" s="113"/>
      <c r="NWM11" s="113"/>
      <c r="NWN11" s="113"/>
      <c r="NWO11" s="113"/>
      <c r="NWP11" s="113"/>
      <c r="NWQ11" s="113"/>
      <c r="NWR11" s="113"/>
      <c r="NWS11" s="113"/>
      <c r="NWT11" s="113"/>
      <c r="NWU11" s="113"/>
      <c r="NWV11" s="113"/>
      <c r="NWW11" s="113"/>
      <c r="NWX11" s="113"/>
      <c r="NWY11" s="113"/>
      <c r="NWZ11" s="113"/>
      <c r="NXA11" s="113"/>
      <c r="NXB11" s="113"/>
      <c r="NXC11" s="113"/>
      <c r="NXD11" s="113"/>
      <c r="NXE11" s="113"/>
      <c r="NXF11" s="113"/>
      <c r="NXG11" s="113"/>
      <c r="NXH11" s="113"/>
      <c r="NXI11" s="113"/>
      <c r="NXJ11" s="113"/>
      <c r="NXK11" s="113"/>
      <c r="NXL11" s="113"/>
      <c r="NXM11" s="113"/>
      <c r="NXN11" s="113"/>
      <c r="NXO11" s="113"/>
      <c r="NXP11" s="113"/>
      <c r="NXQ11" s="113"/>
      <c r="NXR11" s="113"/>
      <c r="NXS11" s="113"/>
      <c r="NXT11" s="113"/>
      <c r="NXU11" s="113"/>
      <c r="NXV11" s="113"/>
      <c r="NXW11" s="113"/>
      <c r="NXX11" s="113"/>
      <c r="NXY11" s="113"/>
      <c r="NXZ11" s="113"/>
      <c r="NYA11" s="113"/>
      <c r="NYB11" s="113"/>
      <c r="NYC11" s="113"/>
      <c r="NYD11" s="113"/>
      <c r="NYE11" s="113"/>
      <c r="NYF11" s="113"/>
      <c r="NYG11" s="113"/>
      <c r="NYH11" s="113"/>
      <c r="NYI11" s="113"/>
      <c r="NYJ11" s="113"/>
      <c r="NYK11" s="113"/>
      <c r="NYL11" s="113"/>
      <c r="NYM11" s="113"/>
      <c r="NYN11" s="113"/>
      <c r="NYO11" s="113"/>
      <c r="NYP11" s="113"/>
      <c r="NYQ11" s="113"/>
      <c r="NYR11" s="113"/>
      <c r="NYS11" s="113"/>
      <c r="NYT11" s="113"/>
      <c r="NYU11" s="113"/>
      <c r="NYV11" s="113"/>
      <c r="NYW11" s="113"/>
      <c r="NYX11" s="113"/>
      <c r="NYY11" s="113"/>
      <c r="NYZ11" s="113"/>
      <c r="NZA11" s="113"/>
      <c r="NZB11" s="113"/>
      <c r="NZC11" s="113"/>
      <c r="NZD11" s="113"/>
      <c r="NZE11" s="113"/>
      <c r="NZF11" s="113"/>
      <c r="NZG11" s="113"/>
      <c r="NZH11" s="113"/>
      <c r="NZI11" s="113"/>
      <c r="NZJ11" s="113"/>
      <c r="NZK11" s="113"/>
      <c r="NZL11" s="113"/>
      <c r="NZM11" s="113"/>
      <c r="NZN11" s="113"/>
      <c r="NZO11" s="113"/>
      <c r="NZP11" s="113"/>
      <c r="NZQ11" s="113"/>
      <c r="NZR11" s="113"/>
      <c r="NZS11" s="113"/>
      <c r="NZT11" s="113"/>
      <c r="NZU11" s="113"/>
      <c r="NZV11" s="113"/>
      <c r="NZW11" s="113"/>
      <c r="NZX11" s="113"/>
      <c r="NZY11" s="113"/>
      <c r="NZZ11" s="113"/>
      <c r="OAA11" s="113"/>
      <c r="OAB11" s="113"/>
      <c r="OAC11" s="113"/>
      <c r="OAD11" s="113"/>
      <c r="OAE11" s="113"/>
      <c r="OAF11" s="113"/>
      <c r="OAG11" s="113"/>
      <c r="OAH11" s="113"/>
      <c r="OAI11" s="113"/>
      <c r="OAJ11" s="113"/>
      <c r="OAK11" s="113"/>
      <c r="OAL11" s="113"/>
      <c r="OAM11" s="113"/>
      <c r="OAN11" s="113"/>
      <c r="OAO11" s="113"/>
      <c r="OAP11" s="113"/>
      <c r="OAQ11" s="113"/>
      <c r="OAR11" s="113"/>
      <c r="OAS11" s="113"/>
      <c r="OAT11" s="113"/>
      <c r="OAU11" s="113"/>
      <c r="OAV11" s="113"/>
      <c r="OAW11" s="113"/>
      <c r="OAX11" s="113"/>
      <c r="OAY11" s="113"/>
      <c r="OAZ11" s="113"/>
      <c r="OBA11" s="113"/>
      <c r="OBB11" s="113"/>
      <c r="OBC11" s="113"/>
      <c r="OBD11" s="113"/>
      <c r="OBE11" s="113"/>
      <c r="OBF11" s="113"/>
      <c r="OBG11" s="113"/>
      <c r="OBH11" s="113"/>
      <c r="OBI11" s="113"/>
      <c r="OBJ11" s="113"/>
      <c r="OBK11" s="113"/>
      <c r="OBL11" s="113"/>
      <c r="OBM11" s="113"/>
      <c r="OBN11" s="113"/>
      <c r="OBO11" s="113"/>
      <c r="OBP11" s="113"/>
      <c r="OBQ11" s="113"/>
      <c r="OBR11" s="113"/>
      <c r="OBS11" s="113"/>
      <c r="OBT11" s="113"/>
      <c r="OBU11" s="113"/>
      <c r="OBV11" s="113"/>
      <c r="OBW11" s="113"/>
      <c r="OBX11" s="113"/>
      <c r="OBY11" s="113"/>
      <c r="OBZ11" s="113"/>
      <c r="OCA11" s="113"/>
      <c r="OCB11" s="113"/>
      <c r="OCC11" s="113"/>
      <c r="OCD11" s="113"/>
      <c r="OCE11" s="113"/>
      <c r="OCF11" s="113"/>
      <c r="OCG11" s="113"/>
      <c r="OCH11" s="113"/>
      <c r="OCI11" s="113"/>
      <c r="OCJ11" s="113"/>
      <c r="OCK11" s="113"/>
      <c r="OCL11" s="113"/>
      <c r="OCM11" s="113"/>
      <c r="OCN11" s="113"/>
      <c r="OCO11" s="113"/>
      <c r="OCP11" s="113"/>
      <c r="OCQ11" s="113"/>
      <c r="OCR11" s="113"/>
      <c r="OCS11" s="113"/>
      <c r="OCT11" s="113"/>
      <c r="OCU11" s="113"/>
      <c r="OCV11" s="113"/>
      <c r="OCW11" s="113"/>
      <c r="OCX11" s="113"/>
      <c r="OCY11" s="113"/>
      <c r="OCZ11" s="113"/>
      <c r="ODA11" s="113"/>
      <c r="ODB11" s="113"/>
      <c r="ODC11" s="113"/>
      <c r="ODD11" s="113"/>
      <c r="ODE11" s="113"/>
      <c r="ODF11" s="113"/>
      <c r="ODG11" s="113"/>
      <c r="ODH11" s="113"/>
      <c r="ODI11" s="113"/>
      <c r="ODJ11" s="113"/>
      <c r="ODK11" s="113"/>
      <c r="ODL11" s="113"/>
      <c r="ODM11" s="113"/>
      <c r="ODN11" s="113"/>
      <c r="ODO11" s="113"/>
      <c r="ODP11" s="113"/>
      <c r="ODQ11" s="113"/>
      <c r="ODR11" s="113"/>
      <c r="ODS11" s="113"/>
      <c r="ODT11" s="113"/>
      <c r="ODU11" s="113"/>
      <c r="ODV11" s="113"/>
      <c r="ODW11" s="113"/>
      <c r="ODX11" s="113"/>
      <c r="ODY11" s="113"/>
      <c r="ODZ11" s="113"/>
      <c r="OEA11" s="113"/>
      <c r="OEB11" s="113"/>
      <c r="OEC11" s="113"/>
      <c r="OED11" s="113"/>
      <c r="OEE11" s="113"/>
      <c r="OEF11" s="113"/>
      <c r="OEG11" s="113"/>
      <c r="OEH11" s="113"/>
      <c r="OEI11" s="113"/>
      <c r="OEJ11" s="113"/>
      <c r="OEK11" s="113"/>
      <c r="OEL11" s="113"/>
      <c r="OEM11" s="113"/>
      <c r="OEN11" s="113"/>
      <c r="OEO11" s="113"/>
      <c r="OEP11" s="113"/>
      <c r="OEQ11" s="113"/>
      <c r="OER11" s="113"/>
      <c r="OES11" s="113"/>
      <c r="OET11" s="113"/>
      <c r="OEU11" s="113"/>
      <c r="OEV11" s="113"/>
      <c r="OEW11" s="113"/>
      <c r="OEX11" s="113"/>
      <c r="OEY11" s="113"/>
      <c r="OEZ11" s="113"/>
      <c r="OFA11" s="113"/>
      <c r="OFB11" s="113"/>
      <c r="OFC11" s="113"/>
      <c r="OFD11" s="113"/>
      <c r="OFE11" s="113"/>
      <c r="OFF11" s="113"/>
      <c r="OFG11" s="113"/>
      <c r="OFH11" s="113"/>
      <c r="OFI11" s="113"/>
      <c r="OFJ11" s="113"/>
      <c r="OFK11" s="113"/>
      <c r="OFL11" s="113"/>
      <c r="OFM11" s="113"/>
      <c r="OFN11" s="113"/>
      <c r="OFO11" s="113"/>
      <c r="OFP11" s="113"/>
      <c r="OFQ11" s="113"/>
      <c r="OFR11" s="113"/>
      <c r="OFS11" s="113"/>
      <c r="OFT11" s="113"/>
      <c r="OFU11" s="113"/>
      <c r="OFV11" s="113"/>
      <c r="OFW11" s="113"/>
      <c r="OFX11" s="113"/>
      <c r="OFY11" s="113"/>
      <c r="OFZ11" s="113"/>
      <c r="OGA11" s="113"/>
      <c r="OGB11" s="113"/>
      <c r="OGC11" s="113"/>
      <c r="OGD11" s="113"/>
      <c r="OGE11" s="113"/>
      <c r="OGF11" s="113"/>
      <c r="OGG11" s="113"/>
      <c r="OGH11" s="113"/>
      <c r="OGI11" s="113"/>
      <c r="OGJ11" s="113"/>
      <c r="OGK11" s="113"/>
      <c r="OGL11" s="113"/>
      <c r="OGM11" s="113"/>
      <c r="OGN11" s="113"/>
      <c r="OGO11" s="113"/>
      <c r="OGP11" s="113"/>
      <c r="OGQ11" s="113"/>
      <c r="OGR11" s="113"/>
      <c r="OGS11" s="113"/>
      <c r="OGT11" s="113"/>
      <c r="OGU11" s="113"/>
      <c r="OGV11" s="113"/>
      <c r="OGW11" s="113"/>
      <c r="OGX11" s="113"/>
      <c r="OGY11" s="113"/>
      <c r="OGZ11" s="113"/>
      <c r="OHA11" s="113"/>
      <c r="OHB11" s="113"/>
      <c r="OHC11" s="113"/>
      <c r="OHD11" s="113"/>
      <c r="OHE11" s="113"/>
      <c r="OHF11" s="113"/>
      <c r="OHG11" s="113"/>
      <c r="OHH11" s="113"/>
      <c r="OHI11" s="113"/>
      <c r="OHJ11" s="113"/>
      <c r="OHK11" s="113"/>
      <c r="OHL11" s="113"/>
      <c r="OHM11" s="113"/>
      <c r="OHN11" s="113"/>
      <c r="OHO11" s="113"/>
      <c r="OHP11" s="113"/>
      <c r="OHQ11" s="113"/>
      <c r="OHR11" s="113"/>
      <c r="OHS11" s="113"/>
      <c r="OHT11" s="113"/>
      <c r="OHU11" s="113"/>
      <c r="OHV11" s="113"/>
      <c r="OHW11" s="113"/>
      <c r="OHX11" s="113"/>
      <c r="OHY11" s="113"/>
      <c r="OHZ11" s="113"/>
      <c r="OIA11" s="113"/>
      <c r="OIB11" s="113"/>
      <c r="OIC11" s="113"/>
      <c r="OID11" s="113"/>
      <c r="OIE11" s="113"/>
      <c r="OIF11" s="113"/>
      <c r="OIG11" s="113"/>
      <c r="OIH11" s="113"/>
      <c r="OII11" s="113"/>
      <c r="OIJ11" s="113"/>
      <c r="OIK11" s="113"/>
      <c r="OIL11" s="113"/>
      <c r="OIM11" s="113"/>
      <c r="OIN11" s="113"/>
      <c r="OIO11" s="113"/>
      <c r="OIP11" s="113"/>
      <c r="OIQ11" s="113"/>
      <c r="OIR11" s="113"/>
      <c r="OIS11" s="113"/>
      <c r="OIT11" s="113"/>
      <c r="OIU11" s="113"/>
      <c r="OIV11" s="113"/>
      <c r="OIW11" s="113"/>
      <c r="OIX11" s="113"/>
      <c r="OIY11" s="113"/>
      <c r="OIZ11" s="113"/>
      <c r="OJA11" s="113"/>
      <c r="OJB11" s="113"/>
      <c r="OJC11" s="113"/>
      <c r="OJD11" s="113"/>
      <c r="OJE11" s="113"/>
      <c r="OJF11" s="113"/>
      <c r="OJG11" s="113"/>
      <c r="OJH11" s="113"/>
      <c r="OJI11" s="113"/>
      <c r="OJJ11" s="113"/>
      <c r="OJK11" s="113"/>
      <c r="OJL11" s="113"/>
      <c r="OJM11" s="113"/>
      <c r="OJN11" s="113"/>
      <c r="OJO11" s="113"/>
      <c r="OJP11" s="113"/>
      <c r="OJQ11" s="113"/>
      <c r="OJR11" s="113"/>
      <c r="OJS11" s="113"/>
      <c r="OJT11" s="113"/>
      <c r="OJU11" s="113"/>
      <c r="OJV11" s="113"/>
      <c r="OJW11" s="113"/>
      <c r="OJX11" s="113"/>
      <c r="OJY11" s="113"/>
      <c r="OJZ11" s="113"/>
      <c r="OKA11" s="113"/>
      <c r="OKB11" s="113"/>
      <c r="OKC11" s="113"/>
      <c r="OKD11" s="113"/>
      <c r="OKE11" s="113"/>
      <c r="OKF11" s="113"/>
      <c r="OKG11" s="113"/>
      <c r="OKH11" s="113"/>
      <c r="OKI11" s="113"/>
      <c r="OKJ11" s="113"/>
      <c r="OKK11" s="113"/>
      <c r="OKL11" s="113"/>
      <c r="OKM11" s="113"/>
      <c r="OKN11" s="113"/>
      <c r="OKO11" s="113"/>
      <c r="OKP11" s="113"/>
      <c r="OKQ11" s="113"/>
      <c r="OKR11" s="113"/>
      <c r="OKS11" s="113"/>
      <c r="OKT11" s="113"/>
      <c r="OKU11" s="113"/>
      <c r="OKV11" s="113"/>
      <c r="OKW11" s="113"/>
      <c r="OKX11" s="113"/>
      <c r="OKY11" s="113"/>
      <c r="OKZ11" s="113"/>
      <c r="OLA11" s="113"/>
      <c r="OLB11" s="113"/>
      <c r="OLC11" s="113"/>
      <c r="OLD11" s="113"/>
      <c r="OLE11" s="113"/>
      <c r="OLF11" s="113"/>
      <c r="OLG11" s="113"/>
      <c r="OLH11" s="113"/>
      <c r="OLI11" s="113"/>
      <c r="OLJ11" s="113"/>
      <c r="OLK11" s="113"/>
      <c r="OLL11" s="113"/>
      <c r="OLM11" s="113"/>
      <c r="OLN11" s="113"/>
      <c r="OLO11" s="113"/>
      <c r="OLP11" s="113"/>
      <c r="OLQ11" s="113"/>
      <c r="OLR11" s="113"/>
      <c r="OLS11" s="113"/>
      <c r="OLT11" s="113"/>
      <c r="OLU11" s="113"/>
      <c r="OLV11" s="113"/>
      <c r="OLW11" s="113"/>
      <c r="OLX11" s="113"/>
      <c r="OLY11" s="113"/>
      <c r="OLZ11" s="113"/>
      <c r="OMA11" s="113"/>
      <c r="OMB11" s="113"/>
      <c r="OMC11" s="113"/>
      <c r="OMD11" s="113"/>
      <c r="OME11" s="113"/>
      <c r="OMF11" s="113"/>
      <c r="OMG11" s="113"/>
      <c r="OMH11" s="113"/>
      <c r="OMI11" s="113"/>
      <c r="OMJ11" s="113"/>
      <c r="OMK11" s="113"/>
      <c r="OML11" s="113"/>
      <c r="OMM11" s="113"/>
      <c r="OMN11" s="113"/>
      <c r="OMO11" s="113"/>
      <c r="OMP11" s="113"/>
      <c r="OMQ11" s="113"/>
      <c r="OMR11" s="113"/>
      <c r="OMS11" s="113"/>
      <c r="OMT11" s="113"/>
      <c r="OMU11" s="113"/>
      <c r="OMV11" s="113"/>
      <c r="OMW11" s="113"/>
      <c r="OMX11" s="113"/>
      <c r="OMY11" s="113"/>
      <c r="OMZ11" s="113"/>
      <c r="ONA11" s="113"/>
      <c r="ONB11" s="113"/>
      <c r="ONC11" s="113"/>
      <c r="OND11" s="113"/>
      <c r="ONE11" s="113"/>
      <c r="ONF11" s="113"/>
      <c r="ONG11" s="113"/>
      <c r="ONH11" s="113"/>
      <c r="ONI11" s="113"/>
      <c r="ONJ11" s="113"/>
      <c r="ONK11" s="113"/>
      <c r="ONL11" s="113"/>
      <c r="ONM11" s="113"/>
      <c r="ONN11" s="113"/>
      <c r="ONO11" s="113"/>
      <c r="ONP11" s="113"/>
      <c r="ONQ11" s="113"/>
      <c r="ONR11" s="113"/>
      <c r="ONS11" s="113"/>
      <c r="ONT11" s="113"/>
      <c r="ONU11" s="113"/>
      <c r="ONV11" s="113"/>
      <c r="ONW11" s="113"/>
      <c r="ONX11" s="113"/>
      <c r="ONY11" s="113"/>
      <c r="ONZ11" s="113"/>
      <c r="OOA11" s="113"/>
      <c r="OOB11" s="113"/>
      <c r="OOC11" s="113"/>
      <c r="OOD11" s="113"/>
      <c r="OOE11" s="113"/>
      <c r="OOF11" s="113"/>
      <c r="OOG11" s="113"/>
      <c r="OOH11" s="113"/>
      <c r="OOI11" s="113"/>
      <c r="OOJ11" s="113"/>
      <c r="OOK11" s="113"/>
      <c r="OOL11" s="113"/>
      <c r="OOM11" s="113"/>
      <c r="OON11" s="113"/>
      <c r="OOO11" s="113"/>
      <c r="OOP11" s="113"/>
      <c r="OOQ11" s="113"/>
      <c r="OOR11" s="113"/>
      <c r="OOS11" s="113"/>
      <c r="OOT11" s="113"/>
      <c r="OOU11" s="113"/>
      <c r="OOV11" s="113"/>
      <c r="OOW11" s="113"/>
      <c r="OOX11" s="113"/>
      <c r="OOY11" s="113"/>
      <c r="OOZ11" s="113"/>
      <c r="OPA11" s="113"/>
      <c r="OPB11" s="113"/>
      <c r="OPC11" s="113"/>
      <c r="OPD11" s="113"/>
      <c r="OPE11" s="113"/>
      <c r="OPF11" s="113"/>
      <c r="OPG11" s="113"/>
      <c r="OPH11" s="113"/>
      <c r="OPI11" s="113"/>
      <c r="OPJ11" s="113"/>
      <c r="OPK11" s="113"/>
      <c r="OPL11" s="113"/>
      <c r="OPM11" s="113"/>
      <c r="OPN11" s="113"/>
      <c r="OPO11" s="113"/>
      <c r="OPP11" s="113"/>
      <c r="OPQ11" s="113"/>
      <c r="OPR11" s="113"/>
      <c r="OPS11" s="113"/>
      <c r="OPT11" s="113"/>
      <c r="OPU11" s="113"/>
      <c r="OPV11" s="113"/>
      <c r="OPW11" s="113"/>
      <c r="OPX11" s="113"/>
      <c r="OPY11" s="113"/>
      <c r="OPZ11" s="113"/>
      <c r="OQA11" s="113"/>
      <c r="OQB11" s="113"/>
      <c r="OQC11" s="113"/>
      <c r="OQD11" s="113"/>
      <c r="OQE11" s="113"/>
      <c r="OQF11" s="113"/>
      <c r="OQG11" s="113"/>
      <c r="OQH11" s="113"/>
      <c r="OQI11" s="113"/>
      <c r="OQJ11" s="113"/>
      <c r="OQK11" s="113"/>
      <c r="OQL11" s="113"/>
      <c r="OQM11" s="113"/>
      <c r="OQN11" s="113"/>
      <c r="OQO11" s="113"/>
      <c r="OQP11" s="113"/>
      <c r="OQQ11" s="113"/>
      <c r="OQR11" s="113"/>
      <c r="OQS11" s="113"/>
      <c r="OQT11" s="113"/>
      <c r="OQU11" s="113"/>
      <c r="OQV11" s="113"/>
      <c r="OQW11" s="113"/>
      <c r="OQX11" s="113"/>
      <c r="OQY11" s="113"/>
      <c r="OQZ11" s="113"/>
      <c r="ORA11" s="113"/>
      <c r="ORB11" s="113"/>
      <c r="ORC11" s="113"/>
      <c r="ORD11" s="113"/>
      <c r="ORE11" s="113"/>
      <c r="ORF11" s="113"/>
      <c r="ORG11" s="113"/>
      <c r="ORH11" s="113"/>
      <c r="ORI11" s="113"/>
      <c r="ORJ11" s="113"/>
      <c r="ORK11" s="113"/>
      <c r="ORL11" s="113"/>
      <c r="ORM11" s="113"/>
      <c r="ORN11" s="113"/>
      <c r="ORO11" s="113"/>
      <c r="ORP11" s="113"/>
      <c r="ORQ11" s="113"/>
      <c r="ORR11" s="113"/>
      <c r="ORS11" s="113"/>
      <c r="ORT11" s="113"/>
      <c r="ORU11" s="113"/>
      <c r="ORV11" s="113"/>
      <c r="ORW11" s="113"/>
      <c r="ORX11" s="113"/>
      <c r="ORY11" s="113"/>
      <c r="ORZ11" s="113"/>
      <c r="OSA11" s="113"/>
      <c r="OSB11" s="113"/>
      <c r="OSC11" s="113"/>
      <c r="OSD11" s="113"/>
      <c r="OSE11" s="113"/>
      <c r="OSF11" s="113"/>
      <c r="OSG11" s="113"/>
      <c r="OSH11" s="113"/>
      <c r="OSI11" s="113"/>
      <c r="OSJ11" s="113"/>
      <c r="OSK11" s="113"/>
      <c r="OSL11" s="113"/>
      <c r="OSM11" s="113"/>
      <c r="OSN11" s="113"/>
      <c r="OSO11" s="113"/>
      <c r="OSP11" s="113"/>
      <c r="OSQ11" s="113"/>
      <c r="OSR11" s="113"/>
      <c r="OSS11" s="113"/>
      <c r="OST11" s="113"/>
      <c r="OSU11" s="113"/>
      <c r="OSV11" s="113"/>
      <c r="OSW11" s="113"/>
      <c r="OSX11" s="113"/>
      <c r="OSY11" s="113"/>
      <c r="OSZ11" s="113"/>
      <c r="OTA11" s="113"/>
      <c r="OTB11" s="113"/>
      <c r="OTC11" s="113"/>
      <c r="OTD11" s="113"/>
      <c r="OTE11" s="113"/>
      <c r="OTF11" s="113"/>
      <c r="OTG11" s="113"/>
      <c r="OTH11" s="113"/>
      <c r="OTI11" s="113"/>
      <c r="OTJ11" s="113"/>
      <c r="OTK11" s="113"/>
      <c r="OTL11" s="113"/>
      <c r="OTM11" s="113"/>
      <c r="OTN11" s="113"/>
      <c r="OTO11" s="113"/>
      <c r="OTP11" s="113"/>
      <c r="OTQ11" s="113"/>
      <c r="OTR11" s="113"/>
      <c r="OTS11" s="113"/>
      <c r="OTT11" s="113"/>
      <c r="OTU11" s="113"/>
      <c r="OTV11" s="113"/>
      <c r="OTW11" s="113"/>
      <c r="OTX11" s="113"/>
      <c r="OTY11" s="113"/>
      <c r="OTZ11" s="113"/>
      <c r="OUA11" s="113"/>
      <c r="OUB11" s="113"/>
      <c r="OUC11" s="113"/>
      <c r="OUD11" s="113"/>
      <c r="OUE11" s="113"/>
      <c r="OUF11" s="113"/>
      <c r="OUG11" s="113"/>
      <c r="OUH11" s="113"/>
      <c r="OUI11" s="113"/>
      <c r="OUJ11" s="113"/>
      <c r="OUK11" s="113"/>
      <c r="OUL11" s="113"/>
      <c r="OUM11" s="113"/>
      <c r="OUN11" s="113"/>
      <c r="OUO11" s="113"/>
      <c r="OUP11" s="113"/>
      <c r="OUQ11" s="113"/>
      <c r="OUR11" s="113"/>
      <c r="OUS11" s="113"/>
      <c r="OUT11" s="113"/>
      <c r="OUU11" s="113"/>
      <c r="OUV11" s="113"/>
      <c r="OUW11" s="113"/>
      <c r="OUX11" s="113"/>
      <c r="OUY11" s="113"/>
      <c r="OUZ11" s="113"/>
      <c r="OVA11" s="113"/>
      <c r="OVB11" s="113"/>
      <c r="OVC11" s="113"/>
      <c r="OVD11" s="113"/>
      <c r="OVE11" s="113"/>
      <c r="OVF11" s="113"/>
      <c r="OVG11" s="113"/>
      <c r="OVH11" s="113"/>
      <c r="OVI11" s="113"/>
      <c r="OVJ11" s="113"/>
      <c r="OVK11" s="113"/>
      <c r="OVL11" s="113"/>
      <c r="OVM11" s="113"/>
      <c r="OVN11" s="113"/>
      <c r="OVO11" s="113"/>
      <c r="OVP11" s="113"/>
      <c r="OVQ11" s="113"/>
      <c r="OVR11" s="113"/>
      <c r="OVS11" s="113"/>
      <c r="OVT11" s="113"/>
      <c r="OVU11" s="113"/>
      <c r="OVV11" s="113"/>
      <c r="OVW11" s="113"/>
      <c r="OVX11" s="113"/>
      <c r="OVY11" s="113"/>
      <c r="OVZ11" s="113"/>
      <c r="OWA11" s="113"/>
      <c r="OWC11" s="113"/>
      <c r="OWD11" s="113"/>
      <c r="OWE11" s="113"/>
      <c r="OWF11" s="113"/>
      <c r="OWG11" s="113"/>
      <c r="OWH11" s="113"/>
      <c r="OWI11" s="113"/>
      <c r="OWJ11" s="113"/>
      <c r="OWK11" s="113"/>
      <c r="OWL11" s="113"/>
      <c r="OWM11" s="113"/>
      <c r="OWN11" s="113"/>
      <c r="OWO11" s="113"/>
      <c r="OWP11" s="113"/>
      <c r="OWQ11" s="113"/>
      <c r="OWR11" s="113"/>
      <c r="OWS11" s="113"/>
      <c r="OWT11" s="113"/>
      <c r="OWU11" s="113"/>
      <c r="OWV11" s="113"/>
      <c r="OWW11" s="113"/>
      <c r="OWX11" s="113"/>
      <c r="OWY11" s="113"/>
      <c r="OWZ11" s="113"/>
      <c r="OXA11" s="113"/>
      <c r="OXB11" s="113"/>
      <c r="OXC11" s="113"/>
      <c r="OXD11" s="113"/>
      <c r="OXE11" s="113"/>
      <c r="OXF11" s="113"/>
      <c r="OXG11" s="113"/>
      <c r="OXH11" s="113"/>
      <c r="OXI11" s="113"/>
      <c r="OXJ11" s="113"/>
      <c r="OXK11" s="113"/>
      <c r="OXL11" s="113"/>
      <c r="OXM11" s="113"/>
      <c r="OXN11" s="113"/>
      <c r="OXO11" s="113"/>
      <c r="OXP11" s="113"/>
      <c r="OXQ11" s="113"/>
      <c r="OXR11" s="113"/>
      <c r="OXS11" s="113"/>
      <c r="OXT11" s="113"/>
      <c r="OXU11" s="113"/>
      <c r="OXV11" s="113"/>
      <c r="OXW11" s="113"/>
      <c r="OXX11" s="113"/>
      <c r="OXY11" s="113"/>
      <c r="OXZ11" s="113"/>
      <c r="OYA11" s="113"/>
      <c r="OYB11" s="113"/>
      <c r="OYC11" s="113"/>
      <c r="OYD11" s="113"/>
      <c r="OYE11" s="113"/>
      <c r="OYF11" s="113"/>
      <c r="OYG11" s="113"/>
      <c r="OYH11" s="113"/>
      <c r="OYI11" s="113"/>
      <c r="OYJ11" s="113"/>
      <c r="OYK11" s="113"/>
      <c r="OYL11" s="113"/>
      <c r="OYM11" s="113"/>
      <c r="OYN11" s="113"/>
      <c r="OYO11" s="113"/>
      <c r="OYP11" s="113"/>
      <c r="OYQ11" s="113"/>
      <c r="OYR11" s="113"/>
      <c r="OYS11" s="113"/>
      <c r="OYT11" s="113"/>
      <c r="OYU11" s="113"/>
      <c r="OYV11" s="113"/>
      <c r="OYW11" s="113"/>
      <c r="OYX11" s="113"/>
      <c r="OYY11" s="113"/>
      <c r="OYZ11" s="113"/>
      <c r="OZA11" s="113"/>
      <c r="OZB11" s="113"/>
      <c r="OZC11" s="113"/>
      <c r="OZD11" s="113"/>
      <c r="OZE11" s="113"/>
      <c r="OZF11" s="113"/>
      <c r="OZG11" s="113"/>
      <c r="OZH11" s="113"/>
      <c r="OZI11" s="113"/>
      <c r="OZJ11" s="113"/>
      <c r="OZK11" s="113"/>
      <c r="OZL11" s="113"/>
      <c r="OZM11" s="113"/>
      <c r="OZN11" s="113"/>
      <c r="OZO11" s="113"/>
      <c r="OZP11" s="113"/>
      <c r="OZQ11" s="113"/>
      <c r="OZR11" s="113"/>
      <c r="OZS11" s="113"/>
      <c r="OZT11" s="113"/>
      <c r="OZU11" s="113"/>
      <c r="OZV11" s="113"/>
      <c r="OZW11" s="113"/>
      <c r="OZX11" s="113"/>
      <c r="OZY11" s="113"/>
      <c r="OZZ11" s="113"/>
      <c r="PAA11" s="113"/>
      <c r="PAB11" s="113"/>
      <c r="PAC11" s="113"/>
      <c r="PAD11" s="113"/>
      <c r="PAE11" s="113"/>
      <c r="PAF11" s="113"/>
      <c r="PAG11" s="113"/>
      <c r="PAH11" s="113"/>
      <c r="PAI11" s="113"/>
      <c r="PAJ11" s="113"/>
      <c r="PAK11" s="113"/>
      <c r="PAL11" s="113"/>
      <c r="PAM11" s="113"/>
      <c r="PAN11" s="113"/>
      <c r="PAO11" s="113"/>
      <c r="PAP11" s="113"/>
      <c r="PAQ11" s="113"/>
      <c r="PAR11" s="113"/>
      <c r="PAS11" s="113"/>
      <c r="PAT11" s="113"/>
      <c r="PAU11" s="113"/>
      <c r="PAV11" s="113"/>
      <c r="PAW11" s="113"/>
      <c r="PAX11" s="113"/>
      <c r="PAY11" s="113"/>
      <c r="PAZ11" s="113"/>
      <c r="PBA11" s="113"/>
      <c r="PBB11" s="113"/>
      <c r="PBC11" s="113"/>
      <c r="PBD11" s="113"/>
      <c r="PBE11" s="113"/>
      <c r="PBF11" s="113"/>
      <c r="PBG11" s="113"/>
      <c r="PBH11" s="113"/>
      <c r="PBI11" s="113"/>
      <c r="PBJ11" s="113"/>
      <c r="PBK11" s="113"/>
      <c r="PBL11" s="113"/>
      <c r="PBM11" s="113"/>
      <c r="PBN11" s="113"/>
      <c r="PBO11" s="113"/>
      <c r="PBP11" s="113"/>
      <c r="PBQ11" s="113"/>
      <c r="PBR11" s="113"/>
      <c r="PBS11" s="113"/>
      <c r="PBT11" s="113"/>
      <c r="PBU11" s="113"/>
      <c r="PBV11" s="113"/>
      <c r="PBW11" s="113"/>
      <c r="PBX11" s="113"/>
      <c r="PBY11" s="113"/>
      <c r="PBZ11" s="113"/>
      <c r="PCA11" s="113"/>
      <c r="PCB11" s="113"/>
      <c r="PCC11" s="113"/>
      <c r="PCD11" s="113"/>
      <c r="PCE11" s="113"/>
      <c r="PCF11" s="113"/>
      <c r="PCG11" s="113"/>
      <c r="PCH11" s="113"/>
      <c r="PCI11" s="113"/>
      <c r="PCJ11" s="113"/>
      <c r="PCK11" s="113"/>
      <c r="PCL11" s="113"/>
      <c r="PCM11" s="113"/>
      <c r="PCN11" s="113"/>
      <c r="PCO11" s="113"/>
      <c r="PCP11" s="113"/>
      <c r="PCQ11" s="113"/>
      <c r="PCR11" s="113"/>
      <c r="PCS11" s="113"/>
      <c r="PCT11" s="113"/>
      <c r="PCU11" s="113"/>
      <c r="PCV11" s="113"/>
      <c r="PCW11" s="113"/>
      <c r="PCX11" s="113"/>
      <c r="PCY11" s="113"/>
      <c r="PCZ11" s="113"/>
      <c r="PDA11" s="113"/>
      <c r="PDB11" s="113"/>
      <c r="PDC11" s="113"/>
      <c r="PDD11" s="113"/>
      <c r="PDE11" s="113"/>
      <c r="PDF11" s="113"/>
      <c r="PDG11" s="113"/>
      <c r="PDH11" s="113"/>
      <c r="PDI11" s="113"/>
      <c r="PDJ11" s="113"/>
      <c r="PDK11" s="113"/>
      <c r="PDL11" s="113"/>
      <c r="PDM11" s="113"/>
      <c r="PDN11" s="113"/>
      <c r="PDO11" s="113"/>
      <c r="PDP11" s="113"/>
      <c r="PDQ11" s="113"/>
      <c r="PDR11" s="113"/>
      <c r="PDS11" s="113"/>
      <c r="PDT11" s="113"/>
      <c r="PDU11" s="113"/>
      <c r="PDV11" s="113"/>
      <c r="PDW11" s="113"/>
      <c r="PDX11" s="113"/>
      <c r="PDY11" s="113"/>
      <c r="PDZ11" s="113"/>
      <c r="PEA11" s="113"/>
      <c r="PEB11" s="113"/>
      <c r="PEC11" s="113"/>
      <c r="PED11" s="113"/>
      <c r="PEE11" s="113"/>
      <c r="PEF11" s="113"/>
      <c r="PEG11" s="113"/>
      <c r="PEH11" s="113"/>
      <c r="PEI11" s="113"/>
      <c r="PEJ11" s="113"/>
      <c r="PEK11" s="113"/>
      <c r="PEL11" s="113"/>
      <c r="PEM11" s="113"/>
      <c r="PEN11" s="113"/>
      <c r="PEO11" s="113"/>
      <c r="PEP11" s="113"/>
      <c r="PEQ11" s="113"/>
      <c r="PER11" s="113"/>
      <c r="PES11" s="113"/>
      <c r="PET11" s="113"/>
      <c r="PEU11" s="113"/>
      <c r="PEV11" s="113"/>
      <c r="PEW11" s="113"/>
      <c r="PEX11" s="113"/>
      <c r="PEY11" s="113"/>
      <c r="PEZ11" s="113"/>
      <c r="PFA11" s="113"/>
      <c r="PFB11" s="113"/>
      <c r="PFC11" s="113"/>
      <c r="PFD11" s="113"/>
      <c r="PFE11" s="113"/>
      <c r="PFF11" s="113"/>
      <c r="PFG11" s="113"/>
      <c r="PFH11" s="113"/>
      <c r="PFI11" s="113"/>
      <c r="PFJ11" s="113"/>
      <c r="PFK11" s="113"/>
      <c r="PFL11" s="113"/>
      <c r="PFM11" s="113"/>
      <c r="PFN11" s="113"/>
      <c r="PFO11" s="113"/>
      <c r="PFP11" s="113"/>
      <c r="PFQ11" s="113"/>
      <c r="PFR11" s="113"/>
      <c r="PFS11" s="113"/>
      <c r="PFT11" s="113"/>
      <c r="PFU11" s="113"/>
      <c r="PFV11" s="113"/>
      <c r="PFW11" s="113"/>
      <c r="PFX11" s="113"/>
      <c r="PFY11" s="113"/>
      <c r="PFZ11" s="113"/>
      <c r="PGA11" s="113"/>
      <c r="PGB11" s="113"/>
      <c r="PGC11" s="113"/>
      <c r="PGD11" s="113"/>
      <c r="PGE11" s="113"/>
      <c r="PGF11" s="113"/>
      <c r="PGG11" s="113"/>
      <c r="PGH11" s="113"/>
      <c r="PGI11" s="113"/>
      <c r="PGJ11" s="113"/>
      <c r="PGK11" s="113"/>
      <c r="PGL11" s="113"/>
      <c r="PGM11" s="113"/>
      <c r="PGN11" s="113"/>
      <c r="PGO11" s="113"/>
      <c r="PGP11" s="113"/>
      <c r="PGQ11" s="113"/>
      <c r="PGR11" s="113"/>
      <c r="PGS11" s="113"/>
      <c r="PGT11" s="113"/>
      <c r="PGU11" s="113"/>
      <c r="PGV11" s="113"/>
      <c r="PGW11" s="113"/>
      <c r="PGX11" s="113"/>
      <c r="PGY11" s="113"/>
      <c r="PGZ11" s="113"/>
      <c r="PHA11" s="113"/>
      <c r="PHB11" s="113"/>
      <c r="PHC11" s="113"/>
      <c r="PHD11" s="113"/>
      <c r="PHE11" s="113"/>
      <c r="PHF11" s="113"/>
      <c r="PHG11" s="113"/>
      <c r="PHH11" s="113"/>
      <c r="PHI11" s="113"/>
      <c r="PHJ11" s="113"/>
      <c r="PHK11" s="113"/>
      <c r="PHL11" s="113"/>
      <c r="PHM11" s="113"/>
      <c r="PHN11" s="113"/>
      <c r="PHO11" s="113"/>
      <c r="PHP11" s="113"/>
      <c r="PHQ11" s="113"/>
      <c r="PHR11" s="113"/>
      <c r="PHS11" s="113"/>
      <c r="PHT11" s="113"/>
      <c r="PHU11" s="113"/>
      <c r="PHV11" s="113"/>
      <c r="PHW11" s="113"/>
      <c r="PHX11" s="113"/>
      <c r="PHY11" s="113"/>
      <c r="PHZ11" s="113"/>
      <c r="PIA11" s="113"/>
      <c r="PIB11" s="113"/>
      <c r="PIC11" s="113"/>
      <c r="PID11" s="113"/>
      <c r="PIE11" s="113"/>
      <c r="PIF11" s="113"/>
      <c r="PIG11" s="113"/>
      <c r="PIH11" s="113"/>
      <c r="PII11" s="113"/>
      <c r="PIJ11" s="113"/>
      <c r="PIK11" s="113"/>
      <c r="PIL11" s="113"/>
      <c r="PIM11" s="113"/>
      <c r="PIN11" s="113"/>
      <c r="PIO11" s="113"/>
      <c r="PIP11" s="113"/>
      <c r="PIQ11" s="113"/>
      <c r="PIR11" s="113"/>
      <c r="PIS11" s="113"/>
      <c r="PIT11" s="113"/>
      <c r="PIU11" s="113"/>
      <c r="PIV11" s="113"/>
      <c r="PIW11" s="113"/>
      <c r="PIX11" s="113"/>
      <c r="PIY11" s="113"/>
      <c r="PIZ11" s="113"/>
      <c r="PJA11" s="113"/>
      <c r="PJB11" s="113"/>
      <c r="PJC11" s="113"/>
      <c r="PJD11" s="113"/>
      <c r="PJE11" s="113"/>
      <c r="PJF11" s="113"/>
      <c r="PJG11" s="113"/>
      <c r="PJH11" s="113"/>
      <c r="PJI11" s="113"/>
      <c r="PJJ11" s="113"/>
      <c r="PJK11" s="113"/>
      <c r="PJL11" s="113"/>
      <c r="PJM11" s="113"/>
      <c r="PJN11" s="113"/>
      <c r="PJO11" s="113"/>
      <c r="PJP11" s="113"/>
      <c r="PJQ11" s="113"/>
      <c r="PJR11" s="113"/>
      <c r="PJS11" s="113"/>
      <c r="PJT11" s="113"/>
      <c r="PJU11" s="113"/>
      <c r="PJV11" s="113"/>
      <c r="PJW11" s="113"/>
      <c r="PJX11" s="113"/>
      <c r="PJY11" s="113"/>
      <c r="PJZ11" s="113"/>
      <c r="PKA11" s="113"/>
      <c r="PKB11" s="113"/>
      <c r="PKC11" s="113"/>
      <c r="PKD11" s="113"/>
      <c r="PKE11" s="113"/>
      <c r="PKF11" s="113"/>
      <c r="PKG11" s="113"/>
      <c r="PKH11" s="113"/>
      <c r="PKI11" s="113"/>
      <c r="PKJ11" s="113"/>
      <c r="PKK11" s="113"/>
      <c r="PKL11" s="113"/>
      <c r="PKM11" s="113"/>
      <c r="PKN11" s="113"/>
      <c r="PKO11" s="113"/>
      <c r="PKP11" s="113"/>
      <c r="PKQ11" s="113"/>
      <c r="PKR11" s="113"/>
      <c r="PKS11" s="113"/>
      <c r="PKT11" s="113"/>
      <c r="PKU11" s="113"/>
      <c r="PKV11" s="113"/>
      <c r="PKW11" s="113"/>
      <c r="PKX11" s="113"/>
      <c r="PKY11" s="113"/>
      <c r="PKZ11" s="113"/>
      <c r="PLA11" s="113"/>
      <c r="PLB11" s="113"/>
      <c r="PLC11" s="113"/>
      <c r="PLD11" s="113"/>
      <c r="PLE11" s="113"/>
      <c r="PLF11" s="113"/>
      <c r="PLG11" s="113"/>
      <c r="PLH11" s="113"/>
      <c r="PLI11" s="113"/>
      <c r="PLJ11" s="113"/>
      <c r="PLK11" s="113"/>
      <c r="PLL11" s="113"/>
      <c r="PLM11" s="113"/>
      <c r="PLN11" s="113"/>
      <c r="PLO11" s="113"/>
      <c r="PLP11" s="113"/>
      <c r="PLQ11" s="113"/>
      <c r="PLR11" s="113"/>
      <c r="PLS11" s="113"/>
      <c r="PLT11" s="113"/>
      <c r="PLU11" s="113"/>
      <c r="PLV11" s="113"/>
      <c r="PLW11" s="113"/>
      <c r="PLX11" s="113"/>
      <c r="PLY11" s="113"/>
      <c r="PLZ11" s="113"/>
      <c r="PMA11" s="113"/>
      <c r="PMB11" s="113"/>
      <c r="PMC11" s="113"/>
      <c r="PMD11" s="113"/>
      <c r="PME11" s="113"/>
      <c r="PMF11" s="113"/>
      <c r="PMG11" s="113"/>
      <c r="PMH11" s="113"/>
      <c r="PMI11" s="113"/>
      <c r="PMJ11" s="113"/>
      <c r="PMK11" s="113"/>
      <c r="PML11" s="113"/>
      <c r="PMM11" s="113"/>
      <c r="PMN11" s="113"/>
      <c r="PMO11" s="113"/>
      <c r="PMP11" s="113"/>
      <c r="PMQ11" s="113"/>
      <c r="PMR11" s="113"/>
      <c r="PMS11" s="113"/>
      <c r="PMT11" s="113"/>
      <c r="PMU11" s="113"/>
      <c r="PMV11" s="113"/>
      <c r="PMW11" s="113"/>
      <c r="PMX11" s="113"/>
      <c r="PMY11" s="113"/>
      <c r="PMZ11" s="113"/>
      <c r="PNA11" s="113"/>
      <c r="PNB11" s="113"/>
      <c r="PNC11" s="113"/>
      <c r="PND11" s="113"/>
      <c r="PNE11" s="113"/>
      <c r="PNF11" s="113"/>
      <c r="PNG11" s="113"/>
      <c r="PNH11" s="113"/>
      <c r="PNI11" s="113"/>
      <c r="PNJ11" s="113"/>
      <c r="PNK11" s="113"/>
      <c r="PNL11" s="113"/>
      <c r="PNM11" s="113"/>
      <c r="PNN11" s="113"/>
      <c r="PNO11" s="113"/>
      <c r="PNP11" s="113"/>
      <c r="PNQ11" s="113"/>
      <c r="PNR11" s="113"/>
      <c r="PNS11" s="113"/>
      <c r="PNT11" s="113"/>
      <c r="PNU11" s="113"/>
      <c r="PNV11" s="113"/>
      <c r="PNW11" s="113"/>
      <c r="PNX11" s="113"/>
      <c r="PNY11" s="113"/>
      <c r="PNZ11" s="113"/>
      <c r="POA11" s="113"/>
      <c r="POB11" s="113"/>
      <c r="POC11" s="113"/>
      <c r="POD11" s="113"/>
      <c r="POE11" s="113"/>
      <c r="POF11" s="113"/>
      <c r="POG11" s="113"/>
      <c r="POH11" s="113"/>
      <c r="POI11" s="113"/>
      <c r="POJ11" s="113"/>
      <c r="POK11" s="113"/>
      <c r="POL11" s="113"/>
      <c r="POM11" s="113"/>
      <c r="PON11" s="113"/>
      <c r="POO11" s="113"/>
      <c r="POP11" s="113"/>
      <c r="POQ11" s="113"/>
      <c r="POR11" s="113"/>
      <c r="POS11" s="113"/>
      <c r="POT11" s="113"/>
      <c r="POU11" s="113"/>
      <c r="POV11" s="113"/>
      <c r="POW11" s="113"/>
      <c r="POX11" s="113"/>
      <c r="POY11" s="113"/>
      <c r="POZ11" s="113"/>
      <c r="PPA11" s="113"/>
      <c r="PPB11" s="113"/>
      <c r="PPC11" s="113"/>
      <c r="PPD11" s="113"/>
      <c r="PPE11" s="113"/>
      <c r="PPF11" s="113"/>
      <c r="PPG11" s="113"/>
      <c r="PPH11" s="113"/>
      <c r="PPI11" s="113"/>
      <c r="PPJ11" s="113"/>
      <c r="PPK11" s="113"/>
      <c r="PPL11" s="113"/>
      <c r="PPM11" s="113"/>
      <c r="PPN11" s="113"/>
      <c r="PPO11" s="113"/>
      <c r="PPP11" s="113"/>
      <c r="PPQ11" s="113"/>
      <c r="PPR11" s="113"/>
      <c r="PPS11" s="113"/>
      <c r="PPT11" s="113"/>
      <c r="PPU11" s="113"/>
      <c r="PPV11" s="113"/>
      <c r="PPW11" s="113"/>
      <c r="PPX11" s="113"/>
      <c r="PPY11" s="113"/>
      <c r="PPZ11" s="113"/>
      <c r="PQA11" s="113"/>
      <c r="PQB11" s="113"/>
      <c r="PQC11" s="113"/>
      <c r="PQD11" s="113"/>
      <c r="PQE11" s="113"/>
      <c r="PQF11" s="113"/>
      <c r="PQG11" s="113"/>
      <c r="PQH11" s="113"/>
      <c r="PQI11" s="113"/>
      <c r="PQJ11" s="113"/>
      <c r="PQK11" s="113"/>
      <c r="PQL11" s="113"/>
      <c r="PQM11" s="113"/>
      <c r="PQN11" s="113"/>
      <c r="PQO11" s="113"/>
      <c r="PQP11" s="113"/>
      <c r="PQQ11" s="113"/>
      <c r="PQR11" s="113"/>
      <c r="PQS11" s="113"/>
      <c r="PQT11" s="113"/>
      <c r="PQU11" s="113"/>
      <c r="PQV11" s="113"/>
      <c r="PQW11" s="113"/>
      <c r="PQX11" s="113"/>
      <c r="PQY11" s="113"/>
      <c r="PQZ11" s="113"/>
      <c r="PRA11" s="113"/>
      <c r="PRB11" s="113"/>
      <c r="PRC11" s="113"/>
      <c r="PRD11" s="113"/>
      <c r="PRE11" s="113"/>
      <c r="PRF11" s="113"/>
      <c r="PRG11" s="113"/>
      <c r="PRH11" s="113"/>
      <c r="PRI11" s="113"/>
      <c r="PRJ11" s="113"/>
      <c r="PRK11" s="113"/>
      <c r="PRL11" s="113"/>
      <c r="PRM11" s="113"/>
      <c r="PRN11" s="113"/>
      <c r="PRO11" s="113"/>
      <c r="PRP11" s="113"/>
      <c r="PRQ11" s="113"/>
      <c r="PRR11" s="113"/>
      <c r="PRS11" s="113"/>
      <c r="PRT11" s="113"/>
      <c r="PRU11" s="113"/>
      <c r="PRV11" s="113"/>
      <c r="PRW11" s="113"/>
      <c r="PRX11" s="113"/>
      <c r="PRY11" s="113"/>
      <c r="PRZ11" s="113"/>
      <c r="PSA11" s="113"/>
      <c r="PSB11" s="113"/>
      <c r="PSC11" s="113"/>
      <c r="PSD11" s="113"/>
      <c r="PSE11" s="113"/>
      <c r="PSF11" s="113"/>
      <c r="PSG11" s="113"/>
      <c r="PSH11" s="113"/>
      <c r="PSI11" s="113"/>
      <c r="PSJ11" s="113"/>
      <c r="PSK11" s="113"/>
      <c r="PSL11" s="113"/>
      <c r="PSM11" s="113"/>
      <c r="PSN11" s="113"/>
      <c r="PSO11" s="113"/>
      <c r="PSP11" s="113"/>
      <c r="PSQ11" s="113"/>
      <c r="PSR11" s="113"/>
      <c r="PSS11" s="113"/>
      <c r="PST11" s="113"/>
      <c r="PSU11" s="113"/>
      <c r="PSV11" s="113"/>
      <c r="PSW11" s="113"/>
      <c r="PSX11" s="113"/>
      <c r="PSY11" s="113"/>
      <c r="PSZ11" s="113"/>
      <c r="PTA11" s="113"/>
      <c r="PTB11" s="113"/>
      <c r="PTC11" s="113"/>
      <c r="PTD11" s="113"/>
      <c r="PTE11" s="113"/>
      <c r="PTF11" s="113"/>
      <c r="PTG11" s="113"/>
      <c r="PTH11" s="113"/>
      <c r="PTI11" s="113"/>
      <c r="PTJ11" s="113"/>
      <c r="PTK11" s="113"/>
      <c r="PTL11" s="113"/>
      <c r="PTM11" s="113"/>
      <c r="PTN11" s="113"/>
      <c r="PTO11" s="113"/>
      <c r="PTP11" s="113"/>
      <c r="PTQ11" s="113"/>
      <c r="PTR11" s="113"/>
      <c r="PTS11" s="113"/>
      <c r="PTT11" s="113"/>
      <c r="PTU11" s="113"/>
      <c r="PTV11" s="113"/>
      <c r="PTW11" s="113"/>
      <c r="PTX11" s="113"/>
      <c r="PTY11" s="113"/>
      <c r="PTZ11" s="113"/>
      <c r="PUA11" s="113"/>
      <c r="PUB11" s="113"/>
      <c r="PUC11" s="113"/>
      <c r="PUD11" s="113"/>
      <c r="PUE11" s="113"/>
      <c r="PUF11" s="113"/>
      <c r="PUG11" s="113"/>
      <c r="PUH11" s="113"/>
      <c r="PUI11" s="113"/>
      <c r="PUJ11" s="113"/>
      <c r="PUK11" s="113"/>
      <c r="PUL11" s="113"/>
      <c r="PUM11" s="113"/>
      <c r="PUN11" s="113"/>
      <c r="PUO11" s="113"/>
      <c r="PUP11" s="113"/>
      <c r="PUQ11" s="113"/>
      <c r="PUR11" s="113"/>
      <c r="PUS11" s="113"/>
      <c r="PUT11" s="113"/>
      <c r="PUU11" s="113"/>
      <c r="PUV11" s="113"/>
      <c r="PUW11" s="113"/>
      <c r="PUX11" s="113"/>
      <c r="PUY11" s="113"/>
      <c r="PUZ11" s="113"/>
      <c r="PVA11" s="113"/>
      <c r="PVB11" s="113"/>
      <c r="PVC11" s="113"/>
      <c r="PVD11" s="113"/>
      <c r="PVE11" s="113"/>
      <c r="PVF11" s="113"/>
      <c r="PVG11" s="113"/>
      <c r="PVH11" s="113"/>
      <c r="PVI11" s="113"/>
      <c r="PVJ11" s="113"/>
      <c r="PVK11" s="113"/>
      <c r="PVL11" s="113"/>
      <c r="PVM11" s="113"/>
      <c r="PVN11" s="113"/>
      <c r="PVO11" s="113"/>
      <c r="PVP11" s="113"/>
      <c r="PVQ11" s="113"/>
      <c r="PVR11" s="113"/>
      <c r="PVS11" s="113"/>
      <c r="PVT11" s="113"/>
      <c r="PVU11" s="113"/>
      <c r="PVV11" s="113"/>
      <c r="PVW11" s="113"/>
      <c r="PVX11" s="113"/>
      <c r="PVY11" s="113"/>
      <c r="PVZ11" s="113"/>
      <c r="PWA11" s="113"/>
      <c r="PWB11" s="113"/>
      <c r="PWC11" s="113"/>
      <c r="PWD11" s="113"/>
      <c r="PWE11" s="113"/>
      <c r="PWF11" s="113"/>
      <c r="PWG11" s="113"/>
      <c r="PWH11" s="113"/>
      <c r="PWI11" s="113"/>
      <c r="PWJ11" s="113"/>
      <c r="PWK11" s="113"/>
      <c r="PWL11" s="113"/>
      <c r="PWM11" s="113"/>
      <c r="PWN11" s="113"/>
      <c r="PWO11" s="113"/>
      <c r="PWP11" s="113"/>
      <c r="PWQ11" s="113"/>
      <c r="PWR11" s="113"/>
      <c r="PWS11" s="113"/>
      <c r="PWT11" s="113"/>
      <c r="PWU11" s="113"/>
      <c r="PWV11" s="113"/>
      <c r="PWW11" s="113"/>
      <c r="PWX11" s="113"/>
      <c r="PWY11" s="113"/>
      <c r="PWZ11" s="113"/>
      <c r="PXA11" s="113"/>
      <c r="PXB11" s="113"/>
      <c r="PXC11" s="113"/>
      <c r="PXD11" s="113"/>
      <c r="PXE11" s="113"/>
      <c r="PXF11" s="113"/>
      <c r="PXG11" s="113"/>
      <c r="PXH11" s="113"/>
      <c r="PXI11" s="113"/>
      <c r="PXJ11" s="113"/>
      <c r="PXK11" s="113"/>
      <c r="PXL11" s="113"/>
      <c r="PXM11" s="113"/>
      <c r="PXN11" s="113"/>
      <c r="PXO11" s="113"/>
      <c r="PXP11" s="113"/>
      <c r="PXQ11" s="113"/>
      <c r="PXR11" s="113"/>
      <c r="PXS11" s="113"/>
      <c r="PXT11" s="113"/>
      <c r="PXU11" s="113"/>
      <c r="PXV11" s="113"/>
      <c r="PXW11" s="113"/>
      <c r="PXX11" s="113"/>
      <c r="PXY11" s="113"/>
      <c r="PXZ11" s="113"/>
      <c r="PYA11" s="113"/>
      <c r="PYB11" s="113"/>
      <c r="PYC11" s="113"/>
      <c r="PYD11" s="113"/>
      <c r="PYE11" s="113"/>
      <c r="PYF11" s="113"/>
      <c r="PYG11" s="113"/>
      <c r="PYH11" s="113"/>
      <c r="PYI11" s="113"/>
      <c r="PYJ11" s="113"/>
      <c r="PYK11" s="113"/>
      <c r="PYL11" s="113"/>
      <c r="PYM11" s="113"/>
      <c r="PYN11" s="113"/>
      <c r="PYO11" s="113"/>
      <c r="PYP11" s="113"/>
      <c r="PYQ11" s="113"/>
      <c r="PYR11" s="113"/>
      <c r="PYS11" s="113"/>
      <c r="PYT11" s="113"/>
      <c r="PYU11" s="113"/>
      <c r="PYV11" s="113"/>
      <c r="PYW11" s="113"/>
      <c r="PYX11" s="113"/>
      <c r="PYY11" s="113"/>
      <c r="PYZ11" s="113"/>
      <c r="PZA11" s="113"/>
      <c r="PZB11" s="113"/>
      <c r="PZC11" s="113"/>
      <c r="PZD11" s="113"/>
      <c r="PZE11" s="113"/>
      <c r="PZF11" s="113"/>
      <c r="PZG11" s="113"/>
      <c r="PZH11" s="113"/>
      <c r="PZI11" s="113"/>
      <c r="PZJ11" s="113"/>
      <c r="PZK11" s="113"/>
      <c r="PZL11" s="113"/>
      <c r="PZM11" s="113"/>
      <c r="PZN11" s="113"/>
      <c r="PZO11" s="113"/>
      <c r="PZP11" s="113"/>
      <c r="PZQ11" s="113"/>
      <c r="PZR11" s="113"/>
      <c r="PZS11" s="113"/>
      <c r="PZT11" s="113"/>
      <c r="PZU11" s="113"/>
      <c r="PZV11" s="113"/>
      <c r="PZW11" s="113"/>
      <c r="PZX11" s="113"/>
      <c r="PZY11" s="113"/>
      <c r="PZZ11" s="113"/>
      <c r="QAA11" s="113"/>
      <c r="QAB11" s="113"/>
      <c r="QAC11" s="113"/>
      <c r="QAD11" s="113"/>
      <c r="QAE11" s="113"/>
      <c r="QAF11" s="113"/>
      <c r="QAG11" s="113"/>
      <c r="QAH11" s="113"/>
      <c r="QAI11" s="113"/>
      <c r="QAJ11" s="113"/>
      <c r="QAK11" s="113"/>
      <c r="QAL11" s="113"/>
      <c r="QAM11" s="113"/>
      <c r="QAN11" s="113"/>
      <c r="QAO11" s="113"/>
      <c r="QAP11" s="113"/>
      <c r="QAQ11" s="113"/>
      <c r="QAR11" s="113"/>
      <c r="QAS11" s="113"/>
      <c r="QAT11" s="113"/>
      <c r="QAU11" s="113"/>
      <c r="QAV11" s="113"/>
      <c r="QAW11" s="113"/>
      <c r="QAX11" s="113"/>
      <c r="QAY11" s="113"/>
      <c r="QAZ11" s="113"/>
      <c r="QBA11" s="113"/>
      <c r="QBB11" s="113"/>
      <c r="QBC11" s="113"/>
      <c r="QBD11" s="113"/>
      <c r="QBE11" s="113"/>
      <c r="QBF11" s="113"/>
      <c r="QBG11" s="113"/>
      <c r="QBH11" s="113"/>
      <c r="QBI11" s="113"/>
      <c r="QBJ11" s="113"/>
      <c r="QBK11" s="113"/>
      <c r="QBL11" s="113"/>
      <c r="QBM11" s="113"/>
      <c r="QBN11" s="113"/>
      <c r="QBO11" s="113"/>
      <c r="QBP11" s="113"/>
      <c r="QBQ11" s="113"/>
      <c r="QBR11" s="113"/>
      <c r="QBS11" s="113"/>
      <c r="QBT11" s="113"/>
      <c r="QBU11" s="113"/>
      <c r="QBV11" s="113"/>
      <c r="QBW11" s="113"/>
      <c r="QBX11" s="113"/>
      <c r="QBY11" s="113"/>
      <c r="QBZ11" s="113"/>
      <c r="QCA11" s="113"/>
      <c r="QCB11" s="113"/>
      <c r="QCC11" s="113"/>
      <c r="QCD11" s="113"/>
      <c r="QCE11" s="113"/>
      <c r="QCF11" s="113"/>
      <c r="QCG11" s="113"/>
      <c r="QCH11" s="113"/>
      <c r="QCI11" s="113"/>
      <c r="QCJ11" s="113"/>
      <c r="QCK11" s="113"/>
      <c r="QCL11" s="113"/>
      <c r="QCM11" s="113"/>
      <c r="QCN11" s="113"/>
      <c r="QCO11" s="113"/>
      <c r="QCP11" s="113"/>
      <c r="QCQ11" s="113"/>
      <c r="QCR11" s="113"/>
      <c r="QCS11" s="113"/>
      <c r="QCT11" s="113"/>
      <c r="QCU11" s="113"/>
      <c r="QCV11" s="113"/>
      <c r="QCW11" s="113"/>
      <c r="QCX11" s="113"/>
      <c r="QCY11" s="113"/>
      <c r="QCZ11" s="113"/>
      <c r="QDA11" s="113"/>
      <c r="QDB11" s="113"/>
      <c r="QDC11" s="113"/>
      <c r="QDD11" s="113"/>
      <c r="QDE11" s="113"/>
      <c r="QDF11" s="113"/>
      <c r="QDG11" s="113"/>
      <c r="QDH11" s="113"/>
      <c r="QDI11" s="113"/>
      <c r="QDJ11" s="113"/>
      <c r="QDK11" s="113"/>
      <c r="QDL11" s="113"/>
      <c r="QDM11" s="113"/>
      <c r="QDN11" s="113"/>
      <c r="QDO11" s="113"/>
      <c r="QDP11" s="113"/>
      <c r="QDQ11" s="113"/>
      <c r="QDR11" s="113"/>
      <c r="QDS11" s="113"/>
      <c r="QDT11" s="113"/>
      <c r="QDU11" s="113"/>
      <c r="QDV11" s="113"/>
      <c r="QDW11" s="113"/>
      <c r="QDX11" s="113"/>
      <c r="QDY11" s="113"/>
      <c r="QDZ11" s="113"/>
      <c r="QEA11" s="113"/>
      <c r="QEB11" s="113"/>
      <c r="QEC11" s="113"/>
      <c r="QED11" s="113"/>
      <c r="QEE11" s="113"/>
      <c r="QEF11" s="113"/>
      <c r="QEG11" s="113"/>
      <c r="QEH11" s="113"/>
      <c r="QEI11" s="113"/>
      <c r="QEJ11" s="113"/>
      <c r="QEK11" s="113"/>
      <c r="QEL11" s="113"/>
      <c r="QEM11" s="113"/>
      <c r="QEN11" s="113"/>
      <c r="QEO11" s="113"/>
      <c r="QEP11" s="113"/>
      <c r="QEQ11" s="113"/>
      <c r="QER11" s="113"/>
      <c r="QES11" s="113"/>
      <c r="QET11" s="113"/>
      <c r="QEU11" s="113"/>
      <c r="QEV11" s="113"/>
      <c r="QEW11" s="113"/>
      <c r="QEX11" s="113"/>
      <c r="QEY11" s="113"/>
      <c r="QEZ11" s="113"/>
      <c r="QFA11" s="113"/>
      <c r="QFB11" s="113"/>
      <c r="QFC11" s="113"/>
      <c r="QFD11" s="113"/>
      <c r="QFE11" s="113"/>
      <c r="QFF11" s="113"/>
      <c r="QFG11" s="113"/>
      <c r="QFH11" s="113"/>
      <c r="QFI11" s="113"/>
      <c r="QFJ11" s="113"/>
      <c r="QFK11" s="113"/>
      <c r="QFL11" s="113"/>
      <c r="QFM11" s="113"/>
      <c r="QFN11" s="113"/>
      <c r="QFO11" s="113"/>
      <c r="QFP11" s="113"/>
      <c r="QFQ11" s="113"/>
      <c r="QFR11" s="113"/>
      <c r="QFS11" s="113"/>
      <c r="QFT11" s="113"/>
      <c r="QFU11" s="113"/>
      <c r="QFV11" s="113"/>
      <c r="QFW11" s="113"/>
      <c r="QFX11" s="113"/>
      <c r="QFY11" s="113"/>
      <c r="QFZ11" s="113"/>
      <c r="QGA11" s="113"/>
      <c r="QGB11" s="113"/>
      <c r="QGC11" s="113"/>
      <c r="QGD11" s="113"/>
      <c r="QGE11" s="113"/>
      <c r="QGF11" s="113"/>
      <c r="QGG11" s="113"/>
      <c r="QGH11" s="113"/>
      <c r="QGI11" s="113"/>
      <c r="QGJ11" s="113"/>
      <c r="QGK11" s="113"/>
      <c r="QGL11" s="113"/>
      <c r="QGM11" s="113"/>
      <c r="QGN11" s="113"/>
      <c r="QGO11" s="113"/>
      <c r="QGP11" s="113"/>
      <c r="QGQ11" s="113"/>
      <c r="QGR11" s="113"/>
      <c r="QGS11" s="113"/>
      <c r="QGT11" s="113"/>
      <c r="QGU11" s="113"/>
      <c r="QGV11" s="113"/>
      <c r="QGW11" s="113"/>
      <c r="QGX11" s="113"/>
      <c r="QGY11" s="113"/>
      <c r="QGZ11" s="113"/>
      <c r="QHA11" s="113"/>
      <c r="QHB11" s="113"/>
      <c r="QHC11" s="113"/>
      <c r="QHD11" s="113"/>
      <c r="QHE11" s="113"/>
      <c r="QHF11" s="113"/>
      <c r="QHG11" s="113"/>
      <c r="QHH11" s="113"/>
      <c r="QHI11" s="113"/>
      <c r="QHJ11" s="113"/>
      <c r="QHK11" s="113"/>
      <c r="QHL11" s="113"/>
      <c r="QHM11" s="113"/>
      <c r="QHN11" s="113"/>
      <c r="QHO11" s="113"/>
      <c r="QHP11" s="113"/>
      <c r="QHQ11" s="113"/>
      <c r="QHR11" s="113"/>
      <c r="QHS11" s="113"/>
      <c r="QHT11" s="113"/>
      <c r="QHU11" s="113"/>
      <c r="QHV11" s="113"/>
      <c r="QHW11" s="113"/>
      <c r="QHX11" s="113"/>
      <c r="QHY11" s="113"/>
      <c r="QHZ11" s="113"/>
      <c r="QIA11" s="113"/>
      <c r="QIB11" s="113"/>
      <c r="QIC11" s="113"/>
      <c r="QID11" s="113"/>
      <c r="QIE11" s="113"/>
      <c r="QIF11" s="113"/>
      <c r="QIG11" s="113"/>
      <c r="QIH11" s="113"/>
      <c r="QII11" s="113"/>
      <c r="QIJ11" s="113"/>
      <c r="QIK11" s="113"/>
      <c r="QIL11" s="113"/>
      <c r="QIM11" s="113"/>
      <c r="QIN11" s="113"/>
      <c r="QIO11" s="113"/>
      <c r="QIP11" s="113"/>
      <c r="QIQ11" s="113"/>
      <c r="QIR11" s="113"/>
      <c r="QIS11" s="113"/>
      <c r="QIT11" s="113"/>
      <c r="QIU11" s="113"/>
      <c r="QIV11" s="113"/>
      <c r="QIW11" s="113"/>
      <c r="QIX11" s="113"/>
      <c r="QIY11" s="113"/>
      <c r="QIZ11" s="113"/>
      <c r="QJA11" s="113"/>
      <c r="QJB11" s="113"/>
      <c r="QJC11" s="113"/>
      <c r="QJD11" s="113"/>
      <c r="QJE11" s="113"/>
      <c r="QJF11" s="113"/>
      <c r="QJG11" s="113"/>
      <c r="QJH11" s="113"/>
      <c r="QJI11" s="113"/>
      <c r="QJJ11" s="113"/>
      <c r="QJK11" s="113"/>
      <c r="QJL11" s="113"/>
      <c r="QJM11" s="113"/>
      <c r="QJN11" s="113"/>
      <c r="QJO11" s="113"/>
      <c r="QJP11" s="113"/>
      <c r="QJQ11" s="113"/>
      <c r="QJR11" s="113"/>
      <c r="QJS11" s="113"/>
      <c r="QJT11" s="113"/>
      <c r="QJU11" s="113"/>
      <c r="QJV11" s="113"/>
      <c r="QJW11" s="113"/>
      <c r="QJX11" s="113"/>
      <c r="QJY11" s="113"/>
      <c r="QJZ11" s="113"/>
      <c r="QKA11" s="113"/>
      <c r="QKB11" s="113"/>
      <c r="QKC11" s="113"/>
      <c r="QKD11" s="113"/>
      <c r="QKE11" s="113"/>
      <c r="QKF11" s="113"/>
      <c r="QKG11" s="113"/>
      <c r="QKH11" s="113"/>
      <c r="QKI11" s="113"/>
      <c r="QKJ11" s="113"/>
      <c r="QKK11" s="113"/>
      <c r="QKL11" s="113"/>
      <c r="QKM11" s="113"/>
      <c r="QKN11" s="113"/>
      <c r="QKO11" s="113"/>
      <c r="QKP11" s="113"/>
      <c r="QKQ11" s="113"/>
      <c r="QKR11" s="113"/>
      <c r="QKS11" s="113"/>
      <c r="QKT11" s="113"/>
      <c r="QKU11" s="113"/>
      <c r="QKV11" s="113"/>
      <c r="QKW11" s="113"/>
      <c r="QKX11" s="113"/>
      <c r="QKY11" s="113"/>
      <c r="QKZ11" s="113"/>
      <c r="QLA11" s="113"/>
      <c r="QLB11" s="113"/>
      <c r="QLC11" s="113"/>
      <c r="QLD11" s="113"/>
      <c r="QLE11" s="113"/>
      <c r="QLF11" s="113"/>
      <c r="QLG11" s="113"/>
      <c r="QLH11" s="113"/>
      <c r="QLI11" s="113"/>
      <c r="QLJ11" s="113"/>
      <c r="QLK11" s="113"/>
      <c r="QLL11" s="113"/>
      <c r="QLM11" s="113"/>
      <c r="QLN11" s="113"/>
      <c r="QLO11" s="113"/>
      <c r="QLP11" s="113"/>
      <c r="QLQ11" s="113"/>
      <c r="QLR11" s="113"/>
      <c r="QLS11" s="113"/>
      <c r="QLT11" s="113"/>
      <c r="QLU11" s="113"/>
      <c r="QLV11" s="113"/>
      <c r="QLW11" s="113"/>
      <c r="QLX11" s="113"/>
      <c r="QLY11" s="113"/>
      <c r="QLZ11" s="113"/>
      <c r="QMA11" s="113"/>
      <c r="QMB11" s="113"/>
      <c r="QMC11" s="113"/>
      <c r="QMD11" s="113"/>
      <c r="QME11" s="113"/>
      <c r="QMF11" s="113"/>
      <c r="QMG11" s="113"/>
      <c r="QMH11" s="113"/>
      <c r="QMI11" s="113"/>
      <c r="QMJ11" s="113"/>
      <c r="QMK11" s="113"/>
      <c r="QML11" s="113"/>
      <c r="QMM11" s="113"/>
      <c r="QMN11" s="113"/>
      <c r="QMO11" s="113"/>
      <c r="QMP11" s="113"/>
      <c r="QMQ11" s="113"/>
      <c r="QMR11" s="113"/>
      <c r="QMS11" s="113"/>
      <c r="QMT11" s="113"/>
      <c r="QMU11" s="113"/>
      <c r="QMV11" s="113"/>
      <c r="QMW11" s="113"/>
      <c r="QMX11" s="113"/>
      <c r="QMY11" s="113"/>
      <c r="QMZ11" s="113"/>
      <c r="QNA11" s="113"/>
      <c r="QNB11" s="113"/>
      <c r="QNC11" s="113"/>
      <c r="QND11" s="113"/>
      <c r="QNE11" s="113"/>
      <c r="QNF11" s="113"/>
      <c r="QNG11" s="113"/>
      <c r="QNH11" s="113"/>
      <c r="QNI11" s="113"/>
      <c r="QNJ11" s="113"/>
      <c r="QNK11" s="113"/>
      <c r="QNL11" s="113"/>
      <c r="QNM11" s="113"/>
      <c r="QNN11" s="113"/>
      <c r="QNO11" s="113"/>
      <c r="QNP11" s="113"/>
      <c r="QNQ11" s="113"/>
      <c r="QNR11" s="113"/>
      <c r="QNS11" s="113"/>
      <c r="QNT11" s="113"/>
      <c r="QNU11" s="113"/>
      <c r="QNV11" s="113"/>
      <c r="QNW11" s="113"/>
      <c r="QNX11" s="113"/>
      <c r="QNY11" s="113"/>
      <c r="QNZ11" s="113"/>
      <c r="QOA11" s="113"/>
      <c r="QOB11" s="113"/>
      <c r="QOC11" s="113"/>
      <c r="QOD11" s="113"/>
      <c r="QOE11" s="113"/>
      <c r="QOF11" s="113"/>
      <c r="QOG11" s="113"/>
      <c r="QOH11" s="113"/>
      <c r="QOI11" s="113"/>
      <c r="QOJ11" s="113"/>
      <c r="QOK11" s="113"/>
      <c r="QOL11" s="113"/>
      <c r="QOM11" s="113"/>
      <c r="QON11" s="113"/>
      <c r="QOO11" s="113"/>
      <c r="QOP11" s="113"/>
      <c r="QOQ11" s="113"/>
      <c r="QOR11" s="113"/>
      <c r="QOS11" s="113"/>
      <c r="QOT11" s="113"/>
      <c r="QOU11" s="113"/>
      <c r="QOV11" s="113"/>
      <c r="QOW11" s="113"/>
      <c r="QOX11" s="113"/>
      <c r="QOY11" s="113"/>
      <c r="QOZ11" s="113"/>
      <c r="QPA11" s="113"/>
      <c r="QPB11" s="113"/>
      <c r="QPC11" s="113"/>
      <c r="QPD11" s="113"/>
      <c r="QPE11" s="113"/>
      <c r="QPF11" s="113"/>
      <c r="QPG11" s="113"/>
      <c r="QPH11" s="113"/>
      <c r="QPI11" s="113"/>
      <c r="QPJ11" s="113"/>
      <c r="QPK11" s="113"/>
      <c r="QPL11" s="113"/>
      <c r="QPM11" s="113"/>
      <c r="QPN11" s="113"/>
      <c r="QPO11" s="113"/>
      <c r="QPP11" s="113"/>
      <c r="QPQ11" s="113"/>
      <c r="QPR11" s="113"/>
      <c r="QPS11" s="113"/>
      <c r="QPT11" s="113"/>
      <c r="QPU11" s="113"/>
      <c r="QPV11" s="113"/>
      <c r="QPW11" s="113"/>
      <c r="QPX11" s="113"/>
      <c r="QPY11" s="113"/>
      <c r="QPZ11" s="113"/>
      <c r="QQA11" s="113"/>
      <c r="QQB11" s="113"/>
      <c r="QQC11" s="113"/>
      <c r="QQD11" s="113"/>
      <c r="QQE11" s="113"/>
      <c r="QQF11" s="113"/>
      <c r="QQG11" s="113"/>
      <c r="QQH11" s="113"/>
      <c r="QQI11" s="113"/>
      <c r="QQJ11" s="113"/>
      <c r="QQK11" s="113"/>
      <c r="QQL11" s="113"/>
      <c r="QQM11" s="113"/>
      <c r="QQN11" s="113"/>
      <c r="QQO11" s="113"/>
      <c r="QQP11" s="113"/>
      <c r="QQQ11" s="113"/>
      <c r="QQR11" s="113"/>
      <c r="QQS11" s="113"/>
      <c r="QQT11" s="113"/>
      <c r="QQU11" s="113"/>
      <c r="QQV11" s="113"/>
      <c r="QQW11" s="113"/>
      <c r="QQX11" s="113"/>
      <c r="QQY11" s="113"/>
      <c r="QQZ11" s="113"/>
      <c r="QRA11" s="113"/>
      <c r="QRB11" s="113"/>
      <c r="QRC11" s="113"/>
      <c r="QRD11" s="113"/>
      <c r="QRE11" s="113"/>
      <c r="QRF11" s="113"/>
      <c r="QRG11" s="113"/>
      <c r="QRH11" s="113"/>
      <c r="QRI11" s="113"/>
      <c r="QRJ11" s="113"/>
      <c r="QRK11" s="113"/>
      <c r="QRL11" s="113"/>
      <c r="QRM11" s="113"/>
      <c r="QRN11" s="113"/>
      <c r="QRO11" s="113"/>
      <c r="QRP11" s="113"/>
      <c r="QRQ11" s="113"/>
      <c r="QRR11" s="113"/>
      <c r="QRS11" s="113"/>
      <c r="QRT11" s="113"/>
      <c r="QRU11" s="113"/>
      <c r="QRV11" s="113"/>
      <c r="QRW11" s="113"/>
      <c r="QRX11" s="113"/>
      <c r="QRY11" s="113"/>
      <c r="QRZ11" s="113"/>
      <c r="QSA11" s="113"/>
      <c r="QSB11" s="113"/>
      <c r="QSC11" s="113"/>
      <c r="QSD11" s="113"/>
      <c r="QSE11" s="113"/>
      <c r="QSF11" s="113"/>
      <c r="QSG11" s="113"/>
      <c r="QSH11" s="113"/>
      <c r="QSI11" s="113"/>
      <c r="QSJ11" s="113"/>
      <c r="QSK11" s="113"/>
      <c r="QSL11" s="113"/>
      <c r="QSM11" s="113"/>
      <c r="QSN11" s="113"/>
      <c r="QSO11" s="113"/>
      <c r="QSP11" s="113"/>
      <c r="QSQ11" s="113"/>
      <c r="QSR11" s="113"/>
      <c r="QSS11" s="113"/>
      <c r="QST11" s="113"/>
      <c r="QSU11" s="113"/>
      <c r="QSV11" s="113"/>
      <c r="QSW11" s="113"/>
      <c r="QSX11" s="113"/>
      <c r="QSY11" s="113"/>
      <c r="QSZ11" s="113"/>
      <c r="QTA11" s="113"/>
      <c r="QTB11" s="113"/>
      <c r="QTC11" s="113"/>
      <c r="QTD11" s="113"/>
      <c r="QTE11" s="113"/>
      <c r="QTF11" s="113"/>
      <c r="QTG11" s="113"/>
      <c r="QTH11" s="113"/>
      <c r="QTI11" s="113"/>
      <c r="QTJ11" s="113"/>
      <c r="QTK11" s="113"/>
      <c r="QTL11" s="113"/>
      <c r="QTM11" s="113"/>
      <c r="QTN11" s="113"/>
      <c r="QTO11" s="113"/>
      <c r="QTP11" s="113"/>
      <c r="QTQ11" s="113"/>
      <c r="QTR11" s="113"/>
      <c r="QTS11" s="113"/>
      <c r="QTT11" s="113"/>
      <c r="QTU11" s="113"/>
      <c r="QTV11" s="113"/>
      <c r="QTW11" s="113"/>
      <c r="QTX11" s="113"/>
      <c r="QTY11" s="113"/>
      <c r="QTZ11" s="113"/>
      <c r="QUA11" s="113"/>
      <c r="QUB11" s="113"/>
      <c r="QUC11" s="113"/>
      <c r="QUD11" s="113"/>
      <c r="QUE11" s="113"/>
      <c r="QUF11" s="113"/>
      <c r="QUG11" s="113"/>
      <c r="QUH11" s="113"/>
      <c r="QUI11" s="113"/>
      <c r="QUJ11" s="113"/>
      <c r="QUK11" s="113"/>
      <c r="QUL11" s="113"/>
      <c r="QUM11" s="113"/>
      <c r="QUN11" s="113"/>
      <c r="QUO11" s="113"/>
      <c r="QUP11" s="113"/>
      <c r="QUQ11" s="113"/>
      <c r="QUR11" s="113"/>
      <c r="QUS11" s="113"/>
      <c r="QUT11" s="113"/>
      <c r="QUU11" s="113"/>
      <c r="QUV11" s="113"/>
      <c r="QUW11" s="113"/>
      <c r="QUX11" s="113"/>
      <c r="QUY11" s="113"/>
      <c r="QUZ11" s="113"/>
      <c r="QVA11" s="113"/>
      <c r="QVB11" s="113"/>
      <c r="QVC11" s="113"/>
      <c r="QVD11" s="113"/>
      <c r="QVE11" s="113"/>
      <c r="QVF11" s="113"/>
      <c r="QVG11" s="113"/>
      <c r="QVH11" s="113"/>
      <c r="QVI11" s="113"/>
      <c r="QVJ11" s="113"/>
      <c r="QVK11" s="113"/>
      <c r="QVL11" s="113"/>
      <c r="QVM11" s="113"/>
      <c r="QVN11" s="113"/>
      <c r="QVO11" s="113"/>
      <c r="QVP11" s="113"/>
      <c r="QVQ11" s="113"/>
      <c r="QVR11" s="113"/>
      <c r="QVS11" s="113"/>
      <c r="QVT11" s="113"/>
      <c r="QVU11" s="113"/>
      <c r="QVV11" s="113"/>
      <c r="QVW11" s="113"/>
      <c r="QVX11" s="113"/>
      <c r="QVY11" s="113"/>
      <c r="QVZ11" s="113"/>
      <c r="QWA11" s="113"/>
      <c r="QWB11" s="113"/>
      <c r="QWC11" s="113"/>
      <c r="QWD11" s="113"/>
      <c r="QWE11" s="113"/>
      <c r="QWF11" s="113"/>
      <c r="QWG11" s="113"/>
      <c r="QWH11" s="113"/>
      <c r="QWI11" s="113"/>
      <c r="QWJ11" s="113"/>
      <c r="QWK11" s="113"/>
      <c r="QWL11" s="113"/>
      <c r="QWM11" s="113"/>
      <c r="QWN11" s="113"/>
      <c r="QWO11" s="113"/>
      <c r="QWP11" s="113"/>
      <c r="QWQ11" s="113"/>
      <c r="QWR11" s="113"/>
      <c r="QWS11" s="113"/>
      <c r="QWT11" s="113"/>
      <c r="QWU11" s="113"/>
      <c r="QWV11" s="113"/>
      <c r="QWW11" s="113"/>
      <c r="QWX11" s="113"/>
      <c r="QWY11" s="113"/>
      <c r="QWZ11" s="113"/>
      <c r="QXA11" s="113"/>
      <c r="QXB11" s="113"/>
      <c r="QXC11" s="113"/>
      <c r="QXD11" s="113"/>
      <c r="QXE11" s="113"/>
      <c r="QXF11" s="113"/>
      <c r="QXG11" s="113"/>
      <c r="QXH11" s="113"/>
      <c r="QXI11" s="113"/>
      <c r="QXJ11" s="113"/>
      <c r="QXK11" s="113"/>
      <c r="QXL11" s="113"/>
      <c r="QXM11" s="113"/>
      <c r="QXN11" s="113"/>
      <c r="QXO11" s="113"/>
      <c r="QXP11" s="113"/>
      <c r="QXQ11" s="113"/>
      <c r="QXR11" s="113"/>
      <c r="QXS11" s="113"/>
      <c r="QXT11" s="113"/>
      <c r="QXU11" s="113"/>
      <c r="QXV11" s="113"/>
      <c r="QXW11" s="113"/>
      <c r="QXX11" s="113"/>
      <c r="QXY11" s="113"/>
      <c r="QXZ11" s="113"/>
      <c r="QYA11" s="113"/>
      <c r="QYB11" s="113"/>
      <c r="QYC11" s="113"/>
      <c r="QYD11" s="113"/>
      <c r="QYE11" s="113"/>
      <c r="QYF11" s="113"/>
      <c r="QYG11" s="113"/>
      <c r="QYH11" s="113"/>
      <c r="QYI11" s="113"/>
      <c r="QYJ11" s="113"/>
      <c r="QYK11" s="113"/>
      <c r="QYL11" s="113"/>
      <c r="QYM11" s="113"/>
      <c r="QYN11" s="113"/>
      <c r="QYO11" s="113"/>
      <c r="QYP11" s="113"/>
      <c r="QYQ11" s="113"/>
      <c r="QYR11" s="113"/>
      <c r="QYS11" s="113"/>
      <c r="QYT11" s="113"/>
      <c r="QYU11" s="113"/>
      <c r="QYV11" s="113"/>
      <c r="QYW11" s="113"/>
      <c r="QYX11" s="113"/>
      <c r="QYY11" s="113"/>
      <c r="QYZ11" s="113"/>
      <c r="QZA11" s="113"/>
      <c r="QZB11" s="113"/>
      <c r="QZC11" s="113"/>
      <c r="QZD11" s="113"/>
      <c r="QZE11" s="113"/>
      <c r="QZF11" s="113"/>
      <c r="QZG11" s="113"/>
      <c r="QZH11" s="113"/>
      <c r="QZI11" s="113"/>
      <c r="QZJ11" s="113"/>
      <c r="QZK11" s="113"/>
      <c r="QZL11" s="113"/>
      <c r="QZM11" s="113"/>
      <c r="QZN11" s="113"/>
      <c r="QZO11" s="113"/>
      <c r="QZP11" s="113"/>
      <c r="QZQ11" s="113"/>
      <c r="QZR11" s="113"/>
      <c r="QZS11" s="113"/>
      <c r="QZT11" s="113"/>
      <c r="QZU11" s="113"/>
      <c r="QZV11" s="113"/>
      <c r="QZW11" s="113"/>
      <c r="QZX11" s="113"/>
      <c r="QZY11" s="113"/>
      <c r="QZZ11" s="113"/>
      <c r="RAA11" s="113"/>
      <c r="RAB11" s="113"/>
      <c r="RAC11" s="113"/>
      <c r="RAD11" s="113"/>
      <c r="RAE11" s="113"/>
      <c r="RAF11" s="113"/>
      <c r="RAG11" s="113"/>
      <c r="RAH11" s="113"/>
      <c r="RAI11" s="113"/>
      <c r="RAJ11" s="113"/>
      <c r="RAK11" s="113"/>
      <c r="RAL11" s="113"/>
      <c r="RAM11" s="113"/>
      <c r="RAN11" s="113"/>
      <c r="RAO11" s="113"/>
      <c r="RAP11" s="113"/>
      <c r="RAQ11" s="113"/>
      <c r="RAR11" s="113"/>
      <c r="RAS11" s="113"/>
      <c r="RAT11" s="113"/>
      <c r="RAU11" s="113"/>
      <c r="RAV11" s="113"/>
      <c r="RAW11" s="113"/>
      <c r="RAX11" s="113"/>
      <c r="RAY11" s="113"/>
      <c r="RAZ11" s="113"/>
      <c r="RBA11" s="113"/>
      <c r="RBB11" s="113"/>
      <c r="RBC11" s="113"/>
      <c r="RBD11" s="113"/>
      <c r="RBE11" s="113"/>
      <c r="RBF11" s="113"/>
      <c r="RBG11" s="113"/>
      <c r="RBH11" s="113"/>
      <c r="RBI11" s="113"/>
      <c r="RBJ11" s="113"/>
      <c r="RBK11" s="113"/>
      <c r="RBL11" s="113"/>
      <c r="RBM11" s="113"/>
      <c r="RBN11" s="113"/>
      <c r="RBO11" s="113"/>
      <c r="RBP11" s="113"/>
      <c r="RBQ11" s="113"/>
      <c r="RBR11" s="113"/>
      <c r="RBS11" s="113"/>
      <c r="RBT11" s="113"/>
      <c r="RBU11" s="113"/>
      <c r="RBV11" s="113"/>
      <c r="RBW11" s="113"/>
      <c r="RBX11" s="113"/>
      <c r="RBY11" s="113"/>
      <c r="RBZ11" s="113"/>
      <c r="RCA11" s="113"/>
      <c r="RCB11" s="113"/>
      <c r="RCC11" s="113"/>
      <c r="RCD11" s="113"/>
      <c r="RCE11" s="113"/>
      <c r="RCF11" s="113"/>
      <c r="RCG11" s="113"/>
      <c r="RCH11" s="113"/>
      <c r="RCI11" s="113"/>
      <c r="RCJ11" s="113"/>
      <c r="RCK11" s="113"/>
      <c r="RCL11" s="113"/>
      <c r="RCM11" s="113"/>
      <c r="RCN11" s="113"/>
      <c r="RCO11" s="113"/>
      <c r="RCP11" s="113"/>
      <c r="RCQ11" s="113"/>
      <c r="RCR11" s="113"/>
      <c r="RCS11" s="113"/>
      <c r="RCT11" s="113"/>
      <c r="RCU11" s="113"/>
      <c r="RCV11" s="113"/>
      <c r="RCW11" s="113"/>
      <c r="RCX11" s="113"/>
      <c r="RCY11" s="113"/>
      <c r="RCZ11" s="113"/>
      <c r="RDA11" s="113"/>
      <c r="RDB11" s="113"/>
      <c r="RDC11" s="113"/>
      <c r="RDD11" s="113"/>
      <c r="RDE11" s="113"/>
      <c r="RDF11" s="113"/>
      <c r="RDG11" s="113"/>
      <c r="RDH11" s="113"/>
      <c r="RDI11" s="113"/>
      <c r="RDJ11" s="113"/>
      <c r="RDK11" s="113"/>
      <c r="RDL11" s="113"/>
      <c r="RDM11" s="113"/>
      <c r="RDN11" s="113"/>
      <c r="RDO11" s="113"/>
      <c r="RDP11" s="113"/>
      <c r="RDQ11" s="113"/>
      <c r="RDR11" s="113"/>
      <c r="RDS11" s="113"/>
      <c r="RDT11" s="113"/>
      <c r="RDU11" s="113"/>
      <c r="RDV11" s="113"/>
      <c r="RDW11" s="113"/>
      <c r="RDX11" s="113"/>
      <c r="RDY11" s="113"/>
      <c r="RDZ11" s="113"/>
      <c r="REA11" s="113"/>
      <c r="REB11" s="113"/>
      <c r="REC11" s="113"/>
      <c r="RED11" s="113"/>
      <c r="REE11" s="113"/>
      <c r="REF11" s="113"/>
      <c r="REG11" s="113"/>
      <c r="REH11" s="113"/>
      <c r="REI11" s="113"/>
      <c r="REJ11" s="113"/>
      <c r="REK11" s="113"/>
      <c r="REL11" s="113"/>
      <c r="REM11" s="113"/>
      <c r="REN11" s="113"/>
      <c r="REO11" s="113"/>
      <c r="REP11" s="113"/>
      <c r="REQ11" s="113"/>
      <c r="RER11" s="113"/>
      <c r="RES11" s="113"/>
      <c r="RET11" s="113"/>
      <c r="REU11" s="113"/>
      <c r="REV11" s="113"/>
      <c r="REW11" s="113"/>
      <c r="REX11" s="113"/>
      <c r="REY11" s="113"/>
      <c r="REZ11" s="113"/>
      <c r="RFA11" s="113"/>
      <c r="RFB11" s="113"/>
      <c r="RFC11" s="113"/>
      <c r="RFD11" s="113"/>
      <c r="RFE11" s="113"/>
      <c r="RFF11" s="113"/>
      <c r="RFG11" s="113"/>
      <c r="RFH11" s="113"/>
      <c r="RFI11" s="113"/>
      <c r="RFJ11" s="113"/>
      <c r="RFK11" s="113"/>
      <c r="RFL11" s="113"/>
      <c r="RFM11" s="113"/>
      <c r="RFN11" s="113"/>
      <c r="RFO11" s="113"/>
      <c r="RFP11" s="113"/>
      <c r="RFQ11" s="113"/>
      <c r="RFR11" s="113"/>
      <c r="RFS11" s="113"/>
      <c r="RFT11" s="113"/>
      <c r="RFU11" s="113"/>
      <c r="RFV11" s="113"/>
      <c r="RFW11" s="113"/>
      <c r="RFX11" s="113"/>
      <c r="RFY11" s="113"/>
      <c r="RFZ11" s="113"/>
      <c r="RGA11" s="113"/>
      <c r="RGB11" s="113"/>
      <c r="RGC11" s="113"/>
      <c r="RGD11" s="113"/>
      <c r="RGE11" s="113"/>
      <c r="RGF11" s="113"/>
      <c r="RGG11" s="113"/>
      <c r="RGH11" s="113"/>
      <c r="RGI11" s="113"/>
      <c r="RGJ11" s="113"/>
      <c r="RGK11" s="113"/>
      <c r="RGL11" s="113"/>
      <c r="RGM11" s="113"/>
      <c r="RGN11" s="113"/>
      <c r="RGO11" s="113"/>
      <c r="RGP11" s="113"/>
      <c r="RGQ11" s="113"/>
      <c r="RGR11" s="113"/>
      <c r="RGS11" s="113"/>
      <c r="RGT11" s="113"/>
      <c r="RGU11" s="113"/>
      <c r="RGV11" s="113"/>
      <c r="RGW11" s="113"/>
      <c r="RGX11" s="113"/>
      <c r="RGY11" s="113"/>
      <c r="RGZ11" s="113"/>
      <c r="RHA11" s="113"/>
      <c r="RHB11" s="113"/>
      <c r="RHC11" s="113"/>
      <c r="RHD11" s="113"/>
      <c r="RHE11" s="113"/>
      <c r="RHF11" s="113"/>
      <c r="RHG11" s="113"/>
      <c r="RHH11" s="113"/>
      <c r="RHI11" s="113"/>
      <c r="RHJ11" s="113"/>
      <c r="RHK11" s="113"/>
      <c r="RHL11" s="113"/>
      <c r="RHM11" s="113"/>
      <c r="RHN11" s="113"/>
      <c r="RHO11" s="113"/>
      <c r="RHP11" s="113"/>
      <c r="RHQ11" s="113"/>
      <c r="RHR11" s="113"/>
      <c r="RHS11" s="113"/>
      <c r="RHT11" s="113"/>
      <c r="RHU11" s="113"/>
      <c r="RHV11" s="113"/>
      <c r="RHW11" s="113"/>
      <c r="RHX11" s="113"/>
      <c r="RHY11" s="113"/>
      <c r="RHZ11" s="113"/>
      <c r="RIA11" s="113"/>
      <c r="RIB11" s="113"/>
      <c r="RIC11" s="113"/>
      <c r="RID11" s="113"/>
      <c r="RIE11" s="113"/>
      <c r="RIF11" s="113"/>
      <c r="RIG11" s="113"/>
      <c r="RIH11" s="113"/>
      <c r="RII11" s="113"/>
      <c r="RIJ11" s="113"/>
      <c r="RIK11" s="113"/>
      <c r="RIL11" s="113"/>
      <c r="RIM11" s="113"/>
      <c r="RIN11" s="113"/>
      <c r="RIO11" s="113"/>
      <c r="RIP11" s="113"/>
      <c r="RIQ11" s="113"/>
      <c r="RIR11" s="113"/>
      <c r="RIS11" s="113"/>
      <c r="RIT11" s="113"/>
      <c r="RIU11" s="113"/>
      <c r="RIV11" s="113"/>
      <c r="RIW11" s="113"/>
      <c r="RIX11" s="113"/>
      <c r="RIY11" s="113"/>
      <c r="RIZ11" s="113"/>
      <c r="RJA11" s="113"/>
      <c r="RJB11" s="113"/>
      <c r="RJC11" s="113"/>
      <c r="RJD11" s="113"/>
      <c r="RJE11" s="113"/>
      <c r="RJF11" s="113"/>
      <c r="RJG11" s="113"/>
      <c r="RJH11" s="113"/>
      <c r="RJI11" s="113"/>
      <c r="RJJ11" s="113"/>
      <c r="RJK11" s="113"/>
      <c r="RJL11" s="113"/>
      <c r="RJM11" s="113"/>
      <c r="RJN11" s="113"/>
      <c r="RJO11" s="113"/>
      <c r="RJP11" s="113"/>
      <c r="RJQ11" s="113"/>
      <c r="RJR11" s="113"/>
      <c r="RJS11" s="113"/>
      <c r="RJT11" s="113"/>
      <c r="RJU11" s="113"/>
      <c r="RJV11" s="113"/>
      <c r="RJW11" s="113"/>
      <c r="RJX11" s="113"/>
      <c r="RJY11" s="113"/>
      <c r="RJZ11" s="113"/>
      <c r="RKA11" s="113"/>
      <c r="RKB11" s="113"/>
      <c r="RKC11" s="113"/>
      <c r="RKD11" s="113"/>
      <c r="RKE11" s="113"/>
      <c r="RKF11" s="113"/>
      <c r="RKG11" s="113"/>
      <c r="RKH11" s="113"/>
      <c r="RKI11" s="113"/>
      <c r="RKJ11" s="113"/>
      <c r="RKK11" s="113"/>
      <c r="RKL11" s="113"/>
      <c r="RKM11" s="113"/>
      <c r="RKN11" s="113"/>
      <c r="RKO11" s="113"/>
      <c r="RKP11" s="113"/>
      <c r="RKQ11" s="113"/>
      <c r="RKR11" s="113"/>
      <c r="RKS11" s="113"/>
      <c r="RKT11" s="113"/>
      <c r="RKU11" s="113"/>
      <c r="RKV11" s="113"/>
      <c r="RKW11" s="113"/>
      <c r="RKX11" s="113"/>
      <c r="RKY11" s="113"/>
      <c r="RKZ11" s="113"/>
      <c r="RLA11" s="113"/>
      <c r="RLB11" s="113"/>
      <c r="RLC11" s="113"/>
      <c r="RLD11" s="113"/>
      <c r="RLE11" s="113"/>
      <c r="RLF11" s="113"/>
      <c r="RLG11" s="113"/>
      <c r="RLH11" s="113"/>
      <c r="RLI11" s="113"/>
      <c r="RLJ11" s="113"/>
      <c r="RLK11" s="113"/>
      <c r="RLL11" s="113"/>
      <c r="RLM11" s="113"/>
      <c r="RLN11" s="113"/>
      <c r="RLO11" s="113"/>
      <c r="RLP11" s="113"/>
      <c r="RLQ11" s="113"/>
      <c r="RLR11" s="113"/>
      <c r="RLS11" s="113"/>
      <c r="RLT11" s="113"/>
      <c r="RLU11" s="113"/>
      <c r="RLV11" s="113"/>
      <c r="RLW11" s="113"/>
      <c r="RLX11" s="113"/>
      <c r="RLY11" s="113"/>
      <c r="RLZ11" s="113"/>
      <c r="RMA11" s="113"/>
      <c r="RMB11" s="113"/>
      <c r="RMC11" s="113"/>
      <c r="RMD11" s="113"/>
      <c r="RME11" s="113"/>
      <c r="RMF11" s="113"/>
      <c r="RMG11" s="113"/>
      <c r="RMH11" s="113"/>
      <c r="RMI11" s="113"/>
      <c r="RMJ11" s="113"/>
      <c r="RMK11" s="113"/>
      <c r="RML11" s="113"/>
      <c r="RMM11" s="113"/>
      <c r="RMN11" s="113"/>
      <c r="RMO11" s="113"/>
      <c r="RMP11" s="113"/>
      <c r="RMQ11" s="113"/>
      <c r="RMR11" s="113"/>
      <c r="RMS11" s="113"/>
      <c r="RMT11" s="113"/>
      <c r="RMU11" s="113"/>
      <c r="RMV11" s="113"/>
      <c r="RMW11" s="113"/>
      <c r="RMX11" s="113"/>
      <c r="RMY11" s="113"/>
      <c r="RMZ11" s="113"/>
      <c r="RNA11" s="113"/>
      <c r="RNB11" s="113"/>
      <c r="RNC11" s="113"/>
      <c r="RND11" s="113"/>
      <c r="RNE11" s="113"/>
      <c r="RNF11" s="113"/>
      <c r="RNG11" s="113"/>
      <c r="RNH11" s="113"/>
      <c r="RNI11" s="113"/>
      <c r="RNJ11" s="113"/>
      <c r="RNK11" s="113"/>
      <c r="RNL11" s="113"/>
      <c r="RNM11" s="113"/>
      <c r="RNN11" s="113"/>
      <c r="RNO11" s="113"/>
      <c r="RNP11" s="113"/>
      <c r="RNQ11" s="113"/>
      <c r="RNR11" s="113"/>
      <c r="RNS11" s="113"/>
      <c r="RNT11" s="113"/>
      <c r="RNU11" s="113"/>
      <c r="RNV11" s="113"/>
      <c r="RNW11" s="113"/>
      <c r="RNX11" s="113"/>
      <c r="RNY11" s="113"/>
      <c r="RNZ11" s="113"/>
      <c r="ROA11" s="113"/>
      <c r="ROB11" s="113"/>
      <c r="ROC11" s="113"/>
      <c r="ROD11" s="113"/>
      <c r="ROE11" s="113"/>
      <c r="ROF11" s="113"/>
      <c r="ROG11" s="113"/>
      <c r="ROH11" s="113"/>
      <c r="ROI11" s="113"/>
      <c r="ROJ11" s="113"/>
      <c r="ROK11" s="113"/>
      <c r="ROL11" s="113"/>
      <c r="ROM11" s="113"/>
      <c r="RON11" s="113"/>
      <c r="ROO11" s="113"/>
      <c r="ROP11" s="113"/>
      <c r="ROQ11" s="113"/>
      <c r="ROR11" s="113"/>
      <c r="ROS11" s="113"/>
      <c r="ROT11" s="113"/>
      <c r="ROU11" s="113"/>
      <c r="ROV11" s="113"/>
      <c r="ROW11" s="113"/>
      <c r="ROX11" s="113"/>
      <c r="ROY11" s="113"/>
      <c r="ROZ11" s="113"/>
      <c r="RPA11" s="113"/>
      <c r="RPB11" s="113"/>
      <c r="RPC11" s="113"/>
      <c r="RPD11" s="113"/>
      <c r="RPE11" s="113"/>
      <c r="RPF11" s="113"/>
      <c r="RPG11" s="113"/>
      <c r="RPH11" s="113"/>
      <c r="RPI11" s="113"/>
      <c r="RPJ11" s="113"/>
      <c r="RPK11" s="113"/>
      <c r="RPL11" s="113"/>
      <c r="RPM11" s="113"/>
      <c r="RPN11" s="113"/>
      <c r="RPO11" s="113"/>
      <c r="RPP11" s="113"/>
      <c r="RPQ11" s="113"/>
      <c r="RPR11" s="113"/>
      <c r="RPS11" s="113"/>
      <c r="RPT11" s="113"/>
      <c r="RPU11" s="113"/>
      <c r="RPV11" s="113"/>
      <c r="RPW11" s="113"/>
      <c r="RPX11" s="113"/>
      <c r="RPY11" s="113"/>
      <c r="RPZ11" s="113"/>
      <c r="RQA11" s="113"/>
      <c r="RQB11" s="113"/>
      <c r="RQC11" s="113"/>
      <c r="RQD11" s="113"/>
      <c r="RQE11" s="113"/>
      <c r="RQF11" s="113"/>
      <c r="RQG11" s="113"/>
      <c r="RQH11" s="113"/>
      <c r="RQI11" s="113"/>
      <c r="RQJ11" s="113"/>
      <c r="RQK11" s="113"/>
      <c r="RQL11" s="113"/>
      <c r="RQM11" s="113"/>
      <c r="RQN11" s="113"/>
      <c r="RQO11" s="113"/>
      <c r="RQP11" s="113"/>
      <c r="RQQ11" s="113"/>
      <c r="RQR11" s="113"/>
      <c r="RQS11" s="113"/>
      <c r="RQT11" s="113"/>
      <c r="RQU11" s="113"/>
      <c r="RQV11" s="113"/>
      <c r="RQW11" s="113"/>
      <c r="RQX11" s="113"/>
      <c r="RQY11" s="113"/>
      <c r="RQZ11" s="113"/>
      <c r="RRA11" s="113"/>
      <c r="RRB11" s="113"/>
      <c r="RRC11" s="113"/>
      <c r="RRD11" s="113"/>
      <c r="RRE11" s="113"/>
      <c r="RRF11" s="113"/>
      <c r="RRG11" s="113"/>
      <c r="RRH11" s="113"/>
      <c r="RRI11" s="113"/>
      <c r="RRJ11" s="113"/>
      <c r="RRK11" s="113"/>
      <c r="RRL11" s="113"/>
      <c r="RRM11" s="113"/>
      <c r="RRN11" s="113"/>
      <c r="RRO11" s="113"/>
      <c r="RRP11" s="113"/>
      <c r="RRQ11" s="113"/>
      <c r="RRR11" s="113"/>
      <c r="RRS11" s="113"/>
      <c r="RRT11" s="113"/>
      <c r="RRU11" s="113"/>
      <c r="RRV11" s="113"/>
      <c r="RRW11" s="113"/>
      <c r="RRX11" s="113"/>
      <c r="RRY11" s="113"/>
      <c r="RRZ11" s="113"/>
      <c r="RSA11" s="113"/>
      <c r="RSB11" s="113"/>
      <c r="RSC11" s="113"/>
      <c r="RSD11" s="113"/>
      <c r="RSE11" s="113"/>
      <c r="RSF11" s="113"/>
      <c r="RSG11" s="113"/>
      <c r="RSH11" s="113"/>
      <c r="RSI11" s="113"/>
      <c r="RSJ11" s="113"/>
      <c r="RSK11" s="113"/>
      <c r="RSL11" s="113"/>
      <c r="RSM11" s="113"/>
      <c r="RSN11" s="113"/>
      <c r="RSO11" s="113"/>
      <c r="RSP11" s="113"/>
      <c r="RSQ11" s="113"/>
      <c r="RSR11" s="113"/>
      <c r="RSS11" s="113"/>
      <c r="RST11" s="113"/>
      <c r="RSU11" s="113"/>
      <c r="RSV11" s="113"/>
      <c r="RSW11" s="113"/>
      <c r="RSX11" s="113"/>
      <c r="RSY11" s="113"/>
      <c r="RSZ11" s="113"/>
      <c r="RTA11" s="113"/>
      <c r="RTB11" s="113"/>
      <c r="RTC11" s="113"/>
      <c r="RTD11" s="113"/>
      <c r="RTE11" s="113"/>
      <c r="RTF11" s="113"/>
      <c r="RTG11" s="113"/>
      <c r="RTH11" s="113"/>
      <c r="RTI11" s="113"/>
      <c r="RTJ11" s="113"/>
      <c r="RTK11" s="113"/>
      <c r="RTL11" s="113"/>
      <c r="RTM11" s="113"/>
      <c r="RTN11" s="113"/>
      <c r="RTO11" s="113"/>
      <c r="RTP11" s="113"/>
      <c r="RTQ11" s="113"/>
      <c r="RTR11" s="113"/>
      <c r="RTS11" s="113"/>
      <c r="RTT11" s="113"/>
      <c r="RTU11" s="113"/>
      <c r="RTV11" s="113"/>
      <c r="RTW11" s="113"/>
      <c r="RTX11" s="113"/>
      <c r="RTY11" s="113"/>
      <c r="RTZ11" s="113"/>
      <c r="RUA11" s="113"/>
      <c r="RUB11" s="113"/>
      <c r="RUC11" s="113"/>
      <c r="RUD11" s="113"/>
      <c r="RUE11" s="113"/>
      <c r="RUF11" s="113"/>
      <c r="RUG11" s="113"/>
      <c r="RUH11" s="113"/>
      <c r="RUI11" s="113"/>
      <c r="RUJ11" s="113"/>
      <c r="RUK11" s="113"/>
      <c r="RUL11" s="113"/>
      <c r="RUM11" s="113"/>
      <c r="RUN11" s="113"/>
      <c r="RUO11" s="113"/>
      <c r="RUP11" s="113"/>
      <c r="RUQ11" s="113"/>
      <c r="RUR11" s="113"/>
      <c r="RUS11" s="113"/>
      <c r="RUT11" s="113"/>
      <c r="RUU11" s="113"/>
      <c r="RUV11" s="113"/>
      <c r="RUW11" s="113"/>
      <c r="RUX11" s="113"/>
      <c r="RUY11" s="113"/>
      <c r="RUZ11" s="113"/>
      <c r="RVA11" s="113"/>
      <c r="RVB11" s="113"/>
      <c r="RVC11" s="113"/>
      <c r="RVD11" s="113"/>
      <c r="RVE11" s="113"/>
      <c r="RVF11" s="113"/>
      <c r="RVG11" s="113"/>
      <c r="RVH11" s="113"/>
      <c r="RVI11" s="113"/>
      <c r="RVJ11" s="113"/>
      <c r="RVK11" s="113"/>
      <c r="RVL11" s="113"/>
      <c r="RVM11" s="113"/>
      <c r="RVN11" s="113"/>
      <c r="RVO11" s="113"/>
      <c r="RVP11" s="113"/>
      <c r="RVQ11" s="113"/>
      <c r="RVR11" s="113"/>
      <c r="RVS11" s="113"/>
      <c r="RVT11" s="113"/>
      <c r="RVU11" s="113"/>
      <c r="RVV11" s="113"/>
      <c r="RVW11" s="113"/>
      <c r="RVX11" s="113"/>
      <c r="RVY11" s="113"/>
      <c r="RVZ11" s="113"/>
      <c r="RWA11" s="113"/>
      <c r="RWB11" s="113"/>
      <c r="RWC11" s="113"/>
      <c r="RWD11" s="113"/>
      <c r="RWE11" s="113"/>
      <c r="RWF11" s="113"/>
      <c r="RWG11" s="113"/>
      <c r="RWH11" s="113"/>
      <c r="RWI11" s="113"/>
      <c r="RWJ11" s="113"/>
      <c r="RWK11" s="113"/>
      <c r="RWL11" s="113"/>
      <c r="RWM11" s="113"/>
      <c r="RWN11" s="113"/>
      <c r="RWO11" s="113"/>
      <c r="RWP11" s="113"/>
      <c r="RWQ11" s="113"/>
      <c r="RWR11" s="113"/>
      <c r="RWS11" s="113"/>
      <c r="RWT11" s="113"/>
      <c r="RWU11" s="113"/>
      <c r="RWV11" s="113"/>
      <c r="RWW11" s="113"/>
      <c r="RWX11" s="113"/>
      <c r="RWY11" s="113"/>
      <c r="RWZ11" s="113"/>
      <c r="RXA11" s="113"/>
      <c r="RXB11" s="113"/>
      <c r="RXC11" s="113"/>
      <c r="RXD11" s="113"/>
      <c r="RXE11" s="113"/>
      <c r="RXF11" s="113"/>
      <c r="RXG11" s="113"/>
      <c r="RXH11" s="113"/>
      <c r="RXI11" s="113"/>
      <c r="RXJ11" s="113"/>
      <c r="RXK11" s="113"/>
      <c r="RXL11" s="113"/>
      <c r="RXM11" s="113"/>
      <c r="RXN11" s="113"/>
      <c r="RXO11" s="113"/>
      <c r="RXP11" s="113"/>
      <c r="RXQ11" s="113"/>
      <c r="RXR11" s="113"/>
      <c r="RXS11" s="113"/>
      <c r="RXT11" s="113"/>
      <c r="RXU11" s="113"/>
      <c r="RXV11" s="113"/>
      <c r="RXW11" s="113"/>
      <c r="RXX11" s="113"/>
      <c r="RXY11" s="113"/>
      <c r="RXZ11" s="113"/>
      <c r="RYA11" s="113"/>
      <c r="RYB11" s="113"/>
      <c r="RYC11" s="113"/>
      <c r="RYD11" s="113"/>
      <c r="RYE11" s="113"/>
      <c r="RYF11" s="113"/>
      <c r="RYG11" s="113"/>
      <c r="RYH11" s="113"/>
      <c r="RYI11" s="113"/>
      <c r="RYJ11" s="113"/>
      <c r="RYK11" s="113"/>
      <c r="RYL11" s="113"/>
      <c r="RYM11" s="113"/>
      <c r="RYN11" s="113"/>
      <c r="RYO11" s="113"/>
      <c r="RYP11" s="113"/>
      <c r="RYQ11" s="113"/>
      <c r="RYR11" s="113"/>
      <c r="RYS11" s="113"/>
      <c r="RYT11" s="113"/>
      <c r="RYU11" s="113"/>
      <c r="RYV11" s="113"/>
      <c r="RYW11" s="113"/>
      <c r="RYX11" s="113"/>
      <c r="RYY11" s="113"/>
      <c r="RYZ11" s="113"/>
      <c r="RZA11" s="113"/>
      <c r="RZB11" s="113"/>
      <c r="RZC11" s="113"/>
      <c r="RZD11" s="113"/>
      <c r="RZE11" s="113"/>
      <c r="RZF11" s="113"/>
      <c r="RZG11" s="113"/>
      <c r="RZH11" s="113"/>
      <c r="RZI11" s="113"/>
      <c r="RZJ11" s="113"/>
      <c r="RZK11" s="113"/>
      <c r="RZL11" s="113"/>
      <c r="RZM11" s="113"/>
      <c r="RZN11" s="113"/>
      <c r="RZO11" s="113"/>
      <c r="RZP11" s="113"/>
      <c r="RZQ11" s="113"/>
      <c r="RZR11" s="113"/>
      <c r="RZS11" s="113"/>
      <c r="RZT11" s="113"/>
      <c r="RZU11" s="113"/>
      <c r="RZV11" s="113"/>
      <c r="RZW11" s="113"/>
      <c r="RZX11" s="113"/>
      <c r="RZY11" s="113"/>
      <c r="RZZ11" s="113"/>
      <c r="SAA11" s="113"/>
      <c r="SAB11" s="113"/>
      <c r="SAC11" s="113"/>
      <c r="SAD11" s="113"/>
      <c r="SAE11" s="113"/>
      <c r="SAF11" s="113"/>
      <c r="SAG11" s="113"/>
      <c r="SAH11" s="113"/>
      <c r="SAI11" s="113"/>
      <c r="SAJ11" s="113"/>
      <c r="SAK11" s="113"/>
      <c r="SAL11" s="113"/>
      <c r="SAM11" s="113"/>
      <c r="SAN11" s="113"/>
      <c r="SAO11" s="113"/>
      <c r="SAP11" s="113"/>
      <c r="SAQ11" s="113"/>
      <c r="SAR11" s="113"/>
      <c r="SAS11" s="113"/>
      <c r="SAT11" s="113"/>
      <c r="SAU11" s="113"/>
      <c r="SAV11" s="113"/>
      <c r="SAW11" s="113"/>
      <c r="SAX11" s="113"/>
      <c r="SAY11" s="113"/>
      <c r="SAZ11" s="113"/>
      <c r="SBA11" s="113"/>
      <c r="SBB11" s="113"/>
      <c r="SBC11" s="113"/>
      <c r="SBD11" s="113"/>
      <c r="SBE11" s="113"/>
      <c r="SBF11" s="113"/>
      <c r="SBG11" s="113"/>
      <c r="SBH11" s="113"/>
      <c r="SBI11" s="113"/>
      <c r="SBJ11" s="113"/>
      <c r="SBK11" s="113"/>
      <c r="SBL11" s="113"/>
      <c r="SBM11" s="113"/>
      <c r="SBN11" s="113"/>
      <c r="SBO11" s="113"/>
      <c r="SBP11" s="113"/>
      <c r="SBQ11" s="113"/>
      <c r="SBR11" s="113"/>
      <c r="SBS11" s="113"/>
      <c r="SBT11" s="113"/>
      <c r="SBU11" s="113"/>
      <c r="SBV11" s="113"/>
      <c r="SBW11" s="113"/>
      <c r="SBX11" s="113"/>
      <c r="SBY11" s="113"/>
      <c r="SBZ11" s="113"/>
      <c r="SCA11" s="113"/>
      <c r="SCB11" s="113"/>
      <c r="SCC11" s="113"/>
      <c r="SCD11" s="113"/>
      <c r="SCE11" s="113"/>
      <c r="SCF11" s="113"/>
      <c r="SCG11" s="113"/>
      <c r="SCH11" s="113"/>
      <c r="SCI11" s="113"/>
      <c r="SCJ11" s="113"/>
      <c r="SCK11" s="113"/>
      <c r="SCL11" s="113"/>
      <c r="SCM11" s="113"/>
      <c r="SCN11" s="113"/>
      <c r="SCO11" s="113"/>
      <c r="SCP11" s="113"/>
      <c r="SCQ11" s="113"/>
      <c r="SCR11" s="113"/>
      <c r="SCS11" s="113"/>
      <c r="SCT11" s="113"/>
      <c r="SCU11" s="113"/>
      <c r="SCV11" s="113"/>
      <c r="SCW11" s="113"/>
      <c r="SCX11" s="113"/>
      <c r="SCY11" s="113"/>
      <c r="SCZ11" s="113"/>
      <c r="SDA11" s="113"/>
      <c r="SDB11" s="113"/>
      <c r="SDC11" s="113"/>
      <c r="SDD11" s="113"/>
      <c r="SDE11" s="113"/>
      <c r="SDF11" s="113"/>
      <c r="SDG11" s="113"/>
      <c r="SDH11" s="113"/>
      <c r="SDI11" s="113"/>
      <c r="SDJ11" s="113"/>
      <c r="SDK11" s="113"/>
      <c r="SDL11" s="113"/>
      <c r="SDM11" s="113"/>
      <c r="SDN11" s="113"/>
      <c r="SDO11" s="113"/>
      <c r="SDP11" s="113"/>
      <c r="SDQ11" s="113"/>
      <c r="SDR11" s="113"/>
      <c r="SDS11" s="113"/>
      <c r="SDT11" s="113"/>
      <c r="SDU11" s="113"/>
      <c r="SDV11" s="113"/>
      <c r="SDW11" s="113"/>
      <c r="SDX11" s="113"/>
      <c r="SDY11" s="113"/>
      <c r="SDZ11" s="113"/>
      <c r="SEA11" s="113"/>
      <c r="SEB11" s="113"/>
      <c r="SEC11" s="113"/>
      <c r="SED11" s="113"/>
      <c r="SEE11" s="113"/>
      <c r="SEF11" s="113"/>
      <c r="SEG11" s="113"/>
      <c r="SEH11" s="113"/>
      <c r="SEI11" s="113"/>
      <c r="SEJ11" s="113"/>
      <c r="SEK11" s="113"/>
      <c r="SEL11" s="113"/>
      <c r="SEM11" s="113"/>
      <c r="SEN11" s="113"/>
      <c r="SEO11" s="113"/>
      <c r="SEP11" s="113"/>
      <c r="SEQ11" s="113"/>
      <c r="SER11" s="113"/>
      <c r="SES11" s="113"/>
      <c r="SET11" s="113"/>
      <c r="SEU11" s="113"/>
      <c r="SEV11" s="113"/>
      <c r="SEW11" s="113"/>
      <c r="SEX11" s="113"/>
      <c r="SEY11" s="113"/>
      <c r="SEZ11" s="113"/>
      <c r="SFA11" s="113"/>
      <c r="SFB11" s="113"/>
      <c r="SFC11" s="113"/>
      <c r="SFD11" s="113"/>
      <c r="SFE11" s="113"/>
      <c r="SFF11" s="113"/>
      <c r="SFG11" s="113"/>
      <c r="SFH11" s="113"/>
      <c r="SFI11" s="113"/>
      <c r="SFJ11" s="113"/>
      <c r="SFK11" s="113"/>
      <c r="SFL11" s="113"/>
      <c r="SFM11" s="113"/>
      <c r="SFN11" s="113"/>
      <c r="SFO11" s="113"/>
      <c r="SFP11" s="113"/>
      <c r="SFQ11" s="113"/>
      <c r="SFR11" s="113"/>
      <c r="SFS11" s="113"/>
      <c r="SFT11" s="113"/>
      <c r="SFU11" s="113"/>
      <c r="SFV11" s="113"/>
      <c r="SFW11" s="113"/>
      <c r="SFX11" s="113"/>
      <c r="SFY11" s="113"/>
      <c r="SFZ11" s="113"/>
      <c r="SGA11" s="113"/>
      <c r="SGB11" s="113"/>
      <c r="SGC11" s="113"/>
      <c r="SGD11" s="113"/>
      <c r="SGE11" s="113"/>
      <c r="SGF11" s="113"/>
      <c r="SGG11" s="113"/>
      <c r="SGH11" s="113"/>
      <c r="SGI11" s="113"/>
      <c r="SGJ11" s="113"/>
      <c r="SGK11" s="113"/>
      <c r="SGL11" s="113"/>
      <c r="SGM11" s="113"/>
      <c r="SGN11" s="113"/>
      <c r="SGO11" s="113"/>
      <c r="SGP11" s="113"/>
      <c r="SGQ11" s="113"/>
      <c r="SGR11" s="113"/>
      <c r="SGS11" s="113"/>
      <c r="SGT11" s="113"/>
      <c r="SGU11" s="113"/>
      <c r="SGV11" s="113"/>
      <c r="SGW11" s="113"/>
      <c r="SGX11" s="113"/>
      <c r="SGY11" s="113"/>
      <c r="SGZ11" s="113"/>
      <c r="SHA11" s="113"/>
      <c r="SHB11" s="113"/>
      <c r="SHC11" s="113"/>
      <c r="SHD11" s="113"/>
      <c r="SHE11" s="113"/>
      <c r="SHF11" s="113"/>
      <c r="SHG11" s="113"/>
      <c r="SHH11" s="113"/>
      <c r="SHI11" s="113"/>
      <c r="SHJ11" s="113"/>
      <c r="SHK11" s="113"/>
      <c r="SHL11" s="113"/>
      <c r="SHM11" s="113"/>
      <c r="SHN11" s="113"/>
      <c r="SHO11" s="113"/>
      <c r="SHP11" s="113"/>
      <c r="SHQ11" s="113"/>
      <c r="SHR11" s="113"/>
      <c r="SHS11" s="113"/>
      <c r="SHT11" s="113"/>
      <c r="SHU11" s="113"/>
      <c r="SHV11" s="113"/>
      <c r="SHW11" s="113"/>
      <c r="SHX11" s="113"/>
      <c r="SHY11" s="113"/>
      <c r="SHZ11" s="113"/>
      <c r="SIA11" s="113"/>
      <c r="SIB11" s="113"/>
      <c r="SIC11" s="113"/>
      <c r="SID11" s="113"/>
      <c r="SIE11" s="113"/>
      <c r="SIF11" s="113"/>
      <c r="SIG11" s="113"/>
      <c r="SIH11" s="113"/>
      <c r="SII11" s="113"/>
      <c r="SIJ11" s="113"/>
      <c r="SIK11" s="113"/>
      <c r="SIL11" s="113"/>
      <c r="SIM11" s="113"/>
      <c r="SIN11" s="113"/>
      <c r="SIO11" s="113"/>
      <c r="SIP11" s="113"/>
      <c r="SIQ11" s="113"/>
      <c r="SIR11" s="113"/>
      <c r="SIS11" s="113"/>
      <c r="SIT11" s="113"/>
      <c r="SIU11" s="113"/>
      <c r="SIV11" s="113"/>
      <c r="SIW11" s="113"/>
      <c r="SIX11" s="113"/>
      <c r="SIY11" s="113"/>
      <c r="SIZ11" s="113"/>
      <c r="SJA11" s="113"/>
      <c r="SJB11" s="113"/>
      <c r="SJC11" s="113"/>
      <c r="SJD11" s="113"/>
      <c r="SJE11" s="113"/>
      <c r="SJF11" s="113"/>
      <c r="SJG11" s="113"/>
      <c r="SJH11" s="113"/>
      <c r="SJI11" s="113"/>
      <c r="SJJ11" s="113"/>
      <c r="SJK11" s="113"/>
      <c r="SJL11" s="113"/>
      <c r="SJM11" s="113"/>
      <c r="SJN11" s="113"/>
      <c r="SJO11" s="113"/>
      <c r="SJP11" s="113"/>
      <c r="SJQ11" s="113"/>
      <c r="SJR11" s="113"/>
      <c r="SJS11" s="113"/>
      <c r="SJT11" s="113"/>
      <c r="SJU11" s="113"/>
      <c r="SJV11" s="113"/>
      <c r="SJW11" s="113"/>
      <c r="SJX11" s="113"/>
      <c r="SJY11" s="113"/>
      <c r="SJZ11" s="113"/>
      <c r="SKA11" s="113"/>
      <c r="SKB11" s="113"/>
      <c r="SKC11" s="113"/>
      <c r="SKD11" s="113"/>
      <c r="SKE11" s="113"/>
      <c r="SKF11" s="113"/>
      <c r="SKG11" s="113"/>
      <c r="SKH11" s="113"/>
      <c r="SKI11" s="113"/>
      <c r="SKJ11" s="113"/>
      <c r="SKK11" s="113"/>
      <c r="SKL11" s="113"/>
      <c r="SKM11" s="113"/>
      <c r="SKN11" s="113"/>
      <c r="SKO11" s="113"/>
      <c r="SKP11" s="113"/>
      <c r="SKQ11" s="113"/>
      <c r="SKR11" s="113"/>
      <c r="SKS11" s="113"/>
      <c r="SKT11" s="113"/>
      <c r="SKU11" s="113"/>
      <c r="SKV11" s="113"/>
      <c r="SKW11" s="113"/>
      <c r="SKX11" s="113"/>
      <c r="SKY11" s="113"/>
      <c r="SKZ11" s="113"/>
      <c r="SLA11" s="113"/>
      <c r="SLB11" s="113"/>
      <c r="SLC11" s="113"/>
      <c r="SLD11" s="113"/>
      <c r="SLE11" s="113"/>
      <c r="SLF11" s="113"/>
      <c r="SLG11" s="113"/>
      <c r="SLH11" s="113"/>
      <c r="SLI11" s="113"/>
      <c r="SLJ11" s="113"/>
      <c r="SLK11" s="113"/>
      <c r="SLL11" s="113"/>
      <c r="SLM11" s="113"/>
      <c r="SLN11" s="113"/>
      <c r="SLO11" s="113"/>
      <c r="SLP11" s="113"/>
      <c r="SLQ11" s="113"/>
      <c r="SLR11" s="113"/>
      <c r="SLS11" s="113"/>
      <c r="SLT11" s="113"/>
      <c r="SLU11" s="113"/>
      <c r="SLV11" s="113"/>
      <c r="SLW11" s="113"/>
      <c r="SLX11" s="113"/>
      <c r="SLY11" s="113"/>
      <c r="SLZ11" s="113"/>
      <c r="SMA11" s="113"/>
      <c r="SMB11" s="113"/>
      <c r="SMC11" s="113"/>
      <c r="SMD11" s="113"/>
      <c r="SME11" s="113"/>
      <c r="SMF11" s="113"/>
      <c r="SMG11" s="113"/>
      <c r="SMH11" s="113"/>
      <c r="SMI11" s="113"/>
      <c r="SMJ11" s="113"/>
      <c r="SMK11" s="113"/>
      <c r="SML11" s="113"/>
      <c r="SMM11" s="113"/>
      <c r="SMN11" s="113"/>
      <c r="SMO11" s="113"/>
      <c r="SMP11" s="113"/>
      <c r="SMQ11" s="113"/>
      <c r="SMR11" s="113"/>
      <c r="SMS11" s="113"/>
      <c r="SMT11" s="113"/>
      <c r="SMU11" s="113"/>
      <c r="SMV11" s="113"/>
      <c r="SMW11" s="113"/>
      <c r="SMX11" s="113"/>
      <c r="SMY11" s="113"/>
      <c r="SMZ11" s="113"/>
      <c r="SNA11" s="113"/>
      <c r="SNB11" s="113"/>
      <c r="SNC11" s="113"/>
      <c r="SND11" s="113"/>
      <c r="SNE11" s="113"/>
      <c r="SNF11" s="113"/>
      <c r="SNG11" s="113"/>
      <c r="SNH11" s="113"/>
      <c r="SNI11" s="113"/>
      <c r="SNJ11" s="113"/>
      <c r="SNK11" s="113"/>
      <c r="SNL11" s="113"/>
      <c r="SNM11" s="113"/>
      <c r="SNN11" s="113"/>
      <c r="SNO11" s="113"/>
      <c r="SNP11" s="113"/>
      <c r="SNQ11" s="113"/>
      <c r="SNR11" s="113"/>
      <c r="SNS11" s="113"/>
      <c r="SNT11" s="113"/>
      <c r="SNU11" s="113"/>
      <c r="SNV11" s="113"/>
      <c r="SNW11" s="113"/>
      <c r="SNX11" s="113"/>
      <c r="SNY11" s="113"/>
      <c r="SNZ11" s="113"/>
      <c r="SOA11" s="113"/>
      <c r="SOB11" s="113"/>
      <c r="SOC11" s="113"/>
      <c r="SOD11" s="113"/>
      <c r="SOE11" s="113"/>
      <c r="SOF11" s="113"/>
      <c r="SOG11" s="113"/>
      <c r="SOH11" s="113"/>
      <c r="SOI11" s="113"/>
      <c r="SOJ11" s="113"/>
      <c r="SOK11" s="113"/>
      <c r="SOL11" s="113"/>
      <c r="SOM11" s="113"/>
      <c r="SON11" s="113"/>
      <c r="SOO11" s="113"/>
      <c r="SOP11" s="113"/>
      <c r="SOQ11" s="113"/>
      <c r="SOR11" s="113"/>
      <c r="SOS11" s="113"/>
      <c r="SOT11" s="113"/>
      <c r="SOU11" s="113"/>
      <c r="SOV11" s="113"/>
      <c r="SOW11" s="113"/>
      <c r="SOX11" s="113"/>
      <c r="SOY11" s="113"/>
      <c r="SOZ11" s="113"/>
      <c r="SPA11" s="113"/>
      <c r="SPB11" s="113"/>
      <c r="SPC11" s="113"/>
      <c r="SPD11" s="113"/>
      <c r="SPE11" s="113"/>
      <c r="SPF11" s="113"/>
      <c r="SPG11" s="113"/>
      <c r="SPH11" s="113"/>
      <c r="SPI11" s="113"/>
      <c r="SPJ11" s="113"/>
      <c r="SPK11" s="113"/>
      <c r="SPL11" s="113"/>
      <c r="SPM11" s="113"/>
      <c r="SPN11" s="113"/>
      <c r="SPO11" s="113"/>
      <c r="SPP11" s="113"/>
      <c r="SPQ11" s="113"/>
      <c r="SPR11" s="113"/>
      <c r="SPS11" s="113"/>
      <c r="SPT11" s="113"/>
      <c r="SPU11" s="113"/>
      <c r="SPV11" s="113"/>
      <c r="SPW11" s="113"/>
      <c r="SPX11" s="113"/>
      <c r="SPY11" s="113"/>
      <c r="SPZ11" s="113"/>
      <c r="SQA11" s="113"/>
      <c r="SQB11" s="113"/>
      <c r="SQC11" s="113"/>
      <c r="SQD11" s="113"/>
      <c r="SQE11" s="113"/>
      <c r="SQF11" s="113"/>
      <c r="SQG11" s="113"/>
      <c r="SQH11" s="113"/>
      <c r="SQI11" s="113"/>
      <c r="SQJ11" s="113"/>
      <c r="SQK11" s="113"/>
      <c r="SQL11" s="113"/>
      <c r="SQM11" s="113"/>
      <c r="SQN11" s="113"/>
      <c r="SQO11" s="113"/>
      <c r="SQP11" s="113"/>
      <c r="SQQ11" s="113"/>
      <c r="SQR11" s="113"/>
      <c r="SQS11" s="113"/>
      <c r="SQT11" s="113"/>
      <c r="SQU11" s="113"/>
      <c r="SQV11" s="113"/>
      <c r="SQW11" s="113"/>
      <c r="SQX11" s="113"/>
      <c r="SQY11" s="113"/>
      <c r="SQZ11" s="113"/>
      <c r="SRA11" s="113"/>
      <c r="SRB11" s="113"/>
      <c r="SRC11" s="113"/>
      <c r="SRD11" s="113"/>
      <c r="SRE11" s="113"/>
      <c r="SRF11" s="113"/>
      <c r="SRG11" s="113"/>
      <c r="SRH11" s="113"/>
      <c r="SRI11" s="113"/>
      <c r="SRJ11" s="113"/>
      <c r="SRK11" s="113"/>
      <c r="SRL11" s="113"/>
      <c r="SRM11" s="113"/>
      <c r="SRN11" s="113"/>
      <c r="SRO11" s="113"/>
      <c r="SRP11" s="113"/>
      <c r="SRQ11" s="113"/>
      <c r="SRR11" s="113"/>
      <c r="SRS11" s="113"/>
      <c r="SRT11" s="113"/>
      <c r="SRU11" s="113"/>
      <c r="SRV11" s="113"/>
      <c r="SRW11" s="113"/>
      <c r="SRX11" s="113"/>
      <c r="SRY11" s="113"/>
      <c r="SRZ11" s="113"/>
      <c r="SSA11" s="113"/>
      <c r="SSB11" s="113"/>
      <c r="SSC11" s="113"/>
      <c r="SSD11" s="113"/>
      <c r="SSE11" s="113"/>
      <c r="SSF11" s="113"/>
      <c r="SSG11" s="113"/>
      <c r="SSH11" s="113"/>
      <c r="SSI11" s="113"/>
      <c r="SSJ11" s="113"/>
      <c r="SSK11" s="113"/>
      <c r="SSL11" s="113"/>
      <c r="SSM11" s="113"/>
      <c r="SSN11" s="113"/>
      <c r="SSO11" s="113"/>
      <c r="SSP11" s="113"/>
      <c r="SSQ11" s="113"/>
      <c r="SSR11" s="113"/>
      <c r="SSS11" s="113"/>
      <c r="SST11" s="113"/>
      <c r="SSU11" s="113"/>
      <c r="SSV11" s="113"/>
      <c r="SSW11" s="113"/>
      <c r="SSX11" s="113"/>
      <c r="SSY11" s="113"/>
      <c r="SSZ11" s="113"/>
      <c r="STA11" s="113"/>
      <c r="STB11" s="113"/>
      <c r="STC11" s="113"/>
      <c r="STD11" s="113"/>
      <c r="STE11" s="113"/>
      <c r="STF11" s="113"/>
      <c r="STG11" s="113"/>
      <c r="STH11" s="113"/>
      <c r="STI11" s="113"/>
      <c r="STJ11" s="113"/>
      <c r="STK11" s="113"/>
      <c r="STL11" s="113"/>
      <c r="STM11" s="113"/>
      <c r="STN11" s="113"/>
      <c r="STO11" s="113"/>
      <c r="STP11" s="113"/>
      <c r="STQ11" s="113"/>
      <c r="STR11" s="113"/>
      <c r="STS11" s="113"/>
      <c r="STT11" s="113"/>
      <c r="STU11" s="113"/>
      <c r="STV11" s="113"/>
      <c r="STW11" s="113"/>
      <c r="STX11" s="113"/>
      <c r="STY11" s="113"/>
      <c r="STZ11" s="113"/>
      <c r="SUA11" s="113"/>
      <c r="SUB11" s="113"/>
      <c r="SUC11" s="113"/>
      <c r="SUD11" s="113"/>
      <c r="SUE11" s="113"/>
      <c r="SUF11" s="113"/>
      <c r="SUG11" s="113"/>
      <c r="SUH11" s="113"/>
      <c r="SUI11" s="113"/>
      <c r="SUJ11" s="113"/>
      <c r="SUK11" s="113"/>
      <c r="SUL11" s="113"/>
      <c r="SUM11" s="113"/>
      <c r="SUN11" s="113"/>
      <c r="SUO11" s="113"/>
      <c r="SUP11" s="113"/>
      <c r="SUQ11" s="113"/>
      <c r="SUR11" s="113"/>
      <c r="SUS11" s="113"/>
      <c r="SUT11" s="113"/>
      <c r="SUU11" s="113"/>
      <c r="SUV11" s="113"/>
      <c r="SUW11" s="113"/>
      <c r="SUX11" s="113"/>
      <c r="SUY11" s="113"/>
      <c r="SUZ11" s="113"/>
      <c r="SVA11" s="113"/>
      <c r="SVB11" s="113"/>
      <c r="SVC11" s="113"/>
      <c r="SVD11" s="113"/>
      <c r="SVE11" s="113"/>
      <c r="SVF11" s="113"/>
      <c r="SVG11" s="113"/>
      <c r="SVH11" s="113"/>
      <c r="SVI11" s="113"/>
      <c r="SVJ11" s="113"/>
      <c r="SVK11" s="113"/>
      <c r="SVL11" s="113"/>
      <c r="SVM11" s="113"/>
      <c r="SVN11" s="113"/>
      <c r="SVO11" s="113"/>
      <c r="SVP11" s="113"/>
      <c r="SVQ11" s="113"/>
      <c r="SVR11" s="113"/>
      <c r="SVS11" s="113"/>
      <c r="SVT11" s="113"/>
      <c r="SVU11" s="113"/>
      <c r="SVV11" s="113"/>
      <c r="SVW11" s="113"/>
      <c r="SVX11" s="113"/>
      <c r="SVY11" s="113"/>
      <c r="SVZ11" s="113"/>
      <c r="SWA11" s="113"/>
      <c r="SWB11" s="113"/>
      <c r="SWC11" s="113"/>
      <c r="SWD11" s="113"/>
      <c r="SWE11" s="113"/>
      <c r="SWF11" s="113"/>
      <c r="SWG11" s="113"/>
      <c r="SWH11" s="113"/>
      <c r="SWI11" s="113"/>
      <c r="SWJ11" s="113"/>
      <c r="SWK11" s="113"/>
      <c r="SWL11" s="113"/>
      <c r="SWM11" s="113"/>
      <c r="SWN11" s="113"/>
      <c r="SWO11" s="113"/>
      <c r="SWP11" s="113"/>
      <c r="SWQ11" s="113"/>
      <c r="SWR11" s="113"/>
      <c r="SWS11" s="113"/>
      <c r="SWT11" s="113"/>
      <c r="SWU11" s="113"/>
      <c r="SWV11" s="113"/>
      <c r="SWW11" s="113"/>
      <c r="SWX11" s="113"/>
      <c r="SWY11" s="113"/>
      <c r="SWZ11" s="113"/>
      <c r="SXA11" s="113"/>
      <c r="SXB11" s="113"/>
      <c r="SXC11" s="113"/>
      <c r="SXD11" s="113"/>
      <c r="SXE11" s="113"/>
      <c r="SXF11" s="113"/>
      <c r="SXG11" s="113"/>
      <c r="SXH11" s="113"/>
      <c r="SXI11" s="113"/>
      <c r="SXJ11" s="113"/>
      <c r="SXK11" s="113"/>
      <c r="SXL11" s="113"/>
      <c r="SXM11" s="113"/>
      <c r="SXN11" s="113"/>
      <c r="SXO11" s="113"/>
      <c r="SXP11" s="113"/>
      <c r="SXQ11" s="113"/>
      <c r="SXR11" s="113"/>
      <c r="SXS11" s="113"/>
      <c r="SXT11" s="113"/>
      <c r="SXU11" s="113"/>
      <c r="SXV11" s="113"/>
      <c r="SXW11" s="113"/>
      <c r="SXX11" s="113"/>
      <c r="SXY11" s="113"/>
      <c r="SXZ11" s="113"/>
      <c r="SYA11" s="113"/>
      <c r="SYB11" s="113"/>
      <c r="SYC11" s="113"/>
      <c r="SYD11" s="113"/>
      <c r="SYE11" s="113"/>
      <c r="SYF11" s="113"/>
      <c r="SYG11" s="113"/>
      <c r="SYH11" s="113"/>
      <c r="SYI11" s="113"/>
      <c r="SYJ11" s="113"/>
      <c r="SYK11" s="113"/>
      <c r="SYL11" s="113"/>
      <c r="SYM11" s="113"/>
      <c r="SYN11" s="113"/>
      <c r="SYO11" s="113"/>
      <c r="SYP11" s="113"/>
      <c r="SYQ11" s="113"/>
      <c r="SYR11" s="113"/>
      <c r="SYS11" s="113"/>
      <c r="SYT11" s="113"/>
      <c r="SYU11" s="113"/>
      <c r="SYV11" s="113"/>
      <c r="SYW11" s="113"/>
      <c r="SYX11" s="113"/>
      <c r="SYY11" s="113"/>
      <c r="SYZ11" s="113"/>
      <c r="SZA11" s="113"/>
      <c r="SZB11" s="113"/>
      <c r="SZC11" s="113"/>
      <c r="SZD11" s="113"/>
      <c r="SZE11" s="113"/>
      <c r="SZF11" s="113"/>
      <c r="SZG11" s="113"/>
      <c r="SZH11" s="113"/>
      <c r="SZI11" s="113"/>
      <c r="SZJ11" s="113"/>
      <c r="SZK11" s="113"/>
      <c r="SZL11" s="113"/>
      <c r="SZM11" s="113"/>
      <c r="SZN11" s="113"/>
      <c r="SZO11" s="113"/>
      <c r="SZP11" s="113"/>
      <c r="SZQ11" s="113"/>
      <c r="SZR11" s="113"/>
      <c r="SZS11" s="113"/>
      <c r="SZT11" s="113"/>
      <c r="SZU11" s="113"/>
      <c r="SZV11" s="113"/>
      <c r="SZW11" s="113"/>
      <c r="SZX11" s="113"/>
      <c r="SZY11" s="113"/>
      <c r="SZZ11" s="113"/>
      <c r="TAA11" s="113"/>
      <c r="TAB11" s="113"/>
      <c r="TAC11" s="113"/>
      <c r="TAD11" s="113"/>
      <c r="TAE11" s="113"/>
      <c r="TAF11" s="113"/>
      <c r="TAG11" s="113"/>
      <c r="TAH11" s="113"/>
      <c r="TAI11" s="113"/>
      <c r="TAJ11" s="113"/>
      <c r="TAK11" s="113"/>
      <c r="TAL11" s="113"/>
      <c r="TAM11" s="113"/>
      <c r="TAN11" s="113"/>
      <c r="TAO11" s="113"/>
      <c r="TAP11" s="113"/>
      <c r="TAQ11" s="113"/>
      <c r="TAR11" s="113"/>
      <c r="TAS11" s="113"/>
      <c r="TAT11" s="113"/>
      <c r="TAU11" s="113"/>
      <c r="TAV11" s="113"/>
      <c r="TAW11" s="113"/>
      <c r="TAX11" s="113"/>
      <c r="TAY11" s="113"/>
      <c r="TAZ11" s="113"/>
      <c r="TBA11" s="113"/>
      <c r="TBB11" s="113"/>
      <c r="TBC11" s="113"/>
      <c r="TBD11" s="113"/>
      <c r="TBE11" s="113"/>
      <c r="TBF11" s="113"/>
      <c r="TBG11" s="113"/>
      <c r="TBH11" s="113"/>
      <c r="TBI11" s="113"/>
      <c r="TBJ11" s="113"/>
      <c r="TBK11" s="113"/>
      <c r="TBL11" s="113"/>
      <c r="TBM11" s="113"/>
      <c r="TBN11" s="113"/>
      <c r="TBO11" s="113"/>
      <c r="TBP11" s="113"/>
      <c r="TBQ11" s="113"/>
      <c r="TBR11" s="113"/>
      <c r="TBS11" s="113"/>
      <c r="TBT11" s="113"/>
      <c r="TBU11" s="113"/>
      <c r="TBV11" s="113"/>
      <c r="TBW11" s="113"/>
      <c r="TBX11" s="113"/>
      <c r="TBY11" s="113"/>
      <c r="TBZ11" s="113"/>
      <c r="TCA11" s="113"/>
      <c r="TCB11" s="113"/>
      <c r="TCC11" s="113"/>
      <c r="TCD11" s="113"/>
      <c r="TCE11" s="113"/>
      <c r="TCF11" s="113"/>
      <c r="TCG11" s="113"/>
      <c r="TCH11" s="113"/>
      <c r="TCI11" s="113"/>
      <c r="TCJ11" s="113"/>
      <c r="TCK11" s="113"/>
      <c r="TCL11" s="113"/>
      <c r="TCM11" s="113"/>
      <c r="TCN11" s="113"/>
      <c r="TCO11" s="113"/>
      <c r="TCP11" s="113"/>
      <c r="TCQ11" s="113"/>
      <c r="TCR11" s="113"/>
      <c r="TCS11" s="113"/>
      <c r="TCT11" s="113"/>
      <c r="TCU11" s="113"/>
      <c r="TCV11" s="113"/>
      <c r="TCW11" s="113"/>
      <c r="TCX11" s="113"/>
      <c r="TCY11" s="113"/>
      <c r="TCZ11" s="113"/>
      <c r="TDA11" s="113"/>
      <c r="TDB11" s="113"/>
      <c r="TDC11" s="113"/>
      <c r="TDD11" s="113"/>
      <c r="TDE11" s="113"/>
      <c r="TDF11" s="113"/>
      <c r="TDG11" s="113"/>
      <c r="TDH11" s="113"/>
      <c r="TDI11" s="113"/>
      <c r="TDJ11" s="113"/>
      <c r="TDK11" s="113"/>
      <c r="TDL11" s="113"/>
      <c r="TDM11" s="113"/>
      <c r="TDN11" s="113"/>
      <c r="TDO11" s="113"/>
      <c r="TDP11" s="113"/>
      <c r="TDQ11" s="113"/>
      <c r="TDR11" s="113"/>
      <c r="TDS11" s="113"/>
      <c r="TDT11" s="113"/>
      <c r="TDU11" s="113"/>
      <c r="TDV11" s="113"/>
      <c r="TDW11" s="113"/>
      <c r="TDX11" s="113"/>
      <c r="TDY11" s="113"/>
      <c r="TDZ11" s="113"/>
      <c r="TEA11" s="113"/>
      <c r="TEB11" s="113"/>
      <c r="TEC11" s="113"/>
      <c r="TED11" s="113"/>
      <c r="TEE11" s="113"/>
      <c r="TEF11" s="113"/>
      <c r="TEG11" s="113"/>
      <c r="TEH11" s="113"/>
      <c r="TEI11" s="113"/>
      <c r="TEJ11" s="113"/>
      <c r="TEK11" s="113"/>
      <c r="TEL11" s="113"/>
      <c r="TEM11" s="113"/>
      <c r="TEN11" s="113"/>
      <c r="TEO11" s="113"/>
      <c r="TEP11" s="113"/>
      <c r="TEQ11" s="113"/>
      <c r="TER11" s="113"/>
      <c r="TES11" s="113"/>
      <c r="TET11" s="113"/>
      <c r="TEU11" s="113"/>
      <c r="TEV11" s="113"/>
      <c r="TEW11" s="113"/>
      <c r="TEX11" s="113"/>
      <c r="TEY11" s="113"/>
      <c r="TEZ11" s="113"/>
      <c r="TFA11" s="113"/>
      <c r="TFB11" s="113"/>
      <c r="TFC11" s="113"/>
      <c r="TFD11" s="113"/>
      <c r="TFE11" s="113"/>
      <c r="TFF11" s="113"/>
      <c r="TFG11" s="113"/>
      <c r="TFH11" s="113"/>
      <c r="TFI11" s="113"/>
      <c r="TFJ11" s="113"/>
      <c r="TFK11" s="113"/>
      <c r="TFL11" s="113"/>
      <c r="TFM11" s="113"/>
      <c r="TFN11" s="113"/>
      <c r="TFO11" s="113"/>
      <c r="TFP11" s="113"/>
      <c r="TFQ11" s="113"/>
      <c r="TFR11" s="113"/>
      <c r="TFS11" s="113"/>
      <c r="TFT11" s="113"/>
      <c r="TFU11" s="113"/>
      <c r="TFV11" s="113"/>
      <c r="TFW11" s="113"/>
      <c r="TFX11" s="113"/>
      <c r="TFY11" s="113"/>
      <c r="TFZ11" s="113"/>
      <c r="TGA11" s="113"/>
      <c r="TGB11" s="113"/>
      <c r="TGC11" s="113"/>
      <c r="TGD11" s="113"/>
      <c r="TGE11" s="113"/>
      <c r="TGF11" s="113"/>
      <c r="TGG11" s="113"/>
      <c r="TGH11" s="113"/>
      <c r="TGI11" s="113"/>
      <c r="TGJ11" s="113"/>
      <c r="TGK11" s="113"/>
      <c r="TGL11" s="113"/>
      <c r="TGM11" s="113"/>
      <c r="TGN11" s="113"/>
      <c r="TGO11" s="113"/>
      <c r="TGP11" s="113"/>
      <c r="TGQ11" s="113"/>
      <c r="TGR11" s="113"/>
      <c r="TGS11" s="113"/>
      <c r="TGT11" s="113"/>
      <c r="TGU11" s="113"/>
      <c r="TGV11" s="113"/>
      <c r="TGW11" s="113"/>
      <c r="TGX11" s="113"/>
      <c r="TGY11" s="113"/>
      <c r="TGZ11" s="113"/>
      <c r="THA11" s="113"/>
      <c r="THB11" s="113"/>
      <c r="THC11" s="113"/>
      <c r="THD11" s="113"/>
      <c r="THE11" s="113"/>
      <c r="THF11" s="113"/>
      <c r="THG11" s="113"/>
      <c r="THH11" s="113"/>
      <c r="THI11" s="113"/>
      <c r="THJ11" s="113"/>
      <c r="THK11" s="113"/>
      <c r="THL11" s="113"/>
      <c r="THM11" s="113"/>
      <c r="THN11" s="113"/>
      <c r="THO11" s="113"/>
      <c r="THP11" s="113"/>
      <c r="THQ11" s="113"/>
      <c r="THR11" s="113"/>
      <c r="THS11" s="113"/>
      <c r="THT11" s="113"/>
      <c r="THU11" s="113"/>
      <c r="THV11" s="113"/>
      <c r="THW11" s="113"/>
      <c r="THX11" s="113"/>
      <c r="THY11" s="113"/>
      <c r="THZ11" s="113"/>
      <c r="TIA11" s="113"/>
      <c r="TIB11" s="113"/>
      <c r="TIC11" s="113"/>
      <c r="TID11" s="113"/>
      <c r="TIE11" s="113"/>
      <c r="TIF11" s="113"/>
      <c r="TIG11" s="113"/>
      <c r="TIH11" s="113"/>
      <c r="TII11" s="113"/>
      <c r="TIJ11" s="113"/>
      <c r="TIK11" s="113"/>
      <c r="TIL11" s="113"/>
      <c r="TIM11" s="113"/>
      <c r="TIN11" s="113"/>
      <c r="TIO11" s="113"/>
      <c r="TIP11" s="113"/>
      <c r="TIQ11" s="113"/>
      <c r="TIR11" s="113"/>
      <c r="TIS11" s="113"/>
      <c r="TIT11" s="113"/>
      <c r="TIU11" s="113"/>
      <c r="TIV11" s="113"/>
      <c r="TIW11" s="113"/>
      <c r="TIX11" s="113"/>
      <c r="TIY11" s="113"/>
      <c r="TIZ11" s="113"/>
      <c r="TJA11" s="113"/>
      <c r="TJB11" s="113"/>
      <c r="TJC11" s="113"/>
      <c r="TJD11" s="113"/>
      <c r="TJE11" s="113"/>
      <c r="TJF11" s="113"/>
      <c r="TJG11" s="113"/>
      <c r="TJH11" s="113"/>
      <c r="TJI11" s="113"/>
      <c r="TJJ11" s="113"/>
      <c r="TJK11" s="113"/>
      <c r="TJL11" s="113"/>
      <c r="TJM11" s="113"/>
      <c r="TJN11" s="113"/>
      <c r="TJO11" s="113"/>
      <c r="TJP11" s="113"/>
      <c r="TJQ11" s="113"/>
      <c r="TJR11" s="113"/>
      <c r="TJS11" s="113"/>
      <c r="TJT11" s="113"/>
      <c r="TJU11" s="113"/>
      <c r="TJV11" s="113"/>
      <c r="TJW11" s="113"/>
      <c r="TJX11" s="113"/>
      <c r="TJY11" s="113"/>
      <c r="TJZ11" s="113"/>
      <c r="TKA11" s="113"/>
      <c r="TKB11" s="113"/>
      <c r="TKC11" s="113"/>
      <c r="TKD11" s="113"/>
      <c r="TKE11" s="113"/>
      <c r="TKF11" s="113"/>
      <c r="TKG11" s="113"/>
      <c r="TKH11" s="113"/>
      <c r="TKI11" s="113"/>
      <c r="TKJ11" s="113"/>
      <c r="TKK11" s="113"/>
      <c r="TKL11" s="113"/>
      <c r="TKM11" s="113"/>
      <c r="TKN11" s="113"/>
      <c r="TKO11" s="113"/>
      <c r="TKP11" s="113"/>
      <c r="TKQ11" s="113"/>
      <c r="TKR11" s="113"/>
      <c r="TKS11" s="113"/>
      <c r="TKT11" s="113"/>
      <c r="TKU11" s="113"/>
      <c r="TKV11" s="113"/>
      <c r="TKW11" s="113"/>
      <c r="TKX11" s="113"/>
      <c r="TKY11" s="113"/>
      <c r="TKZ11" s="113"/>
      <c r="TLA11" s="113"/>
      <c r="TLB11" s="113"/>
      <c r="TLC11" s="113"/>
      <c r="TLD11" s="113"/>
      <c r="TLE11" s="113"/>
      <c r="TLF11" s="113"/>
      <c r="TLG11" s="113"/>
      <c r="TLH11" s="113"/>
      <c r="TLI11" s="113"/>
      <c r="TLJ11" s="113"/>
      <c r="TLK11" s="113"/>
      <c r="TLL11" s="113"/>
      <c r="TLM11" s="113"/>
      <c r="TLN11" s="113"/>
      <c r="TLO11" s="113"/>
      <c r="TLP11" s="113"/>
      <c r="TLQ11" s="113"/>
      <c r="TLR11" s="113"/>
      <c r="TLS11" s="113"/>
      <c r="TLT11" s="113"/>
      <c r="TLU11" s="113"/>
      <c r="TLV11" s="113"/>
      <c r="TLW11" s="113"/>
      <c r="TLX11" s="113"/>
      <c r="TLY11" s="113"/>
      <c r="TLZ11" s="113"/>
      <c r="TMA11" s="113"/>
      <c r="TMB11" s="113"/>
      <c r="TMC11" s="113"/>
      <c r="TMD11" s="113"/>
      <c r="TME11" s="113"/>
      <c r="TMF11" s="113"/>
      <c r="TMG11" s="113"/>
      <c r="TMH11" s="113"/>
      <c r="TMI11" s="113"/>
      <c r="TMJ11" s="113"/>
      <c r="TMK11" s="113"/>
      <c r="TML11" s="113"/>
      <c r="TMM11" s="113"/>
      <c r="TMN11" s="113"/>
      <c r="TMO11" s="113"/>
      <c r="TMP11" s="113"/>
      <c r="TMQ11" s="113"/>
      <c r="TMR11" s="113"/>
      <c r="TMS11" s="113"/>
      <c r="TMT11" s="113"/>
      <c r="TMU11" s="113"/>
      <c r="TMV11" s="113"/>
      <c r="TMW11" s="113"/>
      <c r="TMX11" s="113"/>
      <c r="TMY11" s="113"/>
      <c r="TMZ11" s="113"/>
      <c r="TNA11" s="113"/>
      <c r="TNB11" s="113"/>
      <c r="TNC11" s="113"/>
      <c r="TND11" s="113"/>
      <c r="TNE11" s="113"/>
      <c r="TNF11" s="113"/>
      <c r="TNG11" s="113"/>
      <c r="TNH11" s="113"/>
      <c r="TNI11" s="113"/>
      <c r="TNJ11" s="113"/>
      <c r="TNK11" s="113"/>
      <c r="TNL11" s="113"/>
      <c r="TNM11" s="113"/>
      <c r="TNN11" s="113"/>
      <c r="TNO11" s="113"/>
      <c r="TNP11" s="113"/>
      <c r="TNQ11" s="113"/>
      <c r="TNR11" s="113"/>
      <c r="TNS11" s="113"/>
      <c r="TNT11" s="113"/>
      <c r="TNU11" s="113"/>
      <c r="TNV11" s="113"/>
      <c r="TNW11" s="113"/>
      <c r="TNX11" s="113"/>
      <c r="TNY11" s="113"/>
      <c r="TNZ11" s="113"/>
      <c r="TOA11" s="113"/>
      <c r="TOB11" s="113"/>
      <c r="TOC11" s="113"/>
      <c r="TOD11" s="113"/>
      <c r="TOE11" s="113"/>
      <c r="TOF11" s="113"/>
      <c r="TOG11" s="113"/>
      <c r="TOH11" s="113"/>
      <c r="TOI11" s="113"/>
      <c r="TOJ11" s="113"/>
      <c r="TOK11" s="113"/>
      <c r="TOL11" s="113"/>
      <c r="TOM11" s="113"/>
      <c r="TON11" s="113"/>
      <c r="TOO11" s="113"/>
      <c r="TOP11" s="113"/>
      <c r="TOQ11" s="113"/>
      <c r="TOR11" s="113"/>
      <c r="TOS11" s="113"/>
      <c r="TOT11" s="113"/>
      <c r="TOU11" s="113"/>
      <c r="TOV11" s="113"/>
      <c r="TOW11" s="113"/>
      <c r="TOX11" s="113"/>
      <c r="TOY11" s="113"/>
      <c r="TOZ11" s="113"/>
      <c r="TPA11" s="113"/>
      <c r="TPB11" s="113"/>
      <c r="TPC11" s="113"/>
      <c r="TPD11" s="113"/>
      <c r="TPE11" s="113"/>
      <c r="TPF11" s="113"/>
      <c r="TPG11" s="113"/>
      <c r="TPH11" s="113"/>
      <c r="TPI11" s="113"/>
      <c r="TPJ11" s="113"/>
      <c r="TPK11" s="113"/>
      <c r="TPL11" s="113"/>
      <c r="TPM11" s="113"/>
      <c r="TPN11" s="113"/>
      <c r="TPO11" s="113"/>
      <c r="TPP11" s="113"/>
      <c r="TPQ11" s="113"/>
      <c r="TPR11" s="113"/>
      <c r="TPS11" s="113"/>
      <c r="TPT11" s="113"/>
      <c r="TPU11" s="113"/>
      <c r="TPV11" s="113"/>
      <c r="TPW11" s="113"/>
      <c r="TPX11" s="113"/>
      <c r="TPY11" s="113"/>
      <c r="TPZ11" s="113"/>
      <c r="TQA11" s="113"/>
      <c r="TQB11" s="113"/>
      <c r="TQC11" s="113"/>
      <c r="TQD11" s="113"/>
      <c r="TQE11" s="113"/>
      <c r="TQF11" s="113"/>
      <c r="TQG11" s="113"/>
      <c r="TQH11" s="113"/>
      <c r="TQI11" s="113"/>
      <c r="TQJ11" s="113"/>
      <c r="TQK11" s="113"/>
      <c r="TQL11" s="113"/>
      <c r="TQM11" s="113"/>
      <c r="TQN11" s="113"/>
      <c r="TQO11" s="113"/>
      <c r="TQP11" s="113"/>
      <c r="TQQ11" s="113"/>
      <c r="TQR11" s="113"/>
      <c r="TQS11" s="113"/>
      <c r="TQT11" s="113"/>
      <c r="TQU11" s="113"/>
      <c r="TQV11" s="113"/>
      <c r="TQW11" s="113"/>
      <c r="TQX11" s="113"/>
      <c r="TQY11" s="113"/>
      <c r="TQZ11" s="113"/>
      <c r="TRA11" s="113"/>
      <c r="TRB11" s="113"/>
      <c r="TRC11" s="113"/>
      <c r="TRD11" s="113"/>
      <c r="TRE11" s="113"/>
      <c r="TRF11" s="113"/>
      <c r="TRG11" s="113"/>
      <c r="TRH11" s="113"/>
      <c r="TRI11" s="113"/>
      <c r="TRJ11" s="113"/>
      <c r="TRK11" s="113"/>
      <c r="TRL11" s="113"/>
      <c r="TRM11" s="113"/>
      <c r="TRN11" s="113"/>
      <c r="TRO11" s="113"/>
      <c r="TRP11" s="113"/>
      <c r="TRQ11" s="113"/>
      <c r="TRR11" s="113"/>
      <c r="TRS11" s="113"/>
      <c r="TRT11" s="113"/>
      <c r="TRU11" s="113"/>
      <c r="TRV11" s="113"/>
      <c r="TRW11" s="113"/>
      <c r="TRX11" s="113"/>
      <c r="TRY11" s="113"/>
      <c r="TRZ11" s="113"/>
      <c r="TSA11" s="113"/>
      <c r="TSB11" s="113"/>
      <c r="TSC11" s="113"/>
      <c r="TSD11" s="113"/>
      <c r="TSE11" s="113"/>
      <c r="TSF11" s="113"/>
      <c r="TSG11" s="113"/>
      <c r="TSH11" s="113"/>
      <c r="TSI11" s="113"/>
      <c r="TSJ11" s="113"/>
      <c r="TSK11" s="113"/>
      <c r="TSL11" s="113"/>
      <c r="TSM11" s="113"/>
      <c r="TSN11" s="113"/>
      <c r="TSO11" s="113"/>
      <c r="TSP11" s="113"/>
      <c r="TSQ11" s="113"/>
      <c r="TSR11" s="113"/>
      <c r="TSS11" s="113"/>
      <c r="TST11" s="113"/>
      <c r="TSU11" s="113"/>
      <c r="TSV11" s="113"/>
      <c r="TSW11" s="113"/>
      <c r="TSX11" s="113"/>
      <c r="TSY11" s="113"/>
      <c r="TSZ11" s="113"/>
      <c r="TTA11" s="113"/>
      <c r="TTB11" s="113"/>
      <c r="TTC11" s="113"/>
      <c r="TTD11" s="113"/>
      <c r="TTE11" s="113"/>
      <c r="TTF11" s="113"/>
      <c r="TTG11" s="113"/>
      <c r="TTH11" s="113"/>
      <c r="TTI11" s="113"/>
      <c r="TTJ11" s="113"/>
      <c r="TTK11" s="113"/>
      <c r="TTL11" s="113"/>
      <c r="TTM11" s="113"/>
      <c r="TTN11" s="113"/>
      <c r="TTO11" s="113"/>
      <c r="TTP11" s="113"/>
      <c r="TTQ11" s="113"/>
      <c r="TTR11" s="113"/>
      <c r="TTS11" s="113"/>
      <c r="TTT11" s="113"/>
      <c r="TTU11" s="113"/>
      <c r="TTV11" s="113"/>
      <c r="TTW11" s="113"/>
      <c r="TTX11" s="113"/>
      <c r="TTY11" s="113"/>
      <c r="TTZ11" s="113"/>
      <c r="TUA11" s="113"/>
      <c r="TUB11" s="113"/>
      <c r="TUC11" s="113"/>
      <c r="TUD11" s="113"/>
      <c r="TUE11" s="113"/>
      <c r="TUF11" s="113"/>
      <c r="TUG11" s="113"/>
      <c r="TUH11" s="113"/>
      <c r="TUI11" s="113"/>
      <c r="TUJ11" s="113"/>
      <c r="TUK11" s="113"/>
      <c r="TUL11" s="113"/>
      <c r="TUM11" s="113"/>
      <c r="TUN11" s="113"/>
      <c r="TUO11" s="113"/>
      <c r="TUP11" s="113"/>
      <c r="TUQ11" s="113"/>
      <c r="TUR11" s="113"/>
      <c r="TUS11" s="113"/>
      <c r="TUT11" s="113"/>
      <c r="TUU11" s="113"/>
      <c r="TUV11" s="113"/>
      <c r="TUW11" s="113"/>
      <c r="TUX11" s="113"/>
      <c r="TUY11" s="113"/>
      <c r="TUZ11" s="113"/>
      <c r="TVA11" s="113"/>
      <c r="TVB11" s="113"/>
      <c r="TVC11" s="113"/>
      <c r="TVD11" s="113"/>
      <c r="TVE11" s="113"/>
      <c r="TVF11" s="113"/>
      <c r="TVG11" s="113"/>
      <c r="TVH11" s="113"/>
      <c r="TVI11" s="113"/>
      <c r="TVJ11" s="113"/>
      <c r="TVK11" s="113"/>
      <c r="TVL11" s="113"/>
      <c r="TVM11" s="113"/>
      <c r="TVN11" s="113"/>
      <c r="TVO11" s="113"/>
      <c r="TVP11" s="113"/>
      <c r="TVQ11" s="113"/>
      <c r="TVR11" s="113"/>
      <c r="TVS11" s="113"/>
      <c r="TVT11" s="113"/>
      <c r="TVU11" s="113"/>
      <c r="TVV11" s="113"/>
      <c r="TVW11" s="113"/>
      <c r="TVX11" s="113"/>
      <c r="TVY11" s="113"/>
      <c r="TVZ11" s="113"/>
      <c r="TWA11" s="113"/>
      <c r="TWB11" s="113"/>
      <c r="TWC11" s="113"/>
      <c r="TWD11" s="113"/>
      <c r="TWE11" s="113"/>
      <c r="TWF11" s="113"/>
      <c r="TWG11" s="113"/>
      <c r="TWH11" s="113"/>
      <c r="TWI11" s="113"/>
      <c r="TWJ11" s="113"/>
      <c r="TWK11" s="113"/>
      <c r="TWL11" s="113"/>
      <c r="TWM11" s="113"/>
      <c r="TWN11" s="113"/>
      <c r="TWO11" s="113"/>
      <c r="TWP11" s="113"/>
      <c r="TWQ11" s="113"/>
      <c r="TWR11" s="113"/>
      <c r="TWS11" s="113"/>
      <c r="TWT11" s="113"/>
      <c r="TWU11" s="113"/>
      <c r="TWV11" s="113"/>
      <c r="TWW11" s="113"/>
      <c r="TWX11" s="113"/>
      <c r="TWY11" s="113"/>
      <c r="TWZ11" s="113"/>
      <c r="TXA11" s="113"/>
      <c r="TXB11" s="113"/>
      <c r="TXC11" s="113"/>
      <c r="TXD11" s="113"/>
      <c r="TXE11" s="113"/>
      <c r="TXF11" s="113"/>
      <c r="TXG11" s="113"/>
      <c r="TXH11" s="113"/>
      <c r="TXI11" s="113"/>
      <c r="TXJ11" s="113"/>
      <c r="TXK11" s="113"/>
      <c r="TXL11" s="113"/>
      <c r="TXM11" s="113"/>
      <c r="TXN11" s="113"/>
      <c r="TXO11" s="113"/>
      <c r="TXP11" s="113"/>
      <c r="TXQ11" s="113"/>
      <c r="TXR11" s="113"/>
      <c r="TXS11" s="113"/>
      <c r="TXT11" s="113"/>
      <c r="TXU11" s="113"/>
      <c r="TXV11" s="113"/>
      <c r="TXW11" s="113"/>
      <c r="TXX11" s="113"/>
      <c r="TXY11" s="113"/>
      <c r="TXZ11" s="113"/>
      <c r="TYA11" s="113"/>
      <c r="TYB11" s="113"/>
      <c r="TYC11" s="113"/>
      <c r="TYD11" s="113"/>
      <c r="TYE11" s="113"/>
      <c r="TYF11" s="113"/>
      <c r="TYG11" s="113"/>
      <c r="TYH11" s="113"/>
      <c r="TYI11" s="113"/>
      <c r="TYJ11" s="113"/>
      <c r="TYK11" s="113"/>
      <c r="TYL11" s="113"/>
      <c r="TYM11" s="113"/>
      <c r="TYN11" s="113"/>
      <c r="TYO11" s="113"/>
      <c r="TYP11" s="113"/>
      <c r="TYQ11" s="113"/>
      <c r="TYR11" s="113"/>
      <c r="TYS11" s="113"/>
      <c r="TYT11" s="113"/>
      <c r="TYU11" s="113"/>
      <c r="TYV11" s="113"/>
      <c r="TYW11" s="113"/>
      <c r="TYX11" s="113"/>
      <c r="TYY11" s="113"/>
      <c r="TYZ11" s="113"/>
      <c r="TZA11" s="113"/>
      <c r="TZB11" s="113"/>
      <c r="TZC11" s="113"/>
      <c r="TZD11" s="113"/>
      <c r="TZE11" s="113"/>
      <c r="TZF11" s="113"/>
      <c r="TZG11" s="113"/>
      <c r="TZH11" s="113"/>
      <c r="TZI11" s="113"/>
      <c r="TZJ11" s="113"/>
      <c r="TZK11" s="113"/>
      <c r="TZL11" s="113"/>
      <c r="TZM11" s="113"/>
      <c r="TZN11" s="113"/>
      <c r="TZO11" s="113"/>
      <c r="TZP11" s="113"/>
      <c r="TZQ11" s="113"/>
      <c r="TZR11" s="113"/>
      <c r="TZS11" s="113"/>
      <c r="TZT11" s="113"/>
      <c r="TZU11" s="113"/>
      <c r="TZV11" s="113"/>
      <c r="TZW11" s="113"/>
      <c r="TZX11" s="113"/>
      <c r="TZY11" s="113"/>
      <c r="TZZ11" s="113"/>
      <c r="UAA11" s="113"/>
      <c r="UAB11" s="113"/>
      <c r="UAC11" s="113"/>
      <c r="UAD11" s="113"/>
      <c r="UAE11" s="113"/>
      <c r="UAF11" s="113"/>
      <c r="UAG11" s="113"/>
      <c r="UAH11" s="113"/>
      <c r="UAI11" s="113"/>
      <c r="UAJ11" s="113"/>
      <c r="UAK11" s="113"/>
      <c r="UAL11" s="113"/>
      <c r="UAM11" s="113"/>
      <c r="UAN11" s="113"/>
      <c r="UAO11" s="113"/>
      <c r="UAP11" s="113"/>
      <c r="UAQ11" s="113"/>
      <c r="UAR11" s="113"/>
      <c r="UAS11" s="113"/>
      <c r="UAT11" s="113"/>
      <c r="UAU11" s="113"/>
      <c r="UAV11" s="113"/>
      <c r="UAW11" s="113"/>
      <c r="UAX11" s="113"/>
      <c r="UAY11" s="113"/>
      <c r="UAZ11" s="113"/>
      <c r="UBA11" s="113"/>
      <c r="UBB11" s="113"/>
      <c r="UBC11" s="113"/>
      <c r="UBD11" s="113"/>
      <c r="UBE11" s="113"/>
      <c r="UBF11" s="113"/>
      <c r="UBG11" s="113"/>
      <c r="UBH11" s="113"/>
      <c r="UBI11" s="113"/>
      <c r="UBJ11" s="113"/>
      <c r="UBK11" s="113"/>
      <c r="UBL11" s="113"/>
      <c r="UBM11" s="113"/>
      <c r="UBN11" s="113"/>
      <c r="UBO11" s="113"/>
      <c r="UBP11" s="113"/>
      <c r="UBQ11" s="113"/>
      <c r="UBR11" s="113"/>
      <c r="UBS11" s="113"/>
      <c r="UBT11" s="113"/>
      <c r="UBU11" s="113"/>
      <c r="UBV11" s="113"/>
      <c r="UBW11" s="113"/>
      <c r="UBX11" s="113"/>
      <c r="UBY11" s="113"/>
      <c r="UBZ11" s="113"/>
      <c r="UCA11" s="113"/>
      <c r="UCB11" s="113"/>
      <c r="UCC11" s="113"/>
      <c r="UCD11" s="113"/>
      <c r="UCE11" s="113"/>
      <c r="UCF11" s="113"/>
      <c r="UCG11" s="113"/>
      <c r="UCH11" s="113"/>
      <c r="UCI11" s="113"/>
      <c r="UCJ11" s="113"/>
      <c r="UCK11" s="113"/>
      <c r="UCL11" s="113"/>
      <c r="UCM11" s="113"/>
      <c r="UCN11" s="113"/>
      <c r="UCO11" s="113"/>
      <c r="UCP11" s="113"/>
      <c r="UCQ11" s="113"/>
      <c r="UCR11" s="113"/>
      <c r="UCS11" s="113"/>
      <c r="UCT11" s="113"/>
      <c r="UCU11" s="113"/>
      <c r="UCV11" s="113"/>
      <c r="UCW11" s="113"/>
      <c r="UCX11" s="113"/>
      <c r="UCY11" s="113"/>
      <c r="UCZ11" s="113"/>
      <c r="UDA11" s="113"/>
      <c r="UDB11" s="113"/>
      <c r="UDC11" s="113"/>
      <c r="UDD11" s="113"/>
      <c r="UDE11" s="113"/>
      <c r="UDF11" s="113"/>
      <c r="UDG11" s="113"/>
      <c r="UDH11" s="113"/>
      <c r="UDI11" s="113"/>
      <c r="UDJ11" s="113"/>
      <c r="UDK11" s="113"/>
      <c r="UDL11" s="113"/>
      <c r="UDM11" s="113"/>
      <c r="UDN11" s="113"/>
      <c r="UDO11" s="113"/>
      <c r="UDP11" s="113"/>
      <c r="UDQ11" s="113"/>
      <c r="UDR11" s="113"/>
      <c r="UDS11" s="113"/>
      <c r="UDT11" s="113"/>
      <c r="UDU11" s="113"/>
      <c r="UDV11" s="113"/>
      <c r="UDW11" s="113"/>
      <c r="UDX11" s="113"/>
      <c r="UDY11" s="113"/>
      <c r="UDZ11" s="113"/>
      <c r="UEA11" s="113"/>
      <c r="UEB11" s="113"/>
      <c r="UEC11" s="113"/>
      <c r="UED11" s="113"/>
      <c r="UEE11" s="113"/>
      <c r="UEF11" s="113"/>
      <c r="UEG11" s="113"/>
      <c r="UEH11" s="113"/>
      <c r="UEI11" s="113"/>
      <c r="UEJ11" s="113"/>
      <c r="UEK11" s="113"/>
      <c r="UEL11" s="113"/>
      <c r="UEM11" s="113"/>
      <c r="UEN11" s="113"/>
      <c r="UEO11" s="113"/>
      <c r="UEP11" s="113"/>
      <c r="UEQ11" s="113"/>
      <c r="UER11" s="113"/>
      <c r="UES11" s="113"/>
      <c r="UET11" s="113"/>
      <c r="UEU11" s="113"/>
      <c r="UEV11" s="113"/>
      <c r="UEW11" s="113"/>
      <c r="UEX11" s="113"/>
      <c r="UEY11" s="113"/>
      <c r="UEZ11" s="113"/>
      <c r="UFA11" s="113"/>
      <c r="UFB11" s="113"/>
      <c r="UFC11" s="113"/>
      <c r="UFD11" s="113"/>
      <c r="UFE11" s="113"/>
      <c r="UFF11" s="113"/>
      <c r="UFG11" s="113"/>
      <c r="UFH11" s="113"/>
      <c r="UFI11" s="113"/>
      <c r="UFJ11" s="113"/>
      <c r="UFK11" s="113"/>
      <c r="UFL11" s="113"/>
      <c r="UFM11" s="113"/>
      <c r="UFN11" s="113"/>
      <c r="UFO11" s="113"/>
      <c r="UFP11" s="113"/>
      <c r="UFQ11" s="113"/>
      <c r="UFR11" s="113"/>
      <c r="UFS11" s="113"/>
      <c r="UFT11" s="113"/>
      <c r="UFU11" s="113"/>
      <c r="UFV11" s="113"/>
      <c r="UFW11" s="113"/>
      <c r="UFX11" s="113"/>
      <c r="UFY11" s="113"/>
      <c r="UFZ11" s="113"/>
      <c r="UGA11" s="113"/>
      <c r="UGB11" s="113"/>
      <c r="UGC11" s="113"/>
      <c r="UGD11" s="113"/>
      <c r="UGE11" s="113"/>
      <c r="UGF11" s="113"/>
      <c r="UGG11" s="113"/>
      <c r="UGH11" s="113"/>
      <c r="UGI11" s="113"/>
      <c r="UGJ11" s="113"/>
      <c r="UGK11" s="113"/>
      <c r="UGL11" s="113"/>
      <c r="UGM11" s="113"/>
      <c r="UGN11" s="113"/>
      <c r="UGO11" s="113"/>
      <c r="UGP11" s="113"/>
      <c r="UGQ11" s="113"/>
      <c r="UGR11" s="113"/>
      <c r="UGS11" s="113"/>
      <c r="UGT11" s="113"/>
      <c r="UGU11" s="113"/>
      <c r="UGV11" s="113"/>
      <c r="UGW11" s="113"/>
      <c r="UGX11" s="113"/>
      <c r="UGY11" s="113"/>
      <c r="UGZ11" s="113"/>
      <c r="UHA11" s="113"/>
      <c r="UHB11" s="113"/>
      <c r="UHC11" s="113"/>
      <c r="UHD11" s="113"/>
      <c r="UHE11" s="113"/>
      <c r="UHF11" s="113"/>
      <c r="UHG11" s="113"/>
      <c r="UHH11" s="113"/>
      <c r="UHI11" s="113"/>
      <c r="UHJ11" s="113"/>
      <c r="UHK11" s="113"/>
      <c r="UHL11" s="113"/>
      <c r="UHM11" s="113"/>
      <c r="UHN11" s="113"/>
      <c r="UHO11" s="113"/>
      <c r="UHP11" s="113"/>
      <c r="UHQ11" s="113"/>
      <c r="UHR11" s="113"/>
      <c r="UHS11" s="113"/>
      <c r="UHT11" s="113"/>
      <c r="UHU11" s="113"/>
      <c r="UHV11" s="113"/>
      <c r="UHW11" s="113"/>
      <c r="UHX11" s="113"/>
      <c r="UHY11" s="113"/>
      <c r="UHZ11" s="113"/>
      <c r="UIA11" s="113"/>
      <c r="UIB11" s="113"/>
      <c r="UIC11" s="113"/>
      <c r="UID11" s="113"/>
      <c r="UIE11" s="113"/>
      <c r="UIF11" s="113"/>
      <c r="UIG11" s="113"/>
      <c r="UIH11" s="113"/>
      <c r="UII11" s="113"/>
      <c r="UIJ11" s="113"/>
      <c r="UIK11" s="113"/>
      <c r="UIL11" s="113"/>
      <c r="UIM11" s="113"/>
      <c r="UIN11" s="113"/>
      <c r="UIO11" s="113"/>
      <c r="UIP11" s="113"/>
      <c r="UIQ11" s="113"/>
      <c r="UIR11" s="113"/>
      <c r="UIS11" s="113"/>
      <c r="UIT11" s="113"/>
      <c r="UIU11" s="113"/>
      <c r="UIV11" s="113"/>
      <c r="UIW11" s="113"/>
      <c r="UIX11" s="113"/>
      <c r="UIY11" s="113"/>
      <c r="UIZ11" s="113"/>
      <c r="UJA11" s="113"/>
      <c r="UJB11" s="113"/>
      <c r="UJC11" s="113"/>
      <c r="UJD11" s="113"/>
      <c r="UJE11" s="113"/>
      <c r="UJF11" s="113"/>
      <c r="UJG11" s="113"/>
      <c r="UJH11" s="113"/>
      <c r="UJI11" s="113"/>
      <c r="UJJ11" s="113"/>
      <c r="UJK11" s="113"/>
      <c r="UJL11" s="113"/>
      <c r="UJM11" s="113"/>
      <c r="UJN11" s="113"/>
      <c r="UJO11" s="113"/>
      <c r="UJP11" s="113"/>
      <c r="UJQ11" s="113"/>
      <c r="UJR11" s="113"/>
      <c r="UJS11" s="113"/>
      <c r="UJT11" s="113"/>
      <c r="UJU11" s="113"/>
      <c r="UJV11" s="113"/>
      <c r="UJW11" s="113"/>
      <c r="UJX11" s="113"/>
      <c r="UJY11" s="113"/>
      <c r="UJZ11" s="113"/>
      <c r="UKA11" s="113"/>
      <c r="UKB11" s="113"/>
      <c r="UKC11" s="113"/>
      <c r="UKD11" s="113"/>
      <c r="UKE11" s="113"/>
      <c r="UKF11" s="113"/>
      <c r="UKG11" s="113"/>
      <c r="UKH11" s="113"/>
      <c r="UKI11" s="113"/>
      <c r="UKJ11" s="113"/>
      <c r="UKK11" s="113"/>
      <c r="UKL11" s="113"/>
      <c r="UKM11" s="113"/>
      <c r="UKN11" s="113"/>
      <c r="UKO11" s="113"/>
      <c r="UKP11" s="113"/>
      <c r="UKQ11" s="113"/>
      <c r="UKR11" s="113"/>
      <c r="UKS11" s="113"/>
      <c r="UKT11" s="113"/>
      <c r="UKU11" s="113"/>
      <c r="UKV11" s="113"/>
      <c r="UKW11" s="113"/>
      <c r="UKX11" s="113"/>
      <c r="UKY11" s="113"/>
      <c r="UKZ11" s="113"/>
      <c r="ULA11" s="113"/>
      <c r="ULB11" s="113"/>
      <c r="ULC11" s="113"/>
      <c r="ULD11" s="113"/>
      <c r="ULE11" s="113"/>
      <c r="ULF11" s="113"/>
      <c r="ULG11" s="113"/>
      <c r="ULH11" s="113"/>
      <c r="ULI11" s="113"/>
      <c r="ULJ11" s="113"/>
      <c r="ULK11" s="113"/>
      <c r="ULL11" s="113"/>
      <c r="ULM11" s="113"/>
      <c r="ULN11" s="113"/>
      <c r="ULO11" s="113"/>
      <c r="ULP11" s="113"/>
      <c r="ULQ11" s="113"/>
      <c r="ULR11" s="113"/>
      <c r="ULS11" s="113"/>
      <c r="ULT11" s="113"/>
      <c r="ULU11" s="113"/>
      <c r="ULV11" s="113"/>
      <c r="ULW11" s="113"/>
      <c r="ULX11" s="113"/>
      <c r="ULY11" s="113"/>
      <c r="ULZ11" s="113"/>
      <c r="UMA11" s="113"/>
      <c r="UMB11" s="113"/>
      <c r="UMC11" s="113"/>
      <c r="UMD11" s="113"/>
      <c r="UME11" s="113"/>
      <c r="UMF11" s="113"/>
      <c r="UMG11" s="113"/>
      <c r="UMH11" s="113"/>
      <c r="UMI11" s="113"/>
      <c r="UMJ11" s="113"/>
      <c r="UMK11" s="113"/>
      <c r="UML11" s="113"/>
      <c r="UMM11" s="113"/>
      <c r="UMN11" s="113"/>
      <c r="UMO11" s="113"/>
      <c r="UMP11" s="113"/>
      <c r="UMQ11" s="113"/>
      <c r="UMR11" s="113"/>
      <c r="UMS11" s="113"/>
      <c r="UMT11" s="113"/>
      <c r="UMU11" s="113"/>
      <c r="UMV11" s="113"/>
      <c r="UMW11" s="113"/>
      <c r="UMX11" s="113"/>
      <c r="UMY11" s="113"/>
      <c r="UMZ11" s="113"/>
      <c r="UNA11" s="113"/>
      <c r="UNB11" s="113"/>
      <c r="UNC11" s="113"/>
      <c r="UND11" s="113"/>
      <c r="UNE11" s="113"/>
      <c r="UNF11" s="113"/>
      <c r="UNG11" s="113"/>
      <c r="UNH11" s="113"/>
      <c r="UNI11" s="113"/>
      <c r="UNJ11" s="113"/>
      <c r="UNK11" s="113"/>
      <c r="UNL11" s="113"/>
      <c r="UNM11" s="113"/>
      <c r="UNN11" s="113"/>
      <c r="UNO11" s="113"/>
      <c r="UNP11" s="113"/>
      <c r="UNQ11" s="113"/>
      <c r="UNR11" s="113"/>
      <c r="UNS11" s="113"/>
      <c r="UNT11" s="113"/>
      <c r="UNU11" s="113"/>
      <c r="UNV11" s="113"/>
      <c r="UNW11" s="113"/>
      <c r="UNX11" s="113"/>
      <c r="UNY11" s="113"/>
      <c r="UNZ11" s="113"/>
      <c r="UOA11" s="113"/>
      <c r="UOB11" s="113"/>
      <c r="UOC11" s="113"/>
      <c r="UOD11" s="113"/>
      <c r="UOE11" s="113"/>
      <c r="UOF11" s="113"/>
      <c r="UOG11" s="113"/>
      <c r="UOH11" s="113"/>
      <c r="UOI11" s="113"/>
      <c r="UOJ11" s="113"/>
      <c r="UOK11" s="113"/>
      <c r="UOL11" s="113"/>
      <c r="UOM11" s="113"/>
      <c r="UON11" s="113"/>
      <c r="UOO11" s="113"/>
      <c r="UOP11" s="113"/>
      <c r="UOQ11" s="113"/>
      <c r="UOR11" s="113"/>
      <c r="UOS11" s="113"/>
      <c r="UOT11" s="113"/>
      <c r="UOU11" s="113"/>
      <c r="UOV11" s="113"/>
      <c r="UOW11" s="113"/>
      <c r="UOX11" s="113"/>
      <c r="UOY11" s="113"/>
      <c r="UOZ11" s="113"/>
      <c r="UPA11" s="113"/>
      <c r="UPB11" s="113"/>
      <c r="UPC11" s="113"/>
      <c r="UPD11" s="113"/>
      <c r="UPE11" s="113"/>
      <c r="UPF11" s="113"/>
      <c r="UPG11" s="113"/>
      <c r="UPH11" s="113"/>
      <c r="UPI11" s="113"/>
      <c r="UPJ11" s="113"/>
      <c r="UPK11" s="113"/>
      <c r="UPL11" s="113"/>
      <c r="UPM11" s="113"/>
      <c r="UPN11" s="113"/>
      <c r="UPO11" s="113"/>
      <c r="UPP11" s="113"/>
      <c r="UPQ11" s="113"/>
      <c r="UPR11" s="113"/>
      <c r="UPS11" s="113"/>
      <c r="UPT11" s="113"/>
      <c r="UPU11" s="113"/>
      <c r="UPV11" s="113"/>
      <c r="UPW11" s="113"/>
      <c r="UPX11" s="113"/>
      <c r="UPY11" s="113"/>
      <c r="UPZ11" s="113"/>
      <c r="UQA11" s="113"/>
      <c r="UQB11" s="113"/>
      <c r="UQC11" s="113"/>
      <c r="UQD11" s="113"/>
      <c r="UQE11" s="113"/>
      <c r="UQF11" s="113"/>
      <c r="UQG11" s="113"/>
      <c r="UQH11" s="113"/>
      <c r="UQI11" s="113"/>
      <c r="UQJ11" s="113"/>
      <c r="UQK11" s="113"/>
      <c r="UQL11" s="113"/>
      <c r="UQM11" s="113"/>
      <c r="UQN11" s="113"/>
      <c r="UQO11" s="113"/>
      <c r="UQP11" s="113"/>
      <c r="UQQ11" s="113"/>
      <c r="UQR11" s="113"/>
      <c r="UQS11" s="113"/>
      <c r="UQT11" s="113"/>
      <c r="UQU11" s="113"/>
      <c r="UQV11" s="113"/>
      <c r="UQW11" s="113"/>
      <c r="UQX11" s="113"/>
      <c r="UQY11" s="113"/>
      <c r="UQZ11" s="113"/>
      <c r="URA11" s="113"/>
      <c r="URB11" s="113"/>
      <c r="URC11" s="113"/>
      <c r="URD11" s="113"/>
      <c r="URE11" s="113"/>
      <c r="URF11" s="113"/>
      <c r="URG11" s="113"/>
      <c r="URH11" s="113"/>
      <c r="URI11" s="113"/>
      <c r="URJ11" s="113"/>
      <c r="URK11" s="113"/>
      <c r="URL11" s="113"/>
      <c r="URM11" s="113"/>
      <c r="URN11" s="113"/>
      <c r="URO11" s="113"/>
      <c r="URP11" s="113"/>
      <c r="URQ11" s="113"/>
      <c r="URR11" s="113"/>
      <c r="URS11" s="113"/>
      <c r="URT11" s="113"/>
      <c r="URU11" s="113"/>
      <c r="URV11" s="113"/>
      <c r="URW11" s="113"/>
      <c r="URX11" s="113"/>
      <c r="URY11" s="113"/>
      <c r="URZ11" s="113"/>
      <c r="USA11" s="113"/>
      <c r="USB11" s="113"/>
      <c r="USC11" s="113"/>
      <c r="USD11" s="113"/>
      <c r="USE11" s="113"/>
      <c r="USF11" s="113"/>
      <c r="USG11" s="113"/>
      <c r="USH11" s="113"/>
      <c r="USI11" s="113"/>
      <c r="USJ11" s="113"/>
      <c r="USK11" s="113"/>
      <c r="USL11" s="113"/>
      <c r="USM11" s="113"/>
      <c r="USN11" s="113"/>
      <c r="USO11" s="113"/>
      <c r="USP11" s="113"/>
      <c r="USQ11" s="113"/>
      <c r="USR11" s="113"/>
      <c r="USS11" s="113"/>
      <c r="UST11" s="113"/>
      <c r="USU11" s="113"/>
      <c r="USV11" s="113"/>
      <c r="USW11" s="113"/>
      <c r="USX11" s="113"/>
      <c r="USY11" s="113"/>
      <c r="USZ11" s="113"/>
      <c r="UTA11" s="113"/>
      <c r="UTB11" s="113"/>
      <c r="UTC11" s="113"/>
      <c r="UTD11" s="113"/>
      <c r="UTE11" s="113"/>
      <c r="UTF11" s="113"/>
      <c r="UTG11" s="113"/>
      <c r="UTH11" s="113"/>
      <c r="UTI11" s="113"/>
      <c r="UTJ11" s="113"/>
      <c r="UTK11" s="113"/>
      <c r="UTL11" s="113"/>
      <c r="UTM11" s="113"/>
      <c r="UTN11" s="113"/>
      <c r="UTO11" s="113"/>
      <c r="UTP11" s="113"/>
      <c r="UTQ11" s="113"/>
      <c r="UTR11" s="113"/>
      <c r="UTS11" s="113"/>
      <c r="UTT11" s="113"/>
      <c r="UTU11" s="113"/>
      <c r="UTV11" s="113"/>
      <c r="UTW11" s="113"/>
      <c r="UTX11" s="113"/>
      <c r="UTY11" s="113"/>
      <c r="UTZ11" s="113"/>
      <c r="UUA11" s="113"/>
      <c r="UUB11" s="113"/>
      <c r="UUC11" s="113"/>
      <c r="UUD11" s="113"/>
      <c r="UUE11" s="113"/>
      <c r="UUF11" s="113"/>
      <c r="UUG11" s="113"/>
      <c r="UUH11" s="113"/>
      <c r="UUI11" s="113"/>
      <c r="UUJ11" s="113"/>
      <c r="UUK11" s="113"/>
      <c r="UUL11" s="113"/>
      <c r="UUM11" s="113"/>
      <c r="UUN11" s="113"/>
      <c r="UUO11" s="113"/>
      <c r="UUP11" s="113"/>
      <c r="UUQ11" s="113"/>
      <c r="UUR11" s="113"/>
      <c r="UUS11" s="113"/>
      <c r="UUT11" s="113"/>
      <c r="UUU11" s="113"/>
      <c r="UUV11" s="113"/>
      <c r="UUW11" s="113"/>
      <c r="UUX11" s="113"/>
      <c r="UUY11" s="113"/>
      <c r="UUZ11" s="113"/>
      <c r="UVA11" s="113"/>
      <c r="UVB11" s="113"/>
      <c r="UVC11" s="113"/>
      <c r="UVD11" s="113"/>
      <c r="UVE11" s="113"/>
      <c r="UVF11" s="113"/>
      <c r="UVG11" s="113"/>
      <c r="UVH11" s="113"/>
      <c r="UVI11" s="113"/>
      <c r="UVJ11" s="113"/>
      <c r="UVK11" s="113"/>
      <c r="UVL11" s="113"/>
      <c r="UVM11" s="113"/>
      <c r="UVN11" s="113"/>
      <c r="UVO11" s="113"/>
      <c r="UVP11" s="113"/>
      <c r="UVQ11" s="113"/>
      <c r="UVR11" s="113"/>
      <c r="UVS11" s="113"/>
      <c r="UVT11" s="113"/>
      <c r="UVU11" s="113"/>
      <c r="UVV11" s="113"/>
      <c r="UVW11" s="113"/>
      <c r="UVX11" s="113"/>
      <c r="UVY11" s="113"/>
      <c r="UVZ11" s="113"/>
      <c r="UWA11" s="113"/>
      <c r="UWB11" s="113"/>
      <c r="UWC11" s="113"/>
      <c r="UWD11" s="113"/>
      <c r="UWE11" s="113"/>
      <c r="UWF11" s="113"/>
      <c r="UWG11" s="113"/>
      <c r="UWH11" s="113"/>
      <c r="UWI11" s="113"/>
      <c r="UWJ11" s="113"/>
      <c r="UWK11" s="113"/>
      <c r="UWL11" s="113"/>
      <c r="UWM11" s="113"/>
      <c r="UWN11" s="113"/>
      <c r="UWO11" s="113"/>
      <c r="UWP11" s="113"/>
      <c r="UWQ11" s="113"/>
      <c r="UWR11" s="113"/>
      <c r="UWS11" s="113"/>
      <c r="UWT11" s="113"/>
      <c r="UWU11" s="113"/>
      <c r="UWV11" s="113"/>
      <c r="UWW11" s="113"/>
      <c r="UWX11" s="113"/>
      <c r="UWY11" s="113"/>
      <c r="UWZ11" s="113"/>
      <c r="UXA11" s="113"/>
      <c r="UXB11" s="113"/>
      <c r="UXC11" s="113"/>
      <c r="UXD11" s="113"/>
      <c r="UXE11" s="113"/>
      <c r="UXF11" s="113"/>
      <c r="UXG11" s="113"/>
      <c r="UXH11" s="113"/>
      <c r="UXI11" s="113"/>
      <c r="UXJ11" s="113"/>
      <c r="UXK11" s="113"/>
      <c r="UXL11" s="113"/>
      <c r="UXM11" s="113"/>
      <c r="UXN11" s="113"/>
      <c r="UXO11" s="113"/>
      <c r="UXP11" s="113"/>
      <c r="UXQ11" s="113"/>
      <c r="UXR11" s="113"/>
      <c r="UXS11" s="113"/>
      <c r="UXT11" s="113"/>
      <c r="UXU11" s="113"/>
      <c r="UXV11" s="113"/>
      <c r="UXW11" s="113"/>
      <c r="UXX11" s="113"/>
      <c r="UXY11" s="113"/>
      <c r="UXZ11" s="113"/>
      <c r="UYA11" s="113"/>
      <c r="UYB11" s="113"/>
      <c r="UYC11" s="113"/>
      <c r="UYD11" s="113"/>
      <c r="UYE11" s="113"/>
      <c r="UYF11" s="113"/>
      <c r="UYG11" s="113"/>
      <c r="UYH11" s="113"/>
      <c r="UYI11" s="113"/>
      <c r="UYJ11" s="113"/>
      <c r="UYK11" s="113"/>
      <c r="UYL11" s="113"/>
      <c r="UYM11" s="113"/>
      <c r="UYN11" s="113"/>
      <c r="UYO11" s="113"/>
      <c r="UYP11" s="113"/>
      <c r="UYQ11" s="113"/>
      <c r="UYR11" s="113"/>
      <c r="UYS11" s="113"/>
      <c r="UYT11" s="113"/>
      <c r="UYU11" s="113"/>
      <c r="UYV11" s="113"/>
      <c r="UYW11" s="113"/>
      <c r="UYX11" s="113"/>
      <c r="UYY11" s="113"/>
      <c r="UYZ11" s="113"/>
      <c r="UZA11" s="113"/>
      <c r="UZB11" s="113"/>
      <c r="UZC11" s="113"/>
      <c r="UZD11" s="113"/>
      <c r="UZE11" s="113"/>
      <c r="UZF11" s="113"/>
      <c r="UZG11" s="113"/>
      <c r="UZH11" s="113"/>
      <c r="UZI11" s="113"/>
      <c r="UZJ11" s="113"/>
      <c r="UZK11" s="113"/>
      <c r="UZL11" s="113"/>
      <c r="UZM11" s="113"/>
      <c r="UZN11" s="113"/>
      <c r="UZO11" s="113"/>
      <c r="UZP11" s="113"/>
      <c r="UZQ11" s="113"/>
      <c r="UZR11" s="113"/>
      <c r="UZS11" s="113"/>
      <c r="UZT11" s="113"/>
      <c r="UZU11" s="113"/>
      <c r="UZV11" s="113"/>
      <c r="UZW11" s="113"/>
      <c r="UZX11" s="113"/>
      <c r="UZY11" s="113"/>
      <c r="UZZ11" s="113"/>
      <c r="VAA11" s="113"/>
      <c r="VAB11" s="113"/>
      <c r="VAC11" s="113"/>
      <c r="VAD11" s="113"/>
      <c r="VAE11" s="113"/>
      <c r="VAF11" s="113"/>
      <c r="VAG11" s="113"/>
      <c r="VAH11" s="113"/>
      <c r="VAI11" s="113"/>
      <c r="VAJ11" s="113"/>
      <c r="VAK11" s="113"/>
      <c r="VAL11" s="113"/>
      <c r="VAM11" s="113"/>
      <c r="VAN11" s="113"/>
      <c r="VAO11" s="113"/>
      <c r="VAP11" s="113"/>
      <c r="VAQ11" s="113"/>
      <c r="VAR11" s="113"/>
      <c r="VAS11" s="113"/>
      <c r="VAT11" s="113"/>
      <c r="VAU11" s="113"/>
      <c r="VAV11" s="113"/>
      <c r="VAW11" s="113"/>
      <c r="VAX11" s="113"/>
      <c r="VAY11" s="113"/>
      <c r="VAZ11" s="113"/>
      <c r="VBA11" s="113"/>
      <c r="VBB11" s="113"/>
      <c r="VBC11" s="113"/>
      <c r="VBD11" s="113"/>
      <c r="VBE11" s="113"/>
      <c r="VBF11" s="113"/>
      <c r="VBG11" s="113"/>
      <c r="VBH11" s="113"/>
      <c r="VBI11" s="113"/>
      <c r="VBJ11" s="113"/>
      <c r="VBK11" s="113"/>
      <c r="VBL11" s="113"/>
      <c r="VBM11" s="113"/>
      <c r="VBN11" s="113"/>
      <c r="VBO11" s="113"/>
      <c r="VBP11" s="113"/>
      <c r="VBQ11" s="113"/>
      <c r="VBR11" s="113"/>
      <c r="VBS11" s="113"/>
      <c r="VBT11" s="113"/>
      <c r="VBU11" s="113"/>
      <c r="VBV11" s="113"/>
      <c r="VBW11" s="113"/>
      <c r="VBX11" s="113"/>
      <c r="VBY11" s="113"/>
      <c r="VBZ11" s="113"/>
      <c r="VCA11" s="113"/>
      <c r="VCB11" s="113"/>
      <c r="VCC11" s="113"/>
      <c r="VCD11" s="113"/>
      <c r="VCE11" s="113"/>
      <c r="VCF11" s="113"/>
      <c r="VCG11" s="113"/>
      <c r="VCH11" s="113"/>
      <c r="VCI11" s="113"/>
      <c r="VCJ11" s="113"/>
      <c r="VCK11" s="113"/>
      <c r="VCL11" s="113"/>
      <c r="VCM11" s="113"/>
      <c r="VCN11" s="113"/>
      <c r="VCO11" s="113"/>
      <c r="VCP11" s="113"/>
      <c r="VCQ11" s="113"/>
      <c r="VCR11" s="113"/>
      <c r="VCS11" s="113"/>
      <c r="VCT11" s="113"/>
      <c r="VCU11" s="113"/>
      <c r="VCV11" s="113"/>
      <c r="VCW11" s="113"/>
      <c r="VCX11" s="113"/>
      <c r="VCY11" s="113"/>
      <c r="VCZ11" s="113"/>
      <c r="VDA11" s="113"/>
      <c r="VDB11" s="113"/>
      <c r="VDC11" s="113"/>
      <c r="VDD11" s="113"/>
      <c r="VDE11" s="113"/>
      <c r="VDF11" s="113"/>
      <c r="VDG11" s="113"/>
      <c r="VDH11" s="113"/>
      <c r="VDI11" s="113"/>
      <c r="VDJ11" s="113"/>
      <c r="VDK11" s="113"/>
      <c r="VDL11" s="113"/>
      <c r="VDM11" s="113"/>
      <c r="VDN11" s="113"/>
      <c r="VDO11" s="113"/>
      <c r="VDP11" s="113"/>
      <c r="VDQ11" s="113"/>
      <c r="VDR11" s="113"/>
      <c r="VDS11" s="113"/>
      <c r="VDT11" s="113"/>
      <c r="VDU11" s="113"/>
      <c r="VDV11" s="113"/>
      <c r="VDW11" s="113"/>
      <c r="VDX11" s="113"/>
      <c r="VDY11" s="113"/>
      <c r="VDZ11" s="113"/>
      <c r="VEA11" s="113"/>
      <c r="VEB11" s="113"/>
      <c r="VEC11" s="113"/>
      <c r="VED11" s="113"/>
      <c r="VEE11" s="113"/>
      <c r="VEF11" s="113"/>
      <c r="VEG11" s="113"/>
      <c r="VEH11" s="113"/>
      <c r="VEI11" s="113"/>
      <c r="VEJ11" s="113"/>
      <c r="VEK11" s="113"/>
      <c r="VEL11" s="113"/>
      <c r="VEM11" s="113"/>
      <c r="VEN11" s="113"/>
      <c r="VEO11" s="113"/>
      <c r="VEP11" s="113"/>
      <c r="VEQ11" s="113"/>
      <c r="VER11" s="113"/>
      <c r="VES11" s="113"/>
      <c r="VET11" s="113"/>
      <c r="VEU11" s="113"/>
      <c r="VEV11" s="113"/>
      <c r="VEW11" s="113"/>
      <c r="VEX11" s="113"/>
      <c r="VEY11" s="113"/>
      <c r="VEZ11" s="113"/>
      <c r="VFA11" s="113"/>
      <c r="VFB11" s="113"/>
      <c r="VFC11" s="113"/>
      <c r="VFD11" s="113"/>
      <c r="VFE11" s="113"/>
      <c r="VFF11" s="113"/>
      <c r="VFG11" s="113"/>
      <c r="VFH11" s="113"/>
      <c r="VFI11" s="113"/>
      <c r="VFJ11" s="113"/>
      <c r="VFK11" s="113"/>
      <c r="VFL11" s="113"/>
      <c r="VFM11" s="113"/>
      <c r="VFN11" s="113"/>
      <c r="VFO11" s="113"/>
      <c r="VFP11" s="113"/>
      <c r="VFQ11" s="113"/>
      <c r="VFR11" s="113"/>
      <c r="VFS11" s="113"/>
      <c r="VFT11" s="113"/>
      <c r="VFU11" s="113"/>
      <c r="VFV11" s="113"/>
      <c r="VFW11" s="113"/>
      <c r="VFX11" s="113"/>
      <c r="VFY11" s="113"/>
      <c r="VFZ11" s="113"/>
      <c r="VGA11" s="113"/>
      <c r="VGB11" s="113"/>
      <c r="VGC11" s="113"/>
      <c r="VGD11" s="113"/>
      <c r="VGE11" s="113"/>
      <c r="VGF11" s="113"/>
      <c r="VGG11" s="113"/>
      <c r="VGH11" s="113"/>
      <c r="VGI11" s="113"/>
      <c r="VGJ11" s="113"/>
      <c r="VGK11" s="113"/>
      <c r="VGL11" s="113"/>
      <c r="VGM11" s="113"/>
      <c r="VGN11" s="113"/>
      <c r="VGO11" s="113"/>
      <c r="VGP11" s="113"/>
      <c r="VGQ11" s="113"/>
      <c r="VGR11" s="113"/>
      <c r="VGS11" s="113"/>
      <c r="VGT11" s="113"/>
      <c r="VGU11" s="113"/>
      <c r="VGV11" s="113"/>
      <c r="VGW11" s="113"/>
      <c r="VGX11" s="113"/>
      <c r="VGY11" s="113"/>
      <c r="VGZ11" s="113"/>
      <c r="VHA11" s="113"/>
      <c r="VHB11" s="113"/>
      <c r="VHC11" s="113"/>
      <c r="VHD11" s="113"/>
      <c r="VHE11" s="113"/>
      <c r="VHF11" s="113"/>
      <c r="VHG11" s="113"/>
      <c r="VHH11" s="113"/>
      <c r="VHI11" s="113"/>
      <c r="VHJ11" s="113"/>
      <c r="VHK11" s="113"/>
      <c r="VHL11" s="113"/>
      <c r="VHM11" s="113"/>
      <c r="VHN11" s="113"/>
      <c r="VHO11" s="113"/>
      <c r="VHP11" s="113"/>
      <c r="VHQ11" s="113"/>
      <c r="VHR11" s="113"/>
      <c r="VHS11" s="113"/>
      <c r="VHT11" s="113"/>
      <c r="VHU11" s="113"/>
      <c r="VHV11" s="113"/>
      <c r="VHW11" s="113"/>
      <c r="VHX11" s="113"/>
      <c r="VHY11" s="113"/>
      <c r="VHZ11" s="113"/>
      <c r="VIA11" s="113"/>
      <c r="VIB11" s="113"/>
      <c r="VIC11" s="113"/>
      <c r="VID11" s="113"/>
      <c r="VIE11" s="113"/>
      <c r="VIF11" s="113"/>
      <c r="VIG11" s="113"/>
      <c r="VIH11" s="113"/>
      <c r="VII11" s="113"/>
      <c r="VIJ11" s="113"/>
      <c r="VIK11" s="113"/>
      <c r="VIL11" s="113"/>
      <c r="VIM11" s="113"/>
      <c r="VIN11" s="113"/>
      <c r="VIO11" s="113"/>
      <c r="VIP11" s="113"/>
      <c r="VIQ11" s="113"/>
      <c r="VIR11" s="113"/>
      <c r="VIS11" s="113"/>
      <c r="VIT11" s="113"/>
      <c r="VIU11" s="113"/>
      <c r="VIV11" s="113"/>
      <c r="VIW11" s="113"/>
      <c r="VIX11" s="113"/>
      <c r="VIY11" s="113"/>
      <c r="VIZ11" s="113"/>
      <c r="VJA11" s="113"/>
      <c r="VJB11" s="113"/>
      <c r="VJC11" s="113"/>
      <c r="VJD11" s="113"/>
      <c r="VJE11" s="113"/>
      <c r="VJF11" s="113"/>
      <c r="VJG11" s="113"/>
      <c r="VJH11" s="113"/>
      <c r="VJI11" s="113"/>
      <c r="VJJ11" s="113"/>
      <c r="VJK11" s="113"/>
      <c r="VJL11" s="113"/>
      <c r="VJM11" s="113"/>
      <c r="VJN11" s="113"/>
      <c r="VJO11" s="113"/>
      <c r="VJP11" s="113"/>
      <c r="VJQ11" s="113"/>
      <c r="VJR11" s="113"/>
      <c r="VJS11" s="113"/>
      <c r="VJT11" s="113"/>
      <c r="VJU11" s="113"/>
      <c r="VJV11" s="113"/>
      <c r="VJW11" s="113"/>
      <c r="VJX11" s="113"/>
      <c r="VJY11" s="113"/>
      <c r="VJZ11" s="113"/>
      <c r="VKA11" s="113"/>
      <c r="VKB11" s="113"/>
      <c r="VKC11" s="113"/>
      <c r="VKD11" s="113"/>
      <c r="VKE11" s="113"/>
      <c r="VKF11" s="113"/>
      <c r="VKG11" s="113"/>
      <c r="VKH11" s="113"/>
      <c r="VKI11" s="113"/>
      <c r="VKJ11" s="113"/>
      <c r="VKK11" s="113"/>
      <c r="VKL11" s="113"/>
      <c r="VKM11" s="113"/>
      <c r="VKN11" s="113"/>
      <c r="VKO11" s="113"/>
      <c r="VKP11" s="113"/>
      <c r="VKQ11" s="113"/>
      <c r="VKR11" s="113"/>
      <c r="VKS11" s="113"/>
      <c r="VKT11" s="113"/>
      <c r="VKU11" s="113"/>
      <c r="VKV11" s="113"/>
      <c r="VKW11" s="113"/>
      <c r="VKX11" s="113"/>
      <c r="VKY11" s="113"/>
      <c r="VKZ11" s="113"/>
      <c r="VLA11" s="113"/>
      <c r="VLB11" s="113"/>
      <c r="VLC11" s="113"/>
      <c r="VLD11" s="113"/>
      <c r="VLE11" s="113"/>
      <c r="VLF11" s="113"/>
      <c r="VLG11" s="113"/>
      <c r="VLH11" s="113"/>
      <c r="VLI11" s="113"/>
      <c r="VLJ11" s="113"/>
      <c r="VLK11" s="113"/>
      <c r="VLL11" s="113"/>
      <c r="VLM11" s="113"/>
      <c r="VLN11" s="113"/>
      <c r="VLO11" s="113"/>
      <c r="VLP11" s="113"/>
      <c r="VLQ11" s="113"/>
      <c r="VLR11" s="113"/>
      <c r="VLS11" s="113"/>
      <c r="VLT11" s="113"/>
      <c r="VLU11" s="113"/>
      <c r="VLV11" s="113"/>
      <c r="VLW11" s="113"/>
      <c r="VLX11" s="113"/>
      <c r="VLY11" s="113"/>
      <c r="VLZ11" s="113"/>
      <c r="VMA11" s="113"/>
      <c r="VMB11" s="113"/>
      <c r="VMC11" s="113"/>
      <c r="VMD11" s="113"/>
      <c r="VME11" s="113"/>
      <c r="VMF11" s="113"/>
      <c r="VMG11" s="113"/>
      <c r="VMH11" s="113"/>
      <c r="VMI11" s="113"/>
      <c r="VMJ11" s="113"/>
      <c r="VMK11" s="113"/>
      <c r="VML11" s="113"/>
      <c r="VMM11" s="113"/>
      <c r="VMN11" s="113"/>
      <c r="VMO11" s="113"/>
      <c r="VMP11" s="113"/>
      <c r="VMQ11" s="113"/>
      <c r="VMR11" s="113"/>
      <c r="VMS11" s="113"/>
      <c r="VMT11" s="113"/>
      <c r="VMU11" s="113"/>
      <c r="VMV11" s="113"/>
      <c r="VMW11" s="113"/>
      <c r="VMX11" s="113"/>
      <c r="VMY11" s="113"/>
      <c r="VMZ11" s="113"/>
      <c r="VNA11" s="113"/>
      <c r="VNB11" s="113"/>
      <c r="VNC11" s="113"/>
      <c r="VND11" s="113"/>
      <c r="VNE11" s="113"/>
      <c r="VNF11" s="113"/>
      <c r="VNG11" s="113"/>
      <c r="VNH11" s="113"/>
      <c r="VNI11" s="113"/>
      <c r="VNJ11" s="113"/>
      <c r="VNK11" s="113"/>
      <c r="VNL11" s="113"/>
      <c r="VNM11" s="113"/>
      <c r="VNN11" s="113"/>
      <c r="VNO11" s="113"/>
      <c r="VNP11" s="113"/>
      <c r="VNQ11" s="113"/>
      <c r="VNR11" s="113"/>
      <c r="VNS11" s="113"/>
      <c r="VNT11" s="113"/>
      <c r="VNU11" s="113"/>
      <c r="VNV11" s="113"/>
      <c r="VNW11" s="113"/>
      <c r="VNX11" s="113"/>
      <c r="VNY11" s="113"/>
      <c r="VNZ11" s="113"/>
      <c r="VOA11" s="113"/>
      <c r="VOB11" s="113"/>
      <c r="VOC11" s="113"/>
      <c r="VOD11" s="113"/>
      <c r="VOE11" s="113"/>
      <c r="VOF11" s="113"/>
      <c r="VOG11" s="113"/>
      <c r="VOH11" s="113"/>
      <c r="VOI11" s="113"/>
      <c r="VOJ11" s="113"/>
      <c r="VOK11" s="113"/>
      <c r="VOL11" s="113"/>
      <c r="VOM11" s="113"/>
      <c r="VON11" s="113"/>
      <c r="VOO11" s="113"/>
      <c r="VOP11" s="113"/>
      <c r="VOQ11" s="113"/>
      <c r="VOR11" s="113"/>
      <c r="VOS11" s="113"/>
      <c r="VOT11" s="113"/>
      <c r="VOU11" s="113"/>
      <c r="VOV11" s="113"/>
      <c r="VOW11" s="113"/>
      <c r="VOX11" s="113"/>
      <c r="VOY11" s="113"/>
      <c r="VOZ11" s="113"/>
      <c r="VPA11" s="113"/>
      <c r="VPB11" s="113"/>
      <c r="VPC11" s="113"/>
      <c r="VPD11" s="113"/>
      <c r="VPE11" s="113"/>
      <c r="VPF11" s="113"/>
      <c r="VPG11" s="113"/>
      <c r="VPH11" s="113"/>
      <c r="VPI11" s="113"/>
      <c r="VPJ11" s="113"/>
      <c r="VPK11" s="113"/>
      <c r="VPL11" s="113"/>
      <c r="VPM11" s="113"/>
      <c r="VPN11" s="113"/>
      <c r="VPO11" s="113"/>
      <c r="VPP11" s="113"/>
      <c r="VPQ11" s="113"/>
      <c r="VPR11" s="113"/>
      <c r="VPS11" s="113"/>
      <c r="VPT11" s="113"/>
      <c r="VPU11" s="113"/>
      <c r="VPV11" s="113"/>
      <c r="VPW11" s="113"/>
      <c r="VPX11" s="113"/>
      <c r="VPY11" s="113"/>
      <c r="VPZ11" s="113"/>
      <c r="VQA11" s="113"/>
      <c r="VQB11" s="113"/>
      <c r="VQC11" s="113"/>
      <c r="VQD11" s="113"/>
      <c r="VQE11" s="113"/>
      <c r="VQF11" s="113"/>
      <c r="VQG11" s="113"/>
      <c r="VQH11" s="113"/>
      <c r="VQI11" s="113"/>
      <c r="VQJ11" s="113"/>
      <c r="VQK11" s="113"/>
      <c r="VQL11" s="113"/>
      <c r="VQM11" s="113"/>
      <c r="VQN11" s="113"/>
      <c r="VQO11" s="113"/>
      <c r="VQP11" s="113"/>
      <c r="VQQ11" s="113"/>
      <c r="VQR11" s="113"/>
      <c r="VQS11" s="113"/>
      <c r="VQT11" s="113"/>
      <c r="VQU11" s="113"/>
      <c r="VQV11" s="113"/>
      <c r="VQW11" s="113"/>
      <c r="VQX11" s="113"/>
      <c r="VQY11" s="113"/>
      <c r="VQZ11" s="113"/>
      <c r="VRA11" s="113"/>
      <c r="VRB11" s="113"/>
      <c r="VRC11" s="113"/>
      <c r="VRD11" s="113"/>
      <c r="VRE11" s="113"/>
      <c r="VRF11" s="113"/>
      <c r="VRG11" s="113"/>
      <c r="VRH11" s="113"/>
      <c r="VRI11" s="113"/>
      <c r="VRJ11" s="113"/>
      <c r="VRK11" s="113"/>
      <c r="VRL11" s="113"/>
      <c r="VRM11" s="113"/>
      <c r="VRN11" s="113"/>
      <c r="VRO11" s="113"/>
      <c r="VRP11" s="113"/>
      <c r="VRQ11" s="113"/>
      <c r="VRR11" s="113"/>
      <c r="VRS11" s="113"/>
      <c r="VRT11" s="113"/>
      <c r="VRU11" s="113"/>
      <c r="VRV11" s="113"/>
      <c r="VRW11" s="113"/>
      <c r="VRX11" s="113"/>
      <c r="VRY11" s="113"/>
      <c r="VRZ11" s="113"/>
      <c r="VSA11" s="113"/>
      <c r="VSB11" s="113"/>
      <c r="VSC11" s="113"/>
      <c r="VSD11" s="113"/>
      <c r="VSE11" s="113"/>
      <c r="VSF11" s="113"/>
      <c r="VSG11" s="113"/>
      <c r="VSH11" s="113"/>
      <c r="VSI11" s="113"/>
      <c r="VSJ11" s="113"/>
      <c r="VSK11" s="113"/>
      <c r="VSL11" s="113"/>
      <c r="VSM11" s="113"/>
      <c r="VSN11" s="113"/>
      <c r="VSO11" s="113"/>
      <c r="VSP11" s="113"/>
      <c r="VSQ11" s="113"/>
      <c r="VSR11" s="113"/>
      <c r="VSS11" s="113"/>
      <c r="VST11" s="113"/>
      <c r="VSU11" s="113"/>
      <c r="VSV11" s="113"/>
      <c r="VSW11" s="113"/>
      <c r="VSX11" s="113"/>
      <c r="VSY11" s="113"/>
      <c r="VSZ11" s="113"/>
      <c r="VTA11" s="113"/>
      <c r="VTB11" s="113"/>
      <c r="VTC11" s="113"/>
      <c r="VTD11" s="113"/>
      <c r="VTE11" s="113"/>
      <c r="VTF11" s="113"/>
      <c r="VTG11" s="113"/>
      <c r="VTH11" s="113"/>
      <c r="VTI11" s="113"/>
      <c r="VTJ11" s="113"/>
      <c r="VTK11" s="113"/>
      <c r="VTL11" s="113"/>
      <c r="VTM11" s="113"/>
      <c r="VTN11" s="113"/>
      <c r="VTO11" s="113"/>
      <c r="VTP11" s="113"/>
      <c r="VTQ11" s="113"/>
      <c r="VTR11" s="113"/>
      <c r="VTS11" s="113"/>
      <c r="VTT11" s="113"/>
      <c r="VTU11" s="113"/>
      <c r="VTV11" s="113"/>
      <c r="VTW11" s="113"/>
      <c r="VTX11" s="113"/>
      <c r="VTY11" s="113"/>
      <c r="VTZ11" s="113"/>
      <c r="VUA11" s="113"/>
      <c r="VUB11" s="113"/>
      <c r="VUC11" s="113"/>
      <c r="VUD11" s="113"/>
      <c r="VUE11" s="113"/>
      <c r="VUF11" s="113"/>
      <c r="VUG11" s="113"/>
      <c r="VUH11" s="113"/>
      <c r="VUI11" s="113"/>
      <c r="VUJ11" s="113"/>
      <c r="VUK11" s="113"/>
      <c r="VUL11" s="113"/>
      <c r="VUM11" s="113"/>
      <c r="VUN11" s="113"/>
      <c r="VUO11" s="113"/>
      <c r="VUP11" s="113"/>
      <c r="VUQ11" s="113"/>
      <c r="VUR11" s="113"/>
      <c r="VUS11" s="113"/>
      <c r="VUT11" s="113"/>
      <c r="VUU11" s="113"/>
      <c r="VUV11" s="113"/>
      <c r="VUW11" s="113"/>
      <c r="VUX11" s="113"/>
      <c r="VUY11" s="113"/>
      <c r="VUZ11" s="113"/>
      <c r="VVA11" s="113"/>
      <c r="VVB11" s="113"/>
      <c r="VVC11" s="113"/>
      <c r="VVD11" s="113"/>
      <c r="VVE11" s="113"/>
      <c r="VVF11" s="113"/>
      <c r="VVG11" s="113"/>
      <c r="VVH11" s="113"/>
      <c r="VVI11" s="113"/>
      <c r="VVJ11" s="113"/>
      <c r="VVK11" s="113"/>
      <c r="VVL11" s="113"/>
      <c r="VVM11" s="113"/>
      <c r="VVN11" s="113"/>
      <c r="VVO11" s="113"/>
      <c r="VVP11" s="113"/>
      <c r="VVQ11" s="113"/>
      <c r="VVR11" s="113"/>
      <c r="VVS11" s="113"/>
      <c r="VVT11" s="113"/>
      <c r="VVU11" s="113"/>
      <c r="VVV11" s="113"/>
      <c r="VVW11" s="113"/>
      <c r="VVX11" s="113"/>
      <c r="VVY11" s="113"/>
      <c r="VVZ11" s="113"/>
      <c r="VWA11" s="113"/>
      <c r="VWB11" s="113"/>
      <c r="VWC11" s="113"/>
      <c r="VWD11" s="113"/>
      <c r="VWE11" s="113"/>
      <c r="VWF11" s="113"/>
      <c r="VWG11" s="113"/>
      <c r="VWH11" s="113"/>
      <c r="VWI11" s="113"/>
      <c r="VWJ11" s="113"/>
      <c r="VWK11" s="113"/>
      <c r="VWL11" s="113"/>
      <c r="VWM11" s="113"/>
      <c r="VWN11" s="113"/>
      <c r="VWO11" s="113"/>
      <c r="VWP11" s="113"/>
      <c r="VWQ11" s="113"/>
      <c r="VWR11" s="113"/>
      <c r="VWS11" s="113"/>
      <c r="VWT11" s="113"/>
      <c r="VWU11" s="113"/>
      <c r="VWV11" s="113"/>
      <c r="VWW11" s="113"/>
      <c r="VWX11" s="113"/>
      <c r="VWY11" s="113"/>
      <c r="VWZ11" s="113"/>
      <c r="VXA11" s="113"/>
      <c r="VXB11" s="113"/>
      <c r="VXC11" s="113"/>
      <c r="VXD11" s="113"/>
      <c r="VXE11" s="113"/>
      <c r="VXF11" s="113"/>
      <c r="VXG11" s="113"/>
      <c r="VXH11" s="113"/>
      <c r="VXI11" s="113"/>
      <c r="VXJ11" s="113"/>
      <c r="VXK11" s="113"/>
      <c r="VXL11" s="113"/>
      <c r="VXM11" s="113"/>
      <c r="VXN11" s="113"/>
      <c r="VXO11" s="113"/>
      <c r="VXP11" s="113"/>
      <c r="VXQ11" s="113"/>
      <c r="VXR11" s="113"/>
      <c r="VXS11" s="113"/>
      <c r="VXT11" s="113"/>
      <c r="VXU11" s="113"/>
      <c r="VXV11" s="113"/>
      <c r="VXW11" s="113"/>
      <c r="VXX11" s="113"/>
      <c r="VXY11" s="113"/>
      <c r="VXZ11" s="113"/>
      <c r="VYA11" s="113"/>
      <c r="VYB11" s="113"/>
      <c r="VYC11" s="113"/>
      <c r="VYD11" s="113"/>
      <c r="VYE11" s="113"/>
      <c r="VYF11" s="113"/>
      <c r="VYG11" s="113"/>
      <c r="VYH11" s="113"/>
      <c r="VYI11" s="113"/>
      <c r="VYJ11" s="113"/>
      <c r="VYK11" s="113"/>
      <c r="VYL11" s="113"/>
      <c r="VYM11" s="113"/>
      <c r="VYN11" s="113"/>
      <c r="VYO11" s="113"/>
      <c r="VYP11" s="113"/>
      <c r="VYQ11" s="113"/>
      <c r="VYR11" s="113"/>
      <c r="VYS11" s="113"/>
      <c r="VYT11" s="113"/>
      <c r="VYU11" s="113"/>
      <c r="VYV11" s="113"/>
      <c r="VYW11" s="113"/>
      <c r="VYX11" s="113"/>
      <c r="VYY11" s="113"/>
      <c r="VYZ11" s="113"/>
      <c r="VZA11" s="113"/>
      <c r="VZB11" s="113"/>
      <c r="VZC11" s="113"/>
      <c r="VZD11" s="113"/>
      <c r="VZE11" s="113"/>
      <c r="VZF11" s="113"/>
      <c r="VZG11" s="113"/>
      <c r="VZH11" s="113"/>
      <c r="VZI11" s="113"/>
      <c r="VZJ11" s="113"/>
      <c r="VZK11" s="113"/>
      <c r="VZL11" s="113"/>
      <c r="VZM11" s="113"/>
      <c r="VZN11" s="113"/>
      <c r="VZO11" s="113"/>
      <c r="VZP11" s="113"/>
      <c r="VZQ11" s="113"/>
      <c r="VZR11" s="113"/>
      <c r="VZS11" s="113"/>
      <c r="VZT11" s="113"/>
      <c r="VZU11" s="113"/>
      <c r="VZV11" s="113"/>
      <c r="VZW11" s="113"/>
      <c r="VZX11" s="113"/>
      <c r="VZY11" s="113"/>
      <c r="VZZ11" s="113"/>
      <c r="WAA11" s="113"/>
      <c r="WAB11" s="113"/>
      <c r="WAC11" s="113"/>
      <c r="WAD11" s="113"/>
      <c r="WAE11" s="113"/>
      <c r="WAF11" s="113"/>
      <c r="WAG11" s="113"/>
      <c r="WAH11" s="113"/>
      <c r="WAI11" s="113"/>
      <c r="WAJ11" s="113"/>
      <c r="WAK11" s="113"/>
      <c r="WAL11" s="113"/>
      <c r="WAM11" s="113"/>
      <c r="WAN11" s="113"/>
      <c r="WAO11" s="113"/>
      <c r="WAP11" s="113"/>
      <c r="WAQ11" s="113"/>
      <c r="WAR11" s="113"/>
      <c r="WAS11" s="113"/>
      <c r="WAT11" s="113"/>
      <c r="WAU11" s="113"/>
      <c r="WAV11" s="113"/>
      <c r="WAW11" s="113"/>
      <c r="WAX11" s="113"/>
      <c r="WAY11" s="113"/>
      <c r="WAZ11" s="113"/>
      <c r="WBA11" s="113"/>
      <c r="WBB11" s="113"/>
      <c r="WBC11" s="113"/>
      <c r="WBD11" s="113"/>
      <c r="WBE11" s="113"/>
      <c r="WBF11" s="113"/>
      <c r="WBG11" s="113"/>
      <c r="WBH11" s="113"/>
      <c r="WBI11" s="113"/>
      <c r="WBJ11" s="113"/>
      <c r="WBK11" s="113"/>
      <c r="WBL11" s="113"/>
      <c r="WBM11" s="113"/>
      <c r="WBN11" s="113"/>
      <c r="WBO11" s="113"/>
      <c r="WBP11" s="113"/>
      <c r="WBQ11" s="113"/>
      <c r="WBR11" s="113"/>
      <c r="WBS11" s="113"/>
      <c r="WBT11" s="113"/>
      <c r="WBU11" s="113"/>
      <c r="WBV11" s="113"/>
      <c r="WBW11" s="113"/>
      <c r="WBX11" s="113"/>
      <c r="WBY11" s="113"/>
      <c r="WBZ11" s="113"/>
      <c r="WCA11" s="113"/>
      <c r="WCB11" s="113"/>
      <c r="WCC11" s="113"/>
      <c r="WCD11" s="113"/>
      <c r="WCE11" s="113"/>
      <c r="WCF11" s="113"/>
      <c r="WCG11" s="113"/>
      <c r="WCH11" s="113"/>
      <c r="WCI11" s="113"/>
      <c r="WCJ11" s="113"/>
      <c r="WCK11" s="113"/>
      <c r="WCL11" s="113"/>
      <c r="WCM11" s="113"/>
      <c r="WCN11" s="113"/>
      <c r="WCO11" s="113"/>
      <c r="WCP11" s="113"/>
      <c r="WCQ11" s="113"/>
      <c r="WCR11" s="113"/>
      <c r="WCS11" s="113"/>
      <c r="WCT11" s="113"/>
      <c r="WCU11" s="113"/>
      <c r="WCV11" s="113"/>
      <c r="WCW11" s="113"/>
      <c r="WCX11" s="113"/>
      <c r="WCY11" s="113"/>
      <c r="WCZ11" s="113"/>
      <c r="WDA11" s="113"/>
      <c r="WDB11" s="113"/>
      <c r="WDC11" s="113"/>
      <c r="WDD11" s="113"/>
      <c r="WDE11" s="113"/>
      <c r="WDF11" s="113"/>
      <c r="WDG11" s="113"/>
      <c r="WDH11" s="113"/>
      <c r="WDI11" s="113"/>
      <c r="WDJ11" s="113"/>
      <c r="WDK11" s="113"/>
      <c r="WDL11" s="113"/>
      <c r="WDM11" s="113"/>
      <c r="WDN11" s="113"/>
      <c r="WDO11" s="113"/>
      <c r="WDP11" s="113"/>
      <c r="WDQ11" s="113"/>
      <c r="WDR11" s="113"/>
      <c r="WDS11" s="113"/>
      <c r="WDT11" s="113"/>
      <c r="WDU11" s="113"/>
      <c r="WDV11" s="113"/>
      <c r="WDW11" s="113"/>
      <c r="WDX11" s="113"/>
      <c r="WDY11" s="113"/>
      <c r="WDZ11" s="113"/>
      <c r="WEA11" s="113"/>
      <c r="WEB11" s="113"/>
      <c r="WEC11" s="113"/>
      <c r="WED11" s="113"/>
      <c r="WEE11" s="113"/>
      <c r="WEF11" s="113"/>
      <c r="WEG11" s="113"/>
      <c r="WEH11" s="113"/>
      <c r="WEI11" s="113"/>
      <c r="WEJ11" s="113"/>
      <c r="WEK11" s="113"/>
      <c r="WEL11" s="113"/>
      <c r="WEM11" s="113"/>
      <c r="WEN11" s="113"/>
      <c r="WEO11" s="113"/>
      <c r="WEP11" s="113"/>
      <c r="WEQ11" s="113"/>
      <c r="WER11" s="113"/>
      <c r="WES11" s="113"/>
      <c r="WET11" s="113"/>
      <c r="WEU11" s="113"/>
      <c r="WEV11" s="113"/>
      <c r="WEW11" s="113"/>
      <c r="WEX11" s="113"/>
      <c r="WEY11" s="113"/>
      <c r="WEZ11" s="113"/>
      <c r="WFA11" s="113"/>
      <c r="WFB11" s="113"/>
      <c r="WFC11" s="113"/>
      <c r="WFD11" s="113"/>
      <c r="WFE11" s="113"/>
      <c r="WFF11" s="113"/>
      <c r="WFG11" s="113"/>
      <c r="WFH11" s="113"/>
      <c r="WFI11" s="113"/>
      <c r="WFJ11" s="113"/>
      <c r="WFK11" s="113"/>
      <c r="WFL11" s="113"/>
      <c r="WFM11" s="113"/>
      <c r="WFN11" s="113"/>
      <c r="WFO11" s="113"/>
      <c r="WFP11" s="113"/>
      <c r="WFQ11" s="113"/>
      <c r="WFR11" s="113"/>
      <c r="WFS11" s="113"/>
      <c r="WFT11" s="113"/>
      <c r="WFU11" s="113"/>
      <c r="WFV11" s="113"/>
      <c r="WFW11" s="113"/>
      <c r="WFX11" s="113"/>
      <c r="WFY11" s="113"/>
      <c r="WFZ11" s="113"/>
      <c r="WGA11" s="113"/>
      <c r="WGB11" s="113"/>
      <c r="WGC11" s="113"/>
      <c r="WGD11" s="113"/>
      <c r="WGE11" s="113"/>
      <c r="WGF11" s="113"/>
      <c r="WGG11" s="113"/>
      <c r="WGH11" s="113"/>
      <c r="WGI11" s="113"/>
      <c r="WGJ11" s="113"/>
      <c r="WGK11" s="113"/>
      <c r="WGL11" s="113"/>
      <c r="WGM11" s="113"/>
      <c r="WGN11" s="113"/>
      <c r="WGO11" s="113"/>
      <c r="WGP11" s="113"/>
      <c r="WGQ11" s="113"/>
      <c r="WGR11" s="113"/>
      <c r="WGS11" s="113"/>
      <c r="WGT11" s="113"/>
      <c r="WGU11" s="113"/>
      <c r="WGV11" s="113"/>
      <c r="WGW11" s="113"/>
      <c r="WGX11" s="113"/>
      <c r="WGY11" s="113"/>
      <c r="WGZ11" s="113"/>
      <c r="WHA11" s="113"/>
      <c r="WHB11" s="113"/>
      <c r="WHC11" s="113"/>
      <c r="WHD11" s="113"/>
      <c r="WHE11" s="113"/>
      <c r="WHF11" s="113"/>
      <c r="WHG11" s="113"/>
      <c r="WHH11" s="113"/>
      <c r="WHI11" s="113"/>
      <c r="WHJ11" s="113"/>
      <c r="WHK11" s="113"/>
      <c r="WHL11" s="113"/>
      <c r="WHM11" s="113"/>
      <c r="WHN11" s="113"/>
      <c r="WHO11" s="113"/>
      <c r="WHP11" s="113"/>
      <c r="WHQ11" s="113"/>
      <c r="WHR11" s="113"/>
      <c r="WHS11" s="113"/>
      <c r="WHT11" s="113"/>
      <c r="WHU11" s="113"/>
      <c r="WHV11" s="113"/>
      <c r="WHW11" s="113"/>
      <c r="WHX11" s="113"/>
      <c r="WHY11" s="113"/>
      <c r="WHZ11" s="113"/>
      <c r="WIA11" s="113"/>
      <c r="WIB11" s="113"/>
      <c r="WIC11" s="113"/>
      <c r="WID11" s="113"/>
      <c r="WIE11" s="113"/>
      <c r="WIF11" s="113"/>
      <c r="WIG11" s="113"/>
      <c r="WIH11" s="113"/>
      <c r="WII11" s="113"/>
      <c r="WIJ11" s="113"/>
      <c r="WIK11" s="113"/>
      <c r="WIL11" s="113"/>
      <c r="WIM11" s="113"/>
      <c r="WIN11" s="113"/>
      <c r="WIO11" s="113"/>
      <c r="WIP11" s="113"/>
      <c r="WIQ11" s="113"/>
      <c r="WIR11" s="113"/>
      <c r="WIS11" s="113"/>
      <c r="WIT11" s="113"/>
      <c r="WIU11" s="113"/>
      <c r="WIV11" s="113"/>
      <c r="WIW11" s="113"/>
      <c r="WIX11" s="113"/>
      <c r="WIY11" s="113"/>
      <c r="WIZ11" s="113"/>
      <c r="WJA11" s="113"/>
      <c r="WJB11" s="113"/>
      <c r="WJC11" s="113"/>
      <c r="WJD11" s="113"/>
      <c r="WJE11" s="113"/>
      <c r="WJF11" s="113"/>
      <c r="WJG11" s="113"/>
      <c r="WJH11" s="113"/>
      <c r="WJI11" s="113"/>
      <c r="WJJ11" s="113"/>
      <c r="WJK11" s="113"/>
      <c r="WJL11" s="113"/>
      <c r="WJM11" s="113"/>
      <c r="WJN11" s="113"/>
      <c r="WJO11" s="113"/>
      <c r="WJP11" s="113"/>
      <c r="WJQ11" s="113"/>
      <c r="WJR11" s="113"/>
      <c r="WJS11" s="113"/>
      <c r="WJT11" s="113"/>
      <c r="WJU11" s="113"/>
      <c r="WJV11" s="113"/>
      <c r="WJW11" s="113"/>
      <c r="WJX11" s="113"/>
      <c r="WJY11" s="113"/>
      <c r="WJZ11" s="113"/>
      <c r="WKA11" s="113"/>
      <c r="WKB11" s="113"/>
      <c r="WKC11" s="113"/>
      <c r="WKD11" s="113"/>
      <c r="WKE11" s="113"/>
      <c r="WKF11" s="113"/>
      <c r="WKG11" s="113"/>
      <c r="WKH11" s="113"/>
      <c r="WKI11" s="113"/>
      <c r="WKJ11" s="113"/>
      <c r="WKK11" s="113"/>
      <c r="WKL11" s="113"/>
      <c r="WKM11" s="113"/>
      <c r="WKN11" s="113"/>
      <c r="WKO11" s="113"/>
      <c r="WKP11" s="113"/>
      <c r="WKQ11" s="113"/>
      <c r="WKR11" s="113"/>
      <c r="WKS11" s="113"/>
      <c r="WKT11" s="113"/>
      <c r="WKU11" s="113"/>
      <c r="WKV11" s="113"/>
      <c r="WKW11" s="113"/>
      <c r="WKX11" s="113"/>
      <c r="WKY11" s="113"/>
      <c r="WKZ11" s="113"/>
      <c r="WLA11" s="113"/>
      <c r="WLB11" s="113"/>
      <c r="WLC11" s="113"/>
      <c r="WLD11" s="113"/>
      <c r="WLE11" s="113"/>
      <c r="WLF11" s="113"/>
      <c r="WLG11" s="113"/>
      <c r="WLH11" s="113"/>
      <c r="WLI11" s="113"/>
      <c r="WLJ11" s="113"/>
      <c r="WLK11" s="113"/>
      <c r="WLL11" s="113"/>
      <c r="WLM11" s="113"/>
      <c r="WLN11" s="113"/>
      <c r="WLO11" s="113"/>
      <c r="WLP11" s="113"/>
      <c r="WLQ11" s="113"/>
      <c r="WLR11" s="113"/>
      <c r="WLS11" s="113"/>
      <c r="WLT11" s="113"/>
      <c r="WLU11" s="113"/>
      <c r="WLV11" s="113"/>
      <c r="WLW11" s="113"/>
      <c r="WLX11" s="113"/>
      <c r="WLY11" s="113"/>
      <c r="WLZ11" s="113"/>
      <c r="WMA11" s="113"/>
      <c r="WMB11" s="113"/>
      <c r="WMC11" s="113"/>
      <c r="WMD11" s="113"/>
      <c r="WME11" s="113"/>
      <c r="WMF11" s="113"/>
      <c r="WMG11" s="113"/>
      <c r="WMH11" s="113"/>
      <c r="WMI11" s="113"/>
      <c r="WMJ11" s="113"/>
      <c r="WMK11" s="113"/>
      <c r="WML11" s="113"/>
      <c r="WMM11" s="113"/>
      <c r="WMN11" s="113"/>
      <c r="WMO11" s="113"/>
      <c r="WMP11" s="113"/>
      <c r="WMQ11" s="113"/>
      <c r="WMR11" s="113"/>
      <c r="WMS11" s="113"/>
      <c r="WMT11" s="113"/>
      <c r="WMU11" s="113"/>
      <c r="WMV11" s="113"/>
      <c r="WMW11" s="113"/>
      <c r="WMX11" s="113"/>
      <c r="WMY11" s="113"/>
      <c r="WMZ11" s="113"/>
      <c r="WNA11" s="113"/>
      <c r="WNB11" s="113"/>
      <c r="WNC11" s="113"/>
      <c r="WND11" s="113"/>
      <c r="WNE11" s="113"/>
      <c r="WNF11" s="113"/>
      <c r="WNG11" s="113"/>
      <c r="WNH11" s="113"/>
      <c r="WNI11" s="113"/>
      <c r="WNJ11" s="113"/>
      <c r="WNK11" s="113"/>
      <c r="WNL11" s="113"/>
      <c r="WNM11" s="113"/>
      <c r="WNN11" s="113"/>
      <c r="WNO11" s="113"/>
      <c r="WNP11" s="113"/>
      <c r="WNQ11" s="113"/>
      <c r="WNR11" s="113"/>
      <c r="WNS11" s="113"/>
      <c r="WNT11" s="113"/>
      <c r="WNU11" s="113"/>
      <c r="WNV11" s="113"/>
      <c r="WNW11" s="113"/>
      <c r="WNX11" s="113"/>
      <c r="WNY11" s="113"/>
      <c r="WNZ11" s="113"/>
      <c r="WOA11" s="113"/>
      <c r="WOB11" s="113"/>
      <c r="WOC11" s="113"/>
      <c r="WOD11" s="113"/>
      <c r="WOE11" s="113"/>
      <c r="WOF11" s="113"/>
      <c r="WOG11" s="113"/>
      <c r="WOH11" s="113"/>
      <c r="WOI11" s="113"/>
      <c r="WOJ11" s="113"/>
      <c r="WOK11" s="113"/>
      <c r="WOL11" s="113"/>
      <c r="WOM11" s="113"/>
      <c r="WON11" s="113"/>
      <c r="WOO11" s="113"/>
      <c r="WOP11" s="113"/>
      <c r="WOQ11" s="113"/>
      <c r="WOR11" s="113"/>
      <c r="WOS11" s="113"/>
      <c r="WOT11" s="113"/>
      <c r="WOU11" s="113"/>
      <c r="WOV11" s="113"/>
      <c r="WOW11" s="113"/>
      <c r="WOX11" s="113"/>
      <c r="WOY11" s="113"/>
      <c r="WOZ11" s="113"/>
      <c r="WPA11" s="113"/>
      <c r="WPB11" s="113"/>
      <c r="WPC11" s="113"/>
      <c r="WPD11" s="113"/>
      <c r="WPE11" s="113"/>
      <c r="WPF11" s="113"/>
      <c r="WPG11" s="113"/>
      <c r="WPH11" s="113"/>
      <c r="WPI11" s="113"/>
      <c r="WPJ11" s="113"/>
      <c r="WPK11" s="113"/>
      <c r="WPL11" s="113"/>
      <c r="WPM11" s="113"/>
      <c r="WPN11" s="113"/>
      <c r="WPO11" s="113"/>
      <c r="WPP11" s="113"/>
      <c r="WPQ11" s="113"/>
      <c r="WPR11" s="113"/>
      <c r="WPS11" s="113"/>
      <c r="WPT11" s="113"/>
      <c r="WPU11" s="113"/>
      <c r="WPV11" s="113"/>
      <c r="WPW11" s="113"/>
      <c r="WPX11" s="113"/>
      <c r="WPY11" s="113"/>
      <c r="WPZ11" s="113"/>
      <c r="WQA11" s="113"/>
      <c r="WQB11" s="113"/>
      <c r="WQC11" s="113"/>
      <c r="WQD11" s="113"/>
      <c r="WQE11" s="113"/>
      <c r="WQF11" s="113"/>
      <c r="WQG11" s="113"/>
      <c r="WQH11" s="113"/>
      <c r="WQI11" s="113"/>
      <c r="WQJ11" s="113"/>
      <c r="WQK11" s="113"/>
      <c r="WQL11" s="113"/>
      <c r="WQM11" s="113"/>
      <c r="WQN11" s="113"/>
      <c r="WQO11" s="113"/>
      <c r="WQP11" s="113"/>
      <c r="WQQ11" s="113"/>
      <c r="WQR11" s="113"/>
      <c r="WQS11" s="113"/>
      <c r="WQT11" s="113"/>
      <c r="WQU11" s="113"/>
      <c r="WQV11" s="113"/>
      <c r="WQW11" s="113"/>
      <c r="WQX11" s="113"/>
      <c r="WQY11" s="113"/>
      <c r="WQZ11" s="113"/>
      <c r="WRA11" s="113"/>
      <c r="WRB11" s="113"/>
      <c r="WRC11" s="113"/>
      <c r="WRD11" s="113"/>
      <c r="WRE11" s="113"/>
      <c r="WRF11" s="113"/>
      <c r="WRG11" s="113"/>
      <c r="WRH11" s="113"/>
      <c r="WRI11" s="113"/>
      <c r="WRJ11" s="113"/>
      <c r="WRK11" s="113"/>
      <c r="WRL11" s="113"/>
      <c r="WRM11" s="113"/>
      <c r="WRN11" s="113"/>
      <c r="WRO11" s="113"/>
      <c r="WRP11" s="113"/>
      <c r="WRQ11" s="113"/>
      <c r="WRR11" s="113"/>
      <c r="WRS11" s="113"/>
      <c r="WRT11" s="113"/>
      <c r="WRU11" s="113"/>
      <c r="WRV11" s="113"/>
      <c r="WRW11" s="113"/>
      <c r="WRX11" s="113"/>
      <c r="WRY11" s="113"/>
      <c r="WRZ11" s="113"/>
      <c r="WSA11" s="113"/>
      <c r="WSB11" s="113"/>
      <c r="WSC11" s="113"/>
      <c r="WSD11" s="113"/>
      <c r="WSE11" s="113"/>
      <c r="WSF11" s="113"/>
      <c r="WSG11" s="113"/>
      <c r="WSH11" s="113"/>
      <c r="WSI11" s="113"/>
      <c r="WSJ11" s="113"/>
      <c r="WSK11" s="113"/>
      <c r="WSL11" s="113"/>
      <c r="WSM11" s="113"/>
      <c r="WSN11" s="113"/>
      <c r="WSO11" s="113"/>
      <c r="WSP11" s="113"/>
      <c r="WSQ11" s="113"/>
      <c r="WSR11" s="113"/>
      <c r="WSS11" s="113"/>
      <c r="WST11" s="113"/>
      <c r="WSU11" s="113"/>
      <c r="WSV11" s="113"/>
      <c r="WSW11" s="113"/>
      <c r="WSX11" s="113"/>
      <c r="WSY11" s="113"/>
      <c r="WSZ11" s="113"/>
      <c r="WTA11" s="113"/>
      <c r="WTB11" s="113"/>
      <c r="WTC11" s="113"/>
      <c r="WTD11" s="113"/>
      <c r="WTE11" s="113"/>
      <c r="WTF11" s="113"/>
      <c r="WTG11" s="113"/>
      <c r="WTH11" s="113"/>
      <c r="WTI11" s="113"/>
      <c r="WTJ11" s="113"/>
      <c r="WTK11" s="113"/>
      <c r="WTL11" s="113"/>
      <c r="WTM11" s="113"/>
      <c r="WTN11" s="113"/>
      <c r="WTO11" s="113"/>
      <c r="WTP11" s="113"/>
      <c r="WTQ11" s="113"/>
      <c r="WTR11" s="113"/>
      <c r="WTS11" s="113"/>
      <c r="WTT11" s="113"/>
      <c r="WTU11" s="113"/>
      <c r="WTV11" s="113"/>
      <c r="WTW11" s="113"/>
      <c r="WTX11" s="113"/>
      <c r="WTY11" s="113"/>
      <c r="WTZ11" s="113"/>
      <c r="WUA11" s="113"/>
      <c r="WUB11" s="113"/>
      <c r="WUC11" s="113"/>
      <c r="WUD11" s="113"/>
      <c r="WUE11" s="113"/>
      <c r="WUF11" s="113"/>
      <c r="WUG11" s="113"/>
      <c r="WUH11" s="113"/>
      <c r="WUI11" s="113"/>
      <c r="WUJ11" s="113"/>
      <c r="WUK11" s="113"/>
      <c r="WUL11" s="113"/>
      <c r="WUM11" s="113"/>
      <c r="WUN11" s="113"/>
      <c r="WUO11" s="113"/>
      <c r="WUP11" s="113"/>
      <c r="WUQ11" s="113"/>
      <c r="WUR11" s="113"/>
      <c r="WUS11" s="113"/>
      <c r="WUT11" s="113"/>
      <c r="WUU11" s="113"/>
      <c r="WUV11" s="113"/>
      <c r="WUW11" s="113"/>
      <c r="WUX11" s="113"/>
      <c r="WUY11" s="113"/>
      <c r="WUZ11" s="113"/>
      <c r="WVA11" s="113"/>
      <c r="WVB11" s="113"/>
      <c r="WVC11" s="113"/>
      <c r="WVD11" s="113"/>
      <c r="WVE11" s="113"/>
      <c r="WVF11" s="113"/>
      <c r="WVG11" s="113"/>
      <c r="WVH11" s="113"/>
      <c r="WVI11" s="113"/>
      <c r="WVJ11" s="113"/>
      <c r="WVK11" s="113"/>
      <c r="WVL11" s="113"/>
      <c r="WVM11" s="113"/>
      <c r="WVN11" s="113"/>
      <c r="WVO11" s="113"/>
      <c r="WVP11" s="113"/>
      <c r="WVQ11" s="113"/>
      <c r="WVR11" s="113"/>
      <c r="WVS11" s="113"/>
      <c r="WVT11" s="113"/>
      <c r="WVU11" s="113"/>
      <c r="WVV11" s="113"/>
      <c r="WVW11" s="113"/>
      <c r="WVX11" s="113"/>
      <c r="WVY11" s="113"/>
      <c r="WVZ11" s="113"/>
      <c r="WWA11" s="113"/>
      <c r="WWB11" s="113"/>
      <c r="WWC11" s="113"/>
      <c r="WWD11" s="113"/>
      <c r="WWE11" s="113"/>
      <c r="WWF11" s="113"/>
      <c r="WWG11" s="113"/>
      <c r="WWH11" s="113"/>
      <c r="WWI11" s="113"/>
      <c r="WWJ11" s="113"/>
      <c r="WWK11" s="113"/>
      <c r="WWL11" s="113"/>
      <c r="WWM11" s="113"/>
      <c r="WWN11" s="113"/>
      <c r="WWO11" s="113"/>
      <c r="WWP11" s="113"/>
      <c r="WWQ11" s="113"/>
      <c r="WWR11" s="113"/>
      <c r="WWS11" s="113"/>
      <c r="WWT11" s="113"/>
      <c r="WWU11" s="113"/>
      <c r="WWV11" s="113"/>
      <c r="WWW11" s="113"/>
      <c r="WWX11" s="113"/>
      <c r="WWY11" s="113"/>
      <c r="WWZ11" s="113"/>
      <c r="WXA11" s="113"/>
      <c r="WXB11" s="113"/>
      <c r="WXC11" s="113"/>
      <c r="WXD11" s="113"/>
      <c r="WXE11" s="113"/>
      <c r="WXF11" s="113"/>
      <c r="WXG11" s="113"/>
      <c r="WXH11" s="113"/>
      <c r="WXI11" s="113"/>
      <c r="WXJ11" s="113"/>
      <c r="WXK11" s="113"/>
      <c r="WXL11" s="113"/>
      <c r="WXM11" s="113"/>
      <c r="WXN11" s="113"/>
      <c r="WXO11" s="113"/>
      <c r="WXP11" s="113"/>
      <c r="WXQ11" s="113"/>
      <c r="WXR11" s="113"/>
      <c r="WXS11" s="113"/>
      <c r="WXT11" s="113"/>
      <c r="WXU11" s="113"/>
      <c r="WXV11" s="113"/>
      <c r="WXW11" s="113"/>
      <c r="WXX11" s="113"/>
      <c r="WXY11" s="113"/>
      <c r="WXZ11" s="113"/>
      <c r="WYA11" s="113"/>
      <c r="WYB11" s="113"/>
      <c r="WYC11" s="113"/>
      <c r="WYD11" s="113"/>
      <c r="WYE11" s="113"/>
      <c r="WYF11" s="113"/>
      <c r="WYG11" s="113"/>
      <c r="WYH11" s="113"/>
      <c r="WYI11" s="113"/>
      <c r="WYJ11" s="113"/>
      <c r="WYK11" s="113"/>
      <c r="WYL11" s="113"/>
      <c r="WYM11" s="113"/>
      <c r="WYN11" s="113"/>
      <c r="WYO11" s="113"/>
      <c r="WYP11" s="113"/>
      <c r="WYQ11" s="113"/>
      <c r="WYR11" s="113"/>
      <c r="WYS11" s="113"/>
      <c r="WYT11" s="113"/>
      <c r="WYU11" s="113"/>
      <c r="WYV11" s="113"/>
      <c r="WYW11" s="113"/>
      <c r="WYX11" s="113"/>
      <c r="WYY11" s="113"/>
      <c r="WYZ11" s="113"/>
      <c r="WZA11" s="113"/>
      <c r="WZB11" s="113"/>
      <c r="WZC11" s="113"/>
      <c r="WZD11" s="113"/>
      <c r="WZE11" s="113"/>
      <c r="WZF11" s="113"/>
      <c r="WZG11" s="113"/>
      <c r="WZH11" s="113"/>
      <c r="WZI11" s="113"/>
      <c r="WZJ11" s="113"/>
      <c r="WZK11" s="113"/>
      <c r="WZL11" s="113"/>
      <c r="WZM11" s="113"/>
      <c r="WZN11" s="113"/>
      <c r="WZO11" s="113"/>
      <c r="WZP11" s="113"/>
      <c r="WZQ11" s="113"/>
      <c r="WZR11" s="113"/>
      <c r="WZS11" s="113"/>
      <c r="WZT11" s="113"/>
      <c r="WZU11" s="113"/>
      <c r="WZV11" s="113"/>
      <c r="WZW11" s="113"/>
      <c r="WZX11" s="113"/>
      <c r="WZY11" s="113"/>
      <c r="WZZ11" s="113"/>
      <c r="XAA11" s="113"/>
      <c r="XAB11" s="113"/>
      <c r="XAC11" s="113"/>
      <c r="XAD11" s="113"/>
      <c r="XAE11" s="113"/>
      <c r="XAF11" s="113"/>
      <c r="XAG11" s="113"/>
      <c r="XAH11" s="113"/>
      <c r="XAI11" s="113"/>
      <c r="XAJ11" s="113"/>
      <c r="XAK11" s="113"/>
      <c r="XAL11" s="113"/>
      <c r="XAM11" s="113"/>
      <c r="XAN11" s="113"/>
      <c r="XAO11" s="113"/>
      <c r="XAP11" s="113"/>
      <c r="XAQ11" s="113"/>
      <c r="XAR11" s="113"/>
      <c r="XAS11" s="113"/>
      <c r="XAT11" s="113"/>
      <c r="XAU11" s="113"/>
      <c r="XAV11" s="113"/>
      <c r="XAW11" s="113"/>
      <c r="XAX11" s="113"/>
      <c r="XAY11" s="113"/>
      <c r="XAZ11" s="113"/>
      <c r="XBA11" s="113"/>
      <c r="XBB11" s="113"/>
      <c r="XBC11" s="113"/>
      <c r="XBD11" s="113"/>
      <c r="XBE11" s="113"/>
      <c r="XBF11" s="113"/>
      <c r="XBG11" s="113"/>
      <c r="XBH11" s="113"/>
      <c r="XBI11" s="113"/>
      <c r="XBJ11" s="113"/>
      <c r="XBK11" s="113"/>
      <c r="XBL11" s="113"/>
      <c r="XBM11" s="113"/>
      <c r="XBN11" s="113"/>
      <c r="XBO11" s="113"/>
      <c r="XBP11" s="113"/>
      <c r="XBQ11" s="113"/>
      <c r="XBR11" s="113"/>
      <c r="XBS11" s="113"/>
      <c r="XBT11" s="113"/>
      <c r="XBU11" s="113"/>
      <c r="XBV11" s="113"/>
      <c r="XBW11" s="113"/>
      <c r="XBX11" s="113"/>
      <c r="XBY11" s="113"/>
      <c r="XBZ11" s="113"/>
      <c r="XCA11" s="113"/>
      <c r="XCB11" s="113"/>
      <c r="XCC11" s="113"/>
      <c r="XCD11" s="113"/>
      <c r="XCE11" s="113"/>
      <c r="XCF11" s="113"/>
      <c r="XCG11" s="113"/>
      <c r="XCH11" s="113"/>
      <c r="XCI11" s="113"/>
      <c r="XCJ11" s="113"/>
      <c r="XCK11" s="113"/>
      <c r="XCL11" s="113"/>
      <c r="XCM11" s="113"/>
      <c r="XCN11" s="113"/>
      <c r="XCO11" s="113"/>
      <c r="XCP11" s="113"/>
      <c r="XCQ11" s="113"/>
      <c r="XCR11" s="113"/>
      <c r="XCS11" s="113"/>
      <c r="XCT11" s="113"/>
      <c r="XCU11" s="113"/>
      <c r="XCV11" s="113"/>
      <c r="XCW11" s="113"/>
      <c r="XCX11" s="113"/>
      <c r="XCY11" s="113"/>
      <c r="XCZ11" s="113"/>
      <c r="XDA11" s="113"/>
      <c r="XDB11" s="113"/>
      <c r="XDC11" s="113"/>
      <c r="XDD11" s="113"/>
      <c r="XDE11" s="113"/>
      <c r="XDF11" s="113"/>
      <c r="XDG11" s="113"/>
      <c r="XDH11" s="113"/>
      <c r="XDI11" s="113"/>
      <c r="XDJ11" s="113"/>
      <c r="XDK11" s="113"/>
      <c r="XDL11" s="113"/>
      <c r="XDM11" s="113"/>
      <c r="XDN11" s="113"/>
      <c r="XDO11" s="113"/>
      <c r="XDP11" s="113"/>
      <c r="XDQ11" s="113"/>
      <c r="XDR11" s="113"/>
      <c r="XDS11" s="113"/>
      <c r="XDT11" s="113"/>
      <c r="XDU11" s="113"/>
      <c r="XDV11" s="113"/>
      <c r="XDW11" s="113"/>
      <c r="XDX11" s="113"/>
      <c r="XDY11" s="113"/>
      <c r="XDZ11" s="113"/>
      <c r="XEA11" s="113"/>
      <c r="XEB11" s="113"/>
      <c r="XEC11" s="113"/>
      <c r="XED11" s="113"/>
      <c r="XEE11" s="113"/>
      <c r="XEF11" s="113"/>
      <c r="XEG11" s="113"/>
      <c r="XEH11" s="113"/>
      <c r="XEI11" s="113"/>
      <c r="XEJ11" s="113"/>
      <c r="XEK11" s="113"/>
      <c r="XEL11" s="113"/>
      <c r="XEM11" s="113"/>
      <c r="XEN11" s="113"/>
      <c r="XEO11" s="113"/>
      <c r="XEP11" s="113"/>
      <c r="XEQ11" s="113"/>
      <c r="XER11" s="113"/>
      <c r="XES11" s="113"/>
      <c r="XET11" s="113"/>
      <c r="XEU11" s="113"/>
      <c r="XEV11" s="113"/>
      <c r="XEW11" s="113"/>
      <c r="XEX11" s="113"/>
      <c r="XEY11" s="113"/>
      <c r="XEZ11" s="113"/>
      <c r="XFA11" s="113"/>
      <c r="XFB11" s="113"/>
      <c r="XFC11" s="113"/>
      <c r="XFD11" s="113"/>
    </row>
    <row r="12" spans="1:16384" ht="21.95" customHeight="1" x14ac:dyDescent="0.2">
      <c r="B12" s="274" t="s">
        <v>2773</v>
      </c>
      <c r="C12" s="10">
        <f ca="1">COUNTIFS(EXPEDIENTES!G:G,B12,EXPEDIENTES!O:O,"NO")</f>
        <v>0</v>
      </c>
    </row>
    <row r="13" spans="1:16384" ht="21.95" customHeight="1" x14ac:dyDescent="0.2">
      <c r="B13" s="274" t="s">
        <v>2774</v>
      </c>
      <c r="C13" s="10">
        <f ca="1">COUNTIFS(EXPEDIENTES!G:G,B13,EXPEDIENTES!O:O,"NO")</f>
        <v>3</v>
      </c>
    </row>
    <row r="14" spans="1:16384" ht="21.95" customHeight="1" x14ac:dyDescent="0.2">
      <c r="B14" s="274" t="s">
        <v>2775</v>
      </c>
      <c r="C14" s="10">
        <f ca="1">COUNTIFS(EXPEDIENTES!G:G,B14,EXPEDIENTES!O:O,"NO")</f>
        <v>0</v>
      </c>
    </row>
    <row r="15" spans="1:16384" ht="27" customHeight="1" x14ac:dyDescent="0.2">
      <c r="B15" s="274" t="s">
        <v>2788</v>
      </c>
      <c r="C15" s="10">
        <f ca="1">COUNTIFS(EXPEDIENTES!G:G,B15,EXPEDIENTES!O:O,"NO")</f>
        <v>9</v>
      </c>
    </row>
    <row r="16" spans="1:16384" ht="21.95" customHeight="1" x14ac:dyDescent="0.2">
      <c r="B16" s="10" t="s">
        <v>2289</v>
      </c>
      <c r="C16" s="10">
        <f ca="1">H36+'Exp por Encargado - Alvaro'!C5</f>
        <v>0</v>
      </c>
    </row>
    <row r="17" spans="2:12" ht="21.95" customHeight="1" x14ac:dyDescent="0.2">
      <c r="B17" s="24" t="s">
        <v>372</v>
      </c>
      <c r="C17" s="221">
        <f ca="1">SUM(C4:C16)</f>
        <v>55</v>
      </c>
    </row>
    <row r="18" spans="2:12" ht="21.95" customHeight="1" x14ac:dyDescent="0.2">
      <c r="B18" s="10" t="s">
        <v>628</v>
      </c>
      <c r="C18" s="10">
        <f>'no realizadas'!N10</f>
        <v>0</v>
      </c>
    </row>
    <row r="19" spans="2:12" ht="21.95" customHeight="1" x14ac:dyDescent="0.2"/>
    <row r="20" spans="2:12" ht="21.95" customHeight="1" x14ac:dyDescent="0.2"/>
    <row r="21" spans="2:12" ht="21.95" customHeight="1" x14ac:dyDescent="0.2">
      <c r="F21" s="223"/>
      <c r="G21" s="223"/>
      <c r="H21" s="223"/>
      <c r="I21" s="223"/>
      <c r="J21" s="223"/>
      <c r="K21" s="223"/>
      <c r="L21" s="223"/>
    </row>
    <row r="22" spans="2:12" ht="21.95" customHeight="1" x14ac:dyDescent="0.2">
      <c r="B22" s="423" t="s">
        <v>448</v>
      </c>
      <c r="C22" s="423"/>
      <c r="F22" s="223"/>
      <c r="G22" s="223"/>
      <c r="H22" s="223"/>
      <c r="I22" s="223"/>
      <c r="J22" s="223"/>
      <c r="K22" s="223"/>
      <c r="L22" s="223"/>
    </row>
    <row r="23" spans="2:12" ht="21.95" customHeight="1" x14ac:dyDescent="0.2">
      <c r="B23" s="12" t="s">
        <v>3</v>
      </c>
      <c r="C23" s="12" t="s">
        <v>362</v>
      </c>
      <c r="F23" s="223"/>
      <c r="G23" s="223"/>
      <c r="H23" s="223"/>
      <c r="I23" s="223"/>
      <c r="J23" s="223"/>
      <c r="K23" s="223"/>
      <c r="L23" s="223"/>
    </row>
    <row r="24" spans="2:12" ht="21.95" customHeight="1" x14ac:dyDescent="0.2">
      <c r="B24" s="10" t="s">
        <v>43</v>
      </c>
      <c r="C24" s="10">
        <f>COUNTIF(EXPEDIENTES!G:G,B24)</f>
        <v>104</v>
      </c>
      <c r="F24" s="223"/>
      <c r="G24" s="223" t="s">
        <v>2290</v>
      </c>
      <c r="H24" s="223"/>
      <c r="I24" s="223"/>
      <c r="J24" s="223"/>
      <c r="K24" s="223"/>
      <c r="L24" s="223"/>
    </row>
    <row r="25" spans="2:12" ht="21.95" customHeight="1" x14ac:dyDescent="0.2">
      <c r="B25" s="10" t="s">
        <v>29</v>
      </c>
      <c r="C25" s="10">
        <f>COUNTIF(EXPEDIENTES!G:G,B25)</f>
        <v>89</v>
      </c>
      <c r="F25" s="223"/>
      <c r="G25" s="23" t="s">
        <v>1661</v>
      </c>
      <c r="H25" s="220">
        <f>COUNTIF(EXPEDIENTES!G:G,G25)</f>
        <v>5</v>
      </c>
      <c r="I25" s="223"/>
      <c r="J25" s="223"/>
      <c r="K25" s="223"/>
      <c r="L25" s="223"/>
    </row>
    <row r="26" spans="2:12" ht="21.95" customHeight="1" x14ac:dyDescent="0.2">
      <c r="B26" s="10" t="s">
        <v>283</v>
      </c>
      <c r="C26" s="10">
        <f>COUNTIF(EXPEDIENTES!G:G,B26)</f>
        <v>109</v>
      </c>
      <c r="F26" s="223"/>
      <c r="G26" s="23" t="s">
        <v>1663</v>
      </c>
      <c r="H26" s="220">
        <f>COUNTIF(EXPEDIENTES!G:G,G26)</f>
        <v>6</v>
      </c>
      <c r="I26" s="223"/>
      <c r="J26" s="223"/>
      <c r="K26" s="223"/>
      <c r="L26" s="223"/>
    </row>
    <row r="27" spans="2:12" ht="21.95" customHeight="1" x14ac:dyDescent="0.2">
      <c r="B27" s="10" t="s">
        <v>32</v>
      </c>
      <c r="C27" s="10">
        <f>COUNTIF(EXPEDIENTES!G:G,B27)</f>
        <v>78</v>
      </c>
      <c r="F27" s="223"/>
      <c r="G27" s="23" t="s">
        <v>1742</v>
      </c>
      <c r="H27" s="220">
        <f>COUNTIF(EXPEDIENTES!G:G,G27)</f>
        <v>3</v>
      </c>
      <c r="I27" s="223"/>
      <c r="J27" s="223"/>
      <c r="K27" s="223"/>
      <c r="L27" s="223"/>
    </row>
    <row r="28" spans="2:12" ht="21.95" customHeight="1" x14ac:dyDescent="0.2">
      <c r="B28" s="10" t="s">
        <v>1441</v>
      </c>
      <c r="C28" s="10">
        <f>COUNTIF(EXPEDIENTES!G:G,B28)</f>
        <v>121</v>
      </c>
      <c r="F28" s="223"/>
      <c r="G28" s="23" t="s">
        <v>2288</v>
      </c>
      <c r="H28" s="220">
        <f>COUNTIF(EXPEDIENTES!G:G,G28)</f>
        <v>0</v>
      </c>
      <c r="I28" s="223"/>
      <c r="J28" s="223"/>
      <c r="K28" s="223"/>
      <c r="L28" s="223"/>
    </row>
    <row r="29" spans="2:12" ht="24.95" customHeight="1" x14ac:dyDescent="0.2">
      <c r="B29" s="10" t="s">
        <v>568</v>
      </c>
      <c r="C29" s="10">
        <f>COUNTIF(EXPEDIENTES!G:G,B29)</f>
        <v>72</v>
      </c>
      <c r="F29" s="223"/>
      <c r="G29" s="223"/>
      <c r="H29" s="220">
        <f>SUM(H25:H28)</f>
        <v>14</v>
      </c>
      <c r="I29" s="223"/>
      <c r="J29" s="223"/>
      <c r="K29" s="223"/>
      <c r="L29" s="223"/>
    </row>
    <row r="30" spans="2:12" ht="24.95" customHeight="1" x14ac:dyDescent="0.2">
      <c r="B30" s="10" t="s">
        <v>1442</v>
      </c>
      <c r="C30" s="10">
        <f>COUNTIF(EXPEDIENTES!G:G,B30)</f>
        <v>67</v>
      </c>
      <c r="F30" s="223"/>
      <c r="G30" s="223"/>
      <c r="H30" s="223"/>
      <c r="I30" s="223"/>
      <c r="J30" s="223"/>
      <c r="K30" s="223"/>
      <c r="L30" s="223"/>
    </row>
    <row r="31" spans="2:12" ht="24.95" customHeight="1" x14ac:dyDescent="0.2">
      <c r="B31" s="10" t="s">
        <v>1443</v>
      </c>
      <c r="C31" s="10">
        <f>COUNTIF(EXPEDIENTES!G:G,B31)</f>
        <v>70</v>
      </c>
      <c r="F31" s="223"/>
      <c r="G31" s="223" t="s">
        <v>2292</v>
      </c>
      <c r="H31" s="223"/>
      <c r="I31" s="223"/>
      <c r="J31" s="223"/>
      <c r="K31" s="223"/>
      <c r="L31" s="223"/>
    </row>
    <row r="32" spans="2:12" ht="21.95" customHeight="1" x14ac:dyDescent="0.2">
      <c r="B32" s="10" t="s">
        <v>2289</v>
      </c>
      <c r="C32" s="10">
        <f>H29+'Exp por Encargado - Alvaro'!C17</f>
        <v>48</v>
      </c>
      <c r="D32" s="9"/>
      <c r="F32" s="223"/>
      <c r="G32" s="23" t="s">
        <v>1661</v>
      </c>
      <c r="H32" s="220">
        <f ca="1">COUNTIFS(EXPEDIENTES!G:G,G32,EXPEDIENTES!O:O,"NO")</f>
        <v>0</v>
      </c>
      <c r="I32" s="223"/>
      <c r="J32" s="223"/>
      <c r="K32" s="223"/>
      <c r="L32" s="223"/>
    </row>
    <row r="33" spans="2:12" ht="21.95" customHeight="1" x14ac:dyDescent="0.2">
      <c r="B33" s="10" t="s">
        <v>450</v>
      </c>
      <c r="C33" s="10">
        <f>'no realizadas'!N10</f>
        <v>0</v>
      </c>
      <c r="D33" s="9"/>
      <c r="F33" s="223"/>
      <c r="G33" s="23" t="s">
        <v>1663</v>
      </c>
      <c r="H33" s="220">
        <f ca="1">COUNTIFS(EXPEDIENTES!G:G,G33,EXPEDIENTES!O:O,"NO")</f>
        <v>0</v>
      </c>
      <c r="I33" s="223"/>
      <c r="J33" s="223"/>
      <c r="K33" s="223"/>
      <c r="L33" s="223"/>
    </row>
    <row r="34" spans="2:12" ht="21.95" customHeight="1" x14ac:dyDescent="0.2">
      <c r="B34" s="272" t="s">
        <v>370</v>
      </c>
      <c r="C34" s="27">
        <f>SUM(C24:C33)</f>
        <v>758</v>
      </c>
      <c r="D34" s="9"/>
      <c r="F34" s="223"/>
      <c r="G34" s="23" t="s">
        <v>1742</v>
      </c>
      <c r="H34" s="220">
        <f ca="1">COUNTIFS(EXPEDIENTES!G:G,G34,EXPEDIENTES!O:O,"NO")</f>
        <v>0</v>
      </c>
      <c r="I34" s="223"/>
      <c r="J34" s="223"/>
      <c r="K34" s="223"/>
      <c r="L34" s="223"/>
    </row>
    <row r="35" spans="2:12" ht="21.95" customHeight="1" x14ac:dyDescent="0.2">
      <c r="D35" s="9"/>
      <c r="F35" s="223"/>
      <c r="G35" s="23" t="s">
        <v>2288</v>
      </c>
      <c r="H35" s="220">
        <f>COUNTIFS(EXPEDIENTES!G:G,G35,EXPEDIENTES!O:O,"NO")</f>
        <v>0</v>
      </c>
      <c r="I35" s="223"/>
      <c r="J35" s="223"/>
      <c r="K35" s="223"/>
      <c r="L35" s="223"/>
    </row>
    <row r="36" spans="2:12" ht="21.95" customHeight="1" x14ac:dyDescent="0.2">
      <c r="B36" s="273" t="s">
        <v>449</v>
      </c>
      <c r="C36" s="273"/>
      <c r="F36" s="223"/>
      <c r="G36" s="223"/>
      <c r="H36" s="220">
        <f ca="1">SUM(H32:H35)</f>
        <v>0</v>
      </c>
      <c r="I36" s="223"/>
      <c r="J36" s="223"/>
      <c r="K36" s="223"/>
      <c r="L36" s="223"/>
    </row>
    <row r="37" spans="2:12" ht="21.95" customHeight="1" x14ac:dyDescent="0.2">
      <c r="B37" s="12" t="s">
        <v>3</v>
      </c>
      <c r="C37" s="12" t="s">
        <v>362</v>
      </c>
      <c r="F37" s="223"/>
      <c r="G37" s="223"/>
      <c r="H37" s="223"/>
      <c r="I37" s="223"/>
      <c r="J37" s="223"/>
      <c r="K37" s="223"/>
      <c r="L37" s="223"/>
    </row>
    <row r="38" spans="2:12" ht="21.95" customHeight="1" x14ac:dyDescent="0.2">
      <c r="B38" s="10" t="s">
        <v>43</v>
      </c>
      <c r="C38" s="10">
        <f ca="1">COUNTIFS(EXPEDIENTES!G:G,B38,EXPEDIENTES!O:O,"SI")</f>
        <v>102</v>
      </c>
      <c r="F38" s="223"/>
      <c r="G38" s="223" t="s">
        <v>2291</v>
      </c>
      <c r="H38" s="223"/>
      <c r="I38" s="223"/>
      <c r="J38" s="223"/>
      <c r="K38" s="223"/>
      <c r="L38" s="223"/>
    </row>
    <row r="39" spans="2:12" ht="21.95" customHeight="1" x14ac:dyDescent="0.2">
      <c r="B39" s="10" t="s">
        <v>29</v>
      </c>
      <c r="C39" s="10">
        <f ca="1">COUNTIFS(EXPEDIENTES!G:G,B39,EXPEDIENTES!O:O,"SI")</f>
        <v>89</v>
      </c>
      <c r="F39" s="223"/>
      <c r="G39" s="23" t="s">
        <v>1661</v>
      </c>
      <c r="H39" s="220">
        <f ca="1">COUNTIFS(EXPEDIENTES!G:G,G39,EXPEDIENTES!O:O,"SI")</f>
        <v>5</v>
      </c>
      <c r="I39" s="223"/>
      <c r="J39" s="223"/>
      <c r="K39" s="223"/>
      <c r="L39" s="223"/>
    </row>
    <row r="40" spans="2:12" ht="21.95" customHeight="1" x14ac:dyDescent="0.2">
      <c r="B40" s="10" t="s">
        <v>283</v>
      </c>
      <c r="C40" s="10">
        <f ca="1">COUNTIFS(EXPEDIENTES!G:G,B40,EXPEDIENTES!O:O,"SI")</f>
        <v>101</v>
      </c>
      <c r="F40" s="223"/>
      <c r="G40" s="23" t="s">
        <v>1663</v>
      </c>
      <c r="H40" s="220">
        <f ca="1">COUNTIFS(EXPEDIENTES!G:G,G40,EXPEDIENTES!O:O,"SI")</f>
        <v>6</v>
      </c>
      <c r="I40" s="223"/>
      <c r="J40" s="223"/>
      <c r="K40" s="223"/>
      <c r="L40" s="223"/>
    </row>
    <row r="41" spans="2:12" ht="21.95" customHeight="1" x14ac:dyDescent="0.2">
      <c r="B41" s="10" t="s">
        <v>32</v>
      </c>
      <c r="C41" s="10">
        <f ca="1">COUNTIFS(EXPEDIENTES!G:G,B41,EXPEDIENTES!O:O,"SI")</f>
        <v>78</v>
      </c>
      <c r="F41" s="223"/>
      <c r="G41" s="23" t="s">
        <v>1742</v>
      </c>
      <c r="H41" s="220">
        <f ca="1">COUNTIFS(EXPEDIENTES!G:G,G41,EXPEDIENTES!O:O,"SI")</f>
        <v>3</v>
      </c>
      <c r="I41" s="223"/>
      <c r="J41" s="223"/>
      <c r="K41" s="223"/>
      <c r="L41" s="223"/>
    </row>
    <row r="42" spans="2:12" ht="18.75" customHeight="1" x14ac:dyDescent="0.2">
      <c r="B42" s="10" t="s">
        <v>1441</v>
      </c>
      <c r="C42" s="10">
        <f ca="1">COUNTIFS(EXPEDIENTES!G:G,B42,EXPEDIENTES!O:O,"SI")</f>
        <v>112</v>
      </c>
      <c r="F42" s="223"/>
      <c r="G42" s="23" t="s">
        <v>2288</v>
      </c>
      <c r="H42" s="220">
        <f>COUNTIFS(EXPEDIENTES!G:G,G42,EXPEDIENTES!O:O,"SI")</f>
        <v>0</v>
      </c>
      <c r="I42" s="223"/>
      <c r="J42" s="223"/>
      <c r="K42" s="223"/>
      <c r="L42" s="223"/>
    </row>
    <row r="43" spans="2:12" ht="24.75" customHeight="1" x14ac:dyDescent="0.2">
      <c r="B43" s="10" t="s">
        <v>568</v>
      </c>
      <c r="C43" s="10">
        <f ca="1">COUNTIFS(EXPEDIENTES!G:G,B43,EXPEDIENTES!O:O,"SI")</f>
        <v>65</v>
      </c>
      <c r="F43" s="223"/>
      <c r="G43" s="223"/>
      <c r="H43" s="220">
        <f ca="1">SUM(H39:H42)</f>
        <v>14</v>
      </c>
      <c r="I43" s="223"/>
      <c r="J43" s="223"/>
      <c r="K43" s="223"/>
      <c r="L43" s="223"/>
    </row>
    <row r="44" spans="2:12" ht="18.75" customHeight="1" x14ac:dyDescent="0.2">
      <c r="B44" s="10" t="s">
        <v>1442</v>
      </c>
      <c r="C44" s="10">
        <f ca="1">COUNTIFS(EXPEDIENTES!G:G,B44,EXPEDIENTES!O:O,"SI")</f>
        <v>58</v>
      </c>
      <c r="F44" s="223"/>
      <c r="G44" s="223"/>
      <c r="H44" s="223"/>
      <c r="I44" s="223"/>
      <c r="J44" s="223"/>
      <c r="K44" s="223"/>
      <c r="L44" s="223"/>
    </row>
    <row r="45" spans="2:12" ht="28.5" customHeight="1" x14ac:dyDescent="0.2">
      <c r="B45" s="10" t="s">
        <v>1443</v>
      </c>
      <c r="C45" s="10">
        <f ca="1">COUNTIFS(EXPEDIENTES!G:G,B45,EXPEDIENTES!O:O,"SI")</f>
        <v>62</v>
      </c>
      <c r="F45" s="223"/>
      <c r="G45" s="223"/>
      <c r="H45" s="223"/>
      <c r="I45" s="223"/>
      <c r="J45" s="223"/>
      <c r="K45" s="223"/>
      <c r="L45" s="223"/>
    </row>
    <row r="46" spans="2:12" ht="28.5" customHeight="1" x14ac:dyDescent="0.2">
      <c r="B46" s="77" t="s">
        <v>2289</v>
      </c>
      <c r="C46" s="10">
        <f ca="1">H43+'Exp por Encargado - Alvaro'!C29</f>
        <v>48</v>
      </c>
      <c r="F46" s="223"/>
      <c r="G46" s="223"/>
      <c r="H46" s="223"/>
      <c r="I46" s="223"/>
      <c r="J46" s="223"/>
      <c r="K46" s="223"/>
      <c r="L46" s="223"/>
    </row>
    <row r="47" spans="2:12" ht="34.5" customHeight="1" x14ac:dyDescent="0.2">
      <c r="B47" s="272" t="s">
        <v>371</v>
      </c>
      <c r="C47" s="27">
        <f ca="1">SUM(C38:C46)</f>
        <v>715</v>
      </c>
      <c r="F47" s="223"/>
      <c r="G47" s="223"/>
      <c r="H47" s="223"/>
      <c r="I47" s="223"/>
      <c r="J47" s="223"/>
      <c r="K47" s="223"/>
      <c r="L47" s="223"/>
    </row>
    <row r="48" spans="2:12" x14ac:dyDescent="0.2">
      <c r="F48" s="223"/>
      <c r="G48" s="223"/>
      <c r="H48" s="223"/>
      <c r="I48" s="223"/>
      <c r="J48" s="223"/>
      <c r="K48" s="223"/>
      <c r="L48" s="223"/>
    </row>
    <row r="49" spans="6:12" x14ac:dyDescent="0.2">
      <c r="F49" s="223"/>
      <c r="G49" s="223"/>
      <c r="H49" s="223"/>
      <c r="I49" s="223"/>
      <c r="J49" s="223"/>
      <c r="K49" s="223"/>
      <c r="L49" s="223"/>
    </row>
    <row r="50" spans="6:12" x14ac:dyDescent="0.2">
      <c r="F50" s="223"/>
      <c r="G50" s="223"/>
      <c r="H50" s="223"/>
      <c r="I50" s="223"/>
      <c r="J50" s="223"/>
      <c r="K50" s="223"/>
      <c r="L50" s="223"/>
    </row>
    <row r="51" spans="6:12" x14ac:dyDescent="0.2">
      <c r="F51" s="223"/>
      <c r="G51" s="223"/>
      <c r="H51" s="223"/>
      <c r="I51" s="223"/>
      <c r="J51" s="223"/>
      <c r="K51" s="223"/>
      <c r="L51" s="223"/>
    </row>
    <row r="52" spans="6:12" x14ac:dyDescent="0.2">
      <c r="F52" s="223"/>
      <c r="G52" s="223"/>
      <c r="H52" s="223"/>
      <c r="I52" s="223"/>
      <c r="J52" s="223"/>
      <c r="K52" s="223"/>
      <c r="L52" s="223"/>
    </row>
    <row r="53" spans="6:12" x14ac:dyDescent="0.2">
      <c r="F53" s="223"/>
      <c r="G53" s="223"/>
      <c r="H53" s="223"/>
      <c r="I53" s="223"/>
      <c r="J53" s="223"/>
      <c r="K53" s="223"/>
      <c r="L53" s="223"/>
    </row>
    <row r="54" spans="6:12" x14ac:dyDescent="0.2">
      <c r="F54" s="223"/>
      <c r="G54" s="223"/>
      <c r="H54" s="223"/>
      <c r="I54" s="223"/>
      <c r="J54" s="223"/>
      <c r="K54" s="223"/>
      <c r="L54" s="223"/>
    </row>
    <row r="55" spans="6:12" x14ac:dyDescent="0.2">
      <c r="F55" s="223"/>
      <c r="G55" s="223"/>
      <c r="H55" s="223"/>
      <c r="I55" s="223"/>
      <c r="J55" s="223"/>
      <c r="K55" s="223"/>
      <c r="L55" s="223"/>
    </row>
    <row r="56" spans="6:12" x14ac:dyDescent="0.2">
      <c r="F56" s="223"/>
      <c r="G56" s="223"/>
      <c r="H56" s="223"/>
      <c r="I56" s="223"/>
      <c r="J56" s="223"/>
      <c r="K56" s="223"/>
      <c r="L56" s="223"/>
    </row>
    <row r="57" spans="6:12" x14ac:dyDescent="0.2">
      <c r="F57" s="223"/>
      <c r="G57" s="223"/>
      <c r="H57" s="223"/>
      <c r="I57" s="223"/>
      <c r="J57" s="223"/>
      <c r="K57" s="223"/>
      <c r="L57" s="223"/>
    </row>
    <row r="58" spans="6:12" x14ac:dyDescent="0.2">
      <c r="F58" s="223"/>
      <c r="G58" s="223"/>
      <c r="H58" s="223"/>
      <c r="I58" s="223"/>
      <c r="J58" s="223"/>
      <c r="K58" s="223"/>
      <c r="L58" s="223"/>
    </row>
    <row r="59" spans="6:12" x14ac:dyDescent="0.2">
      <c r="F59" s="223"/>
      <c r="G59" s="223"/>
      <c r="H59" s="223"/>
      <c r="I59" s="223"/>
      <c r="J59" s="223"/>
      <c r="K59" s="223"/>
      <c r="L59" s="223"/>
    </row>
    <row r="60" spans="6:12" x14ac:dyDescent="0.2">
      <c r="F60" s="223"/>
      <c r="G60" s="223"/>
      <c r="H60" s="223"/>
      <c r="I60" s="223"/>
      <c r="J60" s="223"/>
      <c r="K60" s="223"/>
      <c r="L60" s="223"/>
    </row>
    <row r="61" spans="6:12" x14ac:dyDescent="0.2">
      <c r="F61" s="223"/>
      <c r="G61" s="223"/>
      <c r="H61" s="223"/>
      <c r="I61" s="223"/>
      <c r="J61" s="223"/>
      <c r="K61" s="223"/>
      <c r="L61" s="223"/>
    </row>
    <row r="62" spans="6:12" x14ac:dyDescent="0.2">
      <c r="F62" s="223"/>
      <c r="G62" s="223"/>
      <c r="H62" s="223"/>
      <c r="I62" s="223"/>
      <c r="J62" s="223"/>
      <c r="K62" s="223"/>
      <c r="L62" s="223"/>
    </row>
    <row r="63" spans="6:12" x14ac:dyDescent="0.2">
      <c r="F63" s="223"/>
      <c r="G63" s="223"/>
      <c r="H63" s="223"/>
      <c r="I63" s="223"/>
      <c r="J63" s="223"/>
      <c r="K63" s="223"/>
      <c r="L63" s="223"/>
    </row>
    <row r="64" spans="6:12" x14ac:dyDescent="0.2">
      <c r="F64" s="223"/>
      <c r="G64" s="223"/>
      <c r="H64" s="223"/>
      <c r="I64" s="223"/>
      <c r="J64" s="223"/>
      <c r="K64" s="223"/>
      <c r="L64" s="223"/>
    </row>
    <row r="65" spans="6:12" x14ac:dyDescent="0.2">
      <c r="F65" s="223"/>
      <c r="G65" s="223"/>
      <c r="H65" s="223"/>
      <c r="I65" s="223"/>
      <c r="J65" s="223"/>
      <c r="K65" s="223"/>
      <c r="L65" s="223"/>
    </row>
    <row r="66" spans="6:12" x14ac:dyDescent="0.2">
      <c r="F66" s="223"/>
      <c r="G66" s="223"/>
      <c r="H66" s="223"/>
      <c r="I66" s="223"/>
      <c r="J66" s="223"/>
      <c r="K66" s="223"/>
      <c r="L66" s="223"/>
    </row>
    <row r="67" spans="6:12" x14ac:dyDescent="0.2">
      <c r="F67" s="223"/>
      <c r="G67" s="223"/>
      <c r="H67" s="223"/>
      <c r="I67" s="223"/>
      <c r="J67" s="223"/>
      <c r="K67" s="223"/>
      <c r="L67" s="223"/>
    </row>
    <row r="68" spans="6:12" x14ac:dyDescent="0.2">
      <c r="F68" s="223"/>
      <c r="G68" s="223"/>
      <c r="H68" s="223"/>
      <c r="I68" s="223"/>
      <c r="J68" s="223"/>
      <c r="K68" s="223"/>
      <c r="L68" s="223"/>
    </row>
    <row r="69" spans="6:12" x14ac:dyDescent="0.2">
      <c r="F69" s="223"/>
      <c r="G69" s="223"/>
      <c r="H69" s="223"/>
      <c r="I69" s="223"/>
      <c r="J69" s="223"/>
      <c r="K69" s="223"/>
      <c r="L69" s="223"/>
    </row>
    <row r="70" spans="6:12" x14ac:dyDescent="0.2">
      <c r="F70" s="223"/>
      <c r="G70" s="223"/>
      <c r="H70" s="223"/>
      <c r="I70" s="223"/>
      <c r="J70" s="223"/>
      <c r="K70" s="223"/>
      <c r="L70" s="223"/>
    </row>
    <row r="71" spans="6:12" x14ac:dyDescent="0.2">
      <c r="F71" s="223"/>
      <c r="G71" s="223"/>
      <c r="H71" s="223"/>
      <c r="I71" s="223"/>
      <c r="J71" s="223"/>
      <c r="K71" s="223"/>
      <c r="L71" s="223"/>
    </row>
    <row r="72" spans="6:12" x14ac:dyDescent="0.2">
      <c r="F72" s="223"/>
      <c r="G72" s="223"/>
      <c r="H72" s="223"/>
      <c r="I72" s="223"/>
      <c r="J72" s="223"/>
      <c r="K72" s="223"/>
      <c r="L72" s="223"/>
    </row>
    <row r="73" spans="6:12" x14ac:dyDescent="0.2">
      <c r="F73" s="223"/>
      <c r="G73" s="223"/>
      <c r="H73" s="223"/>
      <c r="I73" s="223"/>
      <c r="J73" s="223"/>
      <c r="K73" s="223"/>
      <c r="L73" s="223"/>
    </row>
    <row r="74" spans="6:12" x14ac:dyDescent="0.2">
      <c r="F74" s="223"/>
      <c r="G74" s="223"/>
      <c r="H74" s="223"/>
      <c r="I74" s="223"/>
      <c r="J74" s="223"/>
      <c r="K74" s="223"/>
      <c r="L74" s="223"/>
    </row>
    <row r="75" spans="6:12" x14ac:dyDescent="0.2">
      <c r="F75" s="223"/>
      <c r="G75" s="223"/>
      <c r="H75" s="223"/>
      <c r="I75" s="223"/>
      <c r="J75" s="223"/>
      <c r="K75" s="223"/>
      <c r="L75" s="223"/>
    </row>
    <row r="76" spans="6:12" x14ac:dyDescent="0.2">
      <c r="F76" s="223"/>
      <c r="G76" s="223"/>
      <c r="H76" s="223"/>
      <c r="I76" s="223"/>
      <c r="J76" s="223"/>
      <c r="K76" s="223"/>
      <c r="L76" s="223"/>
    </row>
    <row r="77" spans="6:12" x14ac:dyDescent="0.2">
      <c r="F77" s="223"/>
      <c r="G77" s="223"/>
      <c r="H77" s="223"/>
      <c r="I77" s="223"/>
      <c r="J77" s="223"/>
      <c r="K77" s="223"/>
      <c r="L77" s="223"/>
    </row>
    <row r="78" spans="6:12" x14ac:dyDescent="0.2">
      <c r="F78" s="223"/>
      <c r="G78" s="223"/>
      <c r="H78" s="223"/>
      <c r="I78" s="223"/>
      <c r="J78" s="223"/>
      <c r="K78" s="223"/>
      <c r="L78" s="223"/>
    </row>
    <row r="79" spans="6:12" x14ac:dyDescent="0.2">
      <c r="F79" s="223"/>
      <c r="G79" s="223"/>
      <c r="H79" s="223"/>
      <c r="I79" s="223"/>
      <c r="J79" s="223"/>
      <c r="K79" s="223"/>
      <c r="L79" s="223"/>
    </row>
    <row r="80" spans="6:12" x14ac:dyDescent="0.2">
      <c r="F80" s="223"/>
      <c r="G80" s="223"/>
      <c r="H80" s="223"/>
      <c r="I80" s="223"/>
      <c r="J80" s="223"/>
      <c r="K80" s="223"/>
      <c r="L80" s="223"/>
    </row>
    <row r="81" spans="6:12" x14ac:dyDescent="0.2">
      <c r="F81" s="223"/>
      <c r="G81" s="223"/>
      <c r="H81" s="223"/>
      <c r="I81" s="223"/>
      <c r="J81" s="223"/>
      <c r="K81" s="223"/>
      <c r="L81" s="223"/>
    </row>
    <row r="82" spans="6:12" x14ac:dyDescent="0.2">
      <c r="F82" s="223"/>
      <c r="G82" s="223"/>
      <c r="H82" s="223"/>
      <c r="I82" s="223"/>
      <c r="J82" s="223"/>
      <c r="K82" s="223"/>
      <c r="L82" s="223"/>
    </row>
    <row r="83" spans="6:12" x14ac:dyDescent="0.2">
      <c r="F83" s="223"/>
      <c r="G83" s="223"/>
      <c r="H83" s="223"/>
      <c r="I83" s="223"/>
      <c r="J83" s="223"/>
      <c r="K83" s="223"/>
      <c r="L83" s="223"/>
    </row>
    <row r="84" spans="6:12" x14ac:dyDescent="0.2">
      <c r="F84" s="223"/>
      <c r="G84" s="223"/>
      <c r="H84" s="223"/>
      <c r="I84" s="223"/>
      <c r="J84" s="223"/>
      <c r="K84" s="223"/>
      <c r="L84" s="223"/>
    </row>
    <row r="85" spans="6:12" x14ac:dyDescent="0.2">
      <c r="F85" s="223"/>
      <c r="G85" s="223"/>
      <c r="H85" s="223"/>
      <c r="I85" s="223"/>
      <c r="J85" s="223"/>
      <c r="K85" s="223"/>
      <c r="L85" s="223"/>
    </row>
    <row r="86" spans="6:12" x14ac:dyDescent="0.2">
      <c r="F86" s="223"/>
      <c r="G86" s="223"/>
      <c r="H86" s="223"/>
      <c r="I86" s="223"/>
      <c r="J86" s="223"/>
      <c r="K86" s="223"/>
      <c r="L86" s="223"/>
    </row>
    <row r="87" spans="6:12" x14ac:dyDescent="0.2">
      <c r="F87" s="223"/>
      <c r="G87" s="223"/>
      <c r="H87" s="223"/>
      <c r="I87" s="223"/>
      <c r="J87" s="223"/>
      <c r="K87" s="223"/>
      <c r="L87" s="223"/>
    </row>
    <row r="88" spans="6:12" x14ac:dyDescent="0.2">
      <c r="F88" s="223"/>
      <c r="G88" s="223"/>
      <c r="H88" s="223"/>
      <c r="I88" s="223"/>
      <c r="J88" s="223"/>
      <c r="K88" s="223"/>
      <c r="L88" s="223"/>
    </row>
    <row r="89" spans="6:12" x14ac:dyDescent="0.2">
      <c r="F89" s="223"/>
      <c r="G89" s="223"/>
      <c r="H89" s="223"/>
      <c r="I89" s="223"/>
      <c r="J89" s="223"/>
      <c r="K89" s="223"/>
      <c r="L89" s="223"/>
    </row>
    <row r="90" spans="6:12" x14ac:dyDescent="0.2">
      <c r="F90" s="223"/>
      <c r="G90" s="223"/>
      <c r="H90" s="223"/>
      <c r="I90" s="223"/>
      <c r="J90" s="223"/>
      <c r="K90" s="223"/>
      <c r="L90" s="223"/>
    </row>
    <row r="91" spans="6:12" x14ac:dyDescent="0.2">
      <c r="F91" s="223"/>
      <c r="G91" s="223"/>
      <c r="H91" s="223"/>
      <c r="I91" s="223"/>
      <c r="J91" s="223"/>
      <c r="K91" s="223"/>
      <c r="L91" s="223"/>
    </row>
    <row r="92" spans="6:12" x14ac:dyDescent="0.2">
      <c r="F92" s="223"/>
      <c r="G92" s="223"/>
      <c r="H92" s="223"/>
      <c r="I92" s="223"/>
      <c r="J92" s="223"/>
      <c r="K92" s="223"/>
      <c r="L92" s="223"/>
    </row>
    <row r="93" spans="6:12" x14ac:dyDescent="0.2">
      <c r="F93" s="223"/>
      <c r="G93" s="223"/>
      <c r="H93" s="223"/>
      <c r="I93" s="223"/>
      <c r="J93" s="223"/>
      <c r="K93" s="223"/>
      <c r="L93" s="223"/>
    </row>
    <row r="94" spans="6:12" x14ac:dyDescent="0.2">
      <c r="F94" s="223"/>
      <c r="G94" s="223"/>
      <c r="H94" s="223"/>
      <c r="I94" s="223"/>
      <c r="J94" s="223"/>
      <c r="K94" s="223"/>
      <c r="L94" s="223"/>
    </row>
    <row r="95" spans="6:12" x14ac:dyDescent="0.2">
      <c r="F95" s="223"/>
      <c r="G95" s="223"/>
      <c r="H95" s="223"/>
      <c r="I95" s="223"/>
      <c r="J95" s="223"/>
      <c r="K95" s="223"/>
      <c r="L95" s="223"/>
    </row>
    <row r="96" spans="6:12" x14ac:dyDescent="0.2">
      <c r="F96" s="223"/>
      <c r="G96" s="223"/>
      <c r="H96" s="223"/>
      <c r="I96" s="223"/>
      <c r="J96" s="223"/>
      <c r="K96" s="223"/>
      <c r="L96" s="223"/>
    </row>
    <row r="97" spans="6:12" x14ac:dyDescent="0.2">
      <c r="F97" s="223"/>
      <c r="G97" s="223"/>
      <c r="H97" s="223"/>
      <c r="I97" s="223"/>
      <c r="J97" s="223"/>
      <c r="K97" s="223"/>
      <c r="L97" s="223"/>
    </row>
    <row r="98" spans="6:12" x14ac:dyDescent="0.2">
      <c r="F98" s="223"/>
      <c r="G98" s="223"/>
      <c r="H98" s="223"/>
      <c r="I98" s="223"/>
      <c r="J98" s="223"/>
      <c r="K98" s="223"/>
      <c r="L98" s="223"/>
    </row>
    <row r="99" spans="6:12" x14ac:dyDescent="0.2">
      <c r="F99" s="223"/>
      <c r="G99" s="223"/>
      <c r="H99" s="223"/>
      <c r="I99" s="223"/>
      <c r="J99" s="223"/>
      <c r="K99" s="223"/>
      <c r="L99" s="223"/>
    </row>
    <row r="100" spans="6:12" x14ac:dyDescent="0.2">
      <c r="F100" s="223"/>
      <c r="G100" s="223"/>
      <c r="H100" s="223"/>
      <c r="I100" s="223"/>
      <c r="J100" s="223"/>
      <c r="K100" s="223"/>
      <c r="L100" s="223"/>
    </row>
    <row r="101" spans="6:12" x14ac:dyDescent="0.2">
      <c r="F101" s="223"/>
      <c r="G101" s="223"/>
      <c r="H101" s="223"/>
      <c r="I101" s="223"/>
      <c r="J101" s="223"/>
      <c r="K101" s="223"/>
      <c r="L101" s="223"/>
    </row>
    <row r="102" spans="6:12" x14ac:dyDescent="0.2">
      <c r="F102" s="223"/>
      <c r="G102" s="223"/>
      <c r="H102" s="223"/>
      <c r="I102" s="223"/>
      <c r="J102" s="223"/>
      <c r="K102" s="223"/>
      <c r="L102" s="223"/>
    </row>
    <row r="103" spans="6:12" x14ac:dyDescent="0.2">
      <c r="F103" s="223"/>
      <c r="G103" s="223"/>
      <c r="H103" s="223"/>
      <c r="I103" s="223"/>
      <c r="J103" s="223"/>
      <c r="K103" s="223"/>
      <c r="L103" s="223"/>
    </row>
    <row r="104" spans="6:12" x14ac:dyDescent="0.2">
      <c r="F104" s="223"/>
      <c r="G104" s="223"/>
      <c r="H104" s="223"/>
      <c r="I104" s="223"/>
      <c r="J104" s="223"/>
      <c r="K104" s="223"/>
      <c r="L104" s="223"/>
    </row>
    <row r="105" spans="6:12" x14ac:dyDescent="0.2">
      <c r="F105" s="223"/>
      <c r="G105" s="223"/>
      <c r="H105" s="223"/>
      <c r="I105" s="223"/>
      <c r="J105" s="223"/>
      <c r="K105" s="223"/>
      <c r="L105" s="223"/>
    </row>
    <row r="106" spans="6:12" x14ac:dyDescent="0.2">
      <c r="F106" s="223"/>
      <c r="G106" s="223"/>
      <c r="H106" s="223"/>
      <c r="I106" s="223"/>
      <c r="J106" s="223"/>
      <c r="K106" s="223"/>
      <c r="L106" s="223"/>
    </row>
    <row r="107" spans="6:12" x14ac:dyDescent="0.2">
      <c r="F107" s="223"/>
      <c r="G107" s="223"/>
      <c r="H107" s="223"/>
      <c r="I107" s="223"/>
      <c r="J107" s="223"/>
      <c r="K107" s="223"/>
      <c r="L107" s="223"/>
    </row>
    <row r="108" spans="6:12" x14ac:dyDescent="0.2">
      <c r="F108" s="223"/>
      <c r="G108" s="223"/>
      <c r="H108" s="223"/>
      <c r="I108" s="223"/>
      <c r="J108" s="223"/>
      <c r="K108" s="223"/>
      <c r="L108" s="223"/>
    </row>
    <row r="109" spans="6:12" x14ac:dyDescent="0.2">
      <c r="F109" s="223"/>
      <c r="G109" s="223"/>
      <c r="H109" s="223"/>
      <c r="I109" s="223"/>
      <c r="J109" s="223"/>
      <c r="K109" s="223"/>
      <c r="L109" s="223"/>
    </row>
    <row r="110" spans="6:12" x14ac:dyDescent="0.2">
      <c r="F110" s="223"/>
      <c r="G110" s="223"/>
      <c r="H110" s="223"/>
      <c r="I110" s="223"/>
      <c r="J110" s="223"/>
      <c r="K110" s="223"/>
      <c r="L110" s="223"/>
    </row>
    <row r="111" spans="6:12" x14ac:dyDescent="0.2">
      <c r="F111" s="223"/>
      <c r="G111" s="223"/>
      <c r="H111" s="223"/>
      <c r="I111" s="223"/>
      <c r="J111" s="223"/>
      <c r="K111" s="223"/>
      <c r="L111" s="223"/>
    </row>
    <row r="112" spans="6:12" x14ac:dyDescent="0.2">
      <c r="F112" s="223"/>
      <c r="G112" s="223"/>
      <c r="H112" s="223"/>
      <c r="I112" s="223"/>
      <c r="J112" s="223"/>
      <c r="K112" s="223"/>
      <c r="L112" s="223"/>
    </row>
    <row r="113" spans="6:12" x14ac:dyDescent="0.2">
      <c r="F113" s="223"/>
      <c r="G113" s="223"/>
      <c r="H113" s="223"/>
      <c r="I113" s="223"/>
      <c r="J113" s="223"/>
      <c r="K113" s="223"/>
      <c r="L113" s="223"/>
    </row>
    <row r="114" spans="6:12" x14ac:dyDescent="0.2">
      <c r="F114" s="223"/>
      <c r="G114" s="223"/>
      <c r="H114" s="223"/>
      <c r="I114" s="223"/>
      <c r="J114" s="223"/>
      <c r="K114" s="223"/>
      <c r="L114" s="223"/>
    </row>
    <row r="115" spans="6:12" x14ac:dyDescent="0.2">
      <c r="F115" s="223"/>
      <c r="G115" s="223"/>
      <c r="H115" s="223"/>
      <c r="I115" s="223"/>
      <c r="J115" s="223"/>
      <c r="K115" s="223"/>
      <c r="L115" s="223"/>
    </row>
    <row r="116" spans="6:12" x14ac:dyDescent="0.2">
      <c r="F116" s="223"/>
      <c r="G116" s="223"/>
      <c r="H116" s="223"/>
      <c r="I116" s="223"/>
      <c r="J116" s="223"/>
      <c r="K116" s="223"/>
      <c r="L116" s="223"/>
    </row>
    <row r="117" spans="6:12" x14ac:dyDescent="0.2">
      <c r="F117" s="223"/>
      <c r="G117" s="223"/>
      <c r="H117" s="223"/>
      <c r="I117" s="223"/>
      <c r="J117" s="223"/>
      <c r="K117" s="223"/>
      <c r="L117" s="223"/>
    </row>
    <row r="118" spans="6:12" x14ac:dyDescent="0.2">
      <c r="F118" s="223"/>
      <c r="G118" s="223"/>
      <c r="H118" s="223"/>
      <c r="I118" s="223"/>
      <c r="J118" s="223"/>
      <c r="K118" s="223"/>
      <c r="L118" s="223"/>
    </row>
    <row r="119" spans="6:12" x14ac:dyDescent="0.2">
      <c r="F119" s="223"/>
      <c r="G119" s="223"/>
      <c r="H119" s="223"/>
      <c r="I119" s="223"/>
      <c r="J119" s="223"/>
      <c r="K119" s="223"/>
      <c r="L119" s="223"/>
    </row>
    <row r="120" spans="6:12" x14ac:dyDescent="0.2">
      <c r="F120" s="223"/>
      <c r="G120" s="223"/>
      <c r="H120" s="223"/>
      <c r="I120" s="223"/>
      <c r="J120" s="223"/>
      <c r="K120" s="223"/>
      <c r="L120" s="223"/>
    </row>
    <row r="121" spans="6:12" x14ac:dyDescent="0.2">
      <c r="F121" s="223"/>
      <c r="G121" s="223"/>
      <c r="H121" s="223"/>
      <c r="I121" s="223"/>
      <c r="J121" s="223"/>
      <c r="K121" s="223"/>
      <c r="L121" s="223"/>
    </row>
    <row r="122" spans="6:12" x14ac:dyDescent="0.2">
      <c r="F122" s="223"/>
      <c r="G122" s="223"/>
      <c r="H122" s="223"/>
      <c r="I122" s="223"/>
      <c r="J122" s="223"/>
      <c r="K122" s="223"/>
      <c r="L122" s="223"/>
    </row>
    <row r="123" spans="6:12" x14ac:dyDescent="0.2">
      <c r="F123" s="223"/>
      <c r="G123" s="223"/>
      <c r="H123" s="223"/>
      <c r="I123" s="223"/>
      <c r="J123" s="223"/>
      <c r="K123" s="223"/>
      <c r="L123" s="223"/>
    </row>
    <row r="124" spans="6:12" x14ac:dyDescent="0.2">
      <c r="F124" s="223"/>
      <c r="G124" s="223"/>
      <c r="H124" s="223"/>
      <c r="I124" s="223"/>
      <c r="J124" s="223"/>
      <c r="K124" s="223"/>
      <c r="L124" s="223"/>
    </row>
    <row r="125" spans="6:12" x14ac:dyDescent="0.2">
      <c r="F125" s="223"/>
      <c r="G125" s="223"/>
      <c r="H125" s="223"/>
      <c r="I125" s="223"/>
      <c r="J125" s="223"/>
      <c r="K125" s="223"/>
      <c r="L125" s="223"/>
    </row>
    <row r="126" spans="6:12" x14ac:dyDescent="0.2">
      <c r="F126" s="223"/>
      <c r="G126" s="223"/>
      <c r="H126" s="223"/>
      <c r="I126" s="223"/>
      <c r="J126" s="223"/>
      <c r="K126" s="223"/>
      <c r="L126" s="223"/>
    </row>
    <row r="127" spans="6:12" x14ac:dyDescent="0.2">
      <c r="F127" s="223"/>
      <c r="G127" s="223"/>
      <c r="H127" s="223"/>
      <c r="I127" s="223"/>
      <c r="J127" s="223"/>
      <c r="K127" s="223"/>
      <c r="L127" s="223"/>
    </row>
    <row r="128" spans="6:12" x14ac:dyDescent="0.2">
      <c r="F128" s="223"/>
      <c r="G128" s="223"/>
      <c r="H128" s="223"/>
      <c r="I128" s="223"/>
      <c r="J128" s="223"/>
      <c r="K128" s="223"/>
      <c r="L128" s="223"/>
    </row>
    <row r="129" spans="6:12" x14ac:dyDescent="0.2">
      <c r="F129" s="223"/>
      <c r="G129" s="223"/>
      <c r="H129" s="223"/>
      <c r="I129" s="223"/>
      <c r="J129" s="223"/>
      <c r="K129" s="223"/>
      <c r="L129" s="223"/>
    </row>
    <row r="130" spans="6:12" x14ac:dyDescent="0.2">
      <c r="F130" s="223"/>
      <c r="G130" s="223"/>
      <c r="H130" s="223"/>
      <c r="I130" s="223"/>
      <c r="J130" s="223"/>
      <c r="K130" s="223"/>
      <c r="L130" s="223"/>
    </row>
    <row r="131" spans="6:12" x14ac:dyDescent="0.2">
      <c r="F131" s="223"/>
      <c r="G131" s="223"/>
      <c r="H131" s="223"/>
      <c r="I131" s="223"/>
      <c r="J131" s="223"/>
      <c r="K131" s="223"/>
      <c r="L131" s="223"/>
    </row>
    <row r="132" spans="6:12" x14ac:dyDescent="0.2">
      <c r="F132" s="223"/>
      <c r="G132" s="223"/>
      <c r="H132" s="223"/>
      <c r="I132" s="223"/>
      <c r="J132" s="223"/>
      <c r="K132" s="223"/>
      <c r="L132" s="223"/>
    </row>
    <row r="133" spans="6:12" x14ac:dyDescent="0.2">
      <c r="F133" s="223"/>
      <c r="G133" s="223"/>
      <c r="H133" s="223"/>
      <c r="I133" s="223"/>
      <c r="J133" s="223"/>
      <c r="K133" s="223"/>
      <c r="L133" s="223"/>
    </row>
    <row r="134" spans="6:12" x14ac:dyDescent="0.2">
      <c r="F134" s="223"/>
      <c r="G134" s="223"/>
      <c r="H134" s="223"/>
      <c r="I134" s="223"/>
      <c r="J134" s="223"/>
      <c r="K134" s="223"/>
      <c r="L134" s="223"/>
    </row>
    <row r="135" spans="6:12" x14ac:dyDescent="0.2">
      <c r="F135" s="223"/>
      <c r="G135" s="223"/>
      <c r="H135" s="223"/>
      <c r="I135" s="223"/>
      <c r="J135" s="223"/>
      <c r="K135" s="223"/>
      <c r="L135" s="223"/>
    </row>
    <row r="136" spans="6:12" x14ac:dyDescent="0.2">
      <c r="F136" s="223"/>
      <c r="G136" s="223"/>
      <c r="H136" s="223"/>
      <c r="I136" s="223"/>
      <c r="J136" s="223"/>
      <c r="K136" s="223"/>
      <c r="L136" s="223"/>
    </row>
    <row r="137" spans="6:12" x14ac:dyDescent="0.2">
      <c r="F137" s="223"/>
      <c r="G137" s="223"/>
      <c r="H137" s="223"/>
      <c r="I137" s="223"/>
      <c r="J137" s="223"/>
      <c r="K137" s="223"/>
      <c r="L137" s="223"/>
    </row>
    <row r="138" spans="6:12" x14ac:dyDescent="0.2">
      <c r="F138" s="223"/>
      <c r="G138" s="223"/>
      <c r="H138" s="223"/>
      <c r="I138" s="223"/>
      <c r="J138" s="223"/>
      <c r="K138" s="223"/>
      <c r="L138" s="223"/>
    </row>
    <row r="139" spans="6:12" x14ac:dyDescent="0.2">
      <c r="F139" s="223"/>
      <c r="G139" s="223"/>
      <c r="H139" s="223"/>
      <c r="I139" s="223"/>
      <c r="J139" s="223"/>
      <c r="K139" s="223"/>
      <c r="L139" s="223"/>
    </row>
    <row r="140" spans="6:12" x14ac:dyDescent="0.2">
      <c r="F140" s="223"/>
      <c r="G140" s="223"/>
      <c r="H140" s="223"/>
      <c r="I140" s="223"/>
      <c r="J140" s="223"/>
      <c r="K140" s="223"/>
      <c r="L140" s="223"/>
    </row>
    <row r="141" spans="6:12" x14ac:dyDescent="0.2">
      <c r="F141" s="223"/>
      <c r="G141" s="223"/>
      <c r="H141" s="223"/>
      <c r="I141" s="223"/>
      <c r="J141" s="223"/>
      <c r="K141" s="223"/>
      <c r="L141" s="223"/>
    </row>
    <row r="142" spans="6:12" x14ac:dyDescent="0.2">
      <c r="F142" s="223"/>
      <c r="G142" s="223"/>
      <c r="H142" s="223"/>
      <c r="I142" s="223"/>
      <c r="J142" s="223"/>
      <c r="K142" s="223"/>
      <c r="L142" s="223"/>
    </row>
    <row r="143" spans="6:12" x14ac:dyDescent="0.2">
      <c r="F143" s="223"/>
      <c r="G143" s="223"/>
      <c r="H143" s="223"/>
      <c r="I143" s="223"/>
      <c r="J143" s="223"/>
      <c r="K143" s="223"/>
      <c r="L143" s="223"/>
    </row>
    <row r="144" spans="6:12" x14ac:dyDescent="0.2">
      <c r="F144" s="223"/>
      <c r="G144" s="223"/>
      <c r="H144" s="223"/>
      <c r="I144" s="223"/>
      <c r="J144" s="223"/>
      <c r="K144" s="223"/>
      <c r="L144" s="223"/>
    </row>
    <row r="145" spans="6:12" x14ac:dyDescent="0.2">
      <c r="F145" s="223"/>
      <c r="G145" s="223"/>
      <c r="H145" s="223"/>
      <c r="I145" s="223"/>
      <c r="J145" s="223"/>
      <c r="K145" s="223"/>
      <c r="L145" s="223"/>
    </row>
    <row r="146" spans="6:12" x14ac:dyDescent="0.2">
      <c r="F146" s="223"/>
      <c r="G146" s="223"/>
      <c r="H146" s="223"/>
      <c r="I146" s="223"/>
      <c r="J146" s="223"/>
      <c r="K146" s="223"/>
      <c r="L146" s="223"/>
    </row>
    <row r="147" spans="6:12" x14ac:dyDescent="0.2">
      <c r="F147" s="223"/>
      <c r="G147" s="223"/>
      <c r="H147" s="223"/>
      <c r="I147" s="223"/>
      <c r="J147" s="223"/>
      <c r="K147" s="223"/>
      <c r="L147" s="223"/>
    </row>
    <row r="148" spans="6:12" x14ac:dyDescent="0.2">
      <c r="F148" s="223"/>
      <c r="G148" s="223"/>
      <c r="H148" s="223"/>
      <c r="I148" s="223"/>
      <c r="J148" s="223"/>
      <c r="K148" s="223"/>
      <c r="L148" s="223"/>
    </row>
    <row r="149" spans="6:12" x14ac:dyDescent="0.2">
      <c r="F149" s="223"/>
      <c r="G149" s="223"/>
      <c r="H149" s="223"/>
      <c r="I149" s="223"/>
      <c r="J149" s="223"/>
      <c r="K149" s="223"/>
      <c r="L149" s="223"/>
    </row>
    <row r="150" spans="6:12" x14ac:dyDescent="0.2">
      <c r="F150" s="223"/>
      <c r="G150" s="223"/>
      <c r="H150" s="223"/>
      <c r="I150" s="223"/>
      <c r="J150" s="223"/>
      <c r="K150" s="223"/>
      <c r="L150" s="223"/>
    </row>
    <row r="151" spans="6:12" x14ac:dyDescent="0.2">
      <c r="F151" s="223"/>
      <c r="G151" s="223"/>
      <c r="H151" s="223"/>
      <c r="I151" s="223"/>
      <c r="J151" s="223"/>
      <c r="K151" s="223"/>
      <c r="L151" s="223"/>
    </row>
    <row r="152" spans="6:12" x14ac:dyDescent="0.2">
      <c r="F152" s="223"/>
      <c r="G152" s="223"/>
      <c r="H152" s="223"/>
      <c r="I152" s="223"/>
      <c r="J152" s="223"/>
      <c r="K152" s="223"/>
      <c r="L152" s="223"/>
    </row>
    <row r="153" spans="6:12" x14ac:dyDescent="0.2">
      <c r="F153" s="223"/>
      <c r="G153" s="223"/>
      <c r="H153" s="223"/>
      <c r="I153" s="223"/>
      <c r="J153" s="223"/>
      <c r="K153" s="223"/>
      <c r="L153" s="223"/>
    </row>
    <row r="154" spans="6:12" x14ac:dyDescent="0.2">
      <c r="F154" s="223"/>
      <c r="G154" s="223"/>
      <c r="H154" s="223"/>
      <c r="I154" s="223"/>
      <c r="J154" s="223"/>
      <c r="K154" s="223"/>
      <c r="L154" s="223"/>
    </row>
    <row r="155" spans="6:12" x14ac:dyDescent="0.2">
      <c r="F155" s="223"/>
      <c r="G155" s="223"/>
      <c r="H155" s="223"/>
      <c r="I155" s="223"/>
      <c r="J155" s="223"/>
      <c r="K155" s="223"/>
      <c r="L155" s="223"/>
    </row>
    <row r="156" spans="6:12" x14ac:dyDescent="0.2">
      <c r="F156" s="223"/>
      <c r="G156" s="223"/>
      <c r="H156" s="223"/>
      <c r="I156" s="223"/>
      <c r="J156" s="223"/>
      <c r="K156" s="223"/>
      <c r="L156" s="223"/>
    </row>
    <row r="157" spans="6:12" x14ac:dyDescent="0.2">
      <c r="F157" s="223"/>
      <c r="G157" s="223"/>
      <c r="H157" s="223"/>
      <c r="I157" s="223"/>
      <c r="J157" s="223"/>
      <c r="K157" s="223"/>
      <c r="L157" s="223"/>
    </row>
    <row r="158" spans="6:12" x14ac:dyDescent="0.2">
      <c r="F158" s="223"/>
      <c r="G158" s="223"/>
      <c r="H158" s="223"/>
      <c r="I158" s="223"/>
      <c r="J158" s="223"/>
      <c r="K158" s="223"/>
      <c r="L158" s="223"/>
    </row>
    <row r="159" spans="6:12" x14ac:dyDescent="0.2">
      <c r="F159" s="223"/>
      <c r="G159" s="223"/>
      <c r="H159" s="223"/>
      <c r="I159" s="223"/>
      <c r="J159" s="223"/>
      <c r="K159" s="223"/>
      <c r="L159" s="223"/>
    </row>
    <row r="160" spans="6:12" x14ac:dyDescent="0.2">
      <c r="F160" s="223"/>
      <c r="G160" s="223"/>
      <c r="H160" s="223"/>
      <c r="I160" s="223"/>
      <c r="J160" s="223"/>
      <c r="K160" s="223"/>
      <c r="L160" s="223"/>
    </row>
    <row r="161" spans="6:12" x14ac:dyDescent="0.2">
      <c r="F161" s="223"/>
      <c r="G161" s="223"/>
      <c r="H161" s="223"/>
      <c r="I161" s="223"/>
      <c r="J161" s="223"/>
      <c r="K161" s="223"/>
      <c r="L161" s="223"/>
    </row>
    <row r="162" spans="6:12" x14ac:dyDescent="0.2">
      <c r="F162" s="223"/>
      <c r="G162" s="223"/>
      <c r="H162" s="223"/>
      <c r="I162" s="223"/>
      <c r="J162" s="223"/>
      <c r="K162" s="223"/>
      <c r="L162" s="223"/>
    </row>
    <row r="163" spans="6:12" x14ac:dyDescent="0.2">
      <c r="F163" s="223"/>
      <c r="G163" s="223"/>
      <c r="H163" s="223"/>
      <c r="I163" s="223"/>
      <c r="J163" s="223"/>
      <c r="K163" s="223"/>
      <c r="L163" s="223"/>
    </row>
    <row r="164" spans="6:12" x14ac:dyDescent="0.2">
      <c r="F164" s="223"/>
      <c r="G164" s="223"/>
      <c r="H164" s="223"/>
      <c r="I164" s="223"/>
      <c r="J164" s="223"/>
      <c r="K164" s="223"/>
      <c r="L164" s="223"/>
    </row>
    <row r="165" spans="6:12" x14ac:dyDescent="0.2">
      <c r="F165" s="223"/>
      <c r="G165" s="223"/>
      <c r="H165" s="223"/>
      <c r="I165" s="223"/>
      <c r="J165" s="223"/>
      <c r="K165" s="223"/>
      <c r="L165" s="223"/>
    </row>
    <row r="166" spans="6:12" x14ac:dyDescent="0.2">
      <c r="F166" s="223"/>
      <c r="G166" s="223"/>
      <c r="H166" s="223"/>
      <c r="I166" s="223"/>
      <c r="J166" s="223"/>
      <c r="K166" s="223"/>
      <c r="L166" s="223"/>
    </row>
    <row r="167" spans="6:12" x14ac:dyDescent="0.2">
      <c r="F167" s="223"/>
      <c r="G167" s="223"/>
      <c r="H167" s="223"/>
      <c r="I167" s="223"/>
      <c r="J167" s="223"/>
      <c r="K167" s="223"/>
      <c r="L167" s="223"/>
    </row>
    <row r="168" spans="6:12" x14ac:dyDescent="0.2">
      <c r="F168" s="223"/>
      <c r="G168" s="223"/>
      <c r="H168" s="223"/>
      <c r="I168" s="223"/>
      <c r="J168" s="223"/>
      <c r="K168" s="223"/>
      <c r="L168" s="223"/>
    </row>
    <row r="169" spans="6:12" x14ac:dyDescent="0.2">
      <c r="F169" s="223"/>
      <c r="G169" s="223"/>
      <c r="H169" s="223"/>
      <c r="I169" s="223"/>
      <c r="J169" s="223"/>
      <c r="K169" s="223"/>
      <c r="L169" s="223"/>
    </row>
    <row r="170" spans="6:12" x14ac:dyDescent="0.2">
      <c r="F170" s="223"/>
      <c r="G170" s="223"/>
      <c r="H170" s="223"/>
      <c r="I170" s="223"/>
      <c r="J170" s="223"/>
      <c r="K170" s="223"/>
      <c r="L170" s="223"/>
    </row>
    <row r="171" spans="6:12" x14ac:dyDescent="0.2">
      <c r="F171" s="223"/>
      <c r="G171" s="223"/>
      <c r="H171" s="223"/>
      <c r="I171" s="223"/>
      <c r="J171" s="223"/>
      <c r="K171" s="223"/>
      <c r="L171" s="223"/>
    </row>
    <row r="172" spans="6:12" x14ac:dyDescent="0.2">
      <c r="F172" s="223"/>
      <c r="G172" s="223"/>
      <c r="H172" s="223"/>
      <c r="I172" s="223"/>
      <c r="J172" s="223"/>
      <c r="K172" s="223"/>
      <c r="L172" s="223"/>
    </row>
    <row r="173" spans="6:12" x14ac:dyDescent="0.2">
      <c r="F173" s="223"/>
      <c r="G173" s="223"/>
      <c r="H173" s="223"/>
      <c r="I173" s="223"/>
      <c r="J173" s="223"/>
      <c r="K173" s="223"/>
      <c r="L173" s="223"/>
    </row>
    <row r="174" spans="6:12" x14ac:dyDescent="0.2">
      <c r="F174" s="223"/>
      <c r="G174" s="223"/>
      <c r="H174" s="223"/>
      <c r="I174" s="223"/>
      <c r="J174" s="223"/>
      <c r="K174" s="223"/>
      <c r="L174" s="223"/>
    </row>
    <row r="175" spans="6:12" x14ac:dyDescent="0.2">
      <c r="F175" s="223"/>
      <c r="G175" s="223"/>
      <c r="H175" s="223"/>
      <c r="I175" s="223"/>
      <c r="J175" s="223"/>
      <c r="K175" s="223"/>
      <c r="L175" s="223"/>
    </row>
    <row r="176" spans="6:12" x14ac:dyDescent="0.2">
      <c r="F176" s="223"/>
      <c r="G176" s="223"/>
      <c r="H176" s="223"/>
      <c r="I176" s="223"/>
      <c r="J176" s="223"/>
      <c r="K176" s="223"/>
      <c r="L176" s="223"/>
    </row>
    <row r="177" spans="6:12" x14ac:dyDescent="0.2">
      <c r="F177" s="223"/>
      <c r="G177" s="223"/>
      <c r="H177" s="223"/>
      <c r="I177" s="223"/>
      <c r="J177" s="223"/>
      <c r="K177" s="223"/>
      <c r="L177" s="223"/>
    </row>
    <row r="178" spans="6:12" x14ac:dyDescent="0.2">
      <c r="F178" s="223"/>
      <c r="G178" s="223"/>
      <c r="H178" s="223"/>
      <c r="I178" s="223"/>
      <c r="J178" s="223"/>
      <c r="K178" s="223"/>
      <c r="L178" s="223"/>
    </row>
    <row r="179" spans="6:12" x14ac:dyDescent="0.2">
      <c r="F179" s="223"/>
      <c r="G179" s="223"/>
      <c r="H179" s="223"/>
      <c r="I179" s="223"/>
      <c r="J179" s="223"/>
      <c r="K179" s="223"/>
      <c r="L179" s="223"/>
    </row>
    <row r="180" spans="6:12" x14ac:dyDescent="0.2">
      <c r="F180" s="223"/>
      <c r="G180" s="223"/>
      <c r="H180" s="223"/>
      <c r="I180" s="223"/>
      <c r="J180" s="223"/>
      <c r="K180" s="223"/>
      <c r="L180" s="223"/>
    </row>
    <row r="181" spans="6:12" x14ac:dyDescent="0.2">
      <c r="F181" s="223"/>
      <c r="G181" s="223"/>
      <c r="H181" s="223"/>
      <c r="I181" s="223"/>
      <c r="J181" s="223"/>
      <c r="K181" s="223"/>
      <c r="L181" s="223"/>
    </row>
    <row r="182" spans="6:12" x14ac:dyDescent="0.2">
      <c r="F182" s="223"/>
      <c r="G182" s="223"/>
      <c r="H182" s="223"/>
      <c r="I182" s="223"/>
      <c r="J182" s="223"/>
      <c r="K182" s="223"/>
      <c r="L182" s="223"/>
    </row>
    <row r="183" spans="6:12" x14ac:dyDescent="0.2">
      <c r="F183" s="223"/>
      <c r="G183" s="223"/>
      <c r="H183" s="223"/>
      <c r="I183" s="223"/>
      <c r="J183" s="223"/>
      <c r="K183" s="223"/>
      <c r="L183" s="223"/>
    </row>
    <row r="184" spans="6:12" x14ac:dyDescent="0.2">
      <c r="F184" s="223"/>
      <c r="G184" s="223"/>
      <c r="H184" s="223"/>
      <c r="I184" s="223"/>
      <c r="J184" s="223"/>
      <c r="K184" s="223"/>
      <c r="L184" s="223"/>
    </row>
    <row r="185" spans="6:12" x14ac:dyDescent="0.2">
      <c r="F185" s="223"/>
      <c r="G185" s="223"/>
      <c r="H185" s="223"/>
      <c r="I185" s="223"/>
      <c r="J185" s="223"/>
      <c r="K185" s="223"/>
      <c r="L185" s="223"/>
    </row>
    <row r="186" spans="6:12" x14ac:dyDescent="0.2">
      <c r="F186" s="223"/>
      <c r="G186" s="223"/>
      <c r="H186" s="223"/>
      <c r="I186" s="223"/>
      <c r="J186" s="223"/>
      <c r="K186" s="223"/>
      <c r="L186" s="223"/>
    </row>
    <row r="187" spans="6:12" x14ac:dyDescent="0.2">
      <c r="F187" s="223"/>
      <c r="G187" s="223"/>
      <c r="H187" s="223"/>
      <c r="I187" s="223"/>
      <c r="J187" s="223"/>
      <c r="K187" s="223"/>
      <c r="L187" s="223"/>
    </row>
    <row r="188" spans="6:12" x14ac:dyDescent="0.2">
      <c r="F188" s="223"/>
      <c r="G188" s="223"/>
      <c r="H188" s="223"/>
      <c r="I188" s="223"/>
      <c r="J188" s="223"/>
      <c r="K188" s="223"/>
      <c r="L188" s="223"/>
    </row>
    <row r="189" spans="6:12" x14ac:dyDescent="0.2">
      <c r="F189" s="223"/>
      <c r="G189" s="223"/>
      <c r="H189" s="223"/>
      <c r="I189" s="223"/>
      <c r="J189" s="223"/>
      <c r="K189" s="223"/>
      <c r="L189" s="223"/>
    </row>
    <row r="190" spans="6:12" x14ac:dyDescent="0.2">
      <c r="F190" s="223"/>
      <c r="G190" s="223"/>
      <c r="H190" s="223"/>
      <c r="I190" s="223"/>
      <c r="J190" s="223"/>
      <c r="K190" s="223"/>
      <c r="L190" s="223"/>
    </row>
    <row r="191" spans="6:12" x14ac:dyDescent="0.2">
      <c r="F191" s="223"/>
      <c r="G191" s="223"/>
      <c r="H191" s="223"/>
      <c r="I191" s="223"/>
      <c r="J191" s="223"/>
      <c r="K191" s="223"/>
      <c r="L191" s="223"/>
    </row>
    <row r="192" spans="6:12" x14ac:dyDescent="0.2">
      <c r="F192" s="223"/>
      <c r="G192" s="223"/>
      <c r="H192" s="223"/>
      <c r="I192" s="223"/>
      <c r="J192" s="223"/>
      <c r="K192" s="223"/>
      <c r="L192" s="223"/>
    </row>
    <row r="193" spans="6:12" x14ac:dyDescent="0.2">
      <c r="F193" s="223"/>
      <c r="G193" s="223"/>
      <c r="H193" s="223"/>
      <c r="I193" s="223"/>
      <c r="J193" s="223"/>
      <c r="K193" s="223"/>
      <c r="L193" s="223"/>
    </row>
    <row r="194" spans="6:12" x14ac:dyDescent="0.2">
      <c r="F194" s="223"/>
      <c r="G194" s="223"/>
      <c r="H194" s="223"/>
      <c r="I194" s="223"/>
      <c r="J194" s="223"/>
      <c r="K194" s="223"/>
      <c r="L194" s="223"/>
    </row>
    <row r="195" spans="6:12" x14ac:dyDescent="0.2">
      <c r="F195" s="223"/>
      <c r="G195" s="223"/>
      <c r="H195" s="223"/>
      <c r="I195" s="223"/>
      <c r="J195" s="223"/>
      <c r="K195" s="223"/>
      <c r="L195" s="223"/>
    </row>
    <row r="196" spans="6:12" x14ac:dyDescent="0.2">
      <c r="F196" s="223"/>
      <c r="G196" s="223"/>
      <c r="H196" s="223"/>
      <c r="I196" s="223"/>
      <c r="J196" s="223"/>
      <c r="K196" s="223"/>
      <c r="L196" s="223"/>
    </row>
    <row r="197" spans="6:12" x14ac:dyDescent="0.2">
      <c r="F197" s="223"/>
      <c r="G197" s="223"/>
      <c r="H197" s="223"/>
      <c r="I197" s="223"/>
      <c r="J197" s="223"/>
      <c r="K197" s="223"/>
      <c r="L197" s="223"/>
    </row>
    <row r="198" spans="6:12" x14ac:dyDescent="0.2">
      <c r="F198" s="223"/>
      <c r="G198" s="223"/>
      <c r="H198" s="223"/>
      <c r="I198" s="223"/>
      <c r="J198" s="223"/>
      <c r="K198" s="223"/>
      <c r="L198" s="223"/>
    </row>
    <row r="199" spans="6:12" x14ac:dyDescent="0.2">
      <c r="F199" s="223"/>
      <c r="G199" s="223"/>
      <c r="H199" s="223"/>
      <c r="I199" s="223"/>
      <c r="J199" s="223"/>
      <c r="K199" s="223"/>
      <c r="L199" s="223"/>
    </row>
    <row r="200" spans="6:12" x14ac:dyDescent="0.2">
      <c r="F200" s="223"/>
      <c r="G200" s="223"/>
      <c r="H200" s="223"/>
      <c r="I200" s="223"/>
      <c r="J200" s="223"/>
      <c r="K200" s="223"/>
      <c r="L200" s="223"/>
    </row>
    <row r="201" spans="6:12" x14ac:dyDescent="0.2">
      <c r="F201" s="223"/>
      <c r="G201" s="223"/>
      <c r="H201" s="223"/>
      <c r="I201" s="223"/>
      <c r="J201" s="223"/>
      <c r="K201" s="223"/>
      <c r="L201" s="223"/>
    </row>
    <row r="202" spans="6:12" x14ac:dyDescent="0.2">
      <c r="F202" s="223"/>
      <c r="G202" s="223"/>
      <c r="H202" s="223"/>
      <c r="I202" s="223"/>
      <c r="J202" s="223"/>
      <c r="K202" s="223"/>
      <c r="L202" s="223"/>
    </row>
    <row r="203" spans="6:12" x14ac:dyDescent="0.2">
      <c r="F203" s="223"/>
      <c r="G203" s="223"/>
      <c r="H203" s="223"/>
      <c r="I203" s="223"/>
      <c r="J203" s="223"/>
      <c r="K203" s="223"/>
      <c r="L203" s="223"/>
    </row>
    <row r="204" spans="6:12" x14ac:dyDescent="0.2">
      <c r="F204" s="223"/>
      <c r="G204" s="223"/>
      <c r="H204" s="223"/>
      <c r="I204" s="223"/>
      <c r="J204" s="223"/>
      <c r="K204" s="223"/>
      <c r="L204" s="223"/>
    </row>
    <row r="205" spans="6:12" x14ac:dyDescent="0.2">
      <c r="F205" s="223"/>
      <c r="G205" s="223"/>
      <c r="H205" s="223"/>
      <c r="I205" s="223"/>
      <c r="J205" s="223"/>
      <c r="K205" s="223"/>
      <c r="L205" s="223"/>
    </row>
    <row r="206" spans="6:12" x14ac:dyDescent="0.2">
      <c r="F206" s="223"/>
      <c r="G206" s="223"/>
      <c r="H206" s="223"/>
      <c r="I206" s="223"/>
      <c r="J206" s="223"/>
      <c r="K206" s="223"/>
      <c r="L206" s="223"/>
    </row>
    <row r="207" spans="6:12" x14ac:dyDescent="0.2">
      <c r="F207" s="223"/>
      <c r="G207" s="223"/>
      <c r="H207" s="223"/>
      <c r="I207" s="223"/>
      <c r="J207" s="223"/>
      <c r="K207" s="223"/>
      <c r="L207" s="223"/>
    </row>
    <row r="208" spans="6:12" x14ac:dyDescent="0.2">
      <c r="F208" s="223"/>
      <c r="G208" s="223"/>
      <c r="H208" s="223"/>
      <c r="I208" s="223"/>
      <c r="J208" s="223"/>
      <c r="K208" s="223"/>
      <c r="L208" s="223"/>
    </row>
    <row r="209" spans="6:12" x14ac:dyDescent="0.2">
      <c r="F209" s="223"/>
      <c r="G209" s="223"/>
      <c r="H209" s="223"/>
      <c r="I209" s="223"/>
      <c r="J209" s="223"/>
      <c r="K209" s="223"/>
      <c r="L209" s="223"/>
    </row>
    <row r="210" spans="6:12" x14ac:dyDescent="0.2">
      <c r="F210" s="223"/>
      <c r="G210" s="223"/>
      <c r="H210" s="223"/>
      <c r="I210" s="223"/>
      <c r="J210" s="223"/>
      <c r="K210" s="223"/>
      <c r="L210" s="223"/>
    </row>
    <row r="211" spans="6:12" x14ac:dyDescent="0.2">
      <c r="F211" s="223"/>
      <c r="G211" s="223"/>
      <c r="H211" s="223"/>
      <c r="I211" s="223"/>
      <c r="J211" s="223"/>
      <c r="K211" s="223"/>
      <c r="L211" s="223"/>
    </row>
    <row r="212" spans="6:12" x14ac:dyDescent="0.2">
      <c r="F212" s="223"/>
      <c r="G212" s="223"/>
      <c r="H212" s="223"/>
      <c r="I212" s="223"/>
      <c r="J212" s="223"/>
      <c r="K212" s="223"/>
      <c r="L212" s="223"/>
    </row>
    <row r="213" spans="6:12" x14ac:dyDescent="0.2">
      <c r="F213" s="223"/>
      <c r="G213" s="223"/>
      <c r="H213" s="223"/>
      <c r="I213" s="223"/>
      <c r="J213" s="223"/>
      <c r="K213" s="223"/>
      <c r="L213" s="223"/>
    </row>
    <row r="214" spans="6:12" x14ac:dyDescent="0.2">
      <c r="F214" s="223"/>
      <c r="G214" s="223"/>
      <c r="H214" s="223"/>
      <c r="I214" s="223"/>
      <c r="J214" s="223"/>
      <c r="K214" s="223"/>
      <c r="L214" s="223"/>
    </row>
    <row r="215" spans="6:12" x14ac:dyDescent="0.2">
      <c r="F215" s="223"/>
      <c r="G215" s="223"/>
      <c r="H215" s="223"/>
      <c r="I215" s="223"/>
      <c r="J215" s="223"/>
      <c r="K215" s="223"/>
      <c r="L215" s="223"/>
    </row>
    <row r="216" spans="6:12" x14ac:dyDescent="0.2">
      <c r="F216" s="223"/>
      <c r="G216" s="223"/>
      <c r="H216" s="223"/>
      <c r="I216" s="223"/>
      <c r="J216" s="223"/>
      <c r="K216" s="223"/>
      <c r="L216" s="223"/>
    </row>
    <row r="217" spans="6:12" x14ac:dyDescent="0.2">
      <c r="F217" s="223"/>
      <c r="G217" s="223"/>
      <c r="H217" s="223"/>
      <c r="I217" s="223"/>
      <c r="J217" s="223"/>
      <c r="K217" s="223"/>
      <c r="L217" s="223"/>
    </row>
    <row r="218" spans="6:12" x14ac:dyDescent="0.2">
      <c r="F218" s="223"/>
      <c r="G218" s="223"/>
      <c r="H218" s="223"/>
      <c r="I218" s="223"/>
      <c r="J218" s="223"/>
      <c r="K218" s="223"/>
      <c r="L218" s="223"/>
    </row>
    <row r="219" spans="6:12" x14ac:dyDescent="0.2">
      <c r="F219" s="223"/>
      <c r="G219" s="223"/>
      <c r="H219" s="223"/>
      <c r="I219" s="223"/>
      <c r="J219" s="223"/>
      <c r="K219" s="223"/>
      <c r="L219" s="223"/>
    </row>
    <row r="220" spans="6:12" x14ac:dyDescent="0.2">
      <c r="F220" s="223"/>
      <c r="G220" s="223"/>
      <c r="H220" s="223"/>
      <c r="I220" s="223"/>
      <c r="J220" s="223"/>
      <c r="K220" s="223"/>
      <c r="L220" s="223"/>
    </row>
    <row r="221" spans="6:12" x14ac:dyDescent="0.2">
      <c r="F221" s="223"/>
      <c r="G221" s="223"/>
      <c r="H221" s="223"/>
      <c r="I221" s="223"/>
      <c r="J221" s="223"/>
      <c r="K221" s="223"/>
      <c r="L221" s="223"/>
    </row>
    <row r="222" spans="6:12" x14ac:dyDescent="0.2">
      <c r="F222" s="223"/>
      <c r="G222" s="223"/>
      <c r="H222" s="223"/>
      <c r="I222" s="223"/>
      <c r="J222" s="223"/>
      <c r="K222" s="223"/>
      <c r="L222" s="223"/>
    </row>
    <row r="223" spans="6:12" x14ac:dyDescent="0.2">
      <c r="F223" s="223"/>
      <c r="G223" s="223"/>
      <c r="H223" s="223"/>
      <c r="I223" s="223"/>
      <c r="J223" s="223"/>
      <c r="K223" s="223"/>
      <c r="L223" s="223"/>
    </row>
    <row r="224" spans="6:12" x14ac:dyDescent="0.2">
      <c r="F224" s="223"/>
      <c r="G224" s="223"/>
      <c r="H224" s="223"/>
      <c r="I224" s="223"/>
      <c r="J224" s="223"/>
      <c r="K224" s="223"/>
      <c r="L224" s="223"/>
    </row>
    <row r="225" spans="6:12" x14ac:dyDescent="0.2">
      <c r="F225" s="223"/>
      <c r="G225" s="223"/>
      <c r="H225" s="223"/>
      <c r="I225" s="223"/>
      <c r="J225" s="223"/>
      <c r="K225" s="223"/>
      <c r="L225" s="223"/>
    </row>
    <row r="226" spans="6:12" x14ac:dyDescent="0.2">
      <c r="F226" s="223"/>
      <c r="G226" s="223"/>
      <c r="H226" s="223"/>
      <c r="I226" s="223"/>
      <c r="J226" s="223"/>
      <c r="K226" s="223"/>
      <c r="L226" s="223"/>
    </row>
    <row r="227" spans="6:12" x14ac:dyDescent="0.2">
      <c r="F227" s="223"/>
      <c r="G227" s="223"/>
      <c r="H227" s="223"/>
      <c r="I227" s="223"/>
      <c r="J227" s="223"/>
      <c r="K227" s="223"/>
      <c r="L227" s="223"/>
    </row>
    <row r="228" spans="6:12" x14ac:dyDescent="0.2">
      <c r="F228" s="223"/>
      <c r="G228" s="223"/>
      <c r="H228" s="223"/>
      <c r="I228" s="223"/>
      <c r="J228" s="223"/>
      <c r="K228" s="223"/>
      <c r="L228" s="223"/>
    </row>
    <row r="229" spans="6:12" x14ac:dyDescent="0.2">
      <c r="F229" s="223"/>
      <c r="G229" s="223"/>
      <c r="H229" s="223"/>
      <c r="I229" s="223"/>
      <c r="J229" s="223"/>
      <c r="K229" s="223"/>
      <c r="L229" s="223"/>
    </row>
    <row r="230" spans="6:12" x14ac:dyDescent="0.2">
      <c r="F230" s="223"/>
      <c r="G230" s="223"/>
      <c r="H230" s="223"/>
      <c r="I230" s="223"/>
      <c r="J230" s="223"/>
      <c r="K230" s="223"/>
      <c r="L230" s="223"/>
    </row>
    <row r="231" spans="6:12" x14ac:dyDescent="0.2">
      <c r="F231" s="223"/>
      <c r="G231" s="223"/>
      <c r="H231" s="223"/>
      <c r="I231" s="223"/>
      <c r="J231" s="223"/>
      <c r="K231" s="223"/>
      <c r="L231" s="223"/>
    </row>
    <row r="232" spans="6:12" x14ac:dyDescent="0.2">
      <c r="F232" s="223"/>
      <c r="G232" s="223"/>
      <c r="H232" s="223"/>
      <c r="I232" s="223"/>
      <c r="J232" s="223"/>
      <c r="K232" s="223"/>
      <c r="L232" s="223"/>
    </row>
    <row r="233" spans="6:12" x14ac:dyDescent="0.2">
      <c r="F233" s="223"/>
      <c r="G233" s="223"/>
      <c r="H233" s="223"/>
      <c r="I233" s="223"/>
      <c r="J233" s="223"/>
      <c r="K233" s="223"/>
      <c r="L233" s="223"/>
    </row>
    <row r="234" spans="6:12" x14ac:dyDescent="0.2">
      <c r="F234" s="223"/>
      <c r="G234" s="223"/>
      <c r="H234" s="223"/>
      <c r="I234" s="223"/>
      <c r="J234" s="223"/>
      <c r="K234" s="223"/>
      <c r="L234" s="223"/>
    </row>
    <row r="235" spans="6:12" x14ac:dyDescent="0.2">
      <c r="F235" s="223"/>
      <c r="G235" s="223"/>
      <c r="H235" s="223"/>
      <c r="I235" s="223"/>
      <c r="J235" s="223"/>
      <c r="K235" s="223"/>
      <c r="L235" s="223"/>
    </row>
    <row r="236" spans="6:12" x14ac:dyDescent="0.2">
      <c r="F236" s="223"/>
      <c r="G236" s="223"/>
      <c r="H236" s="223"/>
      <c r="I236" s="223"/>
      <c r="J236" s="223"/>
      <c r="K236" s="223"/>
      <c r="L236" s="223"/>
    </row>
    <row r="237" spans="6:12" x14ac:dyDescent="0.2">
      <c r="F237" s="223"/>
      <c r="G237" s="223"/>
      <c r="H237" s="223"/>
      <c r="I237" s="223"/>
      <c r="J237" s="223"/>
      <c r="K237" s="223"/>
      <c r="L237" s="223"/>
    </row>
    <row r="238" spans="6:12" x14ac:dyDescent="0.2">
      <c r="F238" s="223"/>
      <c r="G238" s="223"/>
      <c r="H238" s="223"/>
      <c r="I238" s="223"/>
      <c r="J238" s="223"/>
      <c r="K238" s="223"/>
      <c r="L238" s="223"/>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election activeCell="B16" sqref="B16"/>
    </sheetView>
  </sheetViews>
  <sheetFormatPr baseColWidth="10" defaultRowHeight="12.75" x14ac:dyDescent="0.2"/>
  <cols>
    <col min="1" max="1" width="36.5703125" style="91" customWidth="1"/>
    <col min="2" max="2" width="31" customWidth="1"/>
    <col min="3" max="3" width="35.42578125" customWidth="1"/>
    <col min="4" max="4" width="12.7109375" customWidth="1"/>
  </cols>
  <sheetData>
    <row r="1" spans="1:5" ht="20.100000000000001" customHeight="1" x14ac:dyDescent="0.2">
      <c r="A1" s="90" t="s">
        <v>1220</v>
      </c>
      <c r="B1" s="92">
        <v>1</v>
      </c>
    </row>
    <row r="2" spans="1:5" ht="20.100000000000001" customHeight="1" x14ac:dyDescent="0.2">
      <c r="A2" s="89" t="s">
        <v>31</v>
      </c>
      <c r="B2" s="92">
        <v>2</v>
      </c>
    </row>
    <row r="3" spans="1:5" ht="20.100000000000001" customHeight="1" x14ac:dyDescent="0.2">
      <c r="A3" s="89" t="s">
        <v>35</v>
      </c>
      <c r="B3" s="92">
        <v>3</v>
      </c>
    </row>
    <row r="4" spans="1:5" ht="20.100000000000001" customHeight="1" x14ac:dyDescent="0.2">
      <c r="A4" s="89" t="s">
        <v>33</v>
      </c>
      <c r="B4" s="92">
        <v>4</v>
      </c>
    </row>
    <row r="5" spans="1:5" ht="20.100000000000001" customHeight="1" x14ac:dyDescent="0.2">
      <c r="A5" s="89" t="s">
        <v>755</v>
      </c>
      <c r="B5" s="92">
        <v>5</v>
      </c>
    </row>
    <row r="6" spans="1:5" ht="20.100000000000001" customHeight="1" x14ac:dyDescent="0.2">
      <c r="A6" s="90" t="s">
        <v>1225</v>
      </c>
      <c r="B6" s="92">
        <v>6</v>
      </c>
    </row>
    <row r="7" spans="1:5" ht="20.100000000000001" customHeight="1" x14ac:dyDescent="0.2">
      <c r="A7" s="90" t="s">
        <v>1221</v>
      </c>
      <c r="B7" s="92">
        <v>7</v>
      </c>
    </row>
    <row r="8" spans="1:5" ht="20.100000000000001" customHeight="1" x14ac:dyDescent="0.2">
      <c r="A8" s="89" t="s">
        <v>78</v>
      </c>
      <c r="B8" s="92">
        <v>8</v>
      </c>
    </row>
    <row r="9" spans="1:5" ht="20.100000000000001" customHeight="1" x14ac:dyDescent="0.2">
      <c r="A9" s="90" t="s">
        <v>1223</v>
      </c>
      <c r="B9" s="93" t="s">
        <v>1287</v>
      </c>
      <c r="C9" s="9" t="s">
        <v>1227</v>
      </c>
      <c r="E9" s="9" t="s">
        <v>1933</v>
      </c>
    </row>
    <row r="10" spans="1:5" ht="20.100000000000001" customHeight="1" x14ac:dyDescent="0.2">
      <c r="A10" s="90" t="s">
        <v>1224</v>
      </c>
      <c r="B10" s="92">
        <v>10</v>
      </c>
      <c r="C10" s="9" t="s">
        <v>1228</v>
      </c>
      <c r="E10" s="9" t="s">
        <v>1494</v>
      </c>
    </row>
    <row r="11" spans="1:5" ht="20.100000000000001" customHeight="1" x14ac:dyDescent="0.2">
      <c r="A11" s="90" t="s">
        <v>1222</v>
      </c>
      <c r="B11" s="93">
        <v>11</v>
      </c>
      <c r="C11" s="9" t="s">
        <v>1226</v>
      </c>
      <c r="E11" s="9" t="s">
        <v>1490</v>
      </c>
    </row>
    <row r="12" spans="1:5" ht="20.100000000000001" customHeight="1" x14ac:dyDescent="0.2">
      <c r="A12" s="108" t="s">
        <v>1625</v>
      </c>
      <c r="B12" s="93" t="s">
        <v>1491</v>
      </c>
      <c r="C12" s="9" t="s">
        <v>1489</v>
      </c>
      <c r="E12" s="9" t="s">
        <v>1490</v>
      </c>
    </row>
    <row r="13" spans="1:5" ht="20.100000000000001" customHeight="1" x14ac:dyDescent="0.2">
      <c r="A13" s="108" t="s">
        <v>1492</v>
      </c>
      <c r="B13" s="93">
        <v>13</v>
      </c>
      <c r="C13" s="9" t="s">
        <v>1493</v>
      </c>
      <c r="E13" s="9" t="s">
        <v>1494</v>
      </c>
    </row>
    <row r="14" spans="1:5" ht="20.100000000000001" customHeight="1" x14ac:dyDescent="0.2">
      <c r="A14" s="108" t="s">
        <v>1689</v>
      </c>
      <c r="B14" s="93">
        <v>14</v>
      </c>
      <c r="C14" s="9" t="s">
        <v>1662</v>
      </c>
      <c r="E14" s="9" t="s">
        <v>1494</v>
      </c>
    </row>
    <row r="15" spans="1:5" ht="20.100000000000001" customHeight="1" x14ac:dyDescent="0.2">
      <c r="A15" s="108" t="s">
        <v>2951</v>
      </c>
      <c r="B15" s="9" t="s">
        <v>2952</v>
      </c>
      <c r="C15" s="9" t="s">
        <v>1690</v>
      </c>
      <c r="E15" s="9" t="s">
        <v>1691</v>
      </c>
    </row>
    <row r="16" spans="1:5" ht="20.100000000000001" customHeight="1" x14ac:dyDescent="0.2">
      <c r="A16" s="108" t="s">
        <v>1732</v>
      </c>
      <c r="B16" s="9" t="s">
        <v>2953</v>
      </c>
    </row>
    <row r="17" spans="1:2" ht="20.100000000000001" customHeight="1" x14ac:dyDescent="0.2">
      <c r="A17" s="108" t="s">
        <v>2954</v>
      </c>
      <c r="B17" s="9" t="s">
        <v>2955</v>
      </c>
    </row>
    <row r="18" spans="1:2" ht="20.100000000000001" customHeight="1" x14ac:dyDescent="0.2"/>
    <row r="19" spans="1:2" ht="20.100000000000001" customHeight="1" x14ac:dyDescent="0.2"/>
    <row r="20" spans="1:2" ht="20.100000000000001" customHeight="1" x14ac:dyDescent="0.2"/>
    <row r="21" spans="1:2" ht="20.100000000000001" customHeight="1" x14ac:dyDescent="0.2"/>
    <row r="22" spans="1:2" ht="20.100000000000001" customHeight="1" x14ac:dyDescent="0.2"/>
    <row r="23" spans="1:2" ht="20.100000000000001" customHeight="1" x14ac:dyDescent="0.2"/>
    <row r="24" spans="1:2" ht="20.100000000000001" customHeight="1" x14ac:dyDescent="0.2"/>
    <row r="25" spans="1:2" ht="20.100000000000001" customHeight="1" x14ac:dyDescent="0.2"/>
    <row r="26" spans="1:2" ht="20.100000000000001" customHeight="1" x14ac:dyDescent="0.2"/>
    <row r="27" spans="1:2" ht="20.100000000000001" customHeight="1" x14ac:dyDescent="0.2"/>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17"/>
  <sheetViews>
    <sheetView topLeftCell="A2" workbookViewId="0">
      <selection activeCell="A18" sqref="A18"/>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9" t="s">
        <v>2776</v>
      </c>
      <c r="I1" s="320" t="s">
        <v>3049</v>
      </c>
      <c r="J1" s="3" t="s">
        <v>43</v>
      </c>
    </row>
    <row r="2" spans="1:10" ht="24.95" customHeight="1" x14ac:dyDescent="0.2">
      <c r="A2" s="3" t="s">
        <v>34</v>
      </c>
      <c r="E2" s="3" t="s">
        <v>1661</v>
      </c>
      <c r="I2" s="320" t="s">
        <v>3048</v>
      </c>
      <c r="J2" s="3" t="s">
        <v>29</v>
      </c>
    </row>
    <row r="3" spans="1:10" ht="24.95" customHeight="1" x14ac:dyDescent="0.2">
      <c r="A3" s="3" t="s">
        <v>29</v>
      </c>
      <c r="E3" s="3" t="s">
        <v>1663</v>
      </c>
      <c r="I3" s="320" t="s">
        <v>3047</v>
      </c>
      <c r="J3" s="3" t="s">
        <v>283</v>
      </c>
    </row>
    <row r="4" spans="1:10" ht="24.95" customHeight="1" x14ac:dyDescent="0.2">
      <c r="A4" s="3" t="s">
        <v>283</v>
      </c>
      <c r="E4" s="3" t="s">
        <v>1742</v>
      </c>
      <c r="I4" s="320" t="s">
        <v>3046</v>
      </c>
      <c r="J4" s="3" t="s">
        <v>1441</v>
      </c>
    </row>
    <row r="5" spans="1:10" ht="24.95" customHeight="1" x14ac:dyDescent="0.2">
      <c r="A5" s="3" t="s">
        <v>32</v>
      </c>
      <c r="E5" s="3" t="s">
        <v>2288</v>
      </c>
      <c r="I5" s="320" t="s">
        <v>3045</v>
      </c>
      <c r="J5" s="3" t="s">
        <v>568</v>
      </c>
    </row>
    <row r="6" spans="1:10" ht="24.95" customHeight="1" x14ac:dyDescent="0.2">
      <c r="A6" s="3" t="s">
        <v>1441</v>
      </c>
      <c r="B6" s="9" t="s">
        <v>1382</v>
      </c>
      <c r="I6" s="320" t="s">
        <v>3050</v>
      </c>
      <c r="J6" s="3" t="s">
        <v>1442</v>
      </c>
    </row>
    <row r="7" spans="1:10" ht="24.95" customHeight="1" x14ac:dyDescent="0.2">
      <c r="A7" s="1" t="s">
        <v>359</v>
      </c>
      <c r="I7" s="320" t="s">
        <v>3051</v>
      </c>
      <c r="J7" s="3" t="s">
        <v>1443</v>
      </c>
    </row>
    <row r="8" spans="1:10" ht="24.95" customHeight="1" x14ac:dyDescent="0.2">
      <c r="A8" s="3" t="s">
        <v>568</v>
      </c>
      <c r="I8" s="320" t="s">
        <v>3052</v>
      </c>
      <c r="J8" s="3" t="s">
        <v>2773</v>
      </c>
    </row>
    <row r="9" spans="1:10" ht="24.95" customHeight="1" x14ac:dyDescent="0.2">
      <c r="A9" s="3" t="s">
        <v>1442</v>
      </c>
      <c r="B9" s="9" t="s">
        <v>1380</v>
      </c>
      <c r="C9" s="9" t="s">
        <v>1388</v>
      </c>
      <c r="I9" s="320" t="s">
        <v>3053</v>
      </c>
      <c r="J9" s="3" t="s">
        <v>2774</v>
      </c>
    </row>
    <row r="10" spans="1:10" ht="24.95" customHeight="1" x14ac:dyDescent="0.2">
      <c r="A10" s="3" t="s">
        <v>1443</v>
      </c>
      <c r="B10" s="9" t="s">
        <v>1381</v>
      </c>
      <c r="C10" s="9" t="s">
        <v>1389</v>
      </c>
      <c r="I10" s="320" t="s">
        <v>3054</v>
      </c>
      <c r="J10" s="3" t="s">
        <v>2775</v>
      </c>
    </row>
    <row r="11" spans="1:10" ht="24.95" customHeight="1" x14ac:dyDescent="0.2">
      <c r="A11" s="3" t="s">
        <v>2773</v>
      </c>
      <c r="I11" s="320" t="s">
        <v>3055</v>
      </c>
      <c r="J11" s="271" t="s">
        <v>2788</v>
      </c>
    </row>
    <row r="12" spans="1:10" ht="24.95" customHeight="1" x14ac:dyDescent="0.2">
      <c r="A12" s="3" t="s">
        <v>2774</v>
      </c>
      <c r="I12" s="320" t="s">
        <v>3056</v>
      </c>
      <c r="J12" s="271" t="s">
        <v>2838</v>
      </c>
    </row>
    <row r="13" spans="1:10" ht="24.95" customHeight="1" x14ac:dyDescent="0.2">
      <c r="A13" s="3" t="s">
        <v>2775</v>
      </c>
    </row>
    <row r="14" spans="1:10" x14ac:dyDescent="0.2">
      <c r="A14" s="271" t="s">
        <v>2788</v>
      </c>
    </row>
    <row r="15" spans="1:10" ht="24.95" customHeight="1" x14ac:dyDescent="0.2">
      <c r="A15" s="271" t="s">
        <v>2838</v>
      </c>
    </row>
    <row r="16" spans="1:10" x14ac:dyDescent="0.2">
      <c r="A16" s="1" t="s">
        <v>3365</v>
      </c>
    </row>
    <row r="17" spans="1:1" x14ac:dyDescent="0.2">
      <c r="A17" s="1" t="s">
        <v>3366</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topLeftCell="A36" workbookViewId="0">
      <selection activeCell="A58" sqref="A58"/>
    </sheetView>
  </sheetViews>
  <sheetFormatPr baseColWidth="10" defaultRowHeight="12.75" x14ac:dyDescent="0.2"/>
  <cols>
    <col min="1" max="1" width="54.28515625" style="42" customWidth="1"/>
  </cols>
  <sheetData>
    <row r="1" spans="1:1" ht="20.100000000000001" customHeight="1" x14ac:dyDescent="0.2">
      <c r="A1" s="15" t="s">
        <v>192</v>
      </c>
    </row>
    <row r="2" spans="1:1" ht="20.100000000000001" customHeight="1" x14ac:dyDescent="0.2">
      <c r="A2" s="16" t="s">
        <v>262</v>
      </c>
    </row>
    <row r="3" spans="1:1" ht="20.100000000000001" customHeight="1" x14ac:dyDescent="0.2">
      <c r="A3" s="15" t="s">
        <v>326</v>
      </c>
    </row>
    <row r="4" spans="1:1" ht="20.100000000000001" customHeight="1" x14ac:dyDescent="0.2">
      <c r="A4" s="43" t="s">
        <v>508</v>
      </c>
    </row>
    <row r="5" spans="1:1" ht="20.100000000000001" customHeight="1" x14ac:dyDescent="0.2">
      <c r="A5" s="16" t="s">
        <v>2001</v>
      </c>
    </row>
    <row r="6" spans="1:1" ht="20.100000000000001" customHeight="1" x14ac:dyDescent="0.2">
      <c r="A6" s="16" t="s">
        <v>811</v>
      </c>
    </row>
    <row r="7" spans="1:1" ht="20.100000000000001" customHeight="1" x14ac:dyDescent="0.2">
      <c r="A7" s="16" t="s">
        <v>805</v>
      </c>
    </row>
    <row r="8" spans="1:1" ht="20.100000000000001" customHeight="1" x14ac:dyDescent="0.2">
      <c r="A8" s="16" t="s">
        <v>806</v>
      </c>
    </row>
    <row r="9" spans="1:1" ht="20.100000000000001" customHeight="1" x14ac:dyDescent="0.2">
      <c r="A9" s="16" t="s">
        <v>807</v>
      </c>
    </row>
    <row r="10" spans="1:1" ht="20.100000000000001" customHeight="1" x14ac:dyDescent="0.2">
      <c r="A10" s="16" t="s">
        <v>808</v>
      </c>
    </row>
    <row r="11" spans="1:1" ht="20.100000000000001" customHeight="1" x14ac:dyDescent="0.2">
      <c r="A11" s="16" t="s">
        <v>809</v>
      </c>
    </row>
    <row r="12" spans="1:1" ht="20.100000000000001" customHeight="1" x14ac:dyDescent="0.2">
      <c r="A12" s="16" t="s">
        <v>812</v>
      </c>
    </row>
    <row r="13" spans="1:1" ht="20.100000000000001" customHeight="1" x14ac:dyDescent="0.2">
      <c r="A13" s="16" t="s">
        <v>813</v>
      </c>
    </row>
    <row r="14" spans="1:1" ht="20.100000000000001" customHeight="1" x14ac:dyDescent="0.2">
      <c r="A14" s="43" t="s">
        <v>2237</v>
      </c>
    </row>
    <row r="15" spans="1:1" ht="20.100000000000001" customHeight="1" x14ac:dyDescent="0.2">
      <c r="A15" s="43" t="s">
        <v>1414</v>
      </c>
    </row>
    <row r="16" spans="1:1" ht="20.100000000000001" customHeight="1" x14ac:dyDescent="0.2">
      <c r="A16" s="43" t="s">
        <v>1306</v>
      </c>
    </row>
    <row r="17" spans="1:2" ht="20.100000000000001" customHeight="1" x14ac:dyDescent="0.2">
      <c r="A17" s="43" t="s">
        <v>1702</v>
      </c>
    </row>
    <row r="18" spans="1:2" ht="20.100000000000001" customHeight="1" x14ac:dyDescent="0.2">
      <c r="A18" s="16" t="s">
        <v>830</v>
      </c>
    </row>
    <row r="19" spans="1:2" ht="20.100000000000001" customHeight="1" x14ac:dyDescent="0.2">
      <c r="A19" s="16" t="s">
        <v>829</v>
      </c>
    </row>
    <row r="20" spans="1:2" ht="20.100000000000001" customHeight="1" x14ac:dyDescent="0.2">
      <c r="A20" s="43" t="s">
        <v>2092</v>
      </c>
      <c r="B20" s="9" t="s">
        <v>2093</v>
      </c>
    </row>
    <row r="21" spans="1:2" ht="20.100000000000001" customHeight="1" x14ac:dyDescent="0.2">
      <c r="A21" s="43" t="s">
        <v>788</v>
      </c>
    </row>
    <row r="22" spans="1:2" ht="20.100000000000001" customHeight="1" x14ac:dyDescent="0.2">
      <c r="A22" s="16" t="s">
        <v>1180</v>
      </c>
    </row>
    <row r="23" spans="1:2" ht="20.100000000000001" customHeight="1" x14ac:dyDescent="0.2">
      <c r="A23" s="42" t="s">
        <v>1180</v>
      </c>
    </row>
    <row r="24" spans="1:2" ht="20.100000000000001" customHeight="1" x14ac:dyDescent="0.2">
      <c r="A24" s="15" t="s">
        <v>789</v>
      </c>
    </row>
    <row r="25" spans="1:2" ht="20.100000000000001" customHeight="1" x14ac:dyDescent="0.2">
      <c r="A25" s="16" t="s">
        <v>792</v>
      </c>
    </row>
    <row r="26" spans="1:2" ht="20.100000000000001" customHeight="1" x14ac:dyDescent="0.2">
      <c r="A26" s="16" t="s">
        <v>790</v>
      </c>
    </row>
    <row r="27" spans="1:2" ht="20.100000000000001" customHeight="1" x14ac:dyDescent="0.2">
      <c r="A27" s="15" t="s">
        <v>791</v>
      </c>
    </row>
    <row r="28" spans="1:2" ht="20.100000000000001" customHeight="1" x14ac:dyDescent="0.2">
      <c r="A28" s="43" t="s">
        <v>1502</v>
      </c>
    </row>
    <row r="29" spans="1:2" ht="20.100000000000001" customHeight="1" x14ac:dyDescent="0.2">
      <c r="A29" s="15" t="s">
        <v>793</v>
      </c>
    </row>
    <row r="30" spans="1:2" ht="20.100000000000001" customHeight="1" x14ac:dyDescent="0.2">
      <c r="A30" s="15" t="s">
        <v>794</v>
      </c>
    </row>
    <row r="31" spans="1:2" ht="20.100000000000001" customHeight="1" x14ac:dyDescent="0.2">
      <c r="A31" s="43" t="s">
        <v>1453</v>
      </c>
    </row>
    <row r="32" spans="1:2" ht="20.100000000000001" customHeight="1" x14ac:dyDescent="0.2">
      <c r="A32" s="16" t="s">
        <v>1149</v>
      </c>
    </row>
    <row r="33" spans="1:2" ht="20.100000000000001" customHeight="1" x14ac:dyDescent="0.2">
      <c r="A33" s="16" t="s">
        <v>803</v>
      </c>
    </row>
    <row r="34" spans="1:2" ht="20.100000000000001" customHeight="1" x14ac:dyDescent="0.2">
      <c r="A34" s="16" t="s">
        <v>2094</v>
      </c>
      <c r="B34" s="9" t="s">
        <v>2095</v>
      </c>
    </row>
    <row r="35" spans="1:2" ht="20.100000000000001" customHeight="1" x14ac:dyDescent="0.2">
      <c r="A35" s="16" t="s">
        <v>795</v>
      </c>
    </row>
    <row r="36" spans="1:2" ht="20.100000000000001" customHeight="1" x14ac:dyDescent="0.2">
      <c r="A36" s="16" t="s">
        <v>796</v>
      </c>
    </row>
    <row r="37" spans="1:2" ht="20.100000000000001" customHeight="1" x14ac:dyDescent="0.2">
      <c r="A37" s="16" t="s">
        <v>802</v>
      </c>
    </row>
    <row r="38" spans="1:2" ht="20.100000000000001" customHeight="1" x14ac:dyDescent="0.2">
      <c r="A38" s="16" t="s">
        <v>801</v>
      </c>
    </row>
    <row r="39" spans="1:2" ht="20.100000000000001" customHeight="1" x14ac:dyDescent="0.2">
      <c r="A39" s="16" t="s">
        <v>2090</v>
      </c>
      <c r="B39" s="9" t="s">
        <v>2091</v>
      </c>
    </row>
    <row r="40" spans="1:2" ht="20.100000000000001" customHeight="1" x14ac:dyDescent="0.2">
      <c r="A40" s="43" t="s">
        <v>810</v>
      </c>
    </row>
    <row r="41" spans="1:2" ht="20.100000000000001" customHeight="1" x14ac:dyDescent="0.2">
      <c r="A41" s="16" t="s">
        <v>798</v>
      </c>
    </row>
    <row r="42" spans="1:2" ht="20.100000000000001" customHeight="1" x14ac:dyDescent="0.2">
      <c r="A42" s="16" t="s">
        <v>799</v>
      </c>
    </row>
    <row r="43" spans="1:2" ht="20.100000000000001" customHeight="1" x14ac:dyDescent="0.2">
      <c r="A43" s="16" t="s">
        <v>800</v>
      </c>
    </row>
    <row r="44" spans="1:2" ht="20.100000000000001" customHeight="1" x14ac:dyDescent="0.2">
      <c r="A44" s="43" t="s">
        <v>1834</v>
      </c>
    </row>
    <row r="45" spans="1:2" ht="20.100000000000001" customHeight="1" x14ac:dyDescent="0.2">
      <c r="A45" s="16" t="s">
        <v>688</v>
      </c>
    </row>
    <row r="46" spans="1:2" ht="20.100000000000001" customHeight="1" x14ac:dyDescent="0.2">
      <c r="A46" s="43" t="s">
        <v>2088</v>
      </c>
      <c r="B46" s="9" t="s">
        <v>2089</v>
      </c>
    </row>
    <row r="47" spans="1:2" ht="20.100000000000001" customHeight="1" x14ac:dyDescent="0.2">
      <c r="A47" s="43" t="s">
        <v>814</v>
      </c>
    </row>
    <row r="48" spans="1:2" ht="20.100000000000001" customHeight="1" x14ac:dyDescent="0.2">
      <c r="A48" s="43" t="s">
        <v>1972</v>
      </c>
    </row>
    <row r="49" spans="1:1" ht="20.100000000000001" customHeight="1" x14ac:dyDescent="0.2">
      <c r="A49" s="43" t="s">
        <v>1656</v>
      </c>
    </row>
    <row r="50" spans="1:1" ht="20.100000000000001" customHeight="1" x14ac:dyDescent="0.2">
      <c r="A50" s="16" t="s">
        <v>1070</v>
      </c>
    </row>
    <row r="51" spans="1:1" ht="20.100000000000001" customHeight="1" x14ac:dyDescent="0.2">
      <c r="A51" s="42" t="s">
        <v>569</v>
      </c>
    </row>
    <row r="52" spans="1:1" ht="20.100000000000001" customHeight="1" x14ac:dyDescent="0.2">
      <c r="A52" s="43" t="s">
        <v>582</v>
      </c>
    </row>
    <row r="53" spans="1:1" x14ac:dyDescent="0.2">
      <c r="A53" s="43" t="s">
        <v>2110</v>
      </c>
    </row>
    <row r="54" spans="1:1" x14ac:dyDescent="0.2">
      <c r="A54" s="43" t="s">
        <v>2431</v>
      </c>
    </row>
    <row r="55" spans="1:1" x14ac:dyDescent="0.2">
      <c r="A55" s="43" t="s">
        <v>2737</v>
      </c>
    </row>
    <row r="56" spans="1:1" x14ac:dyDescent="0.2">
      <c r="A56" s="43" t="s">
        <v>3020</v>
      </c>
    </row>
    <row r="57" spans="1:1" x14ac:dyDescent="0.2">
      <c r="A57" s="42" t="s">
        <v>3070</v>
      </c>
    </row>
    <row r="58" spans="1:1" x14ac:dyDescent="0.2">
      <c r="A58" s="335" t="s">
        <v>3121</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63"/>
  <sheetViews>
    <sheetView topLeftCell="A105" workbookViewId="0">
      <selection activeCell="A128" sqref="A128"/>
    </sheetView>
  </sheetViews>
  <sheetFormatPr baseColWidth="10" defaultRowHeight="12.75" x14ac:dyDescent="0.2"/>
  <cols>
    <col min="1" max="1" width="43.85546875" style="41" bestFit="1" customWidth="1"/>
  </cols>
  <sheetData>
    <row r="1" spans="1:1" ht="20.100000000000001" customHeight="1" x14ac:dyDescent="0.2">
      <c r="A1" s="63" t="s">
        <v>671</v>
      </c>
    </row>
    <row r="2" spans="1:1" ht="20.100000000000001" customHeight="1" x14ac:dyDescent="0.2">
      <c r="A2" s="63" t="s">
        <v>631</v>
      </c>
    </row>
    <row r="3" spans="1:1" ht="20.100000000000001" customHeight="1" x14ac:dyDescent="0.2">
      <c r="A3" s="64" t="s">
        <v>690</v>
      </c>
    </row>
    <row r="4" spans="1:1" ht="20.100000000000001" customHeight="1" x14ac:dyDescent="0.2">
      <c r="A4" s="64" t="s">
        <v>2048</v>
      </c>
    </row>
    <row r="5" spans="1:1" ht="20.100000000000001" customHeight="1" x14ac:dyDescent="0.2">
      <c r="A5" s="63" t="s">
        <v>693</v>
      </c>
    </row>
    <row r="6" spans="1:1" ht="20.100000000000001" customHeight="1" x14ac:dyDescent="0.2">
      <c r="A6" s="43" t="s">
        <v>1367</v>
      </c>
    </row>
    <row r="7" spans="1:1" ht="20.100000000000001" customHeight="1" x14ac:dyDescent="0.2">
      <c r="A7" s="63" t="s">
        <v>694</v>
      </c>
    </row>
    <row r="8" spans="1:1" ht="20.100000000000001" customHeight="1" x14ac:dyDescent="0.2">
      <c r="A8" s="63" t="s">
        <v>2000</v>
      </c>
    </row>
    <row r="9" spans="1:1" ht="20.100000000000001" customHeight="1" x14ac:dyDescent="0.2">
      <c r="A9" s="63" t="s">
        <v>695</v>
      </c>
    </row>
    <row r="10" spans="1:1" ht="20.100000000000001" customHeight="1" x14ac:dyDescent="0.2">
      <c r="A10" s="64" t="s">
        <v>1969</v>
      </c>
    </row>
    <row r="11" spans="1:1" ht="20.100000000000001" customHeight="1" x14ac:dyDescent="0.2">
      <c r="A11" s="63" t="s">
        <v>1838</v>
      </c>
    </row>
    <row r="12" spans="1:1" ht="20.100000000000001" customHeight="1" x14ac:dyDescent="0.2">
      <c r="A12" s="63" t="s">
        <v>1993</v>
      </c>
    </row>
    <row r="13" spans="1:1" ht="20.100000000000001" customHeight="1" x14ac:dyDescent="0.2">
      <c r="A13" s="63" t="s">
        <v>1875</v>
      </c>
    </row>
    <row r="14" spans="1:1" ht="20.100000000000001" customHeight="1" x14ac:dyDescent="0.2">
      <c r="A14" s="64" t="s">
        <v>1965</v>
      </c>
    </row>
    <row r="15" spans="1:1" ht="20.100000000000001" customHeight="1" x14ac:dyDescent="0.2">
      <c r="A15" s="63" t="s">
        <v>985</v>
      </c>
    </row>
    <row r="16" spans="1:1" ht="20.100000000000001" customHeight="1" x14ac:dyDescent="0.2">
      <c r="A16" s="63" t="s">
        <v>2125</v>
      </c>
    </row>
    <row r="17" spans="1:1" ht="20.100000000000001" customHeight="1" x14ac:dyDescent="0.2">
      <c r="A17" s="63" t="s">
        <v>2219</v>
      </c>
    </row>
    <row r="18" spans="1:1" ht="20.100000000000001" customHeight="1" x14ac:dyDescent="0.2">
      <c r="A18" s="64" t="s">
        <v>725</v>
      </c>
    </row>
    <row r="19" spans="1:1" ht="20.100000000000001" customHeight="1" x14ac:dyDescent="0.2">
      <c r="A19" s="64" t="s">
        <v>723</v>
      </c>
    </row>
    <row r="20" spans="1:1" ht="20.100000000000001" customHeight="1" x14ac:dyDescent="0.2">
      <c r="A20" s="64" t="s">
        <v>1304</v>
      </c>
    </row>
    <row r="21" spans="1:1" ht="20.100000000000001" customHeight="1" x14ac:dyDescent="0.2">
      <c r="A21" s="43" t="s">
        <v>767</v>
      </c>
    </row>
    <row r="22" spans="1:1" ht="20.100000000000001" customHeight="1" x14ac:dyDescent="0.2">
      <c r="A22" s="64" t="s">
        <v>1031</v>
      </c>
    </row>
    <row r="23" spans="1:1" ht="20.100000000000001" customHeight="1" x14ac:dyDescent="0.2">
      <c r="A23" s="64" t="s">
        <v>887</v>
      </c>
    </row>
    <row r="24" spans="1:1" ht="20.100000000000001" customHeight="1" x14ac:dyDescent="0.2">
      <c r="A24" s="64" t="s">
        <v>1032</v>
      </c>
    </row>
    <row r="25" spans="1:1" ht="20.100000000000001" customHeight="1" x14ac:dyDescent="0.2">
      <c r="A25" s="64" t="s">
        <v>1087</v>
      </c>
    </row>
    <row r="26" spans="1:1" ht="20.100000000000001" customHeight="1" x14ac:dyDescent="0.2">
      <c r="A26" s="63" t="s">
        <v>711</v>
      </c>
    </row>
    <row r="27" spans="1:1" ht="20.100000000000001" customHeight="1" x14ac:dyDescent="0.2">
      <c r="A27" s="63" t="s">
        <v>713</v>
      </c>
    </row>
    <row r="28" spans="1:1" ht="20.100000000000001" customHeight="1" x14ac:dyDescent="0.2">
      <c r="A28" s="63" t="s">
        <v>712</v>
      </c>
    </row>
    <row r="29" spans="1:1" ht="20.100000000000001" customHeight="1" x14ac:dyDescent="0.2">
      <c r="A29" s="63" t="s">
        <v>1179</v>
      </c>
    </row>
    <row r="30" spans="1:1" ht="20.100000000000001" customHeight="1" x14ac:dyDescent="0.2">
      <c r="A30" s="64" t="s">
        <v>1334</v>
      </c>
    </row>
    <row r="31" spans="1:1" ht="20.100000000000001" customHeight="1" x14ac:dyDescent="0.2">
      <c r="A31" s="64" t="s">
        <v>1290</v>
      </c>
    </row>
    <row r="32" spans="1:1" ht="20.100000000000001" customHeight="1" x14ac:dyDescent="0.2">
      <c r="A32" s="63" t="s">
        <v>692</v>
      </c>
    </row>
    <row r="33" spans="1:1" ht="20.100000000000001" customHeight="1" x14ac:dyDescent="0.2">
      <c r="A33" s="64" t="s">
        <v>1861</v>
      </c>
    </row>
    <row r="34" spans="1:1" ht="20.100000000000001" customHeight="1" x14ac:dyDescent="0.2">
      <c r="A34" s="63" t="s">
        <v>696</v>
      </c>
    </row>
    <row r="35" spans="1:1" ht="20.100000000000001" customHeight="1" x14ac:dyDescent="0.2">
      <c r="A35" s="9" t="s">
        <v>1828</v>
      </c>
    </row>
    <row r="36" spans="1:1" ht="20.100000000000001" customHeight="1" x14ac:dyDescent="0.2">
      <c r="A36" s="64" t="s">
        <v>1029</v>
      </c>
    </row>
    <row r="37" spans="1:1" ht="20.100000000000001" customHeight="1" x14ac:dyDescent="0.2">
      <c r="A37" s="63" t="s">
        <v>684</v>
      </c>
    </row>
    <row r="38" spans="1:1" ht="20.100000000000001" customHeight="1" x14ac:dyDescent="0.2">
      <c r="A38" s="64" t="s">
        <v>2055</v>
      </c>
    </row>
    <row r="39" spans="1:1" ht="20.100000000000001" customHeight="1" x14ac:dyDescent="0.2">
      <c r="A39" s="63" t="s">
        <v>186</v>
      </c>
    </row>
    <row r="40" spans="1:1" ht="20.100000000000001" customHeight="1" x14ac:dyDescent="0.2">
      <c r="A40" s="64" t="s">
        <v>1416</v>
      </c>
    </row>
    <row r="41" spans="1:1" ht="20.100000000000001" customHeight="1" x14ac:dyDescent="0.2">
      <c r="A41" s="64" t="s">
        <v>977</v>
      </c>
    </row>
    <row r="42" spans="1:1" ht="20.100000000000001" customHeight="1" x14ac:dyDescent="0.2">
      <c r="A42" s="63" t="s">
        <v>1853</v>
      </c>
    </row>
    <row r="43" spans="1:1" ht="20.100000000000001" customHeight="1" x14ac:dyDescent="0.2">
      <c r="A43" s="64" t="s">
        <v>1694</v>
      </c>
    </row>
    <row r="44" spans="1:1" ht="20.100000000000001" customHeight="1" x14ac:dyDescent="0.2">
      <c r="A44" s="41" t="s">
        <v>2080</v>
      </c>
    </row>
    <row r="45" spans="1:1" ht="20.100000000000001" customHeight="1" x14ac:dyDescent="0.2">
      <c r="A45" s="64" t="s">
        <v>1027</v>
      </c>
    </row>
    <row r="46" spans="1:1" ht="20.100000000000001" customHeight="1" x14ac:dyDescent="0.2">
      <c r="A46" s="64" t="s">
        <v>1985</v>
      </c>
    </row>
    <row r="47" spans="1:1" ht="20.100000000000001" customHeight="1" x14ac:dyDescent="0.2">
      <c r="A47" s="41" t="s">
        <v>2121</v>
      </c>
    </row>
    <row r="48" spans="1:1" ht="20.100000000000001" customHeight="1" x14ac:dyDescent="0.2">
      <c r="A48" s="63" t="s">
        <v>697</v>
      </c>
    </row>
    <row r="49" spans="1:1" ht="20.100000000000001" customHeight="1" x14ac:dyDescent="0.2">
      <c r="A49" s="64" t="s">
        <v>697</v>
      </c>
    </row>
    <row r="50" spans="1:1" ht="20.100000000000001" customHeight="1" x14ac:dyDescent="0.2">
      <c r="A50" s="64" t="s">
        <v>2097</v>
      </c>
    </row>
    <row r="51" spans="1:1" ht="20.100000000000001" customHeight="1" x14ac:dyDescent="0.2">
      <c r="A51" s="63" t="s">
        <v>698</v>
      </c>
    </row>
    <row r="52" spans="1:1" ht="20.100000000000001" customHeight="1" x14ac:dyDescent="0.2">
      <c r="A52" s="64" t="s">
        <v>1823</v>
      </c>
    </row>
    <row r="53" spans="1:1" ht="20.100000000000001" customHeight="1" x14ac:dyDescent="0.2">
      <c r="A53" s="64" t="s">
        <v>2056</v>
      </c>
    </row>
    <row r="54" spans="1:1" ht="20.100000000000001" customHeight="1" x14ac:dyDescent="0.2">
      <c r="A54" s="63" t="s">
        <v>699</v>
      </c>
    </row>
    <row r="55" spans="1:1" ht="20.100000000000001" customHeight="1" x14ac:dyDescent="0.2">
      <c r="A55" s="64" t="s">
        <v>1467</v>
      </c>
    </row>
    <row r="56" spans="1:1" ht="20.100000000000001" customHeight="1" x14ac:dyDescent="0.2">
      <c r="A56" s="64" t="s">
        <v>1997</v>
      </c>
    </row>
    <row r="57" spans="1:1" ht="20.100000000000001" customHeight="1" x14ac:dyDescent="0.2">
      <c r="A57" s="64" t="s">
        <v>1693</v>
      </c>
    </row>
    <row r="58" spans="1:1" ht="20.100000000000001" customHeight="1" x14ac:dyDescent="0.2">
      <c r="A58" s="64" t="s">
        <v>1447</v>
      </c>
    </row>
    <row r="59" spans="1:1" ht="20.100000000000001" customHeight="1" x14ac:dyDescent="0.2">
      <c r="A59" s="64" t="s">
        <v>1498</v>
      </c>
    </row>
    <row r="60" spans="1:1" ht="20.100000000000001" customHeight="1" x14ac:dyDescent="0.2">
      <c r="A60" s="64" t="s">
        <v>1437</v>
      </c>
    </row>
    <row r="61" spans="1:1" ht="20.100000000000001" customHeight="1" x14ac:dyDescent="0.2">
      <c r="A61" s="64" t="s">
        <v>1571</v>
      </c>
    </row>
    <row r="62" spans="1:1" ht="20.100000000000001" customHeight="1" x14ac:dyDescent="0.2">
      <c r="A62" s="64" t="s">
        <v>1347</v>
      </c>
    </row>
    <row r="63" spans="1:1" ht="20.100000000000001" customHeight="1" x14ac:dyDescent="0.2">
      <c r="A63" s="63" t="s">
        <v>700</v>
      </c>
    </row>
    <row r="64" spans="1:1" ht="20.100000000000001" customHeight="1" x14ac:dyDescent="0.2">
      <c r="A64" s="64" t="s">
        <v>2035</v>
      </c>
    </row>
    <row r="65" spans="1:1" ht="20.100000000000001" customHeight="1" x14ac:dyDescent="0.2">
      <c r="A65" s="63" t="s">
        <v>701</v>
      </c>
    </row>
    <row r="66" spans="1:1" ht="20.100000000000001" customHeight="1" x14ac:dyDescent="0.2">
      <c r="A66" s="64" t="s">
        <v>2003</v>
      </c>
    </row>
    <row r="67" spans="1:1" ht="20.100000000000001" customHeight="1" x14ac:dyDescent="0.2">
      <c r="A67" s="64" t="s">
        <v>1307</v>
      </c>
    </row>
    <row r="68" spans="1:1" ht="20.100000000000001" customHeight="1" x14ac:dyDescent="0.2">
      <c r="A68" s="63" t="s">
        <v>782</v>
      </c>
    </row>
    <row r="69" spans="1:1" ht="20.100000000000001" customHeight="1" x14ac:dyDescent="0.2">
      <c r="A69" s="64" t="s">
        <v>1886</v>
      </c>
    </row>
    <row r="70" spans="1:1" ht="20.100000000000001" customHeight="1" x14ac:dyDescent="0.2">
      <c r="A70" s="64" t="s">
        <v>1527</v>
      </c>
    </row>
    <row r="71" spans="1:1" ht="20.100000000000001" customHeight="1" x14ac:dyDescent="0.2">
      <c r="A71" s="64" t="s">
        <v>1438</v>
      </c>
    </row>
    <row r="72" spans="1:1" ht="20.100000000000001" customHeight="1" x14ac:dyDescent="0.2">
      <c r="A72" s="64" t="s">
        <v>1148</v>
      </c>
    </row>
    <row r="73" spans="1:1" ht="20.100000000000001" customHeight="1" x14ac:dyDescent="0.2">
      <c r="A73" s="64" t="s">
        <v>1990</v>
      </c>
    </row>
    <row r="74" spans="1:1" ht="20.100000000000001" customHeight="1" x14ac:dyDescent="0.2">
      <c r="A74" s="64" t="s">
        <v>1025</v>
      </c>
    </row>
    <row r="75" spans="1:1" ht="20.100000000000001" customHeight="1" x14ac:dyDescent="0.2">
      <c r="A75" s="64" t="s">
        <v>1024</v>
      </c>
    </row>
    <row r="76" spans="1:1" ht="20.100000000000001" customHeight="1" x14ac:dyDescent="0.2">
      <c r="A76" s="64" t="s">
        <v>1026</v>
      </c>
    </row>
    <row r="77" spans="1:1" ht="20.100000000000001" customHeight="1" x14ac:dyDescent="0.2">
      <c r="A77" s="63" t="s">
        <v>783</v>
      </c>
    </row>
    <row r="78" spans="1:1" ht="20.100000000000001" customHeight="1" x14ac:dyDescent="0.2">
      <c r="A78" s="64" t="s">
        <v>1285</v>
      </c>
    </row>
    <row r="79" spans="1:1" ht="20.100000000000001" customHeight="1" x14ac:dyDescent="0.2">
      <c r="A79" s="63" t="s">
        <v>314</v>
      </c>
    </row>
    <row r="80" spans="1:1" ht="20.100000000000001" customHeight="1" x14ac:dyDescent="0.2">
      <c r="A80" s="64" t="s">
        <v>1711</v>
      </c>
    </row>
    <row r="81" spans="1:1" ht="20.100000000000001" customHeight="1" x14ac:dyDescent="0.2">
      <c r="A81" s="41" t="s">
        <v>1763</v>
      </c>
    </row>
    <row r="82" spans="1:1" ht="20.100000000000001" customHeight="1" x14ac:dyDescent="0.2">
      <c r="A82" s="64" t="s">
        <v>1647</v>
      </c>
    </row>
    <row r="83" spans="1:1" ht="20.100000000000001" customHeight="1" x14ac:dyDescent="0.2">
      <c r="A83" s="64" t="s">
        <v>1386</v>
      </c>
    </row>
    <row r="84" spans="1:1" ht="20.100000000000001" customHeight="1" x14ac:dyDescent="0.2">
      <c r="A84" s="64" t="s">
        <v>2103</v>
      </c>
    </row>
    <row r="85" spans="1:1" ht="20.100000000000001" customHeight="1" x14ac:dyDescent="0.2">
      <c r="A85" s="64" t="s">
        <v>893</v>
      </c>
    </row>
    <row r="86" spans="1:1" ht="20.100000000000001" customHeight="1" x14ac:dyDescent="0.2">
      <c r="A86" s="64" t="s">
        <v>1434</v>
      </c>
    </row>
    <row r="87" spans="1:1" ht="20.100000000000001" customHeight="1" x14ac:dyDescent="0.2">
      <c r="A87" s="64" t="s">
        <v>1288</v>
      </c>
    </row>
    <row r="88" spans="1:1" ht="20.100000000000001" customHeight="1" x14ac:dyDescent="0.2">
      <c r="A88" s="63" t="s">
        <v>702</v>
      </c>
    </row>
    <row r="89" spans="1:1" ht="20.100000000000001" customHeight="1" x14ac:dyDescent="0.2">
      <c r="A89" s="64" t="s">
        <v>1028</v>
      </c>
    </row>
    <row r="90" spans="1:1" ht="20.100000000000001" customHeight="1" x14ac:dyDescent="0.2">
      <c r="A90" s="196" t="s">
        <v>2031</v>
      </c>
    </row>
    <row r="91" spans="1:1" ht="20.100000000000001" customHeight="1" x14ac:dyDescent="0.2">
      <c r="A91" s="64" t="s">
        <v>1648</v>
      </c>
    </row>
    <row r="92" spans="1:1" ht="20.100000000000001" customHeight="1" x14ac:dyDescent="0.2">
      <c r="A92" s="65" t="s">
        <v>703</v>
      </c>
    </row>
    <row r="93" spans="1:1" ht="20.100000000000001" customHeight="1" x14ac:dyDescent="0.2">
      <c r="A93" s="64" t="s">
        <v>1308</v>
      </c>
    </row>
    <row r="94" spans="1:1" ht="20.100000000000001" customHeight="1" x14ac:dyDescent="0.2">
      <c r="A94" s="64" t="s">
        <v>1286</v>
      </c>
    </row>
    <row r="95" spans="1:1" x14ac:dyDescent="0.2">
      <c r="A95" s="64" t="s">
        <v>1349</v>
      </c>
    </row>
    <row r="96" spans="1:1" x14ac:dyDescent="0.2">
      <c r="A96" s="64" t="s">
        <v>2022</v>
      </c>
    </row>
    <row r="97" spans="1:1" x14ac:dyDescent="0.2">
      <c r="A97" s="63" t="s">
        <v>704</v>
      </c>
    </row>
    <row r="98" spans="1:1" x14ac:dyDescent="0.2">
      <c r="A98" s="64" t="s">
        <v>1328</v>
      </c>
    </row>
    <row r="99" spans="1:1" x14ac:dyDescent="0.2">
      <c r="A99" s="64" t="s">
        <v>1294</v>
      </c>
    </row>
    <row r="100" spans="1:1" x14ac:dyDescent="0.2">
      <c r="A100" s="64" t="s">
        <v>1583</v>
      </c>
    </row>
    <row r="101" spans="1:1" x14ac:dyDescent="0.2">
      <c r="A101" s="41" t="s">
        <v>1558</v>
      </c>
    </row>
    <row r="102" spans="1:1" x14ac:dyDescent="0.2">
      <c r="A102" s="63" t="s">
        <v>705</v>
      </c>
    </row>
    <row r="103" spans="1:1" x14ac:dyDescent="0.2">
      <c r="A103" s="65" t="s">
        <v>337</v>
      </c>
    </row>
    <row r="104" spans="1:1" x14ac:dyDescent="0.2">
      <c r="A104" s="64" t="s">
        <v>1579</v>
      </c>
    </row>
    <row r="105" spans="1:1" x14ac:dyDescent="0.2">
      <c r="A105" s="63" t="s">
        <v>706</v>
      </c>
    </row>
    <row r="106" spans="1:1" x14ac:dyDescent="0.2">
      <c r="A106" s="41" t="s">
        <v>2142</v>
      </c>
    </row>
    <row r="107" spans="1:1" x14ac:dyDescent="0.2">
      <c r="A107" s="64" t="s">
        <v>2207</v>
      </c>
    </row>
    <row r="108" spans="1:1" x14ac:dyDescent="0.2">
      <c r="A108" s="64" t="s">
        <v>2238</v>
      </c>
    </row>
    <row r="109" spans="1:1" x14ac:dyDescent="0.2">
      <c r="A109" s="64" t="s">
        <v>2254</v>
      </c>
    </row>
    <row r="110" spans="1:1" x14ac:dyDescent="0.2">
      <c r="A110" s="64" t="s">
        <v>2260</v>
      </c>
    </row>
    <row r="111" spans="1:1" x14ac:dyDescent="0.2">
      <c r="A111" s="64" t="s">
        <v>2265</v>
      </c>
    </row>
    <row r="112" spans="1:1" x14ac:dyDescent="0.2">
      <c r="A112" s="64" t="s">
        <v>2268</v>
      </c>
    </row>
    <row r="113" spans="1:1" x14ac:dyDescent="0.2">
      <c r="A113" s="64" t="s">
        <v>2284</v>
      </c>
    </row>
    <row r="114" spans="1:1" x14ac:dyDescent="0.2">
      <c r="A114" s="64" t="s">
        <v>2286</v>
      </c>
    </row>
    <row r="115" spans="1:1" x14ac:dyDescent="0.2">
      <c r="A115" s="64" t="s">
        <v>2314</v>
      </c>
    </row>
    <row r="116" spans="1:1" x14ac:dyDescent="0.2">
      <c r="A116" s="64" t="s">
        <v>2317</v>
      </c>
    </row>
    <row r="117" spans="1:1" x14ac:dyDescent="0.2">
      <c r="A117" s="64" t="s">
        <v>2324</v>
      </c>
    </row>
    <row r="118" spans="1:1" x14ac:dyDescent="0.2">
      <c r="A118" s="41" t="s">
        <v>2370</v>
      </c>
    </row>
    <row r="119" spans="1:1" x14ac:dyDescent="0.2">
      <c r="A119" s="64" t="s">
        <v>2372</v>
      </c>
    </row>
    <row r="120" spans="1:1" x14ac:dyDescent="0.2">
      <c r="A120" s="64" t="s">
        <v>2387</v>
      </c>
    </row>
    <row r="121" spans="1:1" x14ac:dyDescent="0.2">
      <c r="A121" s="64" t="s">
        <v>2430</v>
      </c>
    </row>
    <row r="122" spans="1:1" x14ac:dyDescent="0.2">
      <c r="A122" s="64" t="s">
        <v>2485</v>
      </c>
    </row>
    <row r="123" spans="1:1" x14ac:dyDescent="0.2">
      <c r="A123" s="64" t="s">
        <v>2568</v>
      </c>
    </row>
    <row r="124" spans="1:1" x14ac:dyDescent="0.2">
      <c r="A124" s="64" t="s">
        <v>2598</v>
      </c>
    </row>
    <row r="125" spans="1:1" x14ac:dyDescent="0.2">
      <c r="A125" s="64" t="s">
        <v>2649</v>
      </c>
    </row>
    <row r="126" spans="1:1" x14ac:dyDescent="0.2">
      <c r="A126" s="64" t="s">
        <v>2665</v>
      </c>
    </row>
    <row r="127" spans="1:1" x14ac:dyDescent="0.2">
      <c r="A127" s="64" t="s">
        <v>2667</v>
      </c>
    </row>
    <row r="128" spans="1:1" x14ac:dyDescent="0.2">
      <c r="A128" s="64" t="s">
        <v>2694</v>
      </c>
    </row>
    <row r="129" spans="1:1" x14ac:dyDescent="0.2">
      <c r="A129" s="64" t="s">
        <v>2701</v>
      </c>
    </row>
    <row r="130" spans="1:1" x14ac:dyDescent="0.2">
      <c r="A130" s="64" t="s">
        <v>2702</v>
      </c>
    </row>
    <row r="131" spans="1:1" x14ac:dyDescent="0.2">
      <c r="A131" s="64" t="s">
        <v>2703</v>
      </c>
    </row>
    <row r="132" spans="1:1" x14ac:dyDescent="0.2">
      <c r="A132" s="64" t="s">
        <v>2734</v>
      </c>
    </row>
    <row r="133" spans="1:1" x14ac:dyDescent="0.2">
      <c r="A133" s="64" t="s">
        <v>2735</v>
      </c>
    </row>
    <row r="134" spans="1:1" x14ac:dyDescent="0.2">
      <c r="A134" s="64" t="s">
        <v>2758</v>
      </c>
    </row>
    <row r="135" spans="1:1" x14ac:dyDescent="0.2">
      <c r="A135" s="64" t="s">
        <v>2768</v>
      </c>
    </row>
    <row r="136" spans="1:1" x14ac:dyDescent="0.2">
      <c r="A136" s="64" t="s">
        <v>2777</v>
      </c>
    </row>
    <row r="137" spans="1:1" x14ac:dyDescent="0.2">
      <c r="A137" s="64" t="s">
        <v>2828</v>
      </c>
    </row>
    <row r="138" spans="1:1" x14ac:dyDescent="0.2">
      <c r="A138" s="64" t="s">
        <v>2886</v>
      </c>
    </row>
    <row r="139" spans="1:1" x14ac:dyDescent="0.2">
      <c r="A139" s="64" t="s">
        <v>2934</v>
      </c>
    </row>
    <row r="140" spans="1:1" x14ac:dyDescent="0.2">
      <c r="A140" s="64" t="s">
        <v>2967</v>
      </c>
    </row>
    <row r="141" spans="1:1" x14ac:dyDescent="0.2">
      <c r="A141" s="64" t="s">
        <v>2991</v>
      </c>
    </row>
    <row r="142" spans="1:1" x14ac:dyDescent="0.2">
      <c r="A142" s="64" t="s">
        <v>3008</v>
      </c>
    </row>
    <row r="143" spans="1:1" x14ac:dyDescent="0.2">
      <c r="A143" s="64" t="s">
        <v>3019</v>
      </c>
    </row>
    <row r="144" spans="1:1" x14ac:dyDescent="0.2">
      <c r="A144" s="64" t="s">
        <v>3023</v>
      </c>
    </row>
    <row r="145" spans="1:1" x14ac:dyDescent="0.2">
      <c r="A145" s="64" t="s">
        <v>3033</v>
      </c>
    </row>
    <row r="146" spans="1:1" x14ac:dyDescent="0.2">
      <c r="A146" s="64" t="s">
        <v>3034</v>
      </c>
    </row>
    <row r="147" spans="1:1" x14ac:dyDescent="0.2">
      <c r="A147" s="41" t="s">
        <v>3063</v>
      </c>
    </row>
    <row r="148" spans="1:1" x14ac:dyDescent="0.2">
      <c r="A148" s="64" t="s">
        <v>3102</v>
      </c>
    </row>
    <row r="149" spans="1:1" x14ac:dyDescent="0.2">
      <c r="A149" s="64" t="s">
        <v>3218</v>
      </c>
    </row>
    <row r="150" spans="1:1" x14ac:dyDescent="0.2">
      <c r="A150" s="64" t="s">
        <v>3220</v>
      </c>
    </row>
    <row r="151" spans="1:1" x14ac:dyDescent="0.2">
      <c r="A151" s="64" t="s">
        <v>3251</v>
      </c>
    </row>
    <row r="152" spans="1:1" x14ac:dyDescent="0.2">
      <c r="A152" s="64" t="s">
        <v>3334</v>
      </c>
    </row>
    <row r="153" spans="1:1" x14ac:dyDescent="0.2">
      <c r="A153" s="64" t="s">
        <v>3342</v>
      </c>
    </row>
    <row r="154" spans="1:1" x14ac:dyDescent="0.2">
      <c r="A154" s="41" t="s">
        <v>3369</v>
      </c>
    </row>
    <row r="155" spans="1:1" x14ac:dyDescent="0.2">
      <c r="A155" s="64" t="s">
        <v>3394</v>
      </c>
    </row>
    <row r="156" spans="1:1" x14ac:dyDescent="0.2">
      <c r="A156" s="64" t="s">
        <v>3431</v>
      </c>
    </row>
    <row r="157" spans="1:1" x14ac:dyDescent="0.2">
      <c r="A157" s="64" t="s">
        <v>3434</v>
      </c>
    </row>
    <row r="158" spans="1:1" x14ac:dyDescent="0.2">
      <c r="A158" s="64" t="s">
        <v>3444</v>
      </c>
    </row>
    <row r="159" spans="1:1" x14ac:dyDescent="0.2">
      <c r="A159" s="64" t="s">
        <v>3468</v>
      </c>
    </row>
    <row r="160" spans="1:1" x14ac:dyDescent="0.2">
      <c r="A160" s="64" t="s">
        <v>3497</v>
      </c>
    </row>
    <row r="161" spans="1:1" x14ac:dyDescent="0.2">
      <c r="A161" s="64" t="s">
        <v>3511</v>
      </c>
    </row>
    <row r="162" spans="1:1" x14ac:dyDescent="0.2">
      <c r="A162" s="64" t="s">
        <v>3638</v>
      </c>
    </row>
    <row r="163" spans="1:1" x14ac:dyDescent="0.2">
      <c r="A163" s="64" t="s">
        <v>3665</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9" t="s">
        <v>771</v>
      </c>
    </row>
    <row r="2" spans="1:1" x14ac:dyDescent="0.2">
      <c r="A2" s="9" t="s">
        <v>772</v>
      </c>
    </row>
    <row r="3" spans="1:1" x14ac:dyDescent="0.2">
      <c r="A3" s="9" t="s">
        <v>773</v>
      </c>
    </row>
    <row r="4" spans="1:1" x14ac:dyDescent="0.2">
      <c r="A4" s="9" t="s">
        <v>774</v>
      </c>
    </row>
    <row r="5" spans="1:1" x14ac:dyDescent="0.2">
      <c r="A5" s="9" t="s">
        <v>775</v>
      </c>
    </row>
    <row r="6" spans="1:1" x14ac:dyDescent="0.2">
      <c r="A6" s="9" t="s">
        <v>776</v>
      </c>
    </row>
    <row r="7" spans="1:1" x14ac:dyDescent="0.2">
      <c r="A7" s="9" t="s">
        <v>777</v>
      </c>
    </row>
    <row r="8" spans="1:1" x14ac:dyDescent="0.2">
      <c r="A8" s="9"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B14" sqref="B14"/>
    </sheetView>
  </sheetViews>
  <sheetFormatPr baseColWidth="10" defaultRowHeight="12.75" x14ac:dyDescent="0.2"/>
  <cols>
    <col min="1" max="2" width="45.7109375" customWidth="1"/>
  </cols>
  <sheetData>
    <row r="1" spans="1:6" x14ac:dyDescent="0.2">
      <c r="A1" s="60" t="s">
        <v>910</v>
      </c>
      <c r="B1" s="60" t="s">
        <v>910</v>
      </c>
    </row>
    <row r="2" spans="1:6" x14ac:dyDescent="0.2">
      <c r="A2" s="60" t="s">
        <v>1023</v>
      </c>
      <c r="B2" s="60" t="s">
        <v>907</v>
      </c>
      <c r="F2" s="9"/>
    </row>
    <row r="3" spans="1:6" x14ac:dyDescent="0.2">
      <c r="A3" s="60" t="s">
        <v>905</v>
      </c>
      <c r="B3" s="60" t="s">
        <v>100</v>
      </c>
    </row>
    <row r="4" spans="1:6" x14ac:dyDescent="0.2">
      <c r="A4" s="60" t="s">
        <v>904</v>
      </c>
      <c r="B4" s="60" t="s">
        <v>100</v>
      </c>
    </row>
    <row r="5" spans="1:6" x14ac:dyDescent="0.2">
      <c r="A5" s="60" t="s">
        <v>908</v>
      </c>
      <c r="B5" s="60" t="s">
        <v>100</v>
      </c>
    </row>
    <row r="6" spans="1:6" x14ac:dyDescent="0.2">
      <c r="A6" s="60" t="s">
        <v>902</v>
      </c>
      <c r="B6" s="60" t="s">
        <v>902</v>
      </c>
    </row>
    <row r="7" spans="1:6" x14ac:dyDescent="0.2">
      <c r="A7" s="60" t="s">
        <v>899</v>
      </c>
      <c r="B7" s="60" t="s">
        <v>902</v>
      </c>
    </row>
    <row r="8" spans="1:6" x14ac:dyDescent="0.2">
      <c r="A8" s="60" t="s">
        <v>913</v>
      </c>
      <c r="B8" s="60" t="s">
        <v>913</v>
      </c>
    </row>
    <row r="9" spans="1:6" x14ac:dyDescent="0.2">
      <c r="A9" s="60" t="s">
        <v>974</v>
      </c>
      <c r="B9" s="60" t="s">
        <v>913</v>
      </c>
    </row>
    <row r="10" spans="1:6" x14ac:dyDescent="0.2">
      <c r="A10" s="60" t="s">
        <v>151</v>
      </c>
      <c r="B10" s="60" t="s">
        <v>151</v>
      </c>
    </row>
    <row r="11" spans="1:6" x14ac:dyDescent="0.2">
      <c r="A11" s="60" t="s">
        <v>903</v>
      </c>
      <c r="B11" s="60" t="s">
        <v>903</v>
      </c>
    </row>
    <row r="12" spans="1:6" x14ac:dyDescent="0.2">
      <c r="A12" s="60" t="s">
        <v>912</v>
      </c>
      <c r="B12" s="60" t="s">
        <v>949</v>
      </c>
    </row>
    <row r="13" spans="1:6" x14ac:dyDescent="0.2">
      <c r="A13" s="60" t="s">
        <v>911</v>
      </c>
      <c r="B13" s="60" t="s">
        <v>949</v>
      </c>
    </row>
    <row r="14" spans="1:6" x14ac:dyDescent="0.2">
      <c r="A14" s="60" t="s">
        <v>909</v>
      </c>
      <c r="B14" s="60" t="s">
        <v>909</v>
      </c>
    </row>
    <row r="15" spans="1:6" x14ac:dyDescent="0.2">
      <c r="A15" s="60" t="s">
        <v>1012</v>
      </c>
      <c r="B15" s="60" t="s">
        <v>949</v>
      </c>
    </row>
    <row r="16" spans="1:6" x14ac:dyDescent="0.2">
      <c r="A16" s="60" t="s">
        <v>1512</v>
      </c>
      <c r="B16" s="60" t="s">
        <v>100</v>
      </c>
    </row>
    <row r="17" spans="1:2" x14ac:dyDescent="0.2">
      <c r="A17" s="60" t="s">
        <v>1901</v>
      </c>
      <c r="B17" s="60" t="s">
        <v>1901</v>
      </c>
    </row>
    <row r="18" spans="1:2" x14ac:dyDescent="0.2">
      <c r="A18" s="60" t="s">
        <v>951</v>
      </c>
      <c r="B18" s="60" t="s">
        <v>951</v>
      </c>
    </row>
    <row r="19" spans="1:2" x14ac:dyDescent="0.2">
      <c r="A19" s="60" t="s">
        <v>951</v>
      </c>
      <c r="B19" s="60" t="s">
        <v>951</v>
      </c>
    </row>
    <row r="20" spans="1:2" x14ac:dyDescent="0.2">
      <c r="A20" s="60" t="s">
        <v>951</v>
      </c>
      <c r="B20" s="60" t="s">
        <v>951</v>
      </c>
    </row>
    <row r="21" spans="1:2" x14ac:dyDescent="0.2">
      <c r="A21" s="60" t="s">
        <v>951</v>
      </c>
      <c r="B21" s="60" t="s">
        <v>951</v>
      </c>
    </row>
    <row r="22" spans="1:2" x14ac:dyDescent="0.2">
      <c r="A22" s="60" t="s">
        <v>951</v>
      </c>
      <c r="B22" s="60" t="s">
        <v>951</v>
      </c>
    </row>
    <row r="23" spans="1:2" x14ac:dyDescent="0.2">
      <c r="A23" s="60" t="s">
        <v>951</v>
      </c>
      <c r="B23" s="60" t="s">
        <v>951</v>
      </c>
    </row>
    <row r="24" spans="1:2" x14ac:dyDescent="0.2">
      <c r="A24" s="60" t="s">
        <v>951</v>
      </c>
      <c r="B24" s="60" t="s">
        <v>951</v>
      </c>
    </row>
    <row r="25" spans="1:2" x14ac:dyDescent="0.2">
      <c r="A25" s="60" t="s">
        <v>951</v>
      </c>
      <c r="B25" s="60" t="s">
        <v>951</v>
      </c>
    </row>
    <row r="26" spans="1:2" x14ac:dyDescent="0.2">
      <c r="A26" s="60" t="s">
        <v>951</v>
      </c>
      <c r="B26" s="60" t="s">
        <v>951</v>
      </c>
    </row>
    <row r="27" spans="1:2" x14ac:dyDescent="0.2">
      <c r="A27" s="60" t="s">
        <v>951</v>
      </c>
      <c r="B27" s="60" t="s">
        <v>951</v>
      </c>
    </row>
    <row r="28" spans="1:2" x14ac:dyDescent="0.2">
      <c r="A28" s="60" t="s">
        <v>951</v>
      </c>
      <c r="B28" s="60" t="s">
        <v>951</v>
      </c>
    </row>
    <row r="29" spans="1:2" x14ac:dyDescent="0.2">
      <c r="A29" s="60" t="s">
        <v>951</v>
      </c>
      <c r="B29" s="60" t="s">
        <v>951</v>
      </c>
    </row>
    <row r="30" spans="1:2" x14ac:dyDescent="0.2">
      <c r="A30" s="60" t="s">
        <v>951</v>
      </c>
      <c r="B30" s="60" t="s">
        <v>951</v>
      </c>
    </row>
    <row r="31" spans="1:2" x14ac:dyDescent="0.2">
      <c r="A31" s="60"/>
    </row>
    <row r="32" spans="1:2" x14ac:dyDescent="0.2">
      <c r="A32" s="60"/>
    </row>
    <row r="33" spans="1:1" x14ac:dyDescent="0.2">
      <c r="A33" s="60"/>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6" t="s">
        <v>998</v>
      </c>
    </row>
    <row r="2" spans="1:1" ht="38.25" x14ac:dyDescent="0.2">
      <c r="A2" s="6" t="s">
        <v>1001</v>
      </c>
    </row>
    <row r="3" spans="1:1" ht="51" x14ac:dyDescent="0.2">
      <c r="A3" s="6" t="s">
        <v>1010</v>
      </c>
    </row>
    <row r="4" spans="1:1" ht="63.75" x14ac:dyDescent="0.2">
      <c r="A4" s="6" t="s">
        <v>1013</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26"/>
  <sheetViews>
    <sheetView topLeftCell="A19" zoomScale="85" zoomScaleNormal="85" workbookViewId="0">
      <selection activeCell="G25" sqref="G25"/>
    </sheetView>
  </sheetViews>
  <sheetFormatPr baseColWidth="10" defaultRowHeight="12.75" x14ac:dyDescent="0.2"/>
  <cols>
    <col min="2" max="2" width="21.42578125" customWidth="1"/>
    <col min="4" max="4" width="16.85546875" customWidth="1"/>
    <col min="5" max="5" width="15" customWidth="1"/>
    <col min="11" max="11" width="53.7109375" style="17" customWidth="1"/>
    <col min="13" max="13" width="40.140625" bestFit="1" customWidth="1"/>
  </cols>
  <sheetData>
    <row r="1" spans="1:37" ht="24.95" customHeight="1" x14ac:dyDescent="0.2">
      <c r="M1" s="21" t="s">
        <v>459</v>
      </c>
    </row>
    <row r="2" spans="1:37" s="1" customFormat="1" ht="39.950000000000003" customHeight="1" x14ac:dyDescent="0.2">
      <c r="A2" s="25" t="s">
        <v>1</v>
      </c>
      <c r="B2" s="25" t="s">
        <v>2</v>
      </c>
      <c r="C2" s="25" t="s">
        <v>560</v>
      </c>
      <c r="D2" s="25" t="s">
        <v>3</v>
      </c>
      <c r="E2" s="25" t="s">
        <v>561</v>
      </c>
      <c r="F2" s="25" t="s">
        <v>18</v>
      </c>
      <c r="G2" s="25" t="s">
        <v>562</v>
      </c>
      <c r="H2" s="25" t="s">
        <v>563</v>
      </c>
      <c r="I2" s="25" t="s">
        <v>564</v>
      </c>
      <c r="J2" s="25" t="s">
        <v>565</v>
      </c>
      <c r="K2" s="25" t="s">
        <v>566</v>
      </c>
      <c r="L2" s="8" t="str">
        <f ca="1">IF(E3&lt;=TODAY(),"SI","NO")</f>
        <v>SI</v>
      </c>
      <c r="M2" s="118" t="s">
        <v>43</v>
      </c>
      <c r="N2" s="118">
        <f>COUNTIF($D:$D, "Dra. Lamas")</f>
        <v>2</v>
      </c>
    </row>
    <row r="3" spans="1:37" ht="39.950000000000003" customHeight="1" x14ac:dyDescent="0.2">
      <c r="A3" s="29" t="s">
        <v>424</v>
      </c>
      <c r="B3" s="29" t="s">
        <v>425</v>
      </c>
      <c r="C3" s="29">
        <v>4</v>
      </c>
      <c r="D3" s="29" t="s">
        <v>320</v>
      </c>
      <c r="E3" s="30">
        <v>45002</v>
      </c>
      <c r="F3" s="29"/>
      <c r="G3" s="30"/>
      <c r="H3" s="29"/>
      <c r="I3" s="29" t="s">
        <v>313</v>
      </c>
      <c r="J3" s="29" t="s">
        <v>426</v>
      </c>
      <c r="K3" s="35" t="s">
        <v>447</v>
      </c>
      <c r="M3" s="34" t="s">
        <v>34</v>
      </c>
      <c r="N3" s="34">
        <f>COUNTIF($D:$D, "Dr. Moreno")</f>
        <v>0</v>
      </c>
    </row>
    <row r="4" spans="1:37" s="19" customFormat="1" ht="39.950000000000003" customHeight="1" x14ac:dyDescent="0.2">
      <c r="A4" s="32" t="s">
        <v>474</v>
      </c>
      <c r="B4" s="32" t="s">
        <v>477</v>
      </c>
      <c r="C4" s="32">
        <v>4</v>
      </c>
      <c r="D4" s="32" t="s">
        <v>320</v>
      </c>
      <c r="E4" s="29"/>
      <c r="F4" s="29"/>
      <c r="G4" s="29"/>
      <c r="H4" s="29"/>
      <c r="I4" s="32" t="s">
        <v>326</v>
      </c>
      <c r="J4" s="32" t="s">
        <v>475</v>
      </c>
      <c r="K4" s="35" t="s">
        <v>488</v>
      </c>
      <c r="M4" s="34" t="s">
        <v>29</v>
      </c>
      <c r="N4" s="34">
        <f>COUNTIF($D:$D, "Dr. Cervantes")</f>
        <v>2</v>
      </c>
    </row>
    <row r="5" spans="1:37" s="1" customFormat="1" ht="39.950000000000003" customHeight="1" x14ac:dyDescent="0.2">
      <c r="A5" s="29" t="s">
        <v>344</v>
      </c>
      <c r="B5" s="29" t="s">
        <v>505</v>
      </c>
      <c r="C5" s="29">
        <v>4</v>
      </c>
      <c r="D5" s="29" t="s">
        <v>283</v>
      </c>
      <c r="E5" s="36">
        <v>45021</v>
      </c>
      <c r="F5" s="32" t="s">
        <v>73</v>
      </c>
      <c r="G5" s="33" t="s">
        <v>33</v>
      </c>
      <c r="H5" s="29">
        <v>4</v>
      </c>
      <c r="I5" s="29" t="s">
        <v>366</v>
      </c>
      <c r="J5" s="29" t="s">
        <v>367</v>
      </c>
      <c r="K5" s="35" t="s">
        <v>506</v>
      </c>
      <c r="L5" s="8" t="str">
        <f ca="1">IF(E6&lt;=TODAY(),"SI","NO")</f>
        <v>SI</v>
      </c>
      <c r="M5" s="34" t="s">
        <v>283</v>
      </c>
      <c r="N5" s="34">
        <f>COUNTIF($D:$D, "Dra. Nallim")</f>
        <v>4</v>
      </c>
    </row>
    <row r="6" spans="1:37" ht="39.950000000000003" customHeight="1" x14ac:dyDescent="0.2">
      <c r="A6" s="29" t="s">
        <v>496</v>
      </c>
      <c r="B6" s="29" t="s">
        <v>497</v>
      </c>
      <c r="C6" s="29">
        <v>4</v>
      </c>
      <c r="D6" s="29" t="s">
        <v>583</v>
      </c>
      <c r="E6" s="30"/>
      <c r="F6" s="29"/>
      <c r="G6" s="30"/>
      <c r="H6" s="29"/>
      <c r="I6" s="29"/>
      <c r="J6" s="29"/>
      <c r="K6" s="35" t="s">
        <v>521</v>
      </c>
      <c r="M6" s="34" t="s">
        <v>32</v>
      </c>
      <c r="N6" s="34">
        <f>COUNTIF($D:$D, "Dr. Quiroga")</f>
        <v>1</v>
      </c>
    </row>
    <row r="7" spans="1:37" ht="39.950000000000003" customHeight="1" x14ac:dyDescent="0.2">
      <c r="A7" s="32" t="s">
        <v>546</v>
      </c>
      <c r="B7" s="32" t="s">
        <v>537</v>
      </c>
      <c r="C7" s="29">
        <v>4</v>
      </c>
      <c r="D7" s="29" t="s">
        <v>283</v>
      </c>
      <c r="E7" s="30">
        <v>45030</v>
      </c>
      <c r="F7" s="31" t="s">
        <v>76</v>
      </c>
      <c r="G7" s="30" t="s">
        <v>33</v>
      </c>
      <c r="H7" s="29">
        <v>4</v>
      </c>
      <c r="I7" s="29" t="s">
        <v>549</v>
      </c>
      <c r="J7" s="29" t="s">
        <v>548</v>
      </c>
      <c r="K7" s="37" t="s">
        <v>559</v>
      </c>
      <c r="M7" s="34" t="s">
        <v>361</v>
      </c>
      <c r="N7" s="34">
        <f>COUNTIF($D:$D, "Dra. Volante (Dr.Robbio)")</f>
        <v>3</v>
      </c>
    </row>
    <row r="8" spans="1:37" s="1" customFormat="1" ht="39.950000000000003" customHeight="1" x14ac:dyDescent="0.2">
      <c r="A8" s="29" t="s">
        <v>379</v>
      </c>
      <c r="B8" s="29" t="s">
        <v>381</v>
      </c>
      <c r="C8" s="29">
        <v>4</v>
      </c>
      <c r="D8" s="29" t="s">
        <v>32</v>
      </c>
      <c r="E8" s="30">
        <v>45015</v>
      </c>
      <c r="F8" s="32" t="s">
        <v>73</v>
      </c>
      <c r="G8" s="30" t="s">
        <v>33</v>
      </c>
      <c r="H8" s="29">
        <v>4</v>
      </c>
      <c r="I8" s="29" t="s">
        <v>380</v>
      </c>
      <c r="J8" s="32" t="s">
        <v>363</v>
      </c>
      <c r="K8" s="29" t="s">
        <v>578</v>
      </c>
      <c r="M8" s="34" t="s">
        <v>568</v>
      </c>
      <c r="N8" s="34">
        <f>COUNTIF($D:$D, "Dra. Chanchorra")</f>
        <v>0</v>
      </c>
      <c r="O8" s="3"/>
    </row>
    <row r="9" spans="1:37" s="1" customFormat="1" ht="39.950000000000003" customHeight="1" x14ac:dyDescent="0.2">
      <c r="A9" s="29" t="s">
        <v>435</v>
      </c>
      <c r="B9" s="29" t="s">
        <v>436</v>
      </c>
      <c r="C9" s="29">
        <v>4</v>
      </c>
      <c r="D9" s="29" t="s">
        <v>29</v>
      </c>
      <c r="E9" s="33">
        <v>45033</v>
      </c>
      <c r="F9" s="31" t="s">
        <v>73</v>
      </c>
      <c r="G9" s="30" t="s">
        <v>35</v>
      </c>
      <c r="H9" s="29">
        <v>3</v>
      </c>
      <c r="I9" s="29" t="s">
        <v>330</v>
      </c>
      <c r="J9" s="29" t="s">
        <v>363</v>
      </c>
      <c r="K9" s="29" t="s">
        <v>587</v>
      </c>
      <c r="M9" s="34" t="s">
        <v>1442</v>
      </c>
      <c r="N9" s="34">
        <f>COUNTIF($D:$D, "Dra. Chanchorra")</f>
        <v>0</v>
      </c>
      <c r="O9" s="22"/>
    </row>
    <row r="10" spans="1:37" ht="39.950000000000003" customHeight="1" x14ac:dyDescent="0.2">
      <c r="A10" s="32" t="s">
        <v>178</v>
      </c>
      <c r="B10" s="32" t="s">
        <v>177</v>
      </c>
      <c r="C10" s="29">
        <v>3</v>
      </c>
      <c r="D10" s="32" t="s">
        <v>43</v>
      </c>
      <c r="E10" s="30">
        <v>45020</v>
      </c>
      <c r="F10" s="32" t="s">
        <v>360</v>
      </c>
      <c r="G10" s="30" t="s">
        <v>33</v>
      </c>
      <c r="H10" s="29">
        <v>4</v>
      </c>
      <c r="I10" s="29" t="s">
        <v>192</v>
      </c>
      <c r="J10" s="29" t="s">
        <v>193</v>
      </c>
      <c r="K10" s="32" t="s">
        <v>607</v>
      </c>
      <c r="M10" s="34" t="s">
        <v>1443</v>
      </c>
      <c r="N10" s="34">
        <f>COUNTIF($D:$D, "Dra. Chanchorra")</f>
        <v>0</v>
      </c>
    </row>
    <row r="11" spans="1:37" s="1" customFormat="1" ht="39.950000000000003" customHeight="1" x14ac:dyDescent="0.2">
      <c r="A11" s="32" t="s">
        <v>610</v>
      </c>
      <c r="B11" s="32" t="s">
        <v>609</v>
      </c>
      <c r="C11" s="32"/>
      <c r="D11" s="32" t="s">
        <v>583</v>
      </c>
      <c r="E11" s="29"/>
      <c r="F11" s="29"/>
      <c r="G11" s="38"/>
      <c r="H11" s="30"/>
      <c r="I11" s="29" t="s">
        <v>248</v>
      </c>
      <c r="J11" s="29" t="s">
        <v>287</v>
      </c>
      <c r="K11" s="32" t="s">
        <v>918</v>
      </c>
      <c r="M11" s="34" t="s">
        <v>525</v>
      </c>
      <c r="N11" s="34">
        <f>COUNTIF($D:$D, "Sin asignar")</f>
        <v>5</v>
      </c>
      <c r="O11" s="8"/>
      <c r="P11" s="3"/>
    </row>
    <row r="12" spans="1:37" s="1" customFormat="1" ht="76.5" x14ac:dyDescent="0.2">
      <c r="A12" s="32" t="s">
        <v>473</v>
      </c>
      <c r="B12" s="35" t="s">
        <v>472</v>
      </c>
      <c r="C12" s="32">
        <v>4</v>
      </c>
      <c r="D12" s="32" t="s">
        <v>320</v>
      </c>
      <c r="E12" s="33">
        <v>45041</v>
      </c>
      <c r="F12" s="32" t="s">
        <v>76</v>
      </c>
      <c r="G12" s="33" t="s">
        <v>31</v>
      </c>
      <c r="H12" s="32">
        <v>2</v>
      </c>
      <c r="I12" s="32" t="s">
        <v>409</v>
      </c>
      <c r="J12" s="32" t="s">
        <v>363</v>
      </c>
      <c r="K12" s="32" t="s">
        <v>668</v>
      </c>
      <c r="M12" s="59" t="s">
        <v>460</v>
      </c>
      <c r="N12" s="59">
        <f>SUM(N2:N11)</f>
        <v>17</v>
      </c>
      <c r="O12" s="23" t="str">
        <f ca="1">IF(E12&lt;=TODAY(),"SI","NO")</f>
        <v>SI</v>
      </c>
      <c r="P12" s="23" t="str">
        <f>IF(EXPEDIENTES!$P$1=E12,"DIASOL", "DIANOSOL")</f>
        <v>DIANOSOL</v>
      </c>
      <c r="Q12" s="3"/>
      <c r="R12" s="3"/>
      <c r="S12" s="3"/>
      <c r="T12" s="3"/>
      <c r="U12" s="3"/>
    </row>
    <row r="13" spans="1:37" s="1" customFormat="1" ht="39.950000000000003" customHeight="1" x14ac:dyDescent="0.2">
      <c r="A13" s="32" t="s">
        <v>1405</v>
      </c>
      <c r="B13" s="35" t="s">
        <v>1406</v>
      </c>
      <c r="C13" s="29">
        <v>3</v>
      </c>
      <c r="D13" s="32" t="s">
        <v>283</v>
      </c>
      <c r="E13" s="30">
        <v>45112</v>
      </c>
      <c r="F13" s="33" t="s">
        <v>1086</v>
      </c>
      <c r="G13" s="33" t="s">
        <v>1222</v>
      </c>
      <c r="H13" s="32">
        <v>1</v>
      </c>
      <c r="I13" s="32" t="s">
        <v>797</v>
      </c>
      <c r="J13" s="32" t="s">
        <v>694</v>
      </c>
      <c r="K13" s="32" t="s">
        <v>1547</v>
      </c>
      <c r="L13" s="114"/>
      <c r="M13" s="114"/>
      <c r="N13" s="114"/>
      <c r="O13" s="114"/>
      <c r="P13" s="114"/>
      <c r="Q13" s="115"/>
      <c r="R13" s="115"/>
      <c r="S13" s="116"/>
      <c r="T13" s="116"/>
      <c r="U13" s="116"/>
      <c r="V13" s="116"/>
      <c r="W13" s="117"/>
      <c r="X13" s="117"/>
      <c r="Y13" s="117"/>
    </row>
    <row r="14" spans="1:37" s="99" customFormat="1" ht="39.950000000000003" customHeight="1" x14ac:dyDescent="0.2">
      <c r="A14" s="79" t="s">
        <v>1942</v>
      </c>
      <c r="B14" s="208" t="s">
        <v>1938</v>
      </c>
      <c r="C14" s="88">
        <v>4</v>
      </c>
      <c r="D14" s="88" t="s">
        <v>583</v>
      </c>
      <c r="E14" s="209"/>
      <c r="F14" s="209"/>
      <c r="G14" s="209"/>
      <c r="H14" s="79" t="s">
        <v>1986</v>
      </c>
      <c r="I14" s="79" t="s">
        <v>800</v>
      </c>
      <c r="J14" s="79"/>
      <c r="K14" s="88"/>
      <c r="L14" s="205"/>
      <c r="M14" s="205"/>
      <c r="N14" s="205"/>
      <c r="O14" s="205"/>
      <c r="P14" s="205"/>
      <c r="Q14" s="206"/>
      <c r="R14" s="206"/>
      <c r="S14" s="207"/>
      <c r="T14" s="207"/>
      <c r="U14" s="207"/>
      <c r="V14" s="207"/>
      <c r="W14" s="207"/>
      <c r="X14" s="207"/>
      <c r="Y14" s="207"/>
      <c r="Z14" s="207"/>
      <c r="AA14" s="207"/>
      <c r="AB14" s="207"/>
      <c r="AC14" s="207"/>
      <c r="AD14" s="207"/>
      <c r="AE14" s="207"/>
    </row>
    <row r="15" spans="1:37" s="99" customFormat="1" ht="39.950000000000003" customHeight="1" x14ac:dyDescent="0.2">
      <c r="A15" s="79" t="s">
        <v>2010</v>
      </c>
      <c r="B15" s="208" t="s">
        <v>2066</v>
      </c>
      <c r="C15" s="88">
        <v>4</v>
      </c>
      <c r="D15" s="88" t="s">
        <v>583</v>
      </c>
      <c r="E15" s="209"/>
      <c r="F15" s="209"/>
      <c r="G15" s="209"/>
      <c r="H15" s="79"/>
      <c r="I15" s="79" t="s">
        <v>798</v>
      </c>
      <c r="J15" s="79"/>
      <c r="K15" s="88" t="s">
        <v>2107</v>
      </c>
      <c r="L15" s="205"/>
      <c r="M15" s="205"/>
      <c r="N15" s="205"/>
      <c r="O15" s="205"/>
      <c r="P15" s="205"/>
      <c r="Q15" s="206"/>
      <c r="R15" s="206"/>
      <c r="S15" s="207"/>
      <c r="T15" s="207"/>
      <c r="U15" s="207"/>
      <c r="V15" s="207"/>
      <c r="W15" s="207"/>
      <c r="X15" s="207"/>
      <c r="Y15" s="207"/>
      <c r="Z15" s="207"/>
      <c r="AA15" s="207"/>
      <c r="AB15" s="207"/>
      <c r="AC15" s="207"/>
      <c r="AD15" s="207"/>
      <c r="AE15" s="207"/>
    </row>
    <row r="16" spans="1:37" s="99" customFormat="1" ht="39.950000000000003" customHeight="1" x14ac:dyDescent="0.2">
      <c r="A16" s="79" t="s">
        <v>2004</v>
      </c>
      <c r="B16" s="208" t="s">
        <v>2005</v>
      </c>
      <c r="C16" s="88">
        <v>4</v>
      </c>
      <c r="D16" s="88" t="s">
        <v>583</v>
      </c>
      <c r="E16" s="209"/>
      <c r="F16" s="209"/>
      <c r="G16" s="209"/>
      <c r="H16" s="88" t="str">
        <f>IFERROR(VLOOKUP(G16,Jueces!$A$1:$B$11,2,FALSE),"")</f>
        <v/>
      </c>
      <c r="I16" s="79" t="s">
        <v>798</v>
      </c>
      <c r="J16" s="79"/>
      <c r="K16" s="79" t="s">
        <v>2108</v>
      </c>
      <c r="L16" s="205"/>
      <c r="M16" s="205"/>
      <c r="N16" s="205"/>
      <c r="O16" s="205"/>
      <c r="P16" s="205"/>
      <c r="Q16" s="206"/>
      <c r="R16" s="206"/>
      <c r="S16" s="207"/>
      <c r="T16" s="207"/>
      <c r="U16" s="207"/>
      <c r="V16" s="207"/>
      <c r="W16" s="207"/>
      <c r="X16" s="207"/>
      <c r="Y16" s="207"/>
      <c r="Z16" s="207"/>
      <c r="AA16" s="207"/>
      <c r="AB16" s="207"/>
      <c r="AC16" s="207"/>
      <c r="AD16" s="207"/>
      <c r="AE16" s="207"/>
      <c r="AF16" s="207"/>
      <c r="AG16" s="207"/>
      <c r="AH16" s="207"/>
      <c r="AI16" s="207"/>
      <c r="AJ16" s="207"/>
      <c r="AK16" s="207"/>
    </row>
    <row r="17" spans="1:50" ht="39.950000000000003" customHeight="1" x14ac:dyDescent="0.2">
      <c r="A17" s="79" t="s">
        <v>2006</v>
      </c>
      <c r="B17" s="208" t="s">
        <v>2007</v>
      </c>
      <c r="C17" s="88">
        <v>4</v>
      </c>
      <c r="D17" s="88" t="s">
        <v>283</v>
      </c>
      <c r="E17" s="209">
        <v>45146</v>
      </c>
      <c r="F17" s="242" t="s">
        <v>73</v>
      </c>
      <c r="G17" s="209" t="s">
        <v>1222</v>
      </c>
      <c r="H17" s="79" t="s">
        <v>1346</v>
      </c>
      <c r="I17" s="79" t="s">
        <v>802</v>
      </c>
      <c r="J17" s="94"/>
      <c r="K17" s="256" t="s">
        <v>2139</v>
      </c>
      <c r="L17" s="112"/>
      <c r="M17" s="205"/>
      <c r="N17" s="207"/>
      <c r="O17" s="112"/>
      <c r="P17" s="112"/>
      <c r="Q17" s="112"/>
      <c r="R17" s="112"/>
      <c r="S17" s="112"/>
      <c r="T17" s="112"/>
      <c r="U17" s="112"/>
      <c r="V17" s="112"/>
      <c r="W17" s="112"/>
      <c r="X17" s="112"/>
      <c r="Y17" s="112"/>
      <c r="Z17" s="112"/>
      <c r="AA17" s="112"/>
      <c r="AB17" s="112"/>
      <c r="AC17" s="112"/>
      <c r="AD17" s="112"/>
      <c r="AE17" s="112"/>
      <c r="AF17" s="112"/>
      <c r="AG17" s="112"/>
    </row>
    <row r="18" spans="1:50" s="7" customFormat="1" ht="63.75" x14ac:dyDescent="0.2">
      <c r="A18" s="257" t="s">
        <v>2111</v>
      </c>
      <c r="B18" s="258" t="s">
        <v>2112</v>
      </c>
      <c r="C18" s="259">
        <v>1</v>
      </c>
      <c r="D18" s="259"/>
      <c r="E18" s="260"/>
      <c r="F18" s="260"/>
      <c r="G18" s="260"/>
      <c r="H18" s="259" t="str">
        <f>IFERROR(VLOOKUP(G18,Jueces!$A$1:$B$11,2,FALSE),"")</f>
        <v/>
      </c>
      <c r="I18" s="257" t="s">
        <v>192</v>
      </c>
      <c r="J18" s="257"/>
      <c r="K18" s="257"/>
      <c r="L18" s="114"/>
      <c r="M18" s="114"/>
      <c r="N18" s="114"/>
      <c r="O18" s="114"/>
      <c r="P18" s="114"/>
      <c r="Q18" s="115"/>
      <c r="R18" s="115"/>
      <c r="S18" s="116"/>
      <c r="T18" s="116"/>
      <c r="U18" s="116"/>
      <c r="V18" s="116"/>
      <c r="W18" s="254"/>
      <c r="X18" s="254"/>
      <c r="Y18" s="117"/>
      <c r="Z18" s="116"/>
      <c r="AA18" s="116"/>
      <c r="AB18" s="116"/>
      <c r="AC18" s="116"/>
      <c r="AD18" s="116"/>
      <c r="AE18" s="116"/>
      <c r="AF18" s="116"/>
      <c r="AG18" s="116"/>
    </row>
    <row r="19" spans="1:50" s="99" customFormat="1" ht="39.950000000000003" customHeight="1" x14ac:dyDescent="0.2">
      <c r="A19" s="79" t="s">
        <v>1929</v>
      </c>
      <c r="B19" s="208" t="s">
        <v>2508</v>
      </c>
      <c r="C19" s="88">
        <v>4</v>
      </c>
      <c r="D19" s="88"/>
      <c r="E19" s="209"/>
      <c r="F19" s="209"/>
      <c r="G19" s="209"/>
      <c r="H19" s="88" t="str">
        <f>IFERROR(VLOOKUP(G19,Jueces!$A$1:$B$11,2,FALSE),"")</f>
        <v/>
      </c>
      <c r="I19" s="79" t="s">
        <v>811</v>
      </c>
      <c r="J19" s="79" t="s">
        <v>695</v>
      </c>
      <c r="K19" s="79" t="s">
        <v>2513</v>
      </c>
      <c r="L19" s="205"/>
      <c r="M19" s="205"/>
      <c r="N19" s="205"/>
      <c r="O19" s="205"/>
      <c r="P19" s="205"/>
      <c r="Q19" s="206"/>
      <c r="R19" s="206"/>
      <c r="S19" s="207"/>
      <c r="T19" s="207"/>
      <c r="U19" s="207"/>
      <c r="V19" s="207"/>
      <c r="W19" s="207"/>
      <c r="X19" s="255"/>
      <c r="Y19" s="255"/>
      <c r="Z19" s="207"/>
      <c r="AA19" s="207"/>
      <c r="AB19" s="207"/>
      <c r="AC19" s="207"/>
      <c r="AD19" s="207"/>
      <c r="AE19" s="207"/>
      <c r="AF19" s="207"/>
      <c r="AG19" s="207"/>
      <c r="AH19" s="207"/>
      <c r="AI19" s="207"/>
      <c r="AJ19" s="207"/>
      <c r="AK19" s="207"/>
      <c r="AL19" s="207"/>
      <c r="AM19" s="207"/>
      <c r="AN19" s="207"/>
      <c r="AO19" s="207"/>
      <c r="AP19" s="207"/>
      <c r="AQ19" s="207"/>
      <c r="AR19" s="207"/>
      <c r="AS19" s="207"/>
      <c r="AT19" s="207"/>
      <c r="AU19" s="207"/>
      <c r="AV19" s="207"/>
      <c r="AW19" s="207"/>
      <c r="AX19" s="207"/>
    </row>
    <row r="20" spans="1:50" s="1" customFormat="1" ht="39.950000000000003" customHeight="1" x14ac:dyDescent="0.2">
      <c r="A20" s="81" t="s">
        <v>2690</v>
      </c>
      <c r="B20" s="82" t="s">
        <v>2729</v>
      </c>
      <c r="C20" s="78">
        <v>8</v>
      </c>
      <c r="D20" s="78" t="s">
        <v>43</v>
      </c>
      <c r="E20" s="80">
        <v>45191</v>
      </c>
      <c r="F20" s="83" t="s">
        <v>73</v>
      </c>
      <c r="G20" s="80" t="s">
        <v>33</v>
      </c>
      <c r="H20" s="78">
        <f>IFERROR(VLOOKUP(G20,Jueces!$A$1:$B$11,2,FALSE),"")</f>
        <v>4</v>
      </c>
      <c r="I20" s="81" t="s">
        <v>789</v>
      </c>
      <c r="J20" s="81" t="s">
        <v>887</v>
      </c>
      <c r="K20" s="81" t="s">
        <v>2757</v>
      </c>
      <c r="L20" s="112"/>
      <c r="M20" s="112"/>
      <c r="N20" s="112"/>
      <c r="O20" s="112"/>
      <c r="P20" s="112"/>
      <c r="Q20" s="112"/>
      <c r="R20" s="112"/>
      <c r="S20" s="112"/>
      <c r="T20" s="112"/>
      <c r="U20" s="112"/>
      <c r="V20" s="112"/>
      <c r="W20" s="112"/>
      <c r="X20" s="112"/>
      <c r="Y20" s="112"/>
    </row>
    <row r="21" spans="1:50" s="1" customFormat="1" ht="39.950000000000003" customHeight="1" x14ac:dyDescent="0.2">
      <c r="A21" s="88" t="s">
        <v>2854</v>
      </c>
      <c r="B21" s="275" t="s">
        <v>2855</v>
      </c>
      <c r="C21" s="88">
        <v>3</v>
      </c>
      <c r="D21" s="88"/>
      <c r="E21" s="209"/>
      <c r="F21" s="209"/>
      <c r="G21" s="209"/>
      <c r="H21" s="88" t="str">
        <f>IFERROR(VLOOKUP(G21,Jueces!$A$1:$B$11,2,FALSE),"")</f>
        <v/>
      </c>
      <c r="I21" s="79" t="s">
        <v>192</v>
      </c>
      <c r="J21" s="79"/>
      <c r="K21" s="79" t="s">
        <v>2872</v>
      </c>
      <c r="L21" s="112"/>
      <c r="M21" s="112"/>
      <c r="N21" s="112"/>
      <c r="O21" s="112"/>
      <c r="P21" s="112"/>
      <c r="Q21" s="112"/>
      <c r="R21" s="112"/>
      <c r="S21" s="112"/>
      <c r="T21" s="112"/>
      <c r="U21" s="112"/>
      <c r="V21" s="112"/>
      <c r="W21" s="112"/>
      <c r="X21" s="112"/>
      <c r="Y21" s="112"/>
      <c r="Z21" s="112"/>
      <c r="AA21" s="112"/>
    </row>
    <row r="22" spans="1:50" ht="63.75" x14ac:dyDescent="0.2">
      <c r="A22" s="348" t="s">
        <v>3004</v>
      </c>
      <c r="B22" s="349" t="s">
        <v>3005</v>
      </c>
      <c r="C22" s="348">
        <v>1</v>
      </c>
      <c r="D22" s="348" t="s">
        <v>29</v>
      </c>
      <c r="E22" s="350">
        <v>45211</v>
      </c>
      <c r="F22" s="350" t="s">
        <v>73</v>
      </c>
      <c r="G22" s="350" t="s">
        <v>33</v>
      </c>
      <c r="H22" s="348">
        <f>IFERROR(VLOOKUP(G22,Jueces!$A$1:$B$11,2,FALSE),"")</f>
        <v>4</v>
      </c>
      <c r="I22" s="348" t="s">
        <v>793</v>
      </c>
      <c r="J22" s="348" t="s">
        <v>711</v>
      </c>
      <c r="K22" s="348" t="s">
        <v>3195</v>
      </c>
      <c r="Z22" s="112"/>
      <c r="AA22" s="112"/>
      <c r="AB22" s="112"/>
      <c r="AC22" s="112"/>
      <c r="AD22" s="112"/>
      <c r="AE22" s="112"/>
      <c r="AF22" s="112"/>
      <c r="AG22" s="112"/>
    </row>
    <row r="23" spans="1:50" ht="89.25" x14ac:dyDescent="0.2">
      <c r="A23" s="348" t="s">
        <v>3039</v>
      </c>
      <c r="B23" s="349" t="s">
        <v>3040</v>
      </c>
      <c r="C23" s="348">
        <v>8</v>
      </c>
      <c r="D23" s="348" t="s">
        <v>2775</v>
      </c>
      <c r="E23" s="350">
        <v>45205</v>
      </c>
      <c r="F23" s="350" t="s">
        <v>73</v>
      </c>
      <c r="G23" s="350" t="s">
        <v>1220</v>
      </c>
      <c r="H23" s="348">
        <f>IFERROR(VLOOKUP(G23,Jueces!$A$1:$B$11,2,FALSE),"")</f>
        <v>1</v>
      </c>
      <c r="I23" s="348" t="s">
        <v>796</v>
      </c>
      <c r="J23" s="348" t="s">
        <v>1087</v>
      </c>
      <c r="K23" s="348" t="s">
        <v>3249</v>
      </c>
      <c r="L23" s="1"/>
      <c r="M23" s="1"/>
      <c r="N23" s="8" t="str">
        <f ca="1">IF(E8&lt;=TODAY(),"SI","NO")</f>
        <v>SI</v>
      </c>
      <c r="O23" s="3"/>
      <c r="P23" s="1"/>
      <c r="Q23" s="1"/>
      <c r="R23" s="1"/>
      <c r="S23" s="1"/>
      <c r="T23" s="1"/>
      <c r="U23" s="1"/>
      <c r="V23" s="1"/>
      <c r="W23" s="1"/>
      <c r="X23" s="1"/>
      <c r="Y23" s="1"/>
      <c r="AB23" s="112"/>
      <c r="AC23" s="112"/>
      <c r="AD23" s="112"/>
      <c r="AE23" s="112"/>
      <c r="AF23" s="112"/>
      <c r="AG23" s="112"/>
    </row>
    <row r="24" spans="1:50" ht="76.5" x14ac:dyDescent="0.2">
      <c r="A24" s="81" t="s">
        <v>3302</v>
      </c>
      <c r="B24" s="82" t="s">
        <v>3303</v>
      </c>
      <c r="C24" s="81">
        <v>1</v>
      </c>
      <c r="D24" s="81" t="s">
        <v>2774</v>
      </c>
      <c r="E24" s="83">
        <v>45222</v>
      </c>
      <c r="F24" s="83" t="s">
        <v>1086</v>
      </c>
      <c r="G24" s="83" t="s">
        <v>33</v>
      </c>
      <c r="H24" s="81">
        <f>IFERROR(VLOOKUP(G24,Jueces!$A$1:$B$11,2,FALSE),"")</f>
        <v>4</v>
      </c>
      <c r="I24" s="81" t="s">
        <v>791</v>
      </c>
      <c r="J24" s="81" t="s">
        <v>3334</v>
      </c>
      <c r="K24" s="81" t="s">
        <v>3479</v>
      </c>
      <c r="Z24" s="1"/>
      <c r="AA24" s="1"/>
    </row>
    <row r="25" spans="1:50" s="1" customFormat="1" ht="39.950000000000003" customHeight="1" x14ac:dyDescent="0.2">
      <c r="A25" s="81" t="s">
        <v>2839</v>
      </c>
      <c r="B25" s="82" t="s">
        <v>2925</v>
      </c>
      <c r="C25" s="81">
        <v>1</v>
      </c>
      <c r="D25" s="81"/>
      <c r="E25" s="83"/>
      <c r="F25" s="83"/>
      <c r="G25" s="83"/>
      <c r="H25" s="81" t="str">
        <f>IFERROR(VLOOKUP(G25,Jueces!$A$1:$B$11,2,FALSE),"")</f>
        <v/>
      </c>
      <c r="I25" s="81" t="s">
        <v>813</v>
      </c>
      <c r="J25" s="81" t="s">
        <v>711</v>
      </c>
      <c r="K25" s="81" t="s">
        <v>3596</v>
      </c>
    </row>
    <row r="26" spans="1:50" ht="76.5" x14ac:dyDescent="0.2">
      <c r="A26" s="81" t="s">
        <v>2910</v>
      </c>
      <c r="B26" s="82" t="s">
        <v>2911</v>
      </c>
      <c r="C26" s="81">
        <v>8</v>
      </c>
      <c r="D26" s="81" t="s">
        <v>2773</v>
      </c>
      <c r="E26" s="83"/>
      <c r="F26" s="83"/>
      <c r="G26" s="83" t="s">
        <v>2954</v>
      </c>
      <c r="H26" s="81" t="s">
        <v>1925</v>
      </c>
      <c r="I26" s="81" t="s">
        <v>793</v>
      </c>
      <c r="J26" s="81" t="s">
        <v>2121</v>
      </c>
      <c r="K26" s="81" t="s">
        <v>3200</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6" bestFit="1" customWidth="1"/>
    <col min="3" max="3" width="22.42578125" style="46" customWidth="1"/>
    <col min="4" max="4" width="12.7109375" style="46" customWidth="1"/>
    <col min="5" max="5" width="12.42578125" bestFit="1" customWidth="1"/>
    <col min="6" max="6" width="10.28515625" style="52"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24" t="s">
        <v>732</v>
      </c>
      <c r="I1" s="424"/>
      <c r="J1" s="424"/>
      <c r="K1" s="424"/>
      <c r="L1" s="424"/>
      <c r="M1" s="424"/>
      <c r="N1" s="424"/>
      <c r="O1" s="424"/>
      <c r="P1" s="424"/>
      <c r="Q1" s="424"/>
    </row>
    <row r="2" spans="1:17" s="1" customFormat="1" ht="57.75" customHeight="1" x14ac:dyDescent="0.2">
      <c r="A2" s="49" t="s">
        <v>0</v>
      </c>
      <c r="B2" s="49" t="s">
        <v>757</v>
      </c>
      <c r="C2" s="49" t="s">
        <v>382</v>
      </c>
      <c r="D2" s="49" t="s">
        <v>819</v>
      </c>
      <c r="E2" s="49" t="s">
        <v>729</v>
      </c>
      <c r="F2" s="49" t="s">
        <v>730</v>
      </c>
      <c r="G2" s="49" t="s">
        <v>733</v>
      </c>
      <c r="H2" s="49" t="s">
        <v>726</v>
      </c>
      <c r="I2" s="49" t="s">
        <v>731</v>
      </c>
      <c r="J2" s="49" t="s">
        <v>727</v>
      </c>
      <c r="K2" s="49" t="s">
        <v>731</v>
      </c>
      <c r="L2" s="49" t="s">
        <v>728</v>
      </c>
      <c r="M2" s="49" t="s">
        <v>731</v>
      </c>
      <c r="N2" s="49" t="s">
        <v>751</v>
      </c>
      <c r="O2" s="49" t="s">
        <v>731</v>
      </c>
      <c r="P2" s="49" t="s">
        <v>752</v>
      </c>
      <c r="Q2" s="49" t="s">
        <v>731</v>
      </c>
    </row>
    <row r="3" spans="1:17" s="46" customFormat="1" ht="39.950000000000003" customHeight="1" x14ac:dyDescent="0.2">
      <c r="A3" s="44">
        <v>45055</v>
      </c>
      <c r="B3" s="45" t="s">
        <v>760</v>
      </c>
      <c r="C3" s="45" t="s">
        <v>746</v>
      </c>
      <c r="D3" s="45"/>
      <c r="E3" s="46" t="s">
        <v>708</v>
      </c>
      <c r="F3" s="45" t="s">
        <v>743</v>
      </c>
      <c r="G3" s="46">
        <v>20</v>
      </c>
      <c r="H3" s="48" t="s">
        <v>750</v>
      </c>
      <c r="I3" s="45" t="s">
        <v>744</v>
      </c>
      <c r="J3" s="47">
        <v>0.3354166666666667</v>
      </c>
      <c r="K3" s="45" t="s">
        <v>744</v>
      </c>
      <c r="L3" s="45" t="s">
        <v>745</v>
      </c>
      <c r="M3" s="45" t="s">
        <v>745</v>
      </c>
      <c r="N3" s="48" t="s">
        <v>754</v>
      </c>
      <c r="O3" s="45" t="s">
        <v>744</v>
      </c>
      <c r="P3" s="45"/>
      <c r="Q3" s="45"/>
    </row>
    <row r="4" spans="1:17" s="46" customFormat="1" ht="39.950000000000003" customHeight="1" x14ac:dyDescent="0.2">
      <c r="A4" s="44">
        <v>45055</v>
      </c>
      <c r="B4" s="45" t="s">
        <v>747</v>
      </c>
      <c r="C4" s="45" t="s">
        <v>758</v>
      </c>
      <c r="D4" s="45"/>
      <c r="E4" s="46" t="s">
        <v>687</v>
      </c>
      <c r="F4" s="45" t="s">
        <v>748</v>
      </c>
      <c r="G4" s="46">
        <v>37</v>
      </c>
      <c r="H4" s="48" t="s">
        <v>749</v>
      </c>
      <c r="I4" s="45" t="s">
        <v>744</v>
      </c>
      <c r="J4" s="45" t="s">
        <v>755</v>
      </c>
      <c r="K4" s="45" t="s">
        <v>756</v>
      </c>
      <c r="L4" s="45" t="s">
        <v>759</v>
      </c>
      <c r="M4" s="45" t="s">
        <v>744</v>
      </c>
      <c r="N4" s="48" t="s">
        <v>73</v>
      </c>
      <c r="O4" s="45" t="s">
        <v>744</v>
      </c>
      <c r="P4" s="45" t="s">
        <v>749</v>
      </c>
      <c r="Q4" s="45" t="s">
        <v>753</v>
      </c>
    </row>
    <row r="5" spans="1:17" s="13" customFormat="1" ht="39.950000000000003" customHeight="1" x14ac:dyDescent="0.2">
      <c r="A5" s="44">
        <v>45056</v>
      </c>
      <c r="B5" s="45" t="s">
        <v>747</v>
      </c>
      <c r="E5" s="51" t="s">
        <v>722</v>
      </c>
      <c r="F5" s="51" t="s">
        <v>770</v>
      </c>
    </row>
    <row r="6" spans="1:17" s="13" customFormat="1" ht="39.950000000000003" customHeight="1" x14ac:dyDescent="0.2">
      <c r="A6" s="44">
        <v>45057</v>
      </c>
      <c r="B6" s="45" t="s">
        <v>817</v>
      </c>
      <c r="C6" s="45" t="s">
        <v>818</v>
      </c>
      <c r="D6" s="45"/>
      <c r="E6" s="46" t="s">
        <v>720</v>
      </c>
      <c r="F6" s="45" t="s">
        <v>748</v>
      </c>
      <c r="G6" s="46"/>
      <c r="H6" s="47">
        <v>0.33749999999999997</v>
      </c>
      <c r="I6" s="45" t="s">
        <v>744</v>
      </c>
      <c r="J6" s="47">
        <v>0.3263888888888889</v>
      </c>
      <c r="K6" s="45" t="s">
        <v>744</v>
      </c>
      <c r="L6" s="46"/>
      <c r="M6" s="45" t="s">
        <v>744</v>
      </c>
      <c r="N6" s="47">
        <v>0.3298611111111111</v>
      </c>
      <c r="O6" s="45" t="s">
        <v>744</v>
      </c>
      <c r="P6" s="46"/>
      <c r="Q6" s="46"/>
    </row>
    <row r="7" spans="1:17" x14ac:dyDescent="0.2">
      <c r="A7" s="54">
        <v>45062</v>
      </c>
      <c r="B7" s="45" t="s">
        <v>747</v>
      </c>
      <c r="C7" s="45" t="s">
        <v>758</v>
      </c>
      <c r="E7" t="s">
        <v>765</v>
      </c>
      <c r="F7" s="53" t="s">
        <v>743</v>
      </c>
      <c r="H7" s="55">
        <v>0.33402777777777781</v>
      </c>
      <c r="I7" s="45" t="s">
        <v>744</v>
      </c>
      <c r="J7" s="55">
        <v>0.3298611111111111</v>
      </c>
      <c r="K7" s="45" t="s">
        <v>744</v>
      </c>
      <c r="L7" s="55">
        <v>0.33333333333333331</v>
      </c>
      <c r="M7" s="45" t="s">
        <v>744</v>
      </c>
      <c r="N7" s="55">
        <v>0.33333333333333331</v>
      </c>
      <c r="O7" s="45" t="s">
        <v>744</v>
      </c>
    </row>
    <row r="15" spans="1:17" x14ac:dyDescent="0.2">
      <c r="A15" s="54">
        <v>45068</v>
      </c>
      <c r="B15" s="45" t="s">
        <v>934</v>
      </c>
      <c r="C15" s="45" t="s">
        <v>746</v>
      </c>
      <c r="E15" s="9" t="s">
        <v>840</v>
      </c>
      <c r="F15" s="53" t="s">
        <v>743</v>
      </c>
      <c r="H15" s="58">
        <v>0.34722222222222227</v>
      </c>
      <c r="I15" s="9" t="s">
        <v>744</v>
      </c>
      <c r="J15" s="58">
        <v>0.3263888888888889</v>
      </c>
      <c r="K15" s="9" t="s">
        <v>744</v>
      </c>
      <c r="N15" s="58">
        <v>0.34375</v>
      </c>
      <c r="O15" s="9" t="s">
        <v>744</v>
      </c>
    </row>
    <row r="16" spans="1:17" x14ac:dyDescent="0.2">
      <c r="A16" s="54">
        <v>45068</v>
      </c>
      <c r="B16" s="45" t="s">
        <v>934</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0">
        <v>1</v>
      </c>
      <c r="B1" s="16" t="s">
        <v>1041</v>
      </c>
      <c r="C1" s="9" t="s">
        <v>770</v>
      </c>
      <c r="D1" s="9" t="s">
        <v>1140</v>
      </c>
    </row>
    <row r="2" spans="1:4" ht="30" customHeight="1" x14ac:dyDescent="0.2">
      <c r="A2" s="70">
        <v>2</v>
      </c>
      <c r="B2" s="16" t="s">
        <v>1042</v>
      </c>
      <c r="C2" s="9">
        <f>MATCH(C1,B1:B5,0)</f>
        <v>5</v>
      </c>
      <c r="D2" s="9" t="s">
        <v>1254</v>
      </c>
    </row>
    <row r="3" spans="1:4" ht="30" customHeight="1" x14ac:dyDescent="0.2">
      <c r="A3" s="70">
        <v>3</v>
      </c>
      <c r="B3" s="16" t="s">
        <v>748</v>
      </c>
    </row>
    <row r="4" spans="1:4" ht="30" customHeight="1" x14ac:dyDescent="0.2">
      <c r="A4" s="70">
        <v>4</v>
      </c>
      <c r="B4" s="16" t="s">
        <v>743</v>
      </c>
    </row>
    <row r="5" spans="1:4" ht="30" customHeight="1" x14ac:dyDescent="0.2">
      <c r="A5" s="70">
        <v>5</v>
      </c>
      <c r="B5" s="16" t="s">
        <v>770</v>
      </c>
    </row>
    <row r="6" spans="1:4" ht="30" customHeight="1" x14ac:dyDescent="0.2">
      <c r="A6" s="70"/>
      <c r="B6" s="16"/>
    </row>
    <row r="7" spans="1:4" ht="30" customHeight="1" x14ac:dyDescent="0.2">
      <c r="A7" s="70"/>
      <c r="B7" s="16"/>
    </row>
    <row r="8" spans="1:4" ht="30" customHeight="1" x14ac:dyDescent="0.2">
      <c r="A8" s="70"/>
      <c r="B8" s="16"/>
    </row>
    <row r="9" spans="1:4" ht="30" customHeight="1" x14ac:dyDescent="0.2">
      <c r="A9" s="70"/>
      <c r="B9" s="16"/>
    </row>
    <row r="10" spans="1:4" ht="30" customHeight="1" x14ac:dyDescent="0.2">
      <c r="A10" s="70"/>
      <c r="B10" s="16"/>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6" t="s">
        <v>514</v>
      </c>
      <c r="C1" s="20">
        <f ca="1">TODAY()</f>
        <v>45228</v>
      </c>
    </row>
    <row r="2" spans="2:3" ht="24.95" customHeight="1" x14ac:dyDescent="0.2">
      <c r="B2" s="423" t="s">
        <v>393</v>
      </c>
      <c r="C2" s="423"/>
    </row>
    <row r="3" spans="2:3" ht="24.95" customHeight="1" x14ac:dyDescent="0.2">
      <c r="B3" s="12" t="s">
        <v>3</v>
      </c>
      <c r="C3" s="12" t="s">
        <v>362</v>
      </c>
    </row>
    <row r="4" spans="2:3" ht="24.95" customHeight="1" x14ac:dyDescent="0.2">
      <c r="B4" s="10" t="s">
        <v>43</v>
      </c>
      <c r="C4" s="10">
        <f ca="1">COUNTIFS(EXPEDIENTES!G:G,B4,EXPEDIENTES!O:O,"NO")</f>
        <v>2</v>
      </c>
    </row>
    <row r="5" spans="2:3" ht="24.95" customHeight="1" x14ac:dyDescent="0.2">
      <c r="B5" s="10" t="s">
        <v>34</v>
      </c>
      <c r="C5" s="10">
        <f ca="1">COUNTIFS(EXPEDIENTES!G:G,B5,EXPEDIENTES!O:O,"NO")</f>
        <v>0</v>
      </c>
    </row>
    <row r="6" spans="2:3" ht="24.95" customHeight="1" x14ac:dyDescent="0.2">
      <c r="B6" s="10" t="s">
        <v>29</v>
      </c>
      <c r="C6" s="10">
        <f ca="1">COUNTIFS(EXPEDIENTES!G:G,B6,EXPEDIENTES!O:O,"NO")</f>
        <v>0</v>
      </c>
    </row>
    <row r="7" spans="2:3" ht="24.95" customHeight="1" x14ac:dyDescent="0.2">
      <c r="B7" s="10" t="s">
        <v>283</v>
      </c>
      <c r="C7" s="10">
        <f ca="1">COUNTIFS(EXPEDIENTES!G:G,B7,EXPEDIENTES!O:O,"NO")</f>
        <v>8</v>
      </c>
    </row>
    <row r="8" spans="2:3" ht="24.95" customHeight="1" x14ac:dyDescent="0.2">
      <c r="B8" s="10" t="s">
        <v>32</v>
      </c>
      <c r="C8" s="10">
        <f ca="1">COUNTIFS(EXPEDIENTES!G:G,B8,EXPEDIENTES!O:O,"NO")</f>
        <v>0</v>
      </c>
    </row>
    <row r="9" spans="2:3" ht="24.95" customHeight="1" x14ac:dyDescent="0.2">
      <c r="B9" s="10" t="s">
        <v>320</v>
      </c>
      <c r="C9" s="10">
        <f>COUNTIFS(EXPEDIENTES!G:G,B9,EXPEDIENTES!O:O,"NO")</f>
        <v>0</v>
      </c>
    </row>
    <row r="10" spans="2:3" ht="24.95" customHeight="1" x14ac:dyDescent="0.2">
      <c r="B10" s="10" t="s">
        <v>568</v>
      </c>
      <c r="C10" s="10">
        <f ca="1">COUNTIFS(EXPEDIENTES!G:G,B10,EXPEDIENTES!O:O,"NO")</f>
        <v>7</v>
      </c>
    </row>
    <row r="11" spans="2:3" ht="24.95" customHeight="1" x14ac:dyDescent="0.2">
      <c r="B11" s="10" t="s">
        <v>628</v>
      </c>
      <c r="C11" s="10"/>
    </row>
    <row r="12" spans="2:3" ht="24.95" customHeight="1" x14ac:dyDescent="0.2">
      <c r="B12" s="24" t="s">
        <v>372</v>
      </c>
      <c r="C12" s="27">
        <f ca="1">SUM(C4:C11)</f>
        <v>17</v>
      </c>
    </row>
    <row r="13" spans="2:3" ht="24.95" customHeight="1" x14ac:dyDescent="0.2">
      <c r="B13" s="13"/>
      <c r="C13" s="13"/>
    </row>
    <row r="14" spans="2:3" ht="24.95" customHeight="1" x14ac:dyDescent="0.2">
      <c r="B14" s="423" t="s">
        <v>448</v>
      </c>
      <c r="C14" s="423"/>
    </row>
    <row r="15" spans="2:3" ht="24.95" customHeight="1" x14ac:dyDescent="0.2">
      <c r="B15" s="12" t="s">
        <v>3</v>
      </c>
      <c r="C15" s="12" t="s">
        <v>362</v>
      </c>
    </row>
    <row r="16" spans="2:3" ht="24.95" customHeight="1" x14ac:dyDescent="0.2">
      <c r="B16" s="10" t="s">
        <v>43</v>
      </c>
      <c r="C16" s="10">
        <f>COUNTIF(EXPEDIENTES!G:G,B16)</f>
        <v>104</v>
      </c>
    </row>
    <row r="17" spans="2:3" ht="24.95" customHeight="1" x14ac:dyDescent="0.2">
      <c r="B17" s="10" t="s">
        <v>34</v>
      </c>
      <c r="C17" s="10">
        <f>COUNTIF(EXPEDIENTES!G:G,B17)</f>
        <v>34</v>
      </c>
    </row>
    <row r="18" spans="2:3" ht="24.95" customHeight="1" x14ac:dyDescent="0.2">
      <c r="B18" s="10" t="s">
        <v>29</v>
      </c>
      <c r="C18" s="10">
        <f>COUNTIF(EXPEDIENTES!G:G,B18)</f>
        <v>89</v>
      </c>
    </row>
    <row r="19" spans="2:3" ht="24.95" customHeight="1" x14ac:dyDescent="0.2">
      <c r="B19" s="10" t="s">
        <v>283</v>
      </c>
      <c r="C19" s="10">
        <f>COUNTIF(EXPEDIENTES!G:G,B19)</f>
        <v>109</v>
      </c>
    </row>
    <row r="20" spans="2:3" ht="24.95" customHeight="1" x14ac:dyDescent="0.2">
      <c r="B20" s="10" t="s">
        <v>32</v>
      </c>
      <c r="C20" s="10">
        <f>COUNTIF(EXPEDIENTES!G:G,B20)</f>
        <v>78</v>
      </c>
    </row>
    <row r="21" spans="2:3" ht="24.95" customHeight="1" x14ac:dyDescent="0.2">
      <c r="B21" s="10" t="s">
        <v>320</v>
      </c>
      <c r="C21" s="10">
        <f>COUNTIF(EXPEDIENTES!G:G,B21)</f>
        <v>0</v>
      </c>
    </row>
    <row r="22" spans="2:3" ht="24.95" customHeight="1" x14ac:dyDescent="0.2">
      <c r="B22" s="10" t="s">
        <v>568</v>
      </c>
      <c r="C22" s="10">
        <f>COUNTIF(EXPEDIENTES!G:G,B22)</f>
        <v>72</v>
      </c>
    </row>
    <row r="23" spans="2:3" ht="24.95" customHeight="1" x14ac:dyDescent="0.2">
      <c r="B23" s="24" t="s">
        <v>370</v>
      </c>
      <c r="C23" s="27">
        <f>SUM(C16:C22)</f>
        <v>486</v>
      </c>
    </row>
    <row r="24" spans="2:3" ht="23.25" customHeight="1" x14ac:dyDescent="0.2">
      <c r="B24" s="10" t="s">
        <v>450</v>
      </c>
      <c r="C24" s="10">
        <f>'no realizadas'!N10</f>
        <v>0</v>
      </c>
    </row>
    <row r="25" spans="2:3" ht="24.95" customHeight="1" x14ac:dyDescent="0.2">
      <c r="B25" s="13"/>
      <c r="C25" s="13"/>
    </row>
    <row r="26" spans="2:3" ht="24.95" customHeight="1" x14ac:dyDescent="0.2">
      <c r="B26" s="423" t="s">
        <v>449</v>
      </c>
      <c r="C26" s="423"/>
    </row>
    <row r="27" spans="2:3" ht="24.95" customHeight="1" x14ac:dyDescent="0.2">
      <c r="B27" s="12" t="s">
        <v>3</v>
      </c>
      <c r="C27" s="12" t="s">
        <v>362</v>
      </c>
    </row>
    <row r="28" spans="2:3" ht="24.95" customHeight="1" x14ac:dyDescent="0.2">
      <c r="B28" s="10" t="s">
        <v>43</v>
      </c>
      <c r="C28" s="10">
        <f ca="1">COUNTIFS(EXPEDIENTES!G:G,B28,EXPEDIENTES!O:O,"SI")</f>
        <v>102</v>
      </c>
    </row>
    <row r="29" spans="2:3" ht="24.95" customHeight="1" x14ac:dyDescent="0.2">
      <c r="B29" s="10" t="s">
        <v>34</v>
      </c>
      <c r="C29" s="10">
        <f ca="1">COUNTIFS(EXPEDIENTES!G:G,B29,EXPEDIENTES!O:O,"SI")</f>
        <v>34</v>
      </c>
    </row>
    <row r="30" spans="2:3" ht="24.95" customHeight="1" x14ac:dyDescent="0.2">
      <c r="B30" s="10" t="s">
        <v>29</v>
      </c>
      <c r="C30" s="10">
        <f ca="1">COUNTIFS(EXPEDIENTES!G:G,B30,EXPEDIENTES!O:O,"SI")</f>
        <v>89</v>
      </c>
    </row>
    <row r="31" spans="2:3" ht="24.95" customHeight="1" x14ac:dyDescent="0.2">
      <c r="B31" s="10" t="s">
        <v>283</v>
      </c>
      <c r="C31" s="10">
        <f ca="1">COUNTIFS(EXPEDIENTES!G:G,B31,EXPEDIENTES!O:O,"SI")</f>
        <v>101</v>
      </c>
    </row>
    <row r="32" spans="2:3" ht="24.95" customHeight="1" x14ac:dyDescent="0.2">
      <c r="B32" s="10" t="s">
        <v>32</v>
      </c>
      <c r="C32" s="10">
        <f ca="1">COUNTIFS(EXPEDIENTES!G:G,B32,EXPEDIENTES!O:O,"SI")</f>
        <v>78</v>
      </c>
    </row>
    <row r="33" spans="2:3" ht="24.95" customHeight="1" x14ac:dyDescent="0.2">
      <c r="B33" s="10" t="s">
        <v>320</v>
      </c>
      <c r="C33" s="10">
        <f>COUNTIFS(EXPEDIENTES!G:G,B33,EXPEDIENTES!O:O,"SI")</f>
        <v>0</v>
      </c>
    </row>
    <row r="34" spans="2:3" ht="24.95" customHeight="1" x14ac:dyDescent="0.2">
      <c r="B34" s="10" t="s">
        <v>568</v>
      </c>
      <c r="C34" s="10">
        <f ca="1">COUNTIFS(EXPEDIENTES!G:G,B34,EXPEDIENTES!O:O,"SI")</f>
        <v>65</v>
      </c>
    </row>
    <row r="35" spans="2:3" ht="24.95" customHeight="1" x14ac:dyDescent="0.2">
      <c r="B35" s="24" t="s">
        <v>371</v>
      </c>
      <c r="C35" s="27">
        <f ca="1">SUM(C28:C34)</f>
        <v>469</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5" t="s">
        <v>1257</v>
      </c>
      <c r="B1" s="96"/>
      <c r="C1" s="96"/>
      <c r="D1" s="95" t="s">
        <v>1258</v>
      </c>
      <c r="E1" s="96"/>
      <c r="F1" s="96"/>
      <c r="G1" s="95" t="s">
        <v>1259</v>
      </c>
      <c r="H1" s="96"/>
      <c r="I1" s="96"/>
    </row>
    <row r="2" spans="1:9" x14ac:dyDescent="0.2">
      <c r="A2" s="50" t="s">
        <v>1041</v>
      </c>
      <c r="B2" s="97" t="s">
        <v>743</v>
      </c>
      <c r="C2" s="57" t="s">
        <v>1260</v>
      </c>
      <c r="D2" s="57" t="s">
        <v>1169</v>
      </c>
      <c r="E2" s="97" t="s">
        <v>1171</v>
      </c>
      <c r="F2" s="57" t="s">
        <v>1260</v>
      </c>
      <c r="G2" s="57" t="s">
        <v>1173</v>
      </c>
      <c r="H2" s="97" t="s">
        <v>1177</v>
      </c>
      <c r="I2" s="57" t="s">
        <v>1260</v>
      </c>
    </row>
    <row r="3" spans="1:9" x14ac:dyDescent="0.2">
      <c r="A3" s="50" t="s">
        <v>1042</v>
      </c>
      <c r="B3" s="97">
        <f>MATCH(B2,A2:A6,0)+1</f>
        <v>5</v>
      </c>
      <c r="C3" s="57" t="s">
        <v>1261</v>
      </c>
      <c r="D3" s="57" t="s">
        <v>1171</v>
      </c>
      <c r="E3" s="98">
        <f>MATCH(E2,D2:D4,0)+1</f>
        <v>3</v>
      </c>
      <c r="F3" s="57" t="s">
        <v>1261</v>
      </c>
      <c r="G3" s="57" t="s">
        <v>1175</v>
      </c>
      <c r="H3" s="98">
        <f>MATCH(H2,G2:G6,0)+1</f>
        <v>4</v>
      </c>
      <c r="I3" s="57" t="s">
        <v>1261</v>
      </c>
    </row>
    <row r="4" spans="1:9" x14ac:dyDescent="0.2">
      <c r="A4" s="50" t="s">
        <v>748</v>
      </c>
      <c r="B4" s="94"/>
      <c r="C4" s="94"/>
      <c r="D4" s="57" t="s">
        <v>743</v>
      </c>
      <c r="E4" s="94"/>
      <c r="F4" s="94"/>
      <c r="G4" s="57" t="s">
        <v>1177</v>
      </c>
      <c r="H4" s="94"/>
      <c r="I4" s="94"/>
    </row>
    <row r="5" spans="1:9" x14ac:dyDescent="0.2">
      <c r="A5" s="50" t="s">
        <v>743</v>
      </c>
      <c r="B5" s="94"/>
      <c r="C5" s="94"/>
      <c r="D5" s="94"/>
      <c r="E5" s="94"/>
      <c r="F5" s="94"/>
      <c r="G5" s="57" t="s">
        <v>1176</v>
      </c>
      <c r="H5" s="94"/>
      <c r="I5" s="94"/>
    </row>
    <row r="6" spans="1:9" x14ac:dyDescent="0.2">
      <c r="A6" s="50" t="s">
        <v>770</v>
      </c>
      <c r="B6" s="94"/>
      <c r="C6" s="94"/>
      <c r="D6" s="94"/>
      <c r="E6" s="94"/>
      <c r="F6" s="94"/>
      <c r="G6" s="57" t="s">
        <v>1174</v>
      </c>
      <c r="H6" s="94"/>
      <c r="I6" s="94"/>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9" t="s">
        <v>1173</v>
      </c>
      <c r="B1" s="9" t="s">
        <v>1175</v>
      </c>
      <c r="C1" s="9" t="s">
        <v>1255</v>
      </c>
    </row>
    <row r="2" spans="1:3" x14ac:dyDescent="0.2">
      <c r="A2" s="9" t="s">
        <v>1175</v>
      </c>
      <c r="B2">
        <f>MATCH(B1,A1:A5,0)</f>
        <v>2</v>
      </c>
      <c r="C2" s="9" t="s">
        <v>1256</v>
      </c>
    </row>
    <row r="3" spans="1:3" x14ac:dyDescent="0.2">
      <c r="A3" s="9" t="s">
        <v>1177</v>
      </c>
    </row>
    <row r="4" spans="1:3" x14ac:dyDescent="0.2">
      <c r="A4" s="9" t="s">
        <v>1176</v>
      </c>
    </row>
    <row r="5" spans="1:3" x14ac:dyDescent="0.2">
      <c r="A5" s="9" t="s">
        <v>1174</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78" customWidth="1"/>
    <col min="2" max="2" width="7.5703125" style="178" customWidth="1"/>
    <col min="3" max="3" width="15.7109375" style="175" customWidth="1"/>
    <col min="4" max="4" width="65.7109375" style="175" customWidth="1"/>
    <col min="5" max="5" width="10.7109375" style="175" bestFit="1" customWidth="1"/>
    <col min="6" max="6" width="12.42578125" style="175" bestFit="1" customWidth="1"/>
    <col min="7" max="7" width="12.28515625" style="175" bestFit="1" customWidth="1"/>
    <col min="8" max="8" width="11.7109375" style="175" bestFit="1" customWidth="1"/>
    <col min="9" max="9" width="17.5703125" style="175" bestFit="1" customWidth="1"/>
    <col min="10" max="10" width="12.42578125" style="175" bestFit="1" customWidth="1"/>
    <col min="11" max="12" width="35.7109375" style="175" customWidth="1"/>
    <col min="13" max="16384" width="11.42578125" style="175"/>
  </cols>
  <sheetData>
    <row r="1" spans="1:13" ht="38.25" x14ac:dyDescent="0.2">
      <c r="A1" s="174" t="s">
        <v>1743</v>
      </c>
      <c r="B1" s="165" t="s">
        <v>1744</v>
      </c>
      <c r="C1" s="165" t="s">
        <v>1</v>
      </c>
      <c r="D1" s="165" t="s">
        <v>2</v>
      </c>
      <c r="E1" s="165" t="s">
        <v>662</v>
      </c>
      <c r="F1" s="165" t="s">
        <v>919</v>
      </c>
      <c r="G1" s="166" t="s">
        <v>0</v>
      </c>
      <c r="H1" s="165" t="s">
        <v>18</v>
      </c>
      <c r="I1" s="165" t="s">
        <v>30</v>
      </c>
      <c r="J1" s="165" t="s">
        <v>89</v>
      </c>
      <c r="K1" s="165" t="s">
        <v>79</v>
      </c>
      <c r="L1" s="165" t="s">
        <v>80</v>
      </c>
    </row>
    <row r="2" spans="1:13" ht="30" customHeight="1" x14ac:dyDescent="0.2">
      <c r="A2" s="176" t="str">
        <f>CONCATENATE(TEXT($G2,"dd/mm/yyyy"),$B2)</f>
        <v>17/02/yyyy1</v>
      </c>
      <c r="B2" s="167">
        <v>1</v>
      </c>
      <c r="C2" s="6" t="s">
        <v>101</v>
      </c>
      <c r="D2" s="40" t="s">
        <v>104</v>
      </c>
      <c r="E2" s="6">
        <v>3</v>
      </c>
      <c r="F2" s="6" t="s">
        <v>1441</v>
      </c>
      <c r="G2" s="18">
        <v>44974</v>
      </c>
      <c r="H2" s="6" t="s">
        <v>73</v>
      </c>
      <c r="I2" s="18" t="s">
        <v>33</v>
      </c>
      <c r="J2" s="6">
        <f>IFERROR(VLOOKUP(I2,Jueces!$A$1:$B$11,2,FALSE),"")</f>
        <v>4</v>
      </c>
      <c r="K2" s="6" t="s">
        <v>102</v>
      </c>
      <c r="L2" s="6" t="s">
        <v>103</v>
      </c>
      <c r="M2" s="168"/>
    </row>
    <row r="3" spans="1:13" ht="30" customHeight="1" x14ac:dyDescent="0.2">
      <c r="A3" s="176" t="str">
        <f t="shared" ref="A3:A66" si="0">CONCATENATE(TEXT($G3,"dd/mm/yyyy"),$B3)</f>
        <v>27/02/yyyy1</v>
      </c>
      <c r="B3" s="169">
        <f>IF($G3=$G2,$B2+1,1)</f>
        <v>1</v>
      </c>
      <c r="C3" s="6" t="s">
        <v>14</v>
      </c>
      <c r="D3" s="40" t="s">
        <v>15</v>
      </c>
      <c r="E3" s="6">
        <v>3</v>
      </c>
      <c r="F3" s="6" t="s">
        <v>283</v>
      </c>
      <c r="G3" s="18">
        <v>44984</v>
      </c>
      <c r="H3" s="6" t="s">
        <v>73</v>
      </c>
      <c r="I3" s="18" t="s">
        <v>33</v>
      </c>
      <c r="J3" s="6">
        <f>IFERROR(VLOOKUP(I3,Jueces!$A$1:$B$11,2,FALSE),"")</f>
        <v>4</v>
      </c>
      <c r="K3" s="6" t="s">
        <v>82</v>
      </c>
      <c r="L3" s="6" t="s">
        <v>83</v>
      </c>
      <c r="M3" s="168"/>
    </row>
    <row r="4" spans="1:13" ht="30" customHeight="1" x14ac:dyDescent="0.2">
      <c r="A4" s="176" t="str">
        <f t="shared" si="0"/>
        <v>27/02/yyyy2</v>
      </c>
      <c r="B4" s="169">
        <f t="shared" ref="B4:B67" si="1">IF($G4=$G3,$B3+1,1)</f>
        <v>2</v>
      </c>
      <c r="C4" s="6" t="s">
        <v>10</v>
      </c>
      <c r="D4" s="40" t="s">
        <v>11</v>
      </c>
      <c r="E4" s="6">
        <v>3</v>
      </c>
      <c r="F4" s="6" t="s">
        <v>29</v>
      </c>
      <c r="G4" s="18">
        <v>44984</v>
      </c>
      <c r="H4" s="6" t="s">
        <v>76</v>
      </c>
      <c r="I4" s="18" t="s">
        <v>33</v>
      </c>
      <c r="J4" s="6">
        <f>IFERROR(VLOOKUP(I4,Jueces!$A$1:$B$11,2,FALSE),"")</f>
        <v>4</v>
      </c>
      <c r="K4" s="6" t="s">
        <v>95</v>
      </c>
      <c r="L4" s="6" t="s">
        <v>81</v>
      </c>
      <c r="M4" s="168"/>
    </row>
    <row r="5" spans="1:13" ht="30" customHeight="1" x14ac:dyDescent="0.2">
      <c r="A5" s="176" t="str">
        <f t="shared" si="0"/>
        <v>28/02/yyyy1</v>
      </c>
      <c r="B5" s="169">
        <f t="shared" si="1"/>
        <v>1</v>
      </c>
      <c r="C5" s="6" t="s">
        <v>7</v>
      </c>
      <c r="D5" s="40" t="s">
        <v>526</v>
      </c>
      <c r="E5" s="6">
        <v>3</v>
      </c>
      <c r="F5" s="6" t="s">
        <v>283</v>
      </c>
      <c r="G5" s="18">
        <v>44985</v>
      </c>
      <c r="H5" s="6" t="s">
        <v>75</v>
      </c>
      <c r="I5" s="18" t="s">
        <v>78</v>
      </c>
      <c r="J5" s="6">
        <f>IFERROR(VLOOKUP(I5,Jueces!$A$1:$B$11,2,FALSE),"")</f>
        <v>8</v>
      </c>
      <c r="K5" s="6" t="s">
        <v>93</v>
      </c>
      <c r="L5" s="6" t="s">
        <v>84</v>
      </c>
      <c r="M5" s="168"/>
    </row>
    <row r="6" spans="1:13" ht="30" customHeight="1" x14ac:dyDescent="0.2">
      <c r="A6" s="176" t="str">
        <f t="shared" si="0"/>
        <v>01/03/yyyy1</v>
      </c>
      <c r="B6" s="169">
        <f t="shared" si="1"/>
        <v>1</v>
      </c>
      <c r="C6" s="6" t="s">
        <v>16</v>
      </c>
      <c r="D6" s="40" t="s">
        <v>17</v>
      </c>
      <c r="E6" s="6">
        <v>3</v>
      </c>
      <c r="F6" s="6" t="s">
        <v>34</v>
      </c>
      <c r="G6" s="18">
        <v>44986</v>
      </c>
      <c r="H6" s="6" t="s">
        <v>228</v>
      </c>
      <c r="I6" s="18" t="s">
        <v>78</v>
      </c>
      <c r="J6" s="6">
        <f>IFERROR(VLOOKUP(I6,Jueces!$A$1:$B$11,2,FALSE),"")</f>
        <v>8</v>
      </c>
      <c r="K6" s="6" t="s">
        <v>119</v>
      </c>
      <c r="L6" s="6" t="s">
        <v>106</v>
      </c>
      <c r="M6" s="168"/>
    </row>
    <row r="7" spans="1:13" ht="30" customHeight="1" x14ac:dyDescent="0.2">
      <c r="A7" s="176" t="str">
        <f t="shared" si="0"/>
        <v>02/03/yyyy1</v>
      </c>
      <c r="B7" s="169">
        <f t="shared" si="1"/>
        <v>1</v>
      </c>
      <c r="C7" s="6" t="s">
        <v>8</v>
      </c>
      <c r="D7" s="40" t="s">
        <v>9</v>
      </c>
      <c r="E7" s="6">
        <v>3</v>
      </c>
      <c r="F7" s="6" t="s">
        <v>32</v>
      </c>
      <c r="G7" s="18">
        <v>44987</v>
      </c>
      <c r="H7" s="6" t="s">
        <v>360</v>
      </c>
      <c r="I7" s="18" t="s">
        <v>31</v>
      </c>
      <c r="J7" s="6">
        <f>IFERROR(VLOOKUP(I7,Jueces!$A$1:$B$11,2,FALSE),"")</f>
        <v>2</v>
      </c>
      <c r="K7" s="6" t="s">
        <v>87</v>
      </c>
      <c r="L7" s="6" t="s">
        <v>86</v>
      </c>
      <c r="M7" s="168"/>
    </row>
    <row r="8" spans="1:13" ht="30" customHeight="1" x14ac:dyDescent="0.2">
      <c r="A8" s="176" t="str">
        <f t="shared" si="0"/>
        <v>03/03/yyyy1</v>
      </c>
      <c r="B8" s="169">
        <f t="shared" si="1"/>
        <v>1</v>
      </c>
      <c r="C8" s="6" t="s">
        <v>12</v>
      </c>
      <c r="D8" s="40" t="s">
        <v>13</v>
      </c>
      <c r="E8" s="6">
        <v>3</v>
      </c>
      <c r="F8" s="6" t="s">
        <v>34</v>
      </c>
      <c r="G8" s="18">
        <v>44988</v>
      </c>
      <c r="H8" s="6" t="s">
        <v>73</v>
      </c>
      <c r="I8" s="18" t="s">
        <v>35</v>
      </c>
      <c r="J8" s="6">
        <f>IFERROR(VLOOKUP(I8,Jueces!$A$1:$B$11,2,FALSE),"")</f>
        <v>3</v>
      </c>
      <c r="K8" s="6" t="s">
        <v>152</v>
      </c>
      <c r="L8" s="6" t="s">
        <v>106</v>
      </c>
      <c r="M8" s="168"/>
    </row>
    <row r="9" spans="1:13" ht="30" customHeight="1" x14ac:dyDescent="0.2">
      <c r="A9" s="176" t="str">
        <f t="shared" si="0"/>
        <v>03/03/yyyy2</v>
      </c>
      <c r="B9" s="169">
        <f t="shared" si="1"/>
        <v>2</v>
      </c>
      <c r="C9" s="6" t="s">
        <v>57</v>
      </c>
      <c r="D9" s="40" t="s">
        <v>40</v>
      </c>
      <c r="E9" s="6">
        <v>3</v>
      </c>
      <c r="F9" s="6" t="s">
        <v>29</v>
      </c>
      <c r="G9" s="18">
        <v>44988</v>
      </c>
      <c r="H9" s="6" t="s">
        <v>76</v>
      </c>
      <c r="I9" s="18" t="s">
        <v>35</v>
      </c>
      <c r="J9" s="6">
        <f>IFERROR(VLOOKUP(I9,Jueces!$A$1:$B$11,2,FALSE),"")</f>
        <v>3</v>
      </c>
      <c r="K9" s="6" t="s">
        <v>94</v>
      </c>
      <c r="L9" s="6" t="s">
        <v>90</v>
      </c>
      <c r="M9" s="168"/>
    </row>
    <row r="10" spans="1:13" ht="30" customHeight="1" x14ac:dyDescent="0.2">
      <c r="A10" s="176" t="str">
        <f t="shared" si="0"/>
        <v>06/03/yyyy1</v>
      </c>
      <c r="B10" s="169">
        <f t="shared" si="1"/>
        <v>1</v>
      </c>
      <c r="C10" s="6" t="s">
        <v>4</v>
      </c>
      <c r="D10" s="40" t="s">
        <v>6</v>
      </c>
      <c r="E10" s="6">
        <v>3</v>
      </c>
      <c r="F10" s="6" t="s">
        <v>283</v>
      </c>
      <c r="G10" s="18">
        <v>44991</v>
      </c>
      <c r="H10" s="6" t="s">
        <v>73</v>
      </c>
      <c r="I10" s="18" t="s">
        <v>31</v>
      </c>
      <c r="J10" s="6">
        <f>IFERROR(VLOOKUP(I10,Jueces!$A$1:$B$11,2,FALSE),"")</f>
        <v>2</v>
      </c>
      <c r="K10" s="6" t="s">
        <v>91</v>
      </c>
      <c r="L10" s="6" t="s">
        <v>684</v>
      </c>
      <c r="M10" s="168"/>
    </row>
    <row r="11" spans="1:13" ht="30" customHeight="1" x14ac:dyDescent="0.2">
      <c r="A11" s="176" t="str">
        <f t="shared" si="0"/>
        <v>06/03/yyyy2</v>
      </c>
      <c r="B11" s="169">
        <f t="shared" si="1"/>
        <v>2</v>
      </c>
      <c r="C11" s="6" t="s">
        <v>56</v>
      </c>
      <c r="D11" s="40" t="s">
        <v>39</v>
      </c>
      <c r="E11" s="6">
        <v>3</v>
      </c>
      <c r="F11" s="6" t="s">
        <v>43</v>
      </c>
      <c r="G11" s="18">
        <v>44991</v>
      </c>
      <c r="H11" s="6" t="s">
        <v>76</v>
      </c>
      <c r="I11" s="18" t="s">
        <v>78</v>
      </c>
      <c r="J11" s="6">
        <f>IFERROR(VLOOKUP(I11,Jueces!$A$1:$B$11,2,FALSE),"")</f>
        <v>8</v>
      </c>
      <c r="K11" s="6" t="s">
        <v>92</v>
      </c>
      <c r="L11" s="6" t="s">
        <v>96</v>
      </c>
      <c r="M11" s="168"/>
    </row>
    <row r="12" spans="1:13" ht="30" customHeight="1" x14ac:dyDescent="0.2">
      <c r="A12" s="176" t="str">
        <f t="shared" si="0"/>
        <v>07/03/yyyy1</v>
      </c>
      <c r="B12" s="169">
        <f t="shared" si="1"/>
        <v>1</v>
      </c>
      <c r="C12" s="6" t="s">
        <v>53</v>
      </c>
      <c r="D12" s="40" t="s">
        <v>48</v>
      </c>
      <c r="E12" s="6">
        <v>3</v>
      </c>
      <c r="F12" s="6" t="s">
        <v>283</v>
      </c>
      <c r="G12" s="18">
        <v>44992</v>
      </c>
      <c r="H12" s="6" t="s">
        <v>73</v>
      </c>
      <c r="I12" s="18" t="s">
        <v>35</v>
      </c>
      <c r="J12" s="6">
        <f>IFERROR(VLOOKUP(I12,Jueces!$A$1:$B$11,2,FALSE),"")</f>
        <v>3</v>
      </c>
      <c r="K12" s="6" t="s">
        <v>93</v>
      </c>
      <c r="L12" s="6" t="s">
        <v>83</v>
      </c>
      <c r="M12" s="168"/>
    </row>
    <row r="13" spans="1:13" ht="30" customHeight="1" x14ac:dyDescent="0.2">
      <c r="A13" s="176" t="str">
        <f t="shared" si="0"/>
        <v>07/03/yyyy2</v>
      </c>
      <c r="B13" s="169">
        <f t="shared" si="1"/>
        <v>2</v>
      </c>
      <c r="C13" s="6" t="s">
        <v>27</v>
      </c>
      <c r="D13" s="40" t="s">
        <v>28</v>
      </c>
      <c r="E13" s="6">
        <v>3</v>
      </c>
      <c r="F13" s="6" t="s">
        <v>29</v>
      </c>
      <c r="G13" s="18">
        <v>44992</v>
      </c>
      <c r="H13" s="6" t="s">
        <v>75</v>
      </c>
      <c r="I13" s="18" t="s">
        <v>35</v>
      </c>
      <c r="J13" s="6">
        <f>IFERROR(VLOOKUP(I13,Jueces!$A$1:$B$11,2,FALSE),"")</f>
        <v>3</v>
      </c>
      <c r="K13" s="6" t="s">
        <v>93</v>
      </c>
      <c r="L13" s="6" t="s">
        <v>88</v>
      </c>
      <c r="M13" s="168"/>
    </row>
    <row r="14" spans="1:13" ht="30" customHeight="1" x14ac:dyDescent="0.2">
      <c r="A14" s="176" t="str">
        <f t="shared" si="0"/>
        <v>07/03/yyyy3</v>
      </c>
      <c r="B14" s="169">
        <f t="shared" si="1"/>
        <v>3</v>
      </c>
      <c r="C14" s="6" t="s">
        <v>67</v>
      </c>
      <c r="D14" s="40" t="s">
        <v>70</v>
      </c>
      <c r="E14" s="6">
        <v>3</v>
      </c>
      <c r="F14" s="6" t="s">
        <v>283</v>
      </c>
      <c r="G14" s="18">
        <v>44992</v>
      </c>
      <c r="H14" s="6" t="s">
        <v>228</v>
      </c>
      <c r="I14" s="18" t="s">
        <v>78</v>
      </c>
      <c r="J14" s="6">
        <f>IFERROR(VLOOKUP(I14,Jueces!$A$1:$B$11,2,FALSE),"")</f>
        <v>8</v>
      </c>
      <c r="K14" s="6" t="s">
        <v>97</v>
      </c>
      <c r="L14" s="6" t="s">
        <v>199</v>
      </c>
      <c r="M14" s="168"/>
    </row>
    <row r="15" spans="1:13" ht="30" customHeight="1" x14ac:dyDescent="0.2">
      <c r="A15" s="176" t="str">
        <f t="shared" si="0"/>
        <v>08/03/yyyy1</v>
      </c>
      <c r="B15" s="169">
        <f t="shared" si="1"/>
        <v>1</v>
      </c>
      <c r="C15" s="6" t="s">
        <v>55</v>
      </c>
      <c r="D15" s="40" t="s">
        <v>50</v>
      </c>
      <c r="E15" s="6">
        <v>3</v>
      </c>
      <c r="F15" s="6" t="s">
        <v>34</v>
      </c>
      <c r="G15" s="18">
        <v>44993</v>
      </c>
      <c r="H15" s="6" t="s">
        <v>73</v>
      </c>
      <c r="I15" s="18" t="s">
        <v>31</v>
      </c>
      <c r="J15" s="6">
        <f>IFERROR(VLOOKUP(I15,Jueces!$A$1:$B$11,2,FALSE),"")</f>
        <v>2</v>
      </c>
      <c r="K15" s="6" t="s">
        <v>98</v>
      </c>
      <c r="L15" s="6" t="s">
        <v>99</v>
      </c>
      <c r="M15" s="168"/>
    </row>
    <row r="16" spans="1:13" ht="30" customHeight="1" x14ac:dyDescent="0.2">
      <c r="A16" s="176" t="str">
        <f t="shared" si="0"/>
        <v>08/03/yyyy2</v>
      </c>
      <c r="B16" s="169">
        <f t="shared" si="1"/>
        <v>2</v>
      </c>
      <c r="C16" s="6" t="s">
        <v>109</v>
      </c>
      <c r="D16" s="40" t="s">
        <v>110</v>
      </c>
      <c r="E16" s="6">
        <v>3</v>
      </c>
      <c r="F16" s="6" t="s">
        <v>1441</v>
      </c>
      <c r="G16" s="18">
        <v>44993</v>
      </c>
      <c r="H16" s="6" t="s">
        <v>73</v>
      </c>
      <c r="I16" s="18" t="s">
        <v>31</v>
      </c>
      <c r="J16" s="6">
        <f>IFERROR(VLOOKUP(I16,Jueces!$A$1:$B$11,2,FALSE),"")</f>
        <v>2</v>
      </c>
      <c r="K16" s="6" t="s">
        <v>126</v>
      </c>
      <c r="L16" s="6" t="s">
        <v>127</v>
      </c>
      <c r="M16" s="168"/>
    </row>
    <row r="17" spans="1:13" ht="30" customHeight="1" x14ac:dyDescent="0.2">
      <c r="A17" s="176" t="str">
        <f t="shared" si="0"/>
        <v>08/03/yyyy3</v>
      </c>
      <c r="B17" s="169">
        <f t="shared" si="1"/>
        <v>3</v>
      </c>
      <c r="C17" s="6" t="s">
        <v>62</v>
      </c>
      <c r="D17" s="40" t="s">
        <v>66</v>
      </c>
      <c r="E17" s="6">
        <v>3</v>
      </c>
      <c r="F17" s="6" t="s">
        <v>43</v>
      </c>
      <c r="G17" s="18">
        <v>44993</v>
      </c>
      <c r="H17" s="6" t="s">
        <v>73</v>
      </c>
      <c r="I17" s="18" t="s">
        <v>31</v>
      </c>
      <c r="J17" s="6">
        <f>IFERROR(VLOOKUP(I17,Jueces!$A$1:$B$11,2,FALSE),"")</f>
        <v>2</v>
      </c>
      <c r="K17" s="6" t="s">
        <v>105</v>
      </c>
      <c r="L17" s="6" t="s">
        <v>106</v>
      </c>
      <c r="M17" s="168"/>
    </row>
    <row r="18" spans="1:13" ht="30" customHeight="1" x14ac:dyDescent="0.2">
      <c r="A18" s="176" t="str">
        <f t="shared" si="0"/>
        <v>08/03/yyyy4</v>
      </c>
      <c r="B18" s="169">
        <f t="shared" si="1"/>
        <v>4</v>
      </c>
      <c r="C18" s="4" t="s">
        <v>69</v>
      </c>
      <c r="D18" s="39" t="s">
        <v>72</v>
      </c>
      <c r="E18" s="4">
        <v>3</v>
      </c>
      <c r="F18" s="4" t="s">
        <v>43</v>
      </c>
      <c r="G18" s="5">
        <v>44993</v>
      </c>
      <c r="H18" s="4" t="s">
        <v>76</v>
      </c>
      <c r="I18" s="5" t="s">
        <v>35</v>
      </c>
      <c r="J18" s="6">
        <f>IFERROR(VLOOKUP(I18,Jueces!$A$1:$B$11,2,FALSE),"")</f>
        <v>3</v>
      </c>
      <c r="K18" s="4" t="s">
        <v>142</v>
      </c>
      <c r="L18" s="4" t="s">
        <v>226</v>
      </c>
      <c r="M18" s="168"/>
    </row>
    <row r="19" spans="1:13" ht="30" customHeight="1" x14ac:dyDescent="0.2">
      <c r="A19" s="176" t="str">
        <f t="shared" si="0"/>
        <v>08/03/yyyy5</v>
      </c>
      <c r="B19" s="169">
        <f t="shared" si="1"/>
        <v>5</v>
      </c>
      <c r="C19" s="4" t="s">
        <v>60</v>
      </c>
      <c r="D19" s="39" t="s">
        <v>61</v>
      </c>
      <c r="E19" s="4">
        <v>3</v>
      </c>
      <c r="F19" s="4" t="s">
        <v>283</v>
      </c>
      <c r="G19" s="5">
        <v>44993</v>
      </c>
      <c r="H19" s="4" t="s">
        <v>75</v>
      </c>
      <c r="I19" s="5" t="s">
        <v>78</v>
      </c>
      <c r="J19" s="6">
        <f>IFERROR(VLOOKUP(I19,Jueces!$A$1:$B$11,2,FALSE),"")</f>
        <v>8</v>
      </c>
      <c r="K19" s="4" t="s">
        <v>98</v>
      </c>
      <c r="L19" s="4" t="s">
        <v>99</v>
      </c>
      <c r="M19" s="168"/>
    </row>
    <row r="20" spans="1:13" ht="30" customHeight="1" x14ac:dyDescent="0.2">
      <c r="A20" s="176" t="str">
        <f t="shared" si="0"/>
        <v>09/03/yyyy1</v>
      </c>
      <c r="B20" s="169">
        <f t="shared" si="1"/>
        <v>1</v>
      </c>
      <c r="C20" s="4" t="s">
        <v>44</v>
      </c>
      <c r="D20" s="39" t="s">
        <v>37</v>
      </c>
      <c r="E20" s="4">
        <v>3</v>
      </c>
      <c r="F20" s="4" t="s">
        <v>1441</v>
      </c>
      <c r="G20" s="5">
        <v>44994</v>
      </c>
      <c r="H20" s="4" t="s">
        <v>73</v>
      </c>
      <c r="I20" s="5" t="s">
        <v>31</v>
      </c>
      <c r="J20" s="6">
        <f>IFERROR(VLOOKUP(I20,Jueces!$A$1:$B$11,2,FALSE),"")</f>
        <v>2</v>
      </c>
      <c r="K20" s="4" t="s">
        <v>184</v>
      </c>
      <c r="L20" s="4" t="s">
        <v>106</v>
      </c>
      <c r="M20" s="168"/>
    </row>
    <row r="21" spans="1:13" ht="30" customHeight="1" x14ac:dyDescent="0.2">
      <c r="A21" s="176" t="str">
        <f t="shared" si="0"/>
        <v>09/03/yyyy2</v>
      </c>
      <c r="B21" s="169">
        <f t="shared" si="1"/>
        <v>2</v>
      </c>
      <c r="C21" s="4" t="s">
        <v>59</v>
      </c>
      <c r="D21" s="39" t="s">
        <v>46</v>
      </c>
      <c r="E21" s="4">
        <v>3</v>
      </c>
      <c r="F21" s="4" t="s">
        <v>43</v>
      </c>
      <c r="G21" s="5">
        <v>44994</v>
      </c>
      <c r="H21" s="4" t="s">
        <v>73</v>
      </c>
      <c r="I21" s="5" t="s">
        <v>35</v>
      </c>
      <c r="J21" s="6">
        <f>IFERROR(VLOOKUP(I21,Jueces!$A$1:$B$11,2,FALSE),"")</f>
        <v>3</v>
      </c>
      <c r="K21" s="4" t="s">
        <v>181</v>
      </c>
      <c r="L21" s="4" t="s">
        <v>127</v>
      </c>
      <c r="M21" s="168"/>
    </row>
    <row r="22" spans="1:13" ht="30" customHeight="1" x14ac:dyDescent="0.2">
      <c r="A22" s="176" t="str">
        <f t="shared" si="0"/>
        <v>09/03/yyyy3</v>
      </c>
      <c r="B22" s="169">
        <f t="shared" si="1"/>
        <v>3</v>
      </c>
      <c r="C22" s="4" t="s">
        <v>58</v>
      </c>
      <c r="D22" s="39" t="s">
        <v>41</v>
      </c>
      <c r="E22" s="4">
        <v>3</v>
      </c>
      <c r="F22" s="4" t="s">
        <v>34</v>
      </c>
      <c r="G22" s="5">
        <v>44994</v>
      </c>
      <c r="H22" s="4" t="s">
        <v>76</v>
      </c>
      <c r="I22" s="5" t="s">
        <v>31</v>
      </c>
      <c r="J22" s="6">
        <f>IFERROR(VLOOKUP(I22,Jueces!$A$1:$B$11,2,FALSE),"")</f>
        <v>2</v>
      </c>
      <c r="K22" s="4" t="s">
        <v>262</v>
      </c>
      <c r="L22" s="4" t="s">
        <v>106</v>
      </c>
      <c r="M22" s="168"/>
    </row>
    <row r="23" spans="1:13" ht="30" customHeight="1" x14ac:dyDescent="0.2">
      <c r="A23" s="176" t="str">
        <f t="shared" si="0"/>
        <v>10/03/yyyy1</v>
      </c>
      <c r="B23" s="169">
        <f t="shared" si="1"/>
        <v>1</v>
      </c>
      <c r="C23" s="4" t="s">
        <v>107</v>
      </c>
      <c r="D23" s="39" t="s">
        <v>108</v>
      </c>
      <c r="E23" s="4">
        <v>3</v>
      </c>
      <c r="F23" s="4" t="s">
        <v>283</v>
      </c>
      <c r="G23" s="5">
        <v>44995</v>
      </c>
      <c r="H23" s="4" t="s">
        <v>511</v>
      </c>
      <c r="I23" s="5" t="s">
        <v>35</v>
      </c>
      <c r="J23" s="6">
        <f>IFERROR(VLOOKUP(I23,Jueces!$A$1:$B$11,2,FALSE),"")</f>
        <v>3</v>
      </c>
      <c r="K23" s="4" t="s">
        <v>128</v>
      </c>
      <c r="L23" s="4" t="s">
        <v>127</v>
      </c>
      <c r="M23" s="168"/>
    </row>
    <row r="24" spans="1:13" ht="30" customHeight="1" x14ac:dyDescent="0.2">
      <c r="A24" s="176" t="str">
        <f t="shared" si="0"/>
        <v>10/03/yyyy2</v>
      </c>
      <c r="B24" s="169">
        <f t="shared" si="1"/>
        <v>2</v>
      </c>
      <c r="C24" s="4" t="s">
        <v>137</v>
      </c>
      <c r="D24" s="39" t="s">
        <v>148</v>
      </c>
      <c r="E24" s="4">
        <v>3</v>
      </c>
      <c r="F24" s="4" t="s">
        <v>32</v>
      </c>
      <c r="G24" s="5">
        <v>44995</v>
      </c>
      <c r="H24" s="4" t="s">
        <v>73</v>
      </c>
      <c r="I24" s="5" t="s">
        <v>31</v>
      </c>
      <c r="J24" s="6">
        <f>IFERROR(VLOOKUP(I24,Jueces!$A$1:$B$11,2,FALSE),"")</f>
        <v>2</v>
      </c>
      <c r="K24" s="4" t="s">
        <v>355</v>
      </c>
      <c r="L24" s="4" t="s">
        <v>147</v>
      </c>
      <c r="M24" s="168"/>
    </row>
    <row r="25" spans="1:13" ht="30" customHeight="1" x14ac:dyDescent="0.2">
      <c r="A25" s="176" t="str">
        <f t="shared" si="0"/>
        <v>10/03/yyyy3</v>
      </c>
      <c r="B25" s="169">
        <f t="shared" si="1"/>
        <v>3</v>
      </c>
      <c r="C25" s="4" t="s">
        <v>63</v>
      </c>
      <c r="D25" s="39" t="s">
        <v>682</v>
      </c>
      <c r="E25" s="4">
        <v>3</v>
      </c>
      <c r="F25" s="4" t="s">
        <v>34</v>
      </c>
      <c r="G25" s="5">
        <v>44995</v>
      </c>
      <c r="H25" s="4" t="s">
        <v>73</v>
      </c>
      <c r="I25" s="5" t="s">
        <v>78</v>
      </c>
      <c r="J25" s="6">
        <f>IFERROR(VLOOKUP(I25,Jueces!$A$1:$B$11,2,FALSE),"")</f>
        <v>8</v>
      </c>
      <c r="K25" s="4" t="s">
        <v>133</v>
      </c>
      <c r="L25" s="4" t="s">
        <v>132</v>
      </c>
      <c r="M25" s="168"/>
    </row>
    <row r="26" spans="1:13" ht="30" customHeight="1" x14ac:dyDescent="0.2">
      <c r="A26" s="176" t="str">
        <f t="shared" si="0"/>
        <v>10/03/yyyy4</v>
      </c>
      <c r="B26" s="169">
        <f t="shared" si="1"/>
        <v>4</v>
      </c>
      <c r="C26" s="4" t="s">
        <v>54</v>
      </c>
      <c r="D26" s="39" t="s">
        <v>52</v>
      </c>
      <c r="E26" s="4">
        <v>3</v>
      </c>
      <c r="F26" s="4" t="s">
        <v>43</v>
      </c>
      <c r="G26" s="5">
        <v>44995</v>
      </c>
      <c r="H26" s="4" t="s">
        <v>73</v>
      </c>
      <c r="I26" s="5" t="s">
        <v>78</v>
      </c>
      <c r="J26" s="6">
        <f>IFERROR(VLOOKUP(I26,Jueces!$A$1:$B$11,2,FALSE),"")</f>
        <v>8</v>
      </c>
      <c r="K26" s="4" t="s">
        <v>131</v>
      </c>
      <c r="L26" s="4" t="s">
        <v>132</v>
      </c>
      <c r="M26" s="168"/>
    </row>
    <row r="27" spans="1:13" ht="30" customHeight="1" x14ac:dyDescent="0.2">
      <c r="A27" s="176" t="str">
        <f t="shared" si="0"/>
        <v>10/03/yyyy5</v>
      </c>
      <c r="B27" s="169">
        <f t="shared" si="1"/>
        <v>5</v>
      </c>
      <c r="C27" s="6" t="s">
        <v>198</v>
      </c>
      <c r="D27" s="40" t="s">
        <v>197</v>
      </c>
      <c r="E27" s="4">
        <v>4</v>
      </c>
      <c r="F27" s="4" t="s">
        <v>32</v>
      </c>
      <c r="G27" s="5">
        <v>44995</v>
      </c>
      <c r="H27" s="4" t="s">
        <v>73</v>
      </c>
      <c r="I27" s="5" t="s">
        <v>31</v>
      </c>
      <c r="J27" s="6">
        <f>IFERROR(VLOOKUP(I27,Jueces!$A$1:$B$11,2,FALSE),"")</f>
        <v>2</v>
      </c>
      <c r="K27" s="4" t="s">
        <v>213</v>
      </c>
      <c r="L27" s="4" t="s">
        <v>214</v>
      </c>
      <c r="M27" s="168"/>
    </row>
    <row r="28" spans="1:13" ht="30" customHeight="1" x14ac:dyDescent="0.2">
      <c r="A28" s="176" t="str">
        <f t="shared" si="0"/>
        <v>10/03/yyyy6</v>
      </c>
      <c r="B28" s="169">
        <f t="shared" si="1"/>
        <v>6</v>
      </c>
      <c r="C28" s="4" t="s">
        <v>64</v>
      </c>
      <c r="D28" s="39" t="s">
        <v>65</v>
      </c>
      <c r="E28" s="4">
        <v>3</v>
      </c>
      <c r="F28" s="4" t="s">
        <v>29</v>
      </c>
      <c r="G28" s="5">
        <v>44995</v>
      </c>
      <c r="H28" s="4" t="s">
        <v>73</v>
      </c>
      <c r="I28" s="5" t="s">
        <v>35</v>
      </c>
      <c r="J28" s="6">
        <f>IFERROR(VLOOKUP(I28,Jueces!$A$1:$B$11,2,FALSE),"")</f>
        <v>3</v>
      </c>
      <c r="K28" s="4" t="s">
        <v>134</v>
      </c>
      <c r="L28" s="4" t="s">
        <v>132</v>
      </c>
      <c r="M28" s="168"/>
    </row>
    <row r="29" spans="1:13" ht="30" customHeight="1" x14ac:dyDescent="0.2">
      <c r="A29" s="176" t="str">
        <f t="shared" si="0"/>
        <v>13/03/yyyy1</v>
      </c>
      <c r="B29" s="169">
        <f t="shared" si="1"/>
        <v>1</v>
      </c>
      <c r="C29" s="4" t="s">
        <v>111</v>
      </c>
      <c r="D29" s="39" t="s">
        <v>112</v>
      </c>
      <c r="E29" s="4">
        <v>3</v>
      </c>
      <c r="F29" s="4" t="s">
        <v>34</v>
      </c>
      <c r="G29" s="5">
        <v>44998</v>
      </c>
      <c r="H29" s="4" t="s">
        <v>73</v>
      </c>
      <c r="I29" s="5" t="s">
        <v>78</v>
      </c>
      <c r="J29" s="6">
        <f>IFERROR(VLOOKUP(I29,Jueces!$A$1:$B$11,2,FALSE),"")</f>
        <v>8</v>
      </c>
      <c r="K29" s="4" t="s">
        <v>128</v>
      </c>
      <c r="L29" s="4" t="s">
        <v>127</v>
      </c>
      <c r="M29" s="168"/>
    </row>
    <row r="30" spans="1:13" ht="30" customHeight="1" x14ac:dyDescent="0.2">
      <c r="A30" s="176" t="str">
        <f t="shared" si="0"/>
        <v>13/03/yyyy2</v>
      </c>
      <c r="B30" s="169">
        <f t="shared" si="1"/>
        <v>2</v>
      </c>
      <c r="C30" s="4" t="s">
        <v>68</v>
      </c>
      <c r="D30" s="39" t="s">
        <v>71</v>
      </c>
      <c r="E30" s="4">
        <v>3</v>
      </c>
      <c r="F30" s="4" t="s">
        <v>43</v>
      </c>
      <c r="G30" s="5">
        <v>44998</v>
      </c>
      <c r="H30" s="4" t="s">
        <v>73</v>
      </c>
      <c r="I30" s="5" t="s">
        <v>31</v>
      </c>
      <c r="J30" s="6">
        <f>IFERROR(VLOOKUP(I30,Jueces!$A$1:$B$11,2,FALSE),"")</f>
        <v>2</v>
      </c>
      <c r="K30" s="4" t="s">
        <v>129</v>
      </c>
      <c r="L30" s="4" t="s">
        <v>127</v>
      </c>
      <c r="M30" s="168"/>
    </row>
    <row r="31" spans="1:13" ht="30" customHeight="1" x14ac:dyDescent="0.2">
      <c r="A31" s="176" t="str">
        <f t="shared" si="0"/>
        <v>13/03/yyyy3</v>
      </c>
      <c r="B31" s="169">
        <f t="shared" si="1"/>
        <v>3</v>
      </c>
      <c r="C31" s="4" t="s">
        <v>114</v>
      </c>
      <c r="D31" s="39" t="s">
        <v>115</v>
      </c>
      <c r="E31" s="4">
        <v>3</v>
      </c>
      <c r="F31" s="4" t="s">
        <v>29</v>
      </c>
      <c r="G31" s="5">
        <v>44998</v>
      </c>
      <c r="H31" s="4" t="s">
        <v>76</v>
      </c>
      <c r="I31" s="5" t="s">
        <v>31</v>
      </c>
      <c r="J31" s="6">
        <f>IFERROR(VLOOKUP(I31,Jueces!$A$1:$B$11,2,FALSE),"")</f>
        <v>2</v>
      </c>
      <c r="K31" s="4" t="s">
        <v>129</v>
      </c>
      <c r="L31" s="4" t="s">
        <v>130</v>
      </c>
      <c r="M31" s="168"/>
    </row>
    <row r="32" spans="1:13" ht="30" customHeight="1" x14ac:dyDescent="0.2">
      <c r="A32" s="176" t="str">
        <f t="shared" si="0"/>
        <v>14/03/yyyy1</v>
      </c>
      <c r="B32" s="169">
        <f t="shared" si="1"/>
        <v>1</v>
      </c>
      <c r="C32" s="6" t="s">
        <v>122</v>
      </c>
      <c r="D32" s="40" t="s">
        <v>124</v>
      </c>
      <c r="E32" s="6">
        <v>3</v>
      </c>
      <c r="F32" s="6" t="s">
        <v>283</v>
      </c>
      <c r="G32" s="18">
        <v>44999</v>
      </c>
      <c r="H32" s="6" t="s">
        <v>73</v>
      </c>
      <c r="I32" s="18" t="s">
        <v>78</v>
      </c>
      <c r="J32" s="6">
        <f>IFERROR(VLOOKUP(I32,Jueces!$A$1:$B$11,2,FALSE),"")</f>
        <v>8</v>
      </c>
      <c r="K32" s="6" t="s">
        <v>139</v>
      </c>
      <c r="L32" s="6" t="s">
        <v>127</v>
      </c>
      <c r="M32" s="168"/>
    </row>
    <row r="33" spans="1:13" ht="30" customHeight="1" x14ac:dyDescent="0.2">
      <c r="A33" s="176" t="str">
        <f t="shared" si="0"/>
        <v>14/03/yyyy2</v>
      </c>
      <c r="B33" s="169">
        <f t="shared" si="1"/>
        <v>2</v>
      </c>
      <c r="C33" s="6" t="s">
        <v>123</v>
      </c>
      <c r="D33" s="40" t="s">
        <v>125</v>
      </c>
      <c r="E33" s="6">
        <v>3</v>
      </c>
      <c r="F33" s="6" t="s">
        <v>29</v>
      </c>
      <c r="G33" s="18">
        <v>44999</v>
      </c>
      <c r="H33" s="6" t="s">
        <v>73</v>
      </c>
      <c r="I33" s="18" t="s">
        <v>31</v>
      </c>
      <c r="J33" s="6">
        <f>IFERROR(VLOOKUP(I33,Jueces!$A$1:$B$11,2,FALSE),"")</f>
        <v>2</v>
      </c>
      <c r="K33" s="6" t="s">
        <v>140</v>
      </c>
      <c r="L33" s="6" t="s">
        <v>141</v>
      </c>
      <c r="M33" s="168"/>
    </row>
    <row r="34" spans="1:13" s="177" customFormat="1" ht="30" customHeight="1" x14ac:dyDescent="0.2">
      <c r="A34" s="176" t="str">
        <f t="shared" si="0"/>
        <v>14/03/yyyy3</v>
      </c>
      <c r="B34" s="169">
        <f t="shared" si="1"/>
        <v>3</v>
      </c>
      <c r="C34" s="6" t="s">
        <v>154</v>
      </c>
      <c r="D34" s="40" t="s">
        <v>153</v>
      </c>
      <c r="E34" s="6">
        <v>3</v>
      </c>
      <c r="F34" s="6" t="s">
        <v>34</v>
      </c>
      <c r="G34" s="18">
        <v>44999</v>
      </c>
      <c r="H34" s="6" t="s">
        <v>73</v>
      </c>
      <c r="I34" s="18" t="s">
        <v>35</v>
      </c>
      <c r="J34" s="6">
        <f>IFERROR(VLOOKUP(I34,Jueces!$A$1:$B$11,2,FALSE),"")</f>
        <v>3</v>
      </c>
      <c r="K34" s="6" t="s">
        <v>170</v>
      </c>
      <c r="L34" s="6" t="s">
        <v>171</v>
      </c>
      <c r="M34" s="168"/>
    </row>
    <row r="35" spans="1:13" ht="30" customHeight="1" x14ac:dyDescent="0.2">
      <c r="A35" s="176" t="str">
        <f t="shared" si="0"/>
        <v>14/03/yyyy4</v>
      </c>
      <c r="B35" s="169">
        <f t="shared" si="1"/>
        <v>4</v>
      </c>
      <c r="C35" s="6" t="s">
        <v>120</v>
      </c>
      <c r="D35" s="40" t="s">
        <v>121</v>
      </c>
      <c r="E35" s="6">
        <v>3</v>
      </c>
      <c r="F35" s="6" t="s">
        <v>32</v>
      </c>
      <c r="G35" s="18">
        <v>44999</v>
      </c>
      <c r="H35" s="6" t="s">
        <v>73</v>
      </c>
      <c r="I35" s="18" t="s">
        <v>35</v>
      </c>
      <c r="J35" s="6">
        <f>IFERROR(VLOOKUP(I35,Jueces!$A$1:$B$11,2,FALSE),"")</f>
        <v>3</v>
      </c>
      <c r="K35" s="6" t="s">
        <v>138</v>
      </c>
      <c r="L35" s="6" t="s">
        <v>391</v>
      </c>
      <c r="M35" s="168"/>
    </row>
    <row r="36" spans="1:13" ht="30" customHeight="1" x14ac:dyDescent="0.2">
      <c r="A36" s="176" t="str">
        <f t="shared" si="0"/>
        <v>14/03/yyyy5</v>
      </c>
      <c r="B36" s="169">
        <f t="shared" si="1"/>
        <v>5</v>
      </c>
      <c r="C36" s="6" t="s">
        <v>136</v>
      </c>
      <c r="D36" s="40" t="s">
        <v>135</v>
      </c>
      <c r="E36" s="6">
        <v>4</v>
      </c>
      <c r="F36" s="6" t="s">
        <v>43</v>
      </c>
      <c r="G36" s="18">
        <v>44999</v>
      </c>
      <c r="H36" s="6" t="s">
        <v>228</v>
      </c>
      <c r="I36" s="18" t="s">
        <v>78</v>
      </c>
      <c r="J36" s="6">
        <f>IFERROR(VLOOKUP(I36,Jueces!$A$1:$B$11,2,FALSE),"")</f>
        <v>8</v>
      </c>
      <c r="K36" s="6" t="s">
        <v>166</v>
      </c>
      <c r="L36" s="6" t="s">
        <v>147</v>
      </c>
    </row>
    <row r="37" spans="1:13" ht="30" customHeight="1" x14ac:dyDescent="0.2">
      <c r="A37" s="176" t="str">
        <f t="shared" si="0"/>
        <v>15/03/yyyy1</v>
      </c>
      <c r="B37" s="169">
        <f t="shared" si="1"/>
        <v>1</v>
      </c>
      <c r="C37" s="6" t="s">
        <v>144</v>
      </c>
      <c r="D37" s="40" t="s">
        <v>143</v>
      </c>
      <c r="E37" s="6">
        <v>3</v>
      </c>
      <c r="F37" s="6" t="s">
        <v>1441</v>
      </c>
      <c r="G37" s="18">
        <v>45000</v>
      </c>
      <c r="H37" s="6" t="s">
        <v>73</v>
      </c>
      <c r="I37" s="18" t="s">
        <v>78</v>
      </c>
      <c r="J37" s="6">
        <f>IFERROR(VLOOKUP(I37,Jueces!$A$1:$B$11,2,FALSE),"")</f>
        <v>8</v>
      </c>
      <c r="K37" s="6" t="s">
        <v>150</v>
      </c>
      <c r="L37" s="6" t="s">
        <v>149</v>
      </c>
    </row>
    <row r="38" spans="1:13" ht="30" customHeight="1" x14ac:dyDescent="0.2">
      <c r="A38" s="176" t="str">
        <f t="shared" si="0"/>
        <v>15/03/yyyy2</v>
      </c>
      <c r="B38" s="169">
        <f t="shared" si="1"/>
        <v>2</v>
      </c>
      <c r="C38" s="6" t="s">
        <v>175</v>
      </c>
      <c r="D38" s="40" t="s">
        <v>174</v>
      </c>
      <c r="E38" s="6">
        <v>4</v>
      </c>
      <c r="F38" s="6" t="s">
        <v>34</v>
      </c>
      <c r="G38" s="18">
        <v>45000</v>
      </c>
      <c r="H38" s="6" t="s">
        <v>73</v>
      </c>
      <c r="I38" s="18" t="s">
        <v>35</v>
      </c>
      <c r="J38" s="6">
        <f>IFERROR(VLOOKUP(I38,Jueces!$A$1:$B$11,2,FALSE),"")</f>
        <v>3</v>
      </c>
      <c r="K38" s="6" t="s">
        <v>194</v>
      </c>
      <c r="L38" s="6" t="s">
        <v>147</v>
      </c>
    </row>
    <row r="39" spans="1:13" ht="30" customHeight="1" x14ac:dyDescent="0.2">
      <c r="A39" s="176" t="str">
        <f t="shared" si="0"/>
        <v>15/03/yyyy3</v>
      </c>
      <c r="B39" s="169">
        <f t="shared" si="1"/>
        <v>3</v>
      </c>
      <c r="C39" s="6" t="s">
        <v>182</v>
      </c>
      <c r="D39" s="40" t="s">
        <v>183</v>
      </c>
      <c r="E39" s="6">
        <v>3</v>
      </c>
      <c r="F39" s="6" t="s">
        <v>29</v>
      </c>
      <c r="G39" s="18">
        <v>45000</v>
      </c>
      <c r="H39" s="6" t="s">
        <v>73</v>
      </c>
      <c r="I39" s="18" t="s">
        <v>31</v>
      </c>
      <c r="J39" s="6">
        <f>IFERROR(VLOOKUP(I39,Jueces!$A$1:$B$11,2,FALSE),"")</f>
        <v>2</v>
      </c>
      <c r="K39" s="6" t="s">
        <v>209</v>
      </c>
      <c r="L39" s="6" t="s">
        <v>391</v>
      </c>
    </row>
    <row r="40" spans="1:13" ht="30" customHeight="1" x14ac:dyDescent="0.2">
      <c r="A40" s="176" t="str">
        <f t="shared" si="0"/>
        <v>16/03/yyyy1</v>
      </c>
      <c r="B40" s="169">
        <f t="shared" si="1"/>
        <v>1</v>
      </c>
      <c r="C40" s="6" t="s">
        <v>146</v>
      </c>
      <c r="D40" s="40" t="s">
        <v>145</v>
      </c>
      <c r="E40" s="6">
        <v>3</v>
      </c>
      <c r="F40" s="6" t="s">
        <v>1441</v>
      </c>
      <c r="G40" s="18">
        <v>45001</v>
      </c>
      <c r="H40" s="6" t="s">
        <v>73</v>
      </c>
      <c r="I40" s="18" t="s">
        <v>31</v>
      </c>
      <c r="J40" s="6">
        <f>IFERROR(VLOOKUP(I40,Jueces!$A$1:$B$11,2,FALSE),"")</f>
        <v>2</v>
      </c>
      <c r="K40" s="6" t="s">
        <v>168</v>
      </c>
      <c r="L40" s="6" t="s">
        <v>169</v>
      </c>
    </row>
    <row r="41" spans="1:13" ht="30" customHeight="1" x14ac:dyDescent="0.2">
      <c r="A41" s="176" t="str">
        <f t="shared" si="0"/>
        <v>16/03/yyyy2</v>
      </c>
      <c r="B41" s="169">
        <f t="shared" si="1"/>
        <v>2</v>
      </c>
      <c r="C41" s="6" t="s">
        <v>162</v>
      </c>
      <c r="D41" s="40" t="s">
        <v>163</v>
      </c>
      <c r="E41" s="6">
        <v>3</v>
      </c>
      <c r="F41" s="6" t="s">
        <v>29</v>
      </c>
      <c r="G41" s="18">
        <v>45001</v>
      </c>
      <c r="H41" s="6" t="s">
        <v>73</v>
      </c>
      <c r="I41" s="18" t="s">
        <v>35</v>
      </c>
      <c r="J41" s="6">
        <f>IFERROR(VLOOKUP(I41,Jueces!$A$1:$B$11,2,FALSE),"")</f>
        <v>3</v>
      </c>
      <c r="K41" s="6" t="s">
        <v>191</v>
      </c>
      <c r="L41" s="6" t="s">
        <v>147</v>
      </c>
    </row>
    <row r="42" spans="1:13" ht="30" customHeight="1" x14ac:dyDescent="0.2">
      <c r="A42" s="176" t="str">
        <f t="shared" si="0"/>
        <v>16/03/yyyy3</v>
      </c>
      <c r="B42" s="169">
        <f t="shared" si="1"/>
        <v>3</v>
      </c>
      <c r="C42" s="6" t="s">
        <v>173</v>
      </c>
      <c r="D42" s="40" t="s">
        <v>172</v>
      </c>
      <c r="E42" s="6">
        <v>4</v>
      </c>
      <c r="F42" s="6" t="s">
        <v>43</v>
      </c>
      <c r="G42" s="18">
        <v>45001</v>
      </c>
      <c r="H42" s="6" t="s">
        <v>73</v>
      </c>
      <c r="I42" s="18" t="s">
        <v>31</v>
      </c>
      <c r="J42" s="6">
        <f>IFERROR(VLOOKUP(I42,Jueces!$A$1:$B$11,2,FALSE),"")</f>
        <v>2</v>
      </c>
      <c r="K42" s="6" t="s">
        <v>166</v>
      </c>
      <c r="L42" s="6" t="s">
        <v>147</v>
      </c>
    </row>
    <row r="43" spans="1:13" ht="30" customHeight="1" x14ac:dyDescent="0.2">
      <c r="A43" s="176" t="str">
        <f t="shared" si="0"/>
        <v>16/03/yyyy4</v>
      </c>
      <c r="B43" s="169">
        <f t="shared" si="1"/>
        <v>4</v>
      </c>
      <c r="C43" s="6" t="s">
        <v>159</v>
      </c>
      <c r="D43" s="40" t="s">
        <v>158</v>
      </c>
      <c r="E43" s="6">
        <v>3</v>
      </c>
      <c r="F43" s="6" t="s">
        <v>283</v>
      </c>
      <c r="G43" s="18">
        <v>45001</v>
      </c>
      <c r="H43" s="6" t="s">
        <v>76</v>
      </c>
      <c r="I43" s="18" t="s">
        <v>35</v>
      </c>
      <c r="J43" s="6">
        <f>IFERROR(VLOOKUP(I43,Jueces!$A$1:$B$11,2,FALSE),"")</f>
        <v>3</v>
      </c>
      <c r="K43" s="6" t="s">
        <v>185</v>
      </c>
      <c r="L43" s="6" t="s">
        <v>186</v>
      </c>
    </row>
    <row r="44" spans="1:13" ht="30" customHeight="1" x14ac:dyDescent="0.2">
      <c r="A44" s="176" t="str">
        <f t="shared" si="0"/>
        <v>17/03/yyyy1</v>
      </c>
      <c r="B44" s="169">
        <f t="shared" si="1"/>
        <v>1</v>
      </c>
      <c r="C44" s="6" t="s">
        <v>161</v>
      </c>
      <c r="D44" s="40" t="s">
        <v>353</v>
      </c>
      <c r="E44" s="6">
        <v>4</v>
      </c>
      <c r="F44" s="6" t="s">
        <v>43</v>
      </c>
      <c r="G44" s="18">
        <v>45002</v>
      </c>
      <c r="H44" s="6" t="s">
        <v>73</v>
      </c>
      <c r="I44" s="18" t="s">
        <v>78</v>
      </c>
      <c r="J44" s="6">
        <f>IFERROR(VLOOKUP(I44,Jueces!$A$1:$B$11,2,FALSE),"")</f>
        <v>8</v>
      </c>
      <c r="K44" s="6" t="s">
        <v>185</v>
      </c>
      <c r="L44" s="6" t="s">
        <v>147</v>
      </c>
    </row>
    <row r="45" spans="1:13" ht="30" customHeight="1" x14ac:dyDescent="0.2">
      <c r="A45" s="176" t="str">
        <f t="shared" si="0"/>
        <v>17/03/yyyy2</v>
      </c>
      <c r="B45" s="169">
        <f t="shared" si="1"/>
        <v>2</v>
      </c>
      <c r="C45" s="6" t="s">
        <v>164</v>
      </c>
      <c r="D45" s="40" t="s">
        <v>165</v>
      </c>
      <c r="E45" s="6">
        <v>3</v>
      </c>
      <c r="F45" s="6" t="s">
        <v>1441</v>
      </c>
      <c r="G45" s="18">
        <v>45002</v>
      </c>
      <c r="H45" s="6" t="s">
        <v>73</v>
      </c>
      <c r="I45" s="18" t="s">
        <v>31</v>
      </c>
      <c r="J45" s="6">
        <f>IFERROR(VLOOKUP(I45,Jueces!$A$1:$B$11,2,FALSE),"")</f>
        <v>2</v>
      </c>
      <c r="K45" s="6" t="s">
        <v>166</v>
      </c>
      <c r="L45" s="6" t="s">
        <v>189</v>
      </c>
    </row>
    <row r="46" spans="1:13" ht="30" customHeight="1" x14ac:dyDescent="0.2">
      <c r="A46" s="176" t="str">
        <f t="shared" si="0"/>
        <v>17/03/yyyy3</v>
      </c>
      <c r="B46" s="169">
        <f t="shared" si="1"/>
        <v>3</v>
      </c>
      <c r="C46" s="6" t="s">
        <v>221</v>
      </c>
      <c r="D46" s="40" t="s">
        <v>220</v>
      </c>
      <c r="E46" s="6">
        <v>3</v>
      </c>
      <c r="F46" s="6" t="s">
        <v>1441</v>
      </c>
      <c r="G46" s="18">
        <v>45002</v>
      </c>
      <c r="H46" s="6" t="s">
        <v>73</v>
      </c>
      <c r="I46" s="18" t="s">
        <v>33</v>
      </c>
      <c r="J46" s="6">
        <f>IFERROR(VLOOKUP(I46,Jueces!$A$1:$B$11,2,FALSE),"")</f>
        <v>4</v>
      </c>
      <c r="K46" s="6" t="s">
        <v>248</v>
      </c>
      <c r="L46" s="6" t="s">
        <v>188</v>
      </c>
    </row>
    <row r="47" spans="1:13" ht="30" customHeight="1" x14ac:dyDescent="0.2">
      <c r="A47" s="176" t="str">
        <f t="shared" si="0"/>
        <v>17/03/yyyy4</v>
      </c>
      <c r="B47" s="169">
        <f t="shared" si="1"/>
        <v>4</v>
      </c>
      <c r="C47" s="6" t="s">
        <v>260</v>
      </c>
      <c r="D47" s="40" t="s">
        <v>176</v>
      </c>
      <c r="E47" s="6">
        <v>4</v>
      </c>
      <c r="F47" s="6" t="s">
        <v>283</v>
      </c>
      <c r="G47" s="18">
        <v>45002</v>
      </c>
      <c r="H47" s="6" t="s">
        <v>76</v>
      </c>
      <c r="I47" s="18" t="s">
        <v>35</v>
      </c>
      <c r="J47" s="6">
        <f>IFERROR(VLOOKUP(I47,Jueces!$A$1:$B$11,2,FALSE),"")</f>
        <v>3</v>
      </c>
      <c r="K47" s="6" t="s">
        <v>166</v>
      </c>
      <c r="L47" s="6" t="s">
        <v>147</v>
      </c>
    </row>
    <row r="48" spans="1:13" ht="30" customHeight="1" x14ac:dyDescent="0.2">
      <c r="A48" s="176" t="str">
        <f t="shared" si="0"/>
        <v>17/03/yyyy5</v>
      </c>
      <c r="B48" s="169">
        <f t="shared" si="1"/>
        <v>5</v>
      </c>
      <c r="C48" s="6" t="s">
        <v>321</v>
      </c>
      <c r="D48" s="40" t="s">
        <v>322</v>
      </c>
      <c r="E48" s="6">
        <v>3</v>
      </c>
      <c r="F48" s="6" t="s">
        <v>32</v>
      </c>
      <c r="G48" s="18">
        <v>45002</v>
      </c>
      <c r="H48" s="6" t="s">
        <v>228</v>
      </c>
      <c r="I48" s="18" t="s">
        <v>33</v>
      </c>
      <c r="J48" s="6">
        <f>IFERROR(VLOOKUP(I48,Jueces!$A$1:$B$11,2,FALSE),"")</f>
        <v>4</v>
      </c>
      <c r="K48" s="6" t="s">
        <v>338</v>
      </c>
      <c r="L48" s="6" t="s">
        <v>337</v>
      </c>
    </row>
    <row r="49" spans="1:12" ht="30" customHeight="1" x14ac:dyDescent="0.2">
      <c r="A49" s="176" t="str">
        <f t="shared" si="0"/>
        <v>20/03/yyyy1</v>
      </c>
      <c r="B49" s="169">
        <f t="shared" si="1"/>
        <v>1</v>
      </c>
      <c r="C49" s="6" t="s">
        <v>280</v>
      </c>
      <c r="D49" s="40" t="s">
        <v>282</v>
      </c>
      <c r="E49" s="6">
        <v>3</v>
      </c>
      <c r="F49" s="6" t="s">
        <v>43</v>
      </c>
      <c r="G49" s="18">
        <v>45005</v>
      </c>
      <c r="H49" s="6" t="s">
        <v>73</v>
      </c>
      <c r="I49" s="18" t="s">
        <v>78</v>
      </c>
      <c r="J49" s="6">
        <f>IFERROR(VLOOKUP(I49,Jueces!$A$1:$B$11,2,FALSE),"")</f>
        <v>8</v>
      </c>
      <c r="K49" s="6" t="s">
        <v>142</v>
      </c>
      <c r="L49" s="6" t="s">
        <v>307</v>
      </c>
    </row>
    <row r="50" spans="1:12" ht="30" customHeight="1" x14ac:dyDescent="0.2">
      <c r="A50" s="176" t="str">
        <f t="shared" si="0"/>
        <v>20/03/yyyy2</v>
      </c>
      <c r="B50" s="169">
        <f t="shared" si="1"/>
        <v>2</v>
      </c>
      <c r="C50" s="6" t="s">
        <v>160</v>
      </c>
      <c r="D50" s="40" t="s">
        <v>157</v>
      </c>
      <c r="E50" s="6">
        <v>3</v>
      </c>
      <c r="F50" s="6" t="s">
        <v>1441</v>
      </c>
      <c r="G50" s="18">
        <v>45005</v>
      </c>
      <c r="H50" s="6" t="s">
        <v>73</v>
      </c>
      <c r="I50" s="18" t="s">
        <v>78</v>
      </c>
      <c r="J50" s="6">
        <f>IFERROR(VLOOKUP(I50,Jueces!$A$1:$B$11,2,FALSE),"")</f>
        <v>8</v>
      </c>
      <c r="K50" s="6" t="s">
        <v>187</v>
      </c>
      <c r="L50" s="6" t="s">
        <v>188</v>
      </c>
    </row>
    <row r="51" spans="1:12" ht="30" customHeight="1" x14ac:dyDescent="0.2">
      <c r="A51" s="176" t="str">
        <f t="shared" si="0"/>
        <v>20/03/yyyy3</v>
      </c>
      <c r="B51" s="169">
        <f t="shared" si="1"/>
        <v>3</v>
      </c>
      <c r="C51" s="6" t="s">
        <v>270</v>
      </c>
      <c r="D51" s="40" t="s">
        <v>442</v>
      </c>
      <c r="E51" s="6">
        <v>4</v>
      </c>
      <c r="F51" s="6" t="s">
        <v>283</v>
      </c>
      <c r="G51" s="18">
        <v>45005</v>
      </c>
      <c r="H51" s="6" t="s">
        <v>76</v>
      </c>
      <c r="I51" s="18" t="s">
        <v>31</v>
      </c>
      <c r="J51" s="6">
        <f>IFERROR(VLOOKUP(I51,Jueces!$A$1:$B$11,2,FALSE),"")</f>
        <v>2</v>
      </c>
      <c r="K51" s="6" t="s">
        <v>284</v>
      </c>
      <c r="L51" s="6" t="s">
        <v>285</v>
      </c>
    </row>
    <row r="52" spans="1:12" ht="30" customHeight="1" x14ac:dyDescent="0.2">
      <c r="A52" s="176" t="str">
        <f t="shared" si="0"/>
        <v>20/03/yyyy4</v>
      </c>
      <c r="B52" s="169">
        <f t="shared" si="1"/>
        <v>4</v>
      </c>
      <c r="C52" s="6" t="s">
        <v>309</v>
      </c>
      <c r="D52" s="40" t="s">
        <v>310</v>
      </c>
      <c r="E52" s="6">
        <v>4</v>
      </c>
      <c r="F52" s="6" t="s">
        <v>29</v>
      </c>
      <c r="G52" s="18">
        <v>45005</v>
      </c>
      <c r="H52" s="6" t="s">
        <v>74</v>
      </c>
      <c r="I52" s="18" t="s">
        <v>33</v>
      </c>
      <c r="J52" s="6">
        <f>IFERROR(VLOOKUP(I52,Jueces!$A$1:$B$11,2,FALSE),"")</f>
        <v>4</v>
      </c>
      <c r="K52" s="6" t="s">
        <v>327</v>
      </c>
      <c r="L52" s="6" t="s">
        <v>287</v>
      </c>
    </row>
    <row r="53" spans="1:12" ht="30" customHeight="1" x14ac:dyDescent="0.2">
      <c r="A53" s="176" t="str">
        <f t="shared" si="0"/>
        <v>21/03/yyyy1</v>
      </c>
      <c r="B53" s="169">
        <f t="shared" si="1"/>
        <v>1</v>
      </c>
      <c r="C53" s="6" t="s">
        <v>195</v>
      </c>
      <c r="D53" s="40" t="s">
        <v>196</v>
      </c>
      <c r="E53" s="6">
        <v>4</v>
      </c>
      <c r="F53" s="6" t="s">
        <v>34</v>
      </c>
      <c r="G53" s="18">
        <v>45006</v>
      </c>
      <c r="H53" s="6" t="s">
        <v>73</v>
      </c>
      <c r="I53" s="18" t="s">
        <v>78</v>
      </c>
      <c r="J53" s="6">
        <f>IFERROR(VLOOKUP(I53,Jueces!$A$1:$B$11,2,FALSE),"")</f>
        <v>8</v>
      </c>
      <c r="K53" s="6" t="s">
        <v>210</v>
      </c>
      <c r="L53" s="6" t="s">
        <v>211</v>
      </c>
    </row>
    <row r="54" spans="1:12" ht="30" customHeight="1" x14ac:dyDescent="0.2">
      <c r="A54" s="176" t="str">
        <f t="shared" si="0"/>
        <v>21/03/yyyy2</v>
      </c>
      <c r="B54" s="169">
        <f t="shared" si="1"/>
        <v>2</v>
      </c>
      <c r="C54" s="6" t="s">
        <v>253</v>
      </c>
      <c r="D54" s="40" t="s">
        <v>255</v>
      </c>
      <c r="E54" s="6">
        <v>3</v>
      </c>
      <c r="F54" s="6" t="s">
        <v>43</v>
      </c>
      <c r="G54" s="18">
        <v>45006</v>
      </c>
      <c r="H54" s="6" t="s">
        <v>73</v>
      </c>
      <c r="I54" s="18" t="s">
        <v>33</v>
      </c>
      <c r="J54" s="6">
        <f>IFERROR(VLOOKUP(I54,Jueces!$A$1:$B$11,2,FALSE),"")</f>
        <v>4</v>
      </c>
      <c r="K54" s="6" t="s">
        <v>688</v>
      </c>
      <c r="L54" s="6" t="s">
        <v>267</v>
      </c>
    </row>
    <row r="55" spans="1:12" ht="30" customHeight="1" x14ac:dyDescent="0.2">
      <c r="A55" s="176" t="str">
        <f t="shared" si="0"/>
        <v>21/03/yyyy3</v>
      </c>
      <c r="B55" s="169">
        <f t="shared" si="1"/>
        <v>3</v>
      </c>
      <c r="C55" s="6" t="s">
        <v>215</v>
      </c>
      <c r="D55" s="40" t="s">
        <v>217</v>
      </c>
      <c r="E55" s="6">
        <v>4</v>
      </c>
      <c r="F55" s="6" t="s">
        <v>32</v>
      </c>
      <c r="G55" s="18">
        <v>45006</v>
      </c>
      <c r="H55" s="6" t="s">
        <v>76</v>
      </c>
      <c r="I55" s="18" t="s">
        <v>78</v>
      </c>
      <c r="J55" s="6">
        <f>IFERROR(VLOOKUP(I55,Jueces!$A$1:$B$11,2,FALSE),"")</f>
        <v>8</v>
      </c>
      <c r="K55" s="6" t="s">
        <v>246</v>
      </c>
      <c r="L55" s="6" t="s">
        <v>241</v>
      </c>
    </row>
    <row r="56" spans="1:12" ht="30" customHeight="1" x14ac:dyDescent="0.2">
      <c r="A56" s="176" t="str">
        <f t="shared" si="0"/>
        <v>21/03/yyyy4</v>
      </c>
      <c r="B56" s="169">
        <f t="shared" si="1"/>
        <v>4</v>
      </c>
      <c r="C56" s="6" t="s">
        <v>446</v>
      </c>
      <c r="D56" s="40" t="s">
        <v>354</v>
      </c>
      <c r="E56" s="6">
        <v>4</v>
      </c>
      <c r="F56" s="6" t="s">
        <v>34</v>
      </c>
      <c r="G56" s="18">
        <v>45006</v>
      </c>
      <c r="H56" s="6" t="s">
        <v>76</v>
      </c>
      <c r="I56" s="18" t="s">
        <v>35</v>
      </c>
      <c r="J56" s="6">
        <f>IFERROR(VLOOKUP(I56,Jueces!$A$1:$B$11,2,FALSE),"")</f>
        <v>3</v>
      </c>
      <c r="K56" s="6" t="s">
        <v>326</v>
      </c>
      <c r="L56" s="6" t="s">
        <v>307</v>
      </c>
    </row>
    <row r="57" spans="1:12" ht="30" customHeight="1" x14ac:dyDescent="0.2">
      <c r="A57" s="176" t="str">
        <f t="shared" si="0"/>
        <v>21/03/yyyy5</v>
      </c>
      <c r="B57" s="169">
        <f t="shared" si="1"/>
        <v>5</v>
      </c>
      <c r="C57" s="6" t="s">
        <v>207</v>
      </c>
      <c r="D57" s="40" t="s">
        <v>206</v>
      </c>
      <c r="E57" s="6">
        <v>3</v>
      </c>
      <c r="F57" s="6" t="s">
        <v>1441</v>
      </c>
      <c r="G57" s="18">
        <v>45006</v>
      </c>
      <c r="H57" s="6" t="s">
        <v>228</v>
      </c>
      <c r="I57" s="18" t="s">
        <v>33</v>
      </c>
      <c r="J57" s="6">
        <f>IFERROR(VLOOKUP(I57,Jueces!$A$1:$B$11,2,FALSE),"")</f>
        <v>4</v>
      </c>
      <c r="K57" s="6" t="s">
        <v>244</v>
      </c>
      <c r="L57" s="6" t="s">
        <v>188</v>
      </c>
    </row>
    <row r="58" spans="1:12" ht="30" customHeight="1" x14ac:dyDescent="0.2">
      <c r="A58" s="176" t="str">
        <f t="shared" si="0"/>
        <v>22/03/yyyy1</v>
      </c>
      <c r="B58" s="169">
        <f t="shared" si="1"/>
        <v>1</v>
      </c>
      <c r="C58" s="6" t="s">
        <v>257</v>
      </c>
      <c r="D58" s="40" t="s">
        <v>258</v>
      </c>
      <c r="E58" s="6">
        <v>4</v>
      </c>
      <c r="F58" s="6" t="s">
        <v>29</v>
      </c>
      <c r="G58" s="18">
        <v>45007</v>
      </c>
      <c r="H58" s="6" t="s">
        <v>73</v>
      </c>
      <c r="I58" s="18" t="s">
        <v>78</v>
      </c>
      <c r="J58" s="6">
        <f>IFERROR(VLOOKUP(I58,Jueces!$A$1:$B$11,2,FALSE),"")</f>
        <v>8</v>
      </c>
      <c r="K58" s="6" t="s">
        <v>288</v>
      </c>
      <c r="L58" s="6" t="s">
        <v>287</v>
      </c>
    </row>
    <row r="59" spans="1:12" ht="30" customHeight="1" x14ac:dyDescent="0.2">
      <c r="A59" s="176" t="str">
        <f t="shared" si="0"/>
        <v>22/03/yyyy2</v>
      </c>
      <c r="B59" s="169">
        <f t="shared" si="1"/>
        <v>2</v>
      </c>
      <c r="C59" s="6" t="s">
        <v>276</v>
      </c>
      <c r="D59" s="40" t="s">
        <v>286</v>
      </c>
      <c r="E59" s="6">
        <v>4</v>
      </c>
      <c r="F59" s="6" t="s">
        <v>283</v>
      </c>
      <c r="G59" s="18">
        <v>45007</v>
      </c>
      <c r="H59" s="6" t="s">
        <v>73</v>
      </c>
      <c r="I59" s="18" t="s">
        <v>33</v>
      </c>
      <c r="J59" s="6">
        <f>IFERROR(VLOOKUP(I59,Jueces!$A$1:$B$11,2,FALSE),"")</f>
        <v>4</v>
      </c>
      <c r="K59" s="6" t="s">
        <v>300</v>
      </c>
      <c r="L59" s="6" t="s">
        <v>285</v>
      </c>
    </row>
    <row r="60" spans="1:12" ht="30" customHeight="1" x14ac:dyDescent="0.2">
      <c r="A60" s="176" t="str">
        <f t="shared" si="0"/>
        <v>22/03/yyyy3</v>
      </c>
      <c r="B60" s="169">
        <f t="shared" si="1"/>
        <v>3</v>
      </c>
      <c r="C60" s="6" t="s">
        <v>180</v>
      </c>
      <c r="D60" s="40" t="s">
        <v>179</v>
      </c>
      <c r="E60" s="6">
        <v>3</v>
      </c>
      <c r="F60" s="6" t="s">
        <v>29</v>
      </c>
      <c r="G60" s="18">
        <v>45007</v>
      </c>
      <c r="H60" s="6" t="s">
        <v>76</v>
      </c>
      <c r="I60" s="18" t="s">
        <v>35</v>
      </c>
      <c r="J60" s="6">
        <f>IFERROR(VLOOKUP(I60,Jueces!$A$1:$B$11,2,FALSE),"")</f>
        <v>3</v>
      </c>
      <c r="K60" s="6" t="s">
        <v>190</v>
      </c>
      <c r="L60" s="6" t="s">
        <v>188</v>
      </c>
    </row>
    <row r="61" spans="1:12" ht="30" customHeight="1" x14ac:dyDescent="0.2">
      <c r="A61" s="176" t="str">
        <f t="shared" si="0"/>
        <v>22/03/yyyy4</v>
      </c>
      <c r="B61" s="169">
        <f t="shared" si="1"/>
        <v>4</v>
      </c>
      <c r="C61" s="6" t="s">
        <v>222</v>
      </c>
      <c r="D61" s="40" t="s">
        <v>223</v>
      </c>
      <c r="E61" s="6">
        <v>4</v>
      </c>
      <c r="F61" s="6" t="s">
        <v>283</v>
      </c>
      <c r="G61" s="18">
        <v>45007</v>
      </c>
      <c r="H61" s="6" t="s">
        <v>76</v>
      </c>
      <c r="I61" s="18" t="s">
        <v>78</v>
      </c>
      <c r="J61" s="6">
        <f>IFERROR(VLOOKUP(I61,Jueces!$A$1:$B$11,2,FALSE),"")</f>
        <v>8</v>
      </c>
      <c r="K61" s="6" t="s">
        <v>249</v>
      </c>
      <c r="L61" s="6" t="s">
        <v>241</v>
      </c>
    </row>
    <row r="62" spans="1:12" ht="30" customHeight="1" x14ac:dyDescent="0.2">
      <c r="A62" s="176" t="str">
        <f t="shared" si="0"/>
        <v>22/03/yyyy5</v>
      </c>
      <c r="B62" s="169">
        <f t="shared" si="1"/>
        <v>5</v>
      </c>
      <c r="C62" s="6" t="s">
        <v>219</v>
      </c>
      <c r="D62" s="40" t="s">
        <v>218</v>
      </c>
      <c r="E62" s="6">
        <v>3</v>
      </c>
      <c r="F62" s="6" t="s">
        <v>34</v>
      </c>
      <c r="G62" s="18">
        <v>45007</v>
      </c>
      <c r="H62" s="6" t="s">
        <v>75</v>
      </c>
      <c r="I62" s="18" t="s">
        <v>31</v>
      </c>
      <c r="J62" s="6">
        <f>IFERROR(VLOOKUP(I62,Jueces!$A$1:$B$11,2,FALSE),"")</f>
        <v>2</v>
      </c>
      <c r="K62" s="6" t="s">
        <v>247</v>
      </c>
      <c r="L62" s="6" t="s">
        <v>188</v>
      </c>
    </row>
    <row r="63" spans="1:12" ht="30" customHeight="1" x14ac:dyDescent="0.2">
      <c r="A63" s="176" t="str">
        <f t="shared" si="0"/>
        <v>22/03/yyyy6</v>
      </c>
      <c r="B63" s="169">
        <f t="shared" si="1"/>
        <v>6</v>
      </c>
      <c r="C63" s="6" t="s">
        <v>254</v>
      </c>
      <c r="D63" s="40" t="s">
        <v>256</v>
      </c>
      <c r="E63" s="6">
        <v>3</v>
      </c>
      <c r="F63" s="6" t="s">
        <v>32</v>
      </c>
      <c r="G63" s="18">
        <v>45007</v>
      </c>
      <c r="H63" s="6" t="s">
        <v>77</v>
      </c>
      <c r="I63" s="18" t="s">
        <v>33</v>
      </c>
      <c r="J63" s="6">
        <f>IFERROR(VLOOKUP(I63,Jueces!$A$1:$B$11,2,FALSE),"")</f>
        <v>4</v>
      </c>
      <c r="K63" s="6" t="s">
        <v>338</v>
      </c>
      <c r="L63" s="6" t="s">
        <v>266</v>
      </c>
    </row>
    <row r="64" spans="1:12" ht="30" customHeight="1" x14ac:dyDescent="0.2">
      <c r="A64" s="176" t="str">
        <f t="shared" si="0"/>
        <v>23/03/yyyy1</v>
      </c>
      <c r="B64" s="169">
        <f t="shared" si="1"/>
        <v>1</v>
      </c>
      <c r="C64" s="6" t="s">
        <v>224</v>
      </c>
      <c r="D64" s="40" t="s">
        <v>225</v>
      </c>
      <c r="E64" s="6">
        <v>4</v>
      </c>
      <c r="F64" s="6" t="s">
        <v>32</v>
      </c>
      <c r="G64" s="18">
        <v>45008</v>
      </c>
      <c r="H64" s="6" t="s">
        <v>73</v>
      </c>
      <c r="I64" s="18" t="s">
        <v>35</v>
      </c>
      <c r="J64" s="6">
        <f>IFERROR(VLOOKUP(I64,Jueces!$A$1:$B$11,2,FALSE),"")</f>
        <v>3</v>
      </c>
      <c r="K64" s="6" t="s">
        <v>240</v>
      </c>
      <c r="L64" s="6" t="s">
        <v>241</v>
      </c>
    </row>
    <row r="65" spans="1:12" ht="30" customHeight="1" x14ac:dyDescent="0.2">
      <c r="A65" s="176" t="str">
        <f t="shared" si="0"/>
        <v>23/03/yyyy2</v>
      </c>
      <c r="B65" s="169">
        <f t="shared" si="1"/>
        <v>2</v>
      </c>
      <c r="C65" s="6" t="s">
        <v>259</v>
      </c>
      <c r="D65" s="40" t="s">
        <v>205</v>
      </c>
      <c r="E65" s="6">
        <v>4</v>
      </c>
      <c r="F65" s="6" t="s">
        <v>1441</v>
      </c>
      <c r="G65" s="18">
        <v>45008</v>
      </c>
      <c r="H65" s="6" t="s">
        <v>73</v>
      </c>
      <c r="I65" s="18" t="s">
        <v>33</v>
      </c>
      <c r="J65" s="6">
        <f>IFERROR(VLOOKUP(I65,Jueces!$A$1:$B$11,2,FALSE),"")</f>
        <v>4</v>
      </c>
      <c r="K65" s="6" t="s">
        <v>242</v>
      </c>
      <c r="L65" s="6" t="s">
        <v>243</v>
      </c>
    </row>
    <row r="66" spans="1:12" ht="30" customHeight="1" x14ac:dyDescent="0.2">
      <c r="A66" s="176" t="str">
        <f t="shared" si="0"/>
        <v>23/03/yyyy3</v>
      </c>
      <c r="B66" s="169">
        <f t="shared" si="1"/>
        <v>3</v>
      </c>
      <c r="C66" s="6" t="s">
        <v>7</v>
      </c>
      <c r="D66" s="40" t="s">
        <v>316</v>
      </c>
      <c r="E66" s="6">
        <v>3</v>
      </c>
      <c r="F66" s="6" t="s">
        <v>283</v>
      </c>
      <c r="G66" s="18">
        <v>45008</v>
      </c>
      <c r="H66" s="6" t="s">
        <v>73</v>
      </c>
      <c r="I66" s="18" t="s">
        <v>78</v>
      </c>
      <c r="J66" s="6">
        <f>IFERROR(VLOOKUP(I66,Jueces!$A$1:$B$11,2,FALSE),"")</f>
        <v>8</v>
      </c>
      <c r="K66" s="6" t="s">
        <v>93</v>
      </c>
      <c r="L66" s="6" t="s">
        <v>317</v>
      </c>
    </row>
    <row r="67" spans="1:12" ht="30" customHeight="1" x14ac:dyDescent="0.2">
      <c r="A67" s="176" t="str">
        <f t="shared" ref="A67:A130" si="2">CONCATENATE(TEXT($G67,"dd/mm/yyyy"),$B67)</f>
        <v>23/03/yyyy4</v>
      </c>
      <c r="B67" s="169">
        <f t="shared" si="1"/>
        <v>4</v>
      </c>
      <c r="C67" s="6" t="s">
        <v>202</v>
      </c>
      <c r="D67" s="40" t="s">
        <v>201</v>
      </c>
      <c r="E67" s="6">
        <v>4</v>
      </c>
      <c r="F67" s="6" t="s">
        <v>29</v>
      </c>
      <c r="G67" s="18">
        <v>45008</v>
      </c>
      <c r="H67" s="6" t="s">
        <v>76</v>
      </c>
      <c r="I67" s="18" t="s">
        <v>35</v>
      </c>
      <c r="J67" s="6">
        <f>IFERROR(VLOOKUP(I67,Jueces!$A$1:$B$11,2,FALSE),"")</f>
        <v>3</v>
      </c>
      <c r="K67" s="6" t="s">
        <v>245</v>
      </c>
      <c r="L67" s="6" t="s">
        <v>169</v>
      </c>
    </row>
    <row r="68" spans="1:12" ht="30" customHeight="1" x14ac:dyDescent="0.2">
      <c r="A68" s="176" t="str">
        <f t="shared" si="2"/>
        <v>23/03/yyyy5</v>
      </c>
      <c r="B68" s="169">
        <f t="shared" ref="B68:B131" si="3">IF($G68=$G67,$B67+1,1)</f>
        <v>5</v>
      </c>
      <c r="C68" s="6" t="s">
        <v>236</v>
      </c>
      <c r="D68" s="40" t="s">
        <v>237</v>
      </c>
      <c r="E68" s="6">
        <v>3</v>
      </c>
      <c r="F68" s="6" t="s">
        <v>34</v>
      </c>
      <c r="G68" s="18">
        <v>45008</v>
      </c>
      <c r="H68" s="6" t="s">
        <v>228</v>
      </c>
      <c r="I68" s="18" t="s">
        <v>31</v>
      </c>
      <c r="J68" s="6">
        <f>IFERROR(VLOOKUP(I68,Jueces!$A$1:$B$11,2,FALSE),"")</f>
        <v>2</v>
      </c>
      <c r="K68" s="6" t="s">
        <v>271</v>
      </c>
      <c r="L68" s="6" t="s">
        <v>272</v>
      </c>
    </row>
    <row r="69" spans="1:12" ht="30" customHeight="1" x14ac:dyDescent="0.2">
      <c r="A69" s="176" t="str">
        <f t="shared" si="2"/>
        <v>27/03/yyyy1</v>
      </c>
      <c r="B69" s="169">
        <f t="shared" si="3"/>
        <v>1</v>
      </c>
      <c r="C69" s="6" t="s">
        <v>232</v>
      </c>
      <c r="D69" s="40" t="s">
        <v>231</v>
      </c>
      <c r="E69" s="6">
        <v>3</v>
      </c>
      <c r="F69" s="6" t="s">
        <v>43</v>
      </c>
      <c r="G69" s="18">
        <v>45012</v>
      </c>
      <c r="H69" s="6" t="s">
        <v>73</v>
      </c>
      <c r="I69" s="18" t="s">
        <v>31</v>
      </c>
      <c r="J69" s="6">
        <f>IFERROR(VLOOKUP(I69,Jueces!$A$1:$B$11,2,FALSE),"")</f>
        <v>2</v>
      </c>
      <c r="K69" s="6" t="s">
        <v>263</v>
      </c>
      <c r="L69" s="6" t="s">
        <v>188</v>
      </c>
    </row>
    <row r="70" spans="1:12" ht="30" customHeight="1" x14ac:dyDescent="0.2">
      <c r="A70" s="176" t="str">
        <f t="shared" si="2"/>
        <v>27/03/yyyy2</v>
      </c>
      <c r="B70" s="169">
        <f t="shared" si="3"/>
        <v>2</v>
      </c>
      <c r="C70" s="6" t="s">
        <v>212</v>
      </c>
      <c r="D70" s="40" t="s">
        <v>216</v>
      </c>
      <c r="E70" s="6">
        <v>4</v>
      </c>
      <c r="F70" s="6" t="s">
        <v>1441</v>
      </c>
      <c r="G70" s="18">
        <v>45012</v>
      </c>
      <c r="H70" s="6" t="s">
        <v>73</v>
      </c>
      <c r="I70" s="18" t="s">
        <v>33</v>
      </c>
      <c r="J70" s="6">
        <f>IFERROR(VLOOKUP(I70,Jueces!$A$1:$B$11,2,FALSE),"")</f>
        <v>4</v>
      </c>
      <c r="K70" s="6" t="s">
        <v>245</v>
      </c>
      <c r="L70" s="6" t="s">
        <v>241</v>
      </c>
    </row>
    <row r="71" spans="1:12" ht="30" customHeight="1" x14ac:dyDescent="0.2">
      <c r="A71" s="176" t="str">
        <f t="shared" si="2"/>
        <v>27/03/yyyy3</v>
      </c>
      <c r="B71" s="169">
        <f t="shared" si="3"/>
        <v>3</v>
      </c>
      <c r="C71" s="6" t="s">
        <v>324</v>
      </c>
      <c r="D71" s="40" t="s">
        <v>356</v>
      </c>
      <c r="E71" s="6">
        <v>4</v>
      </c>
      <c r="F71" s="6" t="s">
        <v>283</v>
      </c>
      <c r="G71" s="18">
        <v>45012</v>
      </c>
      <c r="H71" s="6" t="s">
        <v>73</v>
      </c>
      <c r="I71" s="18" t="s">
        <v>78</v>
      </c>
      <c r="J71" s="6">
        <f>IFERROR(VLOOKUP(I71,Jueces!$A$1:$B$11,2,FALSE),"")</f>
        <v>8</v>
      </c>
      <c r="K71" s="6" t="s">
        <v>330</v>
      </c>
      <c r="L71" s="6" t="s">
        <v>307</v>
      </c>
    </row>
    <row r="72" spans="1:12" ht="30" customHeight="1" x14ac:dyDescent="0.2">
      <c r="A72" s="176" t="str">
        <f t="shared" si="2"/>
        <v>27/03/yyyy4</v>
      </c>
      <c r="B72" s="169">
        <f t="shared" si="3"/>
        <v>4</v>
      </c>
      <c r="C72" s="6" t="s">
        <v>268</v>
      </c>
      <c r="D72" s="40" t="s">
        <v>269</v>
      </c>
      <c r="E72" s="6">
        <v>4</v>
      </c>
      <c r="F72" s="6" t="s">
        <v>1441</v>
      </c>
      <c r="G72" s="18">
        <v>45012</v>
      </c>
      <c r="H72" s="6" t="s">
        <v>76</v>
      </c>
      <c r="I72" s="18" t="s">
        <v>35</v>
      </c>
      <c r="J72" s="6">
        <f>IFERROR(VLOOKUP(I72,Jueces!$A$1:$B$11,2,FALSE),"")</f>
        <v>3</v>
      </c>
      <c r="K72" s="6" t="s">
        <v>290</v>
      </c>
      <c r="L72" s="6" t="s">
        <v>287</v>
      </c>
    </row>
    <row r="73" spans="1:12" ht="30" customHeight="1" x14ac:dyDescent="0.2">
      <c r="A73" s="176" t="str">
        <f t="shared" si="2"/>
        <v>27/03/yyyy5</v>
      </c>
      <c r="B73" s="169">
        <f t="shared" si="3"/>
        <v>5</v>
      </c>
      <c r="C73" s="6" t="s">
        <v>357</v>
      </c>
      <c r="D73" s="40" t="s">
        <v>358</v>
      </c>
      <c r="E73" s="6">
        <v>4</v>
      </c>
      <c r="F73" s="6" t="s">
        <v>32</v>
      </c>
      <c r="G73" s="18">
        <v>45012</v>
      </c>
      <c r="H73" s="6" t="s">
        <v>77</v>
      </c>
      <c r="I73" s="18" t="s">
        <v>33</v>
      </c>
      <c r="J73" s="6">
        <f>IFERROR(VLOOKUP(I73,Jueces!$A$1:$B$11,2,FALSE),"")</f>
        <v>4</v>
      </c>
      <c r="K73" s="6" t="s">
        <v>369</v>
      </c>
      <c r="L73" s="6" t="s">
        <v>377</v>
      </c>
    </row>
    <row r="74" spans="1:12" ht="30" customHeight="1" x14ac:dyDescent="0.2">
      <c r="A74" s="176" t="str">
        <f t="shared" si="2"/>
        <v>27/03/yyyy6</v>
      </c>
      <c r="B74" s="169">
        <f t="shared" si="3"/>
        <v>6</v>
      </c>
      <c r="C74" s="6" t="s">
        <v>114</v>
      </c>
      <c r="D74" s="40" t="s">
        <v>115</v>
      </c>
      <c r="E74" s="6">
        <v>3</v>
      </c>
      <c r="F74" s="6" t="s">
        <v>29</v>
      </c>
      <c r="G74" s="18">
        <v>45012</v>
      </c>
      <c r="H74" s="6" t="s">
        <v>228</v>
      </c>
      <c r="I74" s="18" t="s">
        <v>31</v>
      </c>
      <c r="J74" s="6">
        <f>IFERROR(VLOOKUP(I74,Jueces!$A$1:$B$11,2,FALSE),"")</f>
        <v>2</v>
      </c>
      <c r="K74" s="6" t="s">
        <v>313</v>
      </c>
      <c r="L74" s="6" t="s">
        <v>377</v>
      </c>
    </row>
    <row r="75" spans="1:12" ht="30" customHeight="1" x14ac:dyDescent="0.2">
      <c r="A75" s="176" t="str">
        <f t="shared" si="2"/>
        <v>28/03/yyyy1</v>
      </c>
      <c r="B75" s="169">
        <f t="shared" si="3"/>
        <v>1</v>
      </c>
      <c r="C75" s="6" t="s">
        <v>229</v>
      </c>
      <c r="D75" s="40" t="s">
        <v>230</v>
      </c>
      <c r="E75" s="6">
        <v>3</v>
      </c>
      <c r="F75" s="6" t="s">
        <v>32</v>
      </c>
      <c r="G75" s="18">
        <v>45013</v>
      </c>
      <c r="H75" s="6" t="s">
        <v>73</v>
      </c>
      <c r="I75" s="18" t="s">
        <v>35</v>
      </c>
      <c r="J75" s="6">
        <f>IFERROR(VLOOKUP(I75,Jueces!$A$1:$B$11,2,FALSE),"")</f>
        <v>3</v>
      </c>
      <c r="K75" s="6" t="s">
        <v>264</v>
      </c>
      <c r="L75" s="6" t="s">
        <v>265</v>
      </c>
    </row>
    <row r="76" spans="1:12" ht="30" customHeight="1" x14ac:dyDescent="0.2">
      <c r="A76" s="176" t="str">
        <f t="shared" si="2"/>
        <v>28/03/yyyy2</v>
      </c>
      <c r="B76" s="169">
        <f t="shared" si="3"/>
        <v>2</v>
      </c>
      <c r="C76" s="6" t="s">
        <v>311</v>
      </c>
      <c r="D76" s="40" t="s">
        <v>312</v>
      </c>
      <c r="E76" s="6">
        <v>3</v>
      </c>
      <c r="F76" s="6" t="s">
        <v>43</v>
      </c>
      <c r="G76" s="18">
        <v>45013</v>
      </c>
      <c r="H76" s="6" t="s">
        <v>73</v>
      </c>
      <c r="I76" s="18" t="s">
        <v>31</v>
      </c>
      <c r="J76" s="6">
        <f>IFERROR(VLOOKUP(I76,Jueces!$A$1:$B$11,2,FALSE),"")</f>
        <v>2</v>
      </c>
      <c r="K76" s="6" t="s">
        <v>313</v>
      </c>
      <c r="L76" s="6" t="s">
        <v>314</v>
      </c>
    </row>
    <row r="77" spans="1:12" ht="30" customHeight="1" x14ac:dyDescent="0.2">
      <c r="A77" s="176" t="str">
        <f t="shared" si="2"/>
        <v>28/03/yyyy3</v>
      </c>
      <c r="B77" s="169">
        <f t="shared" si="3"/>
        <v>3</v>
      </c>
      <c r="C77" s="6" t="s">
        <v>293</v>
      </c>
      <c r="D77" s="40" t="s">
        <v>279</v>
      </c>
      <c r="E77" s="6">
        <v>3</v>
      </c>
      <c r="F77" s="6" t="s">
        <v>29</v>
      </c>
      <c r="G77" s="18">
        <v>45013</v>
      </c>
      <c r="H77" s="6" t="s">
        <v>76</v>
      </c>
      <c r="I77" s="18" t="s">
        <v>35</v>
      </c>
      <c r="J77" s="6">
        <f>IFERROR(VLOOKUP(I77,Jueces!$A$1:$B$11,2,FALSE),"")</f>
        <v>3</v>
      </c>
      <c r="K77" s="6" t="s">
        <v>301</v>
      </c>
      <c r="L77" s="6" t="s">
        <v>302</v>
      </c>
    </row>
    <row r="78" spans="1:12" ht="30" customHeight="1" x14ac:dyDescent="0.2">
      <c r="A78" s="176" t="str">
        <f t="shared" si="2"/>
        <v>28/03/yyyy4</v>
      </c>
      <c r="B78" s="169">
        <f t="shared" si="3"/>
        <v>4</v>
      </c>
      <c r="C78" s="6" t="s">
        <v>238</v>
      </c>
      <c r="D78" s="40" t="s">
        <v>239</v>
      </c>
      <c r="E78" s="6">
        <v>3</v>
      </c>
      <c r="F78" s="6" t="s">
        <v>34</v>
      </c>
      <c r="G78" s="18">
        <v>45013</v>
      </c>
      <c r="H78" s="6" t="s">
        <v>228</v>
      </c>
      <c r="I78" s="18" t="s">
        <v>78</v>
      </c>
      <c r="J78" s="6">
        <f>IFERROR(VLOOKUP(I78,Jueces!$A$1:$B$11,2,FALSE),"")</f>
        <v>8</v>
      </c>
      <c r="K78" s="6" t="s">
        <v>277</v>
      </c>
      <c r="L78" s="6" t="s">
        <v>278</v>
      </c>
    </row>
    <row r="79" spans="1:12" ht="30" customHeight="1" x14ac:dyDescent="0.2">
      <c r="A79" s="176" t="str">
        <f t="shared" si="2"/>
        <v>29/03/yyyy1</v>
      </c>
      <c r="B79" s="169">
        <f t="shared" si="3"/>
        <v>1</v>
      </c>
      <c r="C79" s="6" t="s">
        <v>295</v>
      </c>
      <c r="D79" s="40" t="s">
        <v>297</v>
      </c>
      <c r="E79" s="6">
        <v>4</v>
      </c>
      <c r="F79" s="6" t="s">
        <v>32</v>
      </c>
      <c r="G79" s="18">
        <v>45014</v>
      </c>
      <c r="H79" s="6" t="s">
        <v>73</v>
      </c>
      <c r="I79" s="18" t="s">
        <v>33</v>
      </c>
      <c r="J79" s="6">
        <f>IFERROR(VLOOKUP(I79,Jueces!$A$1:$B$11,2,FALSE),"")</f>
        <v>4</v>
      </c>
      <c r="K79" s="6" t="s">
        <v>142</v>
      </c>
      <c r="L79" s="6" t="s">
        <v>287</v>
      </c>
    </row>
    <row r="80" spans="1:12" ht="30" customHeight="1" x14ac:dyDescent="0.2">
      <c r="A80" s="176" t="str">
        <f t="shared" si="2"/>
        <v>29/03/yyyy2</v>
      </c>
      <c r="B80" s="169">
        <f t="shared" si="3"/>
        <v>2</v>
      </c>
      <c r="C80" s="6" t="s">
        <v>294</v>
      </c>
      <c r="D80" s="40" t="s">
        <v>296</v>
      </c>
      <c r="E80" s="6">
        <v>4</v>
      </c>
      <c r="F80" s="6" t="s">
        <v>43</v>
      </c>
      <c r="G80" s="18">
        <v>45014</v>
      </c>
      <c r="H80" s="6" t="s">
        <v>76</v>
      </c>
      <c r="I80" s="18" t="s">
        <v>31</v>
      </c>
      <c r="J80" s="6">
        <f>IFERROR(VLOOKUP(I80,Jueces!$A$1:$B$11,2,FALSE),"")</f>
        <v>2</v>
      </c>
      <c r="K80" s="6" t="s">
        <v>303</v>
      </c>
      <c r="L80" s="6" t="s">
        <v>287</v>
      </c>
    </row>
    <row r="81" spans="1:12" ht="30" customHeight="1" x14ac:dyDescent="0.2">
      <c r="A81" s="176" t="str">
        <f t="shared" si="2"/>
        <v>29/03/yyyy3</v>
      </c>
      <c r="B81" s="169">
        <f t="shared" si="3"/>
        <v>3</v>
      </c>
      <c r="C81" s="6" t="s">
        <v>342</v>
      </c>
      <c r="D81" s="40" t="s">
        <v>348</v>
      </c>
      <c r="E81" s="6">
        <v>4</v>
      </c>
      <c r="F81" s="6" t="s">
        <v>29</v>
      </c>
      <c r="G81" s="18">
        <v>45014</v>
      </c>
      <c r="H81" s="6" t="s">
        <v>75</v>
      </c>
      <c r="I81" s="18" t="s">
        <v>33</v>
      </c>
      <c r="J81" s="6">
        <f>IFERROR(VLOOKUP(I81,Jueces!$A$1:$B$11,2,FALSE),"")</f>
        <v>4</v>
      </c>
      <c r="K81" s="6" t="s">
        <v>365</v>
      </c>
      <c r="L81" s="6" t="s">
        <v>584</v>
      </c>
    </row>
    <row r="82" spans="1:12" ht="30" customHeight="1" x14ac:dyDescent="0.2">
      <c r="A82" s="176" t="str">
        <f t="shared" si="2"/>
        <v>29/03/yyyy4</v>
      </c>
      <c r="B82" s="169">
        <f t="shared" si="3"/>
        <v>4</v>
      </c>
      <c r="C82" s="6" t="s">
        <v>502</v>
      </c>
      <c r="D82" s="40" t="s">
        <v>507</v>
      </c>
      <c r="E82" s="6">
        <v>4</v>
      </c>
      <c r="F82" s="6" t="s">
        <v>283</v>
      </c>
      <c r="G82" s="18">
        <v>45014</v>
      </c>
      <c r="H82" s="6" t="s">
        <v>547</v>
      </c>
      <c r="I82" s="18" t="s">
        <v>33</v>
      </c>
      <c r="J82" s="6">
        <f>IFERROR(VLOOKUP(I82,Jueces!$A$1:$B$11,2,FALSE),"")</f>
        <v>4</v>
      </c>
      <c r="K82" s="6" t="s">
        <v>380</v>
      </c>
      <c r="L82" s="6" t="s">
        <v>363</v>
      </c>
    </row>
    <row r="83" spans="1:12" ht="30" customHeight="1" x14ac:dyDescent="0.2">
      <c r="A83" s="176" t="str">
        <f t="shared" si="2"/>
        <v>29/03/yyyy5</v>
      </c>
      <c r="B83" s="169">
        <f t="shared" si="3"/>
        <v>5</v>
      </c>
      <c r="C83" s="6" t="s">
        <v>487</v>
      </c>
      <c r="D83" s="40" t="s">
        <v>486</v>
      </c>
      <c r="E83" s="6">
        <v>4</v>
      </c>
      <c r="F83" s="6" t="s">
        <v>1441</v>
      </c>
      <c r="G83" s="18">
        <v>45014</v>
      </c>
      <c r="H83" s="6" t="s">
        <v>228</v>
      </c>
      <c r="I83" s="18" t="s">
        <v>31</v>
      </c>
      <c r="J83" s="6">
        <f>IFERROR(VLOOKUP(I83,Jueces!$A$1:$B$11,2,FALSE),"")</f>
        <v>2</v>
      </c>
      <c r="K83" s="6" t="s">
        <v>512</v>
      </c>
      <c r="L83" s="6" t="s">
        <v>570</v>
      </c>
    </row>
    <row r="84" spans="1:12" ht="30" customHeight="1" x14ac:dyDescent="0.2">
      <c r="A84" s="176" t="str">
        <f t="shared" si="2"/>
        <v>29/03/yyyy6</v>
      </c>
      <c r="B84" s="169">
        <f t="shared" si="3"/>
        <v>6</v>
      </c>
      <c r="C84" s="6" t="s">
        <v>305</v>
      </c>
      <c r="D84" s="40" t="s">
        <v>306</v>
      </c>
      <c r="E84" s="6">
        <v>4</v>
      </c>
      <c r="F84" s="6" t="s">
        <v>34</v>
      </c>
      <c r="G84" s="18">
        <v>45014</v>
      </c>
      <c r="H84" s="6" t="s">
        <v>74</v>
      </c>
      <c r="I84" s="18" t="s">
        <v>33</v>
      </c>
      <c r="J84" s="6">
        <f>IFERROR(VLOOKUP(I84,Jueces!$A$1:$B$11,2,FALSE),"")</f>
        <v>4</v>
      </c>
      <c r="K84" s="6" t="s">
        <v>134</v>
      </c>
      <c r="L84" s="6" t="s">
        <v>287</v>
      </c>
    </row>
    <row r="85" spans="1:12" ht="30" customHeight="1" x14ac:dyDescent="0.2">
      <c r="A85" s="176" t="str">
        <f t="shared" si="2"/>
        <v>30/03/yyyy1</v>
      </c>
      <c r="B85" s="169">
        <f t="shared" si="3"/>
        <v>1</v>
      </c>
      <c r="C85" s="6" t="s">
        <v>318</v>
      </c>
      <c r="D85" s="40" t="s">
        <v>319</v>
      </c>
      <c r="E85" s="6">
        <v>4</v>
      </c>
      <c r="F85" s="6" t="s">
        <v>1441</v>
      </c>
      <c r="G85" s="18">
        <v>45015</v>
      </c>
      <c r="H85" s="6" t="s">
        <v>73</v>
      </c>
      <c r="I85" s="18" t="s">
        <v>31</v>
      </c>
      <c r="J85" s="6">
        <f>IFERROR(VLOOKUP(I85,Jueces!$A$1:$B$11,2,FALSE),"")</f>
        <v>2</v>
      </c>
      <c r="K85" s="6" t="s">
        <v>303</v>
      </c>
      <c r="L85" s="6" t="s">
        <v>287</v>
      </c>
    </row>
    <row r="86" spans="1:12" ht="30" customHeight="1" x14ac:dyDescent="0.2">
      <c r="A86" s="176" t="str">
        <f t="shared" si="2"/>
        <v>30/03/yyyy2</v>
      </c>
      <c r="B86" s="169">
        <f t="shared" si="3"/>
        <v>2</v>
      </c>
      <c r="C86" s="6" t="s">
        <v>274</v>
      </c>
      <c r="D86" s="40" t="s">
        <v>275</v>
      </c>
      <c r="E86" s="6">
        <v>4</v>
      </c>
      <c r="F86" s="6" t="s">
        <v>34</v>
      </c>
      <c r="G86" s="18">
        <v>45015</v>
      </c>
      <c r="H86" s="6" t="s">
        <v>73</v>
      </c>
      <c r="I86" s="18" t="s">
        <v>78</v>
      </c>
      <c r="J86" s="6">
        <f>IFERROR(VLOOKUP(I86,Jueces!$A$1:$B$11,2,FALSE),"")</f>
        <v>8</v>
      </c>
      <c r="K86" s="6" t="s">
        <v>304</v>
      </c>
      <c r="L86" s="6" t="s">
        <v>285</v>
      </c>
    </row>
    <row r="87" spans="1:12" ht="30" customHeight="1" x14ac:dyDescent="0.2">
      <c r="A87" s="176" t="str">
        <f t="shared" si="2"/>
        <v>31/03/yyyy1</v>
      </c>
      <c r="B87" s="169">
        <f t="shared" si="3"/>
        <v>1</v>
      </c>
      <c r="C87" s="6" t="s">
        <v>308</v>
      </c>
      <c r="D87" s="40" t="s">
        <v>683</v>
      </c>
      <c r="E87" s="6">
        <v>3</v>
      </c>
      <c r="F87" s="6" t="s">
        <v>32</v>
      </c>
      <c r="G87" s="18">
        <v>45016</v>
      </c>
      <c r="H87" s="6" t="s">
        <v>73</v>
      </c>
      <c r="I87" s="18" t="s">
        <v>35</v>
      </c>
      <c r="J87" s="6">
        <f>IFERROR(VLOOKUP(I87,Jueces!$A$1:$B$11,2,FALSE),"")</f>
        <v>3</v>
      </c>
      <c r="K87" s="6" t="s">
        <v>315</v>
      </c>
      <c r="L87" s="6" t="s">
        <v>307</v>
      </c>
    </row>
    <row r="88" spans="1:12" ht="30" customHeight="1" x14ac:dyDescent="0.2">
      <c r="A88" s="176" t="str">
        <f t="shared" si="2"/>
        <v>31/03/yyyy2</v>
      </c>
      <c r="B88" s="169">
        <f t="shared" si="3"/>
        <v>2</v>
      </c>
      <c r="C88" s="6" t="s">
        <v>467</v>
      </c>
      <c r="D88" s="40" t="s">
        <v>468</v>
      </c>
      <c r="E88" s="6">
        <v>4</v>
      </c>
      <c r="F88" s="6" t="s">
        <v>43</v>
      </c>
      <c r="G88" s="18">
        <v>45016</v>
      </c>
      <c r="H88" s="6" t="s">
        <v>73</v>
      </c>
      <c r="I88" s="18" t="s">
        <v>33</v>
      </c>
      <c r="J88" s="6">
        <f>IFERROR(VLOOKUP(I88,Jueces!$A$1:$B$11,2,FALSE),"")</f>
        <v>4</v>
      </c>
      <c r="K88" s="6" t="s">
        <v>411</v>
      </c>
      <c r="L88" s="6" t="s">
        <v>287</v>
      </c>
    </row>
    <row r="89" spans="1:12" ht="30" customHeight="1" x14ac:dyDescent="0.2">
      <c r="A89" s="176" t="str">
        <f t="shared" si="2"/>
        <v>31/03/yyyy3</v>
      </c>
      <c r="B89" s="169">
        <f t="shared" si="3"/>
        <v>3</v>
      </c>
      <c r="C89" s="6" t="s">
        <v>331</v>
      </c>
      <c r="D89" s="40" t="s">
        <v>332</v>
      </c>
      <c r="E89" s="6">
        <v>4</v>
      </c>
      <c r="F89" s="6" t="s">
        <v>34</v>
      </c>
      <c r="G89" s="18">
        <v>45016</v>
      </c>
      <c r="H89" s="6" t="s">
        <v>76</v>
      </c>
      <c r="I89" s="18" t="s">
        <v>33</v>
      </c>
      <c r="J89" s="6">
        <f>IFERROR(VLOOKUP(I89,Jueces!$A$1:$B$11,2,FALSE),"")</f>
        <v>4</v>
      </c>
      <c r="K89" s="6" t="s">
        <v>303</v>
      </c>
      <c r="L89" s="6" t="s">
        <v>287</v>
      </c>
    </row>
    <row r="90" spans="1:12" ht="30" customHeight="1" x14ac:dyDescent="0.2">
      <c r="A90" s="176" t="str">
        <f t="shared" si="2"/>
        <v>03/04/yyyy1</v>
      </c>
      <c r="B90" s="169">
        <f t="shared" si="3"/>
        <v>1</v>
      </c>
      <c r="C90" s="6" t="s">
        <v>250</v>
      </c>
      <c r="D90" s="40" t="s">
        <v>252</v>
      </c>
      <c r="E90" s="6">
        <v>3</v>
      </c>
      <c r="F90" s="6" t="s">
        <v>29</v>
      </c>
      <c r="G90" s="18">
        <v>45019</v>
      </c>
      <c r="H90" s="6" t="s">
        <v>73</v>
      </c>
      <c r="I90" s="18" t="s">
        <v>35</v>
      </c>
      <c r="J90" s="6">
        <f>IFERROR(VLOOKUP(I90,Jueces!$A$1:$B$11,2,FALSE),"")</f>
        <v>3</v>
      </c>
      <c r="K90" s="6" t="s">
        <v>289</v>
      </c>
      <c r="L90" s="6" t="s">
        <v>273</v>
      </c>
    </row>
    <row r="91" spans="1:12" ht="30" customHeight="1" x14ac:dyDescent="0.2">
      <c r="A91" s="176" t="str">
        <f t="shared" si="2"/>
        <v>03/04/yyyy2</v>
      </c>
      <c r="B91" s="169">
        <f t="shared" si="3"/>
        <v>2</v>
      </c>
      <c r="C91" s="6" t="s">
        <v>387</v>
      </c>
      <c r="D91" s="40" t="s">
        <v>390</v>
      </c>
      <c r="E91" s="6">
        <v>4</v>
      </c>
      <c r="F91" s="6" t="s">
        <v>1441</v>
      </c>
      <c r="G91" s="18">
        <v>45019</v>
      </c>
      <c r="H91" s="6" t="s">
        <v>73</v>
      </c>
      <c r="I91" s="18" t="s">
        <v>33</v>
      </c>
      <c r="J91" s="6">
        <f>IFERROR(VLOOKUP(I91,Jueces!$A$1:$B$11,2,FALSE),"")</f>
        <v>4</v>
      </c>
      <c r="K91" s="6" t="s">
        <v>405</v>
      </c>
      <c r="L91" s="6" t="s">
        <v>363</v>
      </c>
    </row>
    <row r="92" spans="1:12" ht="30" customHeight="1" x14ac:dyDescent="0.2">
      <c r="A92" s="176" t="str">
        <f t="shared" si="2"/>
        <v>03/04/yyyy3</v>
      </c>
      <c r="B92" s="169">
        <f t="shared" si="3"/>
        <v>3</v>
      </c>
      <c r="C92" s="6" t="s">
        <v>471</v>
      </c>
      <c r="D92" s="40" t="s">
        <v>325</v>
      </c>
      <c r="E92" s="6">
        <v>3</v>
      </c>
      <c r="F92" s="6" t="s">
        <v>43</v>
      </c>
      <c r="G92" s="18">
        <v>45019</v>
      </c>
      <c r="H92" s="6" t="s">
        <v>76</v>
      </c>
      <c r="I92" s="18" t="s">
        <v>31</v>
      </c>
      <c r="J92" s="6">
        <f>IFERROR(VLOOKUP(I92,Jueces!$A$1:$B$11,2,FALSE),"")</f>
        <v>2</v>
      </c>
      <c r="K92" s="6" t="s">
        <v>301</v>
      </c>
      <c r="L92" s="6" t="s">
        <v>302</v>
      </c>
    </row>
    <row r="93" spans="1:12" ht="30" customHeight="1" x14ac:dyDescent="0.2">
      <c r="A93" s="176" t="str">
        <f t="shared" si="2"/>
        <v>03/04/yyyy4</v>
      </c>
      <c r="B93" s="169">
        <f t="shared" si="3"/>
        <v>4</v>
      </c>
      <c r="C93" s="6" t="s">
        <v>333</v>
      </c>
      <c r="D93" s="40" t="s">
        <v>334</v>
      </c>
      <c r="E93" s="6">
        <v>3</v>
      </c>
      <c r="F93" s="6" t="s">
        <v>283</v>
      </c>
      <c r="G93" s="18">
        <v>45019</v>
      </c>
      <c r="H93" s="6" t="s">
        <v>75</v>
      </c>
      <c r="I93" s="18" t="s">
        <v>31</v>
      </c>
      <c r="J93" s="6">
        <f>IFERROR(VLOOKUP(I93,Jueces!$A$1:$B$11,2,FALSE),"")</f>
        <v>2</v>
      </c>
      <c r="K93" s="6" t="s">
        <v>315</v>
      </c>
      <c r="L93" s="6" t="s">
        <v>586</v>
      </c>
    </row>
    <row r="94" spans="1:12" ht="30" customHeight="1" x14ac:dyDescent="0.2">
      <c r="A94" s="176" t="str">
        <f t="shared" si="2"/>
        <v>03/04/yyyy5</v>
      </c>
      <c r="B94" s="169">
        <f t="shared" si="3"/>
        <v>5</v>
      </c>
      <c r="C94" s="6" t="s">
        <v>329</v>
      </c>
      <c r="D94" s="40" t="s">
        <v>328</v>
      </c>
      <c r="E94" s="6">
        <v>4</v>
      </c>
      <c r="F94" s="6" t="s">
        <v>34</v>
      </c>
      <c r="G94" s="18">
        <v>45019</v>
      </c>
      <c r="H94" s="6" t="s">
        <v>228</v>
      </c>
      <c r="I94" s="18" t="s">
        <v>33</v>
      </c>
      <c r="J94" s="6">
        <f>IFERROR(VLOOKUP(I94,Jueces!$A$1:$B$11,2,FALSE),"")</f>
        <v>4</v>
      </c>
      <c r="K94" s="6" t="s">
        <v>304</v>
      </c>
      <c r="L94" s="6" t="s">
        <v>287</v>
      </c>
    </row>
    <row r="95" spans="1:12" ht="30" customHeight="1" x14ac:dyDescent="0.2">
      <c r="A95" s="176" t="str">
        <f t="shared" si="2"/>
        <v>04/04/yyyy1</v>
      </c>
      <c r="B95" s="169">
        <f t="shared" si="3"/>
        <v>1</v>
      </c>
      <c r="C95" s="6" t="s">
        <v>222</v>
      </c>
      <c r="D95" s="40" t="s">
        <v>223</v>
      </c>
      <c r="E95" s="6">
        <v>4</v>
      </c>
      <c r="F95" s="6" t="s">
        <v>283</v>
      </c>
      <c r="G95" s="18">
        <v>45020</v>
      </c>
      <c r="H95" s="6" t="s">
        <v>73</v>
      </c>
      <c r="I95" s="18" t="s">
        <v>78</v>
      </c>
      <c r="J95" s="6">
        <f>IFERROR(VLOOKUP(I95,Jueces!$A$1:$B$11,2,FALSE),"")</f>
        <v>8</v>
      </c>
      <c r="K95" s="6" t="s">
        <v>249</v>
      </c>
      <c r="L95" s="6" t="s">
        <v>580</v>
      </c>
    </row>
    <row r="96" spans="1:12" ht="30" customHeight="1" x14ac:dyDescent="0.2">
      <c r="A96" s="176" t="str">
        <f t="shared" si="2"/>
        <v>04/04/yyyy2</v>
      </c>
      <c r="B96" s="169">
        <f t="shared" si="3"/>
        <v>2</v>
      </c>
      <c r="C96" s="6" t="s">
        <v>340</v>
      </c>
      <c r="D96" s="40" t="s">
        <v>346</v>
      </c>
      <c r="E96" s="6">
        <v>4</v>
      </c>
      <c r="F96" s="6" t="s">
        <v>29</v>
      </c>
      <c r="G96" s="18">
        <v>45020</v>
      </c>
      <c r="H96" s="6" t="s">
        <v>76</v>
      </c>
      <c r="I96" s="18" t="s">
        <v>31</v>
      </c>
      <c r="J96" s="6">
        <f>IFERROR(VLOOKUP(I96,Jueces!$A$1:$B$11,2,FALSE),"")</f>
        <v>2</v>
      </c>
      <c r="K96" s="6" t="s">
        <v>364</v>
      </c>
      <c r="L96" s="6" t="s">
        <v>287</v>
      </c>
    </row>
    <row r="97" spans="1:12" ht="30" customHeight="1" x14ac:dyDescent="0.2">
      <c r="A97" s="176" t="str">
        <f t="shared" si="2"/>
        <v>05/04/yyyy1</v>
      </c>
      <c r="B97" s="169">
        <f t="shared" si="3"/>
        <v>1</v>
      </c>
      <c r="C97" s="6" t="s">
        <v>335</v>
      </c>
      <c r="D97" s="40" t="s">
        <v>336</v>
      </c>
      <c r="E97" s="6">
        <v>4</v>
      </c>
      <c r="F97" s="6" t="s">
        <v>1441</v>
      </c>
      <c r="G97" s="18">
        <v>45021</v>
      </c>
      <c r="H97" s="6" t="s">
        <v>73</v>
      </c>
      <c r="I97" s="18" t="s">
        <v>31</v>
      </c>
      <c r="J97" s="6">
        <f>IFERROR(VLOOKUP(I97,Jueces!$A$1:$B$11,2,FALSE),"")</f>
        <v>2</v>
      </c>
      <c r="K97" s="6" t="s">
        <v>134</v>
      </c>
      <c r="L97" s="6" t="s">
        <v>287</v>
      </c>
    </row>
    <row r="98" spans="1:12" ht="30" customHeight="1" x14ac:dyDescent="0.2">
      <c r="A98" s="176" t="str">
        <f t="shared" si="2"/>
        <v>05/04/yyyy2</v>
      </c>
      <c r="B98" s="169">
        <f t="shared" si="3"/>
        <v>2</v>
      </c>
      <c r="C98" s="6" t="s">
        <v>385</v>
      </c>
      <c r="D98" s="40" t="s">
        <v>388</v>
      </c>
      <c r="E98" s="6">
        <v>4</v>
      </c>
      <c r="F98" s="6" t="s">
        <v>34</v>
      </c>
      <c r="G98" s="18">
        <v>45021</v>
      </c>
      <c r="H98" s="6" t="s">
        <v>73</v>
      </c>
      <c r="I98" s="18" t="s">
        <v>78</v>
      </c>
      <c r="J98" s="6">
        <f>IFERROR(VLOOKUP(I98,Jueces!$A$1:$B$11,2,FALSE),"")</f>
        <v>8</v>
      </c>
      <c r="K98" s="6" t="s">
        <v>392</v>
      </c>
      <c r="L98" s="6" t="s">
        <v>377</v>
      </c>
    </row>
    <row r="99" spans="1:12" ht="30" customHeight="1" x14ac:dyDescent="0.2">
      <c r="A99" s="176" t="str">
        <f t="shared" si="2"/>
        <v>05/04/yyyy3</v>
      </c>
      <c r="B99" s="169">
        <f t="shared" si="3"/>
        <v>3</v>
      </c>
      <c r="C99" s="6" t="s">
        <v>373</v>
      </c>
      <c r="D99" s="40" t="s">
        <v>374</v>
      </c>
      <c r="E99" s="6">
        <v>4</v>
      </c>
      <c r="F99" s="6" t="s">
        <v>1441</v>
      </c>
      <c r="G99" s="18">
        <v>45021</v>
      </c>
      <c r="H99" s="6" t="s">
        <v>76</v>
      </c>
      <c r="I99" s="18" t="s">
        <v>31</v>
      </c>
      <c r="J99" s="6">
        <f>IFERROR(VLOOKUP(I99,Jueces!$A$1:$B$11,2,FALSE),"")</f>
        <v>2</v>
      </c>
      <c r="K99" s="6" t="s">
        <v>375</v>
      </c>
      <c r="L99" s="6" t="s">
        <v>377</v>
      </c>
    </row>
    <row r="100" spans="1:12" ht="30" customHeight="1" x14ac:dyDescent="0.2">
      <c r="A100" s="176" t="str">
        <f t="shared" si="2"/>
        <v>10/04/yyyy1</v>
      </c>
      <c r="B100" s="169">
        <f t="shared" si="3"/>
        <v>1</v>
      </c>
      <c r="C100" s="6" t="s">
        <v>491</v>
      </c>
      <c r="D100" s="40" t="s">
        <v>490</v>
      </c>
      <c r="E100" s="6">
        <v>4</v>
      </c>
      <c r="F100" s="6" t="s">
        <v>32</v>
      </c>
      <c r="G100" s="18">
        <v>45026</v>
      </c>
      <c r="H100" s="6" t="s">
        <v>73</v>
      </c>
      <c r="I100" s="18" t="s">
        <v>33</v>
      </c>
      <c r="J100" s="6">
        <f>IFERROR(VLOOKUP(I100,Jueces!$A$1:$B$11,2,FALSE),"")</f>
        <v>4</v>
      </c>
      <c r="K100" s="6" t="s">
        <v>528</v>
      </c>
      <c r="L100" s="6" t="s">
        <v>363</v>
      </c>
    </row>
    <row r="101" spans="1:12" ht="30" customHeight="1" x14ac:dyDescent="0.2">
      <c r="A101" s="176" t="str">
        <f t="shared" si="2"/>
        <v>10/04/yyyy2</v>
      </c>
      <c r="B101" s="169">
        <f t="shared" si="3"/>
        <v>2</v>
      </c>
      <c r="C101" s="6" t="s">
        <v>417</v>
      </c>
      <c r="D101" s="40" t="s">
        <v>443</v>
      </c>
      <c r="E101" s="6">
        <v>4</v>
      </c>
      <c r="F101" s="6" t="s">
        <v>43</v>
      </c>
      <c r="G101" s="18">
        <v>45026</v>
      </c>
      <c r="H101" s="6" t="s">
        <v>73</v>
      </c>
      <c r="I101" s="18" t="s">
        <v>31</v>
      </c>
      <c r="J101" s="6">
        <f>IFERROR(VLOOKUP(I101,Jueces!$A$1:$B$11,2,FALSE),"")</f>
        <v>2</v>
      </c>
      <c r="K101" s="6" t="s">
        <v>313</v>
      </c>
      <c r="L101" s="6" t="s">
        <v>377</v>
      </c>
    </row>
    <row r="102" spans="1:12" ht="30" customHeight="1" x14ac:dyDescent="0.2">
      <c r="A102" s="176" t="str">
        <f t="shared" si="2"/>
        <v>10/04/yyyy3</v>
      </c>
      <c r="B102" s="169">
        <f t="shared" si="3"/>
        <v>3</v>
      </c>
      <c r="C102" s="6" t="s">
        <v>339</v>
      </c>
      <c r="D102" s="40" t="s">
        <v>345</v>
      </c>
      <c r="E102" s="6">
        <v>4</v>
      </c>
      <c r="F102" s="6" t="s">
        <v>29</v>
      </c>
      <c r="G102" s="18">
        <v>45026</v>
      </c>
      <c r="H102" s="6" t="s">
        <v>73</v>
      </c>
      <c r="I102" s="18" t="s">
        <v>35</v>
      </c>
      <c r="J102" s="6">
        <f>IFERROR(VLOOKUP(I102,Jueces!$A$1:$B$11,2,FALSE),"")</f>
        <v>3</v>
      </c>
      <c r="K102" s="6" t="s">
        <v>134</v>
      </c>
      <c r="L102" s="6" t="s">
        <v>363</v>
      </c>
    </row>
    <row r="103" spans="1:12" ht="30" customHeight="1" x14ac:dyDescent="0.2">
      <c r="A103" s="176" t="str">
        <f t="shared" si="2"/>
        <v>10/04/yyyy4</v>
      </c>
      <c r="B103" s="169">
        <f t="shared" si="3"/>
        <v>4</v>
      </c>
      <c r="C103" s="6" t="s">
        <v>351</v>
      </c>
      <c r="D103" s="40" t="s">
        <v>352</v>
      </c>
      <c r="E103" s="6">
        <v>4</v>
      </c>
      <c r="F103" s="6" t="s">
        <v>283</v>
      </c>
      <c r="G103" s="18">
        <v>45026</v>
      </c>
      <c r="H103" s="6" t="s">
        <v>73</v>
      </c>
      <c r="I103" s="18" t="s">
        <v>33</v>
      </c>
      <c r="J103" s="6">
        <f>IFERROR(VLOOKUP(I103,Jueces!$A$1:$B$11,2,FALSE),"")</f>
        <v>4</v>
      </c>
      <c r="K103" s="6" t="s">
        <v>368</v>
      </c>
      <c r="L103" s="6" t="s">
        <v>287</v>
      </c>
    </row>
    <row r="104" spans="1:12" ht="30" customHeight="1" x14ac:dyDescent="0.2">
      <c r="A104" s="176" t="str">
        <f t="shared" si="2"/>
        <v>10/04/yyyy5</v>
      </c>
      <c r="B104" s="169">
        <f t="shared" si="3"/>
        <v>5</v>
      </c>
      <c r="C104" s="6" t="s">
        <v>386</v>
      </c>
      <c r="D104" s="40" t="s">
        <v>389</v>
      </c>
      <c r="E104" s="6">
        <v>4</v>
      </c>
      <c r="F104" s="6" t="s">
        <v>1441</v>
      </c>
      <c r="G104" s="18">
        <v>45026</v>
      </c>
      <c r="H104" s="6" t="s">
        <v>76</v>
      </c>
      <c r="I104" s="18" t="s">
        <v>78</v>
      </c>
      <c r="J104" s="6">
        <f>IFERROR(VLOOKUP(I104,Jueces!$A$1:$B$11,2,FALSE),"")</f>
        <v>8</v>
      </c>
      <c r="K104" s="6" t="s">
        <v>303</v>
      </c>
      <c r="L104" s="6" t="s">
        <v>363</v>
      </c>
    </row>
    <row r="105" spans="1:12" ht="30" customHeight="1" x14ac:dyDescent="0.2">
      <c r="A105" s="176" t="str">
        <f t="shared" si="2"/>
        <v>10/04/yyyy6</v>
      </c>
      <c r="B105" s="169">
        <f t="shared" si="3"/>
        <v>6</v>
      </c>
      <c r="C105" s="6" t="s">
        <v>446</v>
      </c>
      <c r="D105" s="40" t="s">
        <v>588</v>
      </c>
      <c r="E105" s="6">
        <v>4</v>
      </c>
      <c r="F105" s="6" t="s">
        <v>34</v>
      </c>
      <c r="G105" s="18">
        <v>45026</v>
      </c>
      <c r="H105" s="6" t="s">
        <v>76</v>
      </c>
      <c r="I105" s="18" t="s">
        <v>35</v>
      </c>
      <c r="J105" s="6">
        <f>IFERROR(VLOOKUP(I105,Jueces!$A$1:$B$11,2,FALSE),"")</f>
        <v>3</v>
      </c>
      <c r="K105" s="6" t="s">
        <v>326</v>
      </c>
      <c r="L105" s="6" t="s">
        <v>377</v>
      </c>
    </row>
    <row r="106" spans="1:12" ht="30" customHeight="1" x14ac:dyDescent="0.2">
      <c r="A106" s="176" t="str">
        <f t="shared" si="2"/>
        <v>11/04/yyyy1</v>
      </c>
      <c r="B106" s="169">
        <f t="shared" si="3"/>
        <v>1</v>
      </c>
      <c r="C106" s="6" t="s">
        <v>341</v>
      </c>
      <c r="D106" s="40" t="s">
        <v>347</v>
      </c>
      <c r="E106" s="6">
        <v>4</v>
      </c>
      <c r="F106" s="6" t="s">
        <v>32</v>
      </c>
      <c r="G106" s="18">
        <v>45027</v>
      </c>
      <c r="H106" s="6" t="s">
        <v>73</v>
      </c>
      <c r="I106" s="18" t="s">
        <v>35</v>
      </c>
      <c r="J106" s="6">
        <f>IFERROR(VLOOKUP(I106,Jueces!$A$1:$B$11,2,FALSE),"")</f>
        <v>3</v>
      </c>
      <c r="K106" s="6" t="s">
        <v>289</v>
      </c>
      <c r="L106" s="6" t="s">
        <v>307</v>
      </c>
    </row>
    <row r="107" spans="1:12" ht="30" customHeight="1" x14ac:dyDescent="0.2">
      <c r="A107" s="176" t="str">
        <f t="shared" si="2"/>
        <v>11/04/yyyy2</v>
      </c>
      <c r="B107" s="169">
        <f t="shared" si="3"/>
        <v>2</v>
      </c>
      <c r="C107" s="6" t="s">
        <v>343</v>
      </c>
      <c r="D107" s="40" t="s">
        <v>349</v>
      </c>
      <c r="E107" s="6">
        <v>4</v>
      </c>
      <c r="F107" s="6" t="s">
        <v>43</v>
      </c>
      <c r="G107" s="18">
        <v>45027</v>
      </c>
      <c r="H107" s="6" t="s">
        <v>73</v>
      </c>
      <c r="I107" s="18" t="s">
        <v>31</v>
      </c>
      <c r="J107" s="6">
        <f>IFERROR(VLOOKUP(I107,Jueces!$A$1:$B$11,2,FALSE),"")</f>
        <v>2</v>
      </c>
      <c r="K107" s="6" t="s">
        <v>366</v>
      </c>
      <c r="L107" s="6" t="s">
        <v>287</v>
      </c>
    </row>
    <row r="108" spans="1:12" ht="30" customHeight="1" x14ac:dyDescent="0.2">
      <c r="A108" s="176" t="str">
        <f t="shared" si="2"/>
        <v>11/04/yyyy3</v>
      </c>
      <c r="B108" s="169">
        <f t="shared" si="3"/>
        <v>3</v>
      </c>
      <c r="C108" s="6" t="s">
        <v>395</v>
      </c>
      <c r="D108" s="40" t="s">
        <v>396</v>
      </c>
      <c r="E108" s="6">
        <v>4</v>
      </c>
      <c r="F108" s="6" t="s">
        <v>34</v>
      </c>
      <c r="G108" s="18">
        <v>45027</v>
      </c>
      <c r="H108" s="6" t="s">
        <v>73</v>
      </c>
      <c r="I108" s="18" t="s">
        <v>78</v>
      </c>
      <c r="J108" s="6">
        <f>IFERROR(VLOOKUP(I108,Jueces!$A$1:$B$11,2,FALSE),"")</f>
        <v>8</v>
      </c>
      <c r="K108" s="6" t="s">
        <v>401</v>
      </c>
      <c r="L108" s="6" t="s">
        <v>363</v>
      </c>
    </row>
    <row r="109" spans="1:12" ht="30" customHeight="1" x14ac:dyDescent="0.2">
      <c r="A109" s="176" t="str">
        <f t="shared" si="2"/>
        <v>12/04/yyyy1</v>
      </c>
      <c r="B109" s="169">
        <f t="shared" si="3"/>
        <v>1</v>
      </c>
      <c r="C109" s="6" t="s">
        <v>604</v>
      </c>
      <c r="D109" s="40" t="s">
        <v>603</v>
      </c>
      <c r="E109" s="6">
        <v>4</v>
      </c>
      <c r="F109" s="6" t="s">
        <v>568</v>
      </c>
      <c r="G109" s="18">
        <v>45028</v>
      </c>
      <c r="H109" s="6" t="s">
        <v>73</v>
      </c>
      <c r="I109" s="18" t="s">
        <v>35</v>
      </c>
      <c r="J109" s="6">
        <f>IFERROR(VLOOKUP(I109,Jueces!$A$1:$B$11,2,FALSE),"")</f>
        <v>3</v>
      </c>
      <c r="K109" s="6" t="s">
        <v>413</v>
      </c>
      <c r="L109" s="6" t="s">
        <v>602</v>
      </c>
    </row>
    <row r="110" spans="1:12" ht="30" customHeight="1" x14ac:dyDescent="0.2">
      <c r="A110" s="176" t="str">
        <f t="shared" si="2"/>
        <v>12/04/yyyy2</v>
      </c>
      <c r="B110" s="169">
        <f t="shared" si="3"/>
        <v>2</v>
      </c>
      <c r="C110" s="6" t="s">
        <v>544</v>
      </c>
      <c r="D110" s="40" t="s">
        <v>538</v>
      </c>
      <c r="E110" s="6">
        <v>4</v>
      </c>
      <c r="F110" s="6" t="s">
        <v>1441</v>
      </c>
      <c r="G110" s="18">
        <v>45028</v>
      </c>
      <c r="H110" s="6" t="s">
        <v>73</v>
      </c>
      <c r="I110" s="18" t="s">
        <v>35</v>
      </c>
      <c r="J110" s="6">
        <f>IFERROR(VLOOKUP(I110,Jueces!$A$1:$B$11,2,FALSE),"")</f>
        <v>3</v>
      </c>
      <c r="K110" s="6" t="s">
        <v>142</v>
      </c>
      <c r="L110" s="6" t="s">
        <v>363</v>
      </c>
    </row>
    <row r="111" spans="1:12" ht="30" customHeight="1" x14ac:dyDescent="0.2">
      <c r="A111" s="176" t="str">
        <f t="shared" si="2"/>
        <v>12/04/yyyy3</v>
      </c>
      <c r="B111" s="169">
        <f t="shared" si="3"/>
        <v>3</v>
      </c>
      <c r="C111" s="6" t="s">
        <v>378</v>
      </c>
      <c r="D111" s="40" t="s">
        <v>376</v>
      </c>
      <c r="E111" s="6">
        <v>4</v>
      </c>
      <c r="F111" s="6" t="s">
        <v>32</v>
      </c>
      <c r="G111" s="18">
        <v>45028</v>
      </c>
      <c r="H111" s="6" t="s">
        <v>73</v>
      </c>
      <c r="I111" s="18" t="s">
        <v>33</v>
      </c>
      <c r="J111" s="6">
        <f>IFERROR(VLOOKUP(I111,Jueces!$A$1:$B$11,2,FALSE),"")</f>
        <v>4</v>
      </c>
      <c r="K111" s="6" t="s">
        <v>313</v>
      </c>
      <c r="L111" s="6" t="s">
        <v>287</v>
      </c>
    </row>
    <row r="112" spans="1:12" ht="30" customHeight="1" x14ac:dyDescent="0.2">
      <c r="A112" s="176" t="str">
        <f t="shared" si="2"/>
        <v>12/04/yyyy4</v>
      </c>
      <c r="B112" s="169">
        <f t="shared" si="3"/>
        <v>4</v>
      </c>
      <c r="C112" s="6" t="s">
        <v>408</v>
      </c>
      <c r="D112" s="40" t="s">
        <v>404</v>
      </c>
      <c r="E112" s="6">
        <v>4</v>
      </c>
      <c r="F112" s="6" t="s">
        <v>29</v>
      </c>
      <c r="G112" s="18">
        <v>45028</v>
      </c>
      <c r="H112" s="6" t="s">
        <v>73</v>
      </c>
      <c r="I112" s="18" t="s">
        <v>78</v>
      </c>
      <c r="J112" s="6">
        <f>IFERROR(VLOOKUP(I112,Jueces!$A$1:$B$11,2,FALSE),"")</f>
        <v>8</v>
      </c>
      <c r="K112" s="6" t="s">
        <v>406</v>
      </c>
      <c r="L112" s="6" t="s">
        <v>407</v>
      </c>
    </row>
    <row r="113" spans="1:12" ht="30" customHeight="1" x14ac:dyDescent="0.2">
      <c r="A113" s="176" t="str">
        <f t="shared" si="2"/>
        <v>13/04/yyyy1</v>
      </c>
      <c r="B113" s="169">
        <f t="shared" si="3"/>
        <v>1</v>
      </c>
      <c r="C113" s="6" t="s">
        <v>402</v>
      </c>
      <c r="D113" s="40" t="s">
        <v>403</v>
      </c>
      <c r="E113" s="6">
        <v>4</v>
      </c>
      <c r="F113" s="6" t="s">
        <v>32</v>
      </c>
      <c r="G113" s="18">
        <v>45029</v>
      </c>
      <c r="H113" s="6" t="s">
        <v>73</v>
      </c>
      <c r="I113" s="18" t="s">
        <v>35</v>
      </c>
      <c r="J113" s="6">
        <f>IFERROR(VLOOKUP(I113,Jueces!$A$1:$B$11,2,FALSE),"")</f>
        <v>3</v>
      </c>
      <c r="K113" s="6" t="s">
        <v>102</v>
      </c>
      <c r="L113" s="6" t="s">
        <v>363</v>
      </c>
    </row>
    <row r="114" spans="1:12" ht="30" customHeight="1" x14ac:dyDescent="0.2">
      <c r="A114" s="176" t="str">
        <f t="shared" si="2"/>
        <v>13/04/yyyy2</v>
      </c>
      <c r="B114" s="169">
        <f t="shared" si="3"/>
        <v>2</v>
      </c>
      <c r="C114" s="6" t="s">
        <v>323</v>
      </c>
      <c r="D114" s="40" t="s">
        <v>633</v>
      </c>
      <c r="E114" s="6">
        <v>4</v>
      </c>
      <c r="F114" s="6" t="s">
        <v>43</v>
      </c>
      <c r="G114" s="18">
        <v>45029</v>
      </c>
      <c r="H114" s="6" t="s">
        <v>73</v>
      </c>
      <c r="I114" s="18" t="s">
        <v>31</v>
      </c>
      <c r="J114" s="6">
        <f>IFERROR(VLOOKUP(I114,Jueces!$A$1:$B$11,2,FALSE),"")</f>
        <v>2</v>
      </c>
      <c r="K114" s="6" t="s">
        <v>330</v>
      </c>
      <c r="L114" s="6" t="s">
        <v>287</v>
      </c>
    </row>
    <row r="115" spans="1:12" ht="30" customHeight="1" x14ac:dyDescent="0.2">
      <c r="A115" s="176" t="str">
        <f t="shared" si="2"/>
        <v>13/04/yyyy3</v>
      </c>
      <c r="B115" s="169">
        <f t="shared" si="3"/>
        <v>3</v>
      </c>
      <c r="C115" s="6" t="s">
        <v>489</v>
      </c>
      <c r="D115" s="40" t="s">
        <v>541</v>
      </c>
      <c r="E115" s="6">
        <v>4</v>
      </c>
      <c r="F115" s="6" t="s">
        <v>29</v>
      </c>
      <c r="G115" s="18">
        <v>45029</v>
      </c>
      <c r="H115" s="6" t="s">
        <v>76</v>
      </c>
      <c r="I115" s="18" t="s">
        <v>35</v>
      </c>
      <c r="J115" s="6">
        <f>IFERROR(VLOOKUP(I115,Jueces!$A$1:$B$11,2,FALSE),"")</f>
        <v>3</v>
      </c>
      <c r="K115" s="6" t="s">
        <v>313</v>
      </c>
      <c r="L115" s="6" t="s">
        <v>634</v>
      </c>
    </row>
    <row r="116" spans="1:12" ht="30" customHeight="1" x14ac:dyDescent="0.2">
      <c r="A116" s="176" t="str">
        <f t="shared" si="2"/>
        <v>13/04/yyyy4</v>
      </c>
      <c r="B116" s="169">
        <f t="shared" si="3"/>
        <v>4</v>
      </c>
      <c r="C116" s="6" t="s">
        <v>441</v>
      </c>
      <c r="D116" s="40" t="s">
        <v>444</v>
      </c>
      <c r="E116" s="6">
        <v>4</v>
      </c>
      <c r="F116" s="6" t="s">
        <v>283</v>
      </c>
      <c r="G116" s="18">
        <v>45029</v>
      </c>
      <c r="H116" s="6" t="s">
        <v>228</v>
      </c>
      <c r="I116" s="18" t="s">
        <v>78</v>
      </c>
      <c r="J116" s="6">
        <f>IFERROR(VLOOKUP(I116,Jueces!$A$1:$B$11,2,FALSE),"")</f>
        <v>8</v>
      </c>
      <c r="K116" s="6" t="s">
        <v>688</v>
      </c>
      <c r="L116" s="6" t="s">
        <v>363</v>
      </c>
    </row>
    <row r="117" spans="1:12" ht="30" customHeight="1" x14ac:dyDescent="0.2">
      <c r="A117" s="176" t="str">
        <f t="shared" si="2"/>
        <v>14/04/yyyy1</v>
      </c>
      <c r="B117" s="169">
        <f t="shared" si="3"/>
        <v>1</v>
      </c>
      <c r="C117" s="6" t="s">
        <v>418</v>
      </c>
      <c r="D117" s="40" t="s">
        <v>421</v>
      </c>
      <c r="E117" s="6">
        <v>4</v>
      </c>
      <c r="F117" s="6" t="s">
        <v>43</v>
      </c>
      <c r="G117" s="18">
        <v>45030</v>
      </c>
      <c r="H117" s="6" t="s">
        <v>73</v>
      </c>
      <c r="I117" s="18" t="s">
        <v>78</v>
      </c>
      <c r="J117" s="6">
        <f>IFERROR(VLOOKUP(I117,Jueces!$A$1:$B$11,2,FALSE),"")</f>
        <v>8</v>
      </c>
      <c r="K117" s="6" t="s">
        <v>192</v>
      </c>
      <c r="L117" s="6" t="s">
        <v>422</v>
      </c>
    </row>
    <row r="118" spans="1:12" ht="30" customHeight="1" x14ac:dyDescent="0.2">
      <c r="A118" s="176" t="str">
        <f t="shared" si="2"/>
        <v>14/04/yyyy2</v>
      </c>
      <c r="B118" s="169">
        <f t="shared" si="3"/>
        <v>2</v>
      </c>
      <c r="C118" s="6" t="s">
        <v>515</v>
      </c>
      <c r="D118" s="40" t="s">
        <v>518</v>
      </c>
      <c r="E118" s="6">
        <v>4</v>
      </c>
      <c r="F118" s="6" t="s">
        <v>29</v>
      </c>
      <c r="G118" s="18">
        <v>45030</v>
      </c>
      <c r="H118" s="6" t="s">
        <v>73</v>
      </c>
      <c r="I118" s="18" t="s">
        <v>35</v>
      </c>
      <c r="J118" s="6">
        <f>IFERROR(VLOOKUP(I118,Jueces!$A$1:$B$11,2,FALSE),"")</f>
        <v>3</v>
      </c>
      <c r="K118" s="6" t="s">
        <v>412</v>
      </c>
      <c r="L118" s="6" t="s">
        <v>638</v>
      </c>
    </row>
    <row r="119" spans="1:12" ht="30" customHeight="1" x14ac:dyDescent="0.2">
      <c r="A119" s="176" t="str">
        <f t="shared" si="2"/>
        <v>14/04/yyyy3</v>
      </c>
      <c r="B119" s="169">
        <f t="shared" si="3"/>
        <v>3</v>
      </c>
      <c r="C119" s="6" t="s">
        <v>539</v>
      </c>
      <c r="D119" s="40" t="s">
        <v>540</v>
      </c>
      <c r="E119" s="6">
        <v>3</v>
      </c>
      <c r="F119" s="6" t="s">
        <v>568</v>
      </c>
      <c r="G119" s="18">
        <v>45030</v>
      </c>
      <c r="H119" s="6" t="s">
        <v>73</v>
      </c>
      <c r="I119" s="18" t="s">
        <v>31</v>
      </c>
      <c r="J119" s="6">
        <f>IFERROR(VLOOKUP(I119,Jueces!$A$1:$B$11,2,FALSE),"")</f>
        <v>2</v>
      </c>
      <c r="K119" s="6" t="s">
        <v>413</v>
      </c>
      <c r="L119" s="6" t="s">
        <v>693</v>
      </c>
    </row>
    <row r="120" spans="1:12" ht="30" customHeight="1" x14ac:dyDescent="0.2">
      <c r="A120" s="176" t="str">
        <f t="shared" si="2"/>
        <v>14/04/yyyy4</v>
      </c>
      <c r="B120" s="169">
        <f t="shared" si="3"/>
        <v>4</v>
      </c>
      <c r="C120" s="6" t="s">
        <v>429</v>
      </c>
      <c r="D120" s="40" t="s">
        <v>646</v>
      </c>
      <c r="E120" s="6">
        <v>4</v>
      </c>
      <c r="F120" s="6" t="s">
        <v>34</v>
      </c>
      <c r="G120" s="18">
        <v>45030</v>
      </c>
      <c r="H120" s="6" t="s">
        <v>76</v>
      </c>
      <c r="I120" s="18" t="s">
        <v>78</v>
      </c>
      <c r="J120" s="6">
        <f>IFERROR(VLOOKUP(I120,Jueces!$A$1:$B$11,2,FALSE),"")</f>
        <v>8</v>
      </c>
      <c r="K120" s="6" t="s">
        <v>247</v>
      </c>
      <c r="L120" s="6" t="s">
        <v>693</v>
      </c>
    </row>
    <row r="121" spans="1:12" ht="30" customHeight="1" x14ac:dyDescent="0.2">
      <c r="A121" s="176" t="str">
        <f t="shared" si="2"/>
        <v>17/04/yyyy1</v>
      </c>
      <c r="B121" s="169">
        <f t="shared" si="3"/>
        <v>1</v>
      </c>
      <c r="C121" s="6" t="s">
        <v>462</v>
      </c>
      <c r="D121" s="40" t="s">
        <v>463</v>
      </c>
      <c r="E121" s="6">
        <v>4</v>
      </c>
      <c r="F121" s="6" t="s">
        <v>34</v>
      </c>
      <c r="G121" s="18">
        <v>45033</v>
      </c>
      <c r="H121" s="6" t="s">
        <v>73</v>
      </c>
      <c r="I121" s="18" t="s">
        <v>33</v>
      </c>
      <c r="J121" s="6">
        <f>IFERROR(VLOOKUP(I121,Jueces!$A$1:$B$11,2,FALSE),"")</f>
        <v>4</v>
      </c>
      <c r="K121" s="6" t="s">
        <v>409</v>
      </c>
      <c r="L121" s="6" t="s">
        <v>694</v>
      </c>
    </row>
    <row r="122" spans="1:12" ht="30" customHeight="1" x14ac:dyDescent="0.2">
      <c r="A122" s="176" t="str">
        <f t="shared" si="2"/>
        <v>17/04/yyyy2</v>
      </c>
      <c r="B122" s="169">
        <f t="shared" si="3"/>
        <v>2</v>
      </c>
      <c r="C122" s="6" t="s">
        <v>498</v>
      </c>
      <c r="D122" s="40" t="s">
        <v>499</v>
      </c>
      <c r="E122" s="6">
        <v>4</v>
      </c>
      <c r="F122" s="6" t="s">
        <v>32</v>
      </c>
      <c r="G122" s="18">
        <v>45033</v>
      </c>
      <c r="H122" s="6" t="s">
        <v>73</v>
      </c>
      <c r="I122" s="18" t="s">
        <v>78</v>
      </c>
      <c r="J122" s="6">
        <f>IFERROR(VLOOKUP(I122,Jueces!$A$1:$B$11,2,FALSE),"")</f>
        <v>8</v>
      </c>
      <c r="K122" s="6" t="s">
        <v>642</v>
      </c>
      <c r="L122" s="6" t="s">
        <v>695</v>
      </c>
    </row>
    <row r="123" spans="1:12" ht="30" customHeight="1" x14ac:dyDescent="0.2">
      <c r="A123" s="176" t="str">
        <f t="shared" si="2"/>
        <v>17/04/yyyy3</v>
      </c>
      <c r="B123" s="169">
        <f t="shared" si="3"/>
        <v>3</v>
      </c>
      <c r="C123" s="6" t="s">
        <v>427</v>
      </c>
      <c r="D123" s="40" t="s">
        <v>428</v>
      </c>
      <c r="E123" s="6">
        <v>4</v>
      </c>
      <c r="F123" s="6" t="s">
        <v>43</v>
      </c>
      <c r="G123" s="18">
        <v>45033</v>
      </c>
      <c r="H123" s="6" t="s">
        <v>228</v>
      </c>
      <c r="I123" s="18" t="s">
        <v>78</v>
      </c>
      <c r="J123" s="6">
        <f>IFERROR(VLOOKUP(I123,Jueces!$A$1:$B$11,2,FALSE),"")</f>
        <v>8</v>
      </c>
      <c r="K123" s="6" t="s">
        <v>247</v>
      </c>
      <c r="L123" s="6" t="s">
        <v>694</v>
      </c>
    </row>
    <row r="124" spans="1:12" ht="30" customHeight="1" x14ac:dyDescent="0.2">
      <c r="A124" s="176" t="str">
        <f t="shared" si="2"/>
        <v>18/04/yyyy1</v>
      </c>
      <c r="B124" s="169">
        <f t="shared" si="3"/>
        <v>1</v>
      </c>
      <c r="C124" s="6" t="s">
        <v>397</v>
      </c>
      <c r="D124" s="40" t="s">
        <v>398</v>
      </c>
      <c r="E124" s="6">
        <v>4</v>
      </c>
      <c r="F124" s="6" t="s">
        <v>283</v>
      </c>
      <c r="G124" s="18">
        <v>45034</v>
      </c>
      <c r="H124" s="6" t="s">
        <v>73</v>
      </c>
      <c r="I124" s="18" t="s">
        <v>33</v>
      </c>
      <c r="J124" s="6">
        <f>IFERROR(VLOOKUP(I124,Jueces!$A$1:$B$11,2,FALSE),"")</f>
        <v>4</v>
      </c>
      <c r="K124" s="6" t="s">
        <v>247</v>
      </c>
      <c r="L124" s="6" t="s">
        <v>695</v>
      </c>
    </row>
    <row r="125" spans="1:12" ht="30" customHeight="1" x14ac:dyDescent="0.2">
      <c r="A125" s="176" t="str">
        <f t="shared" si="2"/>
        <v>18/04/yyyy2</v>
      </c>
      <c r="B125" s="169">
        <f t="shared" si="3"/>
        <v>2</v>
      </c>
      <c r="C125" s="6" t="s">
        <v>464</v>
      </c>
      <c r="D125" s="40" t="s">
        <v>465</v>
      </c>
      <c r="E125" s="6">
        <v>3</v>
      </c>
      <c r="F125" s="6" t="s">
        <v>29</v>
      </c>
      <c r="G125" s="18">
        <v>45034</v>
      </c>
      <c r="H125" s="6" t="s">
        <v>73</v>
      </c>
      <c r="I125" s="18" t="s">
        <v>35</v>
      </c>
      <c r="J125" s="6">
        <f>IFERROR(VLOOKUP(I125,Jueces!$A$1:$B$11,2,FALSE),"")</f>
        <v>3</v>
      </c>
      <c r="K125" s="6" t="s">
        <v>688</v>
      </c>
      <c r="L125" s="6" t="s">
        <v>652</v>
      </c>
    </row>
    <row r="126" spans="1:12" ht="30" customHeight="1" x14ac:dyDescent="0.2">
      <c r="A126" s="176" t="str">
        <f t="shared" si="2"/>
        <v>18/04/yyyy3</v>
      </c>
      <c r="B126" s="169">
        <f t="shared" si="3"/>
        <v>3</v>
      </c>
      <c r="C126" s="6" t="s">
        <v>470</v>
      </c>
      <c r="D126" s="40" t="s">
        <v>647</v>
      </c>
      <c r="E126" s="6">
        <v>3</v>
      </c>
      <c r="F126" s="6" t="s">
        <v>1441</v>
      </c>
      <c r="G126" s="18">
        <v>45034</v>
      </c>
      <c r="H126" s="6" t="s">
        <v>73</v>
      </c>
      <c r="I126" s="18" t="s">
        <v>78</v>
      </c>
      <c r="J126" s="6">
        <f>IFERROR(VLOOKUP(I126,Jueces!$A$1:$B$11,2,FALSE),"")</f>
        <v>8</v>
      </c>
      <c r="K126" s="6" t="s">
        <v>380</v>
      </c>
      <c r="L126" s="6" t="s">
        <v>692</v>
      </c>
    </row>
    <row r="127" spans="1:12" ht="30" customHeight="1" x14ac:dyDescent="0.2">
      <c r="A127" s="176" t="str">
        <f t="shared" si="2"/>
        <v>18/04/yyyy4</v>
      </c>
      <c r="B127" s="169">
        <f t="shared" si="3"/>
        <v>4</v>
      </c>
      <c r="C127" s="6" t="s">
        <v>480</v>
      </c>
      <c r="D127" s="40" t="s">
        <v>479</v>
      </c>
      <c r="E127" s="6">
        <v>4</v>
      </c>
      <c r="F127" s="6" t="s">
        <v>32</v>
      </c>
      <c r="G127" s="18">
        <v>45034</v>
      </c>
      <c r="H127" s="6" t="s">
        <v>73</v>
      </c>
      <c r="I127" s="18" t="s">
        <v>31</v>
      </c>
      <c r="J127" s="6">
        <f>IFERROR(VLOOKUP(I127,Jueces!$A$1:$B$11,2,FALSE),"")</f>
        <v>2</v>
      </c>
      <c r="K127" s="6" t="s">
        <v>413</v>
      </c>
      <c r="L127" s="6" t="s">
        <v>694</v>
      </c>
    </row>
    <row r="128" spans="1:12" ht="30" customHeight="1" x14ac:dyDescent="0.2">
      <c r="A128" s="176" t="str">
        <f t="shared" si="2"/>
        <v>18/04/yyyy5</v>
      </c>
      <c r="B128" s="169">
        <f t="shared" si="3"/>
        <v>5</v>
      </c>
      <c r="C128" s="6" t="s">
        <v>503</v>
      </c>
      <c r="D128" s="40" t="s">
        <v>504</v>
      </c>
      <c r="E128" s="6">
        <v>4</v>
      </c>
      <c r="F128" s="6" t="s">
        <v>34</v>
      </c>
      <c r="G128" s="18">
        <v>45034</v>
      </c>
      <c r="H128" s="6" t="s">
        <v>76</v>
      </c>
      <c r="I128" s="18" t="s">
        <v>35</v>
      </c>
      <c r="J128" s="6">
        <f>IFERROR(VLOOKUP(I128,Jueces!$A$1:$B$11,2,FALSE),"")</f>
        <v>3</v>
      </c>
      <c r="K128" s="6" t="s">
        <v>411</v>
      </c>
      <c r="L128" s="6" t="s">
        <v>694</v>
      </c>
    </row>
    <row r="129" spans="1:12" ht="30" customHeight="1" x14ac:dyDescent="0.2">
      <c r="A129" s="176" t="str">
        <f t="shared" si="2"/>
        <v>19/04/yyyy1</v>
      </c>
      <c r="B129" s="169">
        <f t="shared" si="3"/>
        <v>1</v>
      </c>
      <c r="C129" s="6" t="s">
        <v>430</v>
      </c>
      <c r="D129" s="40" t="s">
        <v>431</v>
      </c>
      <c r="E129" s="6">
        <v>4</v>
      </c>
      <c r="F129" s="6" t="s">
        <v>1441</v>
      </c>
      <c r="G129" s="18">
        <v>45035</v>
      </c>
      <c r="H129" s="6" t="s">
        <v>73</v>
      </c>
      <c r="I129" s="18" t="s">
        <v>78</v>
      </c>
      <c r="J129" s="6">
        <f>IFERROR(VLOOKUP(I129,Jueces!$A$1:$B$11,2,FALSE),"")</f>
        <v>8</v>
      </c>
      <c r="K129" s="6" t="s">
        <v>313</v>
      </c>
      <c r="L129" s="6" t="s">
        <v>695</v>
      </c>
    </row>
    <row r="130" spans="1:12" ht="30" customHeight="1" x14ac:dyDescent="0.2">
      <c r="A130" s="176" t="str">
        <f t="shared" si="2"/>
        <v>19/04/yyyy2</v>
      </c>
      <c r="B130" s="169">
        <f t="shared" si="3"/>
        <v>2</v>
      </c>
      <c r="C130" s="6" t="s">
        <v>432</v>
      </c>
      <c r="D130" s="40" t="s">
        <v>433</v>
      </c>
      <c r="E130" s="6">
        <v>4</v>
      </c>
      <c r="F130" s="6" t="s">
        <v>32</v>
      </c>
      <c r="G130" s="18">
        <v>45035</v>
      </c>
      <c r="H130" s="6" t="s">
        <v>73</v>
      </c>
      <c r="I130" s="18" t="s">
        <v>33</v>
      </c>
      <c r="J130" s="6">
        <f>IFERROR(VLOOKUP(I130,Jueces!$A$1:$B$11,2,FALSE),"")</f>
        <v>4</v>
      </c>
      <c r="K130" s="6" t="s">
        <v>416</v>
      </c>
      <c r="L130" s="6" t="s">
        <v>694</v>
      </c>
    </row>
    <row r="131" spans="1:12" ht="30" customHeight="1" x14ac:dyDescent="0.2">
      <c r="A131" s="176" t="str">
        <f t="shared" ref="A131:A194" si="4">CONCATENATE(TEXT($G131,"dd/mm/yyyy"),$B131)</f>
        <v>19/04/yyyy3</v>
      </c>
      <c r="B131" s="169">
        <f t="shared" si="3"/>
        <v>3</v>
      </c>
      <c r="C131" s="6" t="s">
        <v>550</v>
      </c>
      <c r="D131" s="40" t="s">
        <v>551</v>
      </c>
      <c r="E131" s="6">
        <v>4</v>
      </c>
      <c r="F131" s="6" t="s">
        <v>568</v>
      </c>
      <c r="G131" s="18">
        <v>45035</v>
      </c>
      <c r="H131" s="6" t="s">
        <v>73</v>
      </c>
      <c r="I131" s="18" t="s">
        <v>31</v>
      </c>
      <c r="J131" s="6">
        <f>IFERROR(VLOOKUP(I131,Jueces!$A$1:$B$11,2,FALSE),"")</f>
        <v>2</v>
      </c>
      <c r="K131" s="6" t="s">
        <v>569</v>
      </c>
      <c r="L131" s="6" t="s">
        <v>567</v>
      </c>
    </row>
    <row r="132" spans="1:12" ht="30" customHeight="1" x14ac:dyDescent="0.2">
      <c r="A132" s="176" t="str">
        <f t="shared" si="4"/>
        <v>19/04/yyyy4</v>
      </c>
      <c r="B132" s="169">
        <f t="shared" ref="B132:B195" si="5">IF($G132=$G131,$B131+1,1)</f>
        <v>4</v>
      </c>
      <c r="C132" s="6" t="s">
        <v>517</v>
      </c>
      <c r="D132" s="40" t="s">
        <v>516</v>
      </c>
      <c r="E132" s="6">
        <v>4</v>
      </c>
      <c r="F132" s="6" t="s">
        <v>43</v>
      </c>
      <c r="G132" s="18">
        <v>45035</v>
      </c>
      <c r="H132" s="6" t="s">
        <v>76</v>
      </c>
      <c r="I132" s="18" t="s">
        <v>78</v>
      </c>
      <c r="J132" s="6">
        <f>IFERROR(VLOOKUP(I132,Jueces!$A$1:$B$11,2,FALSE),"")</f>
        <v>8</v>
      </c>
      <c r="K132" s="6" t="s">
        <v>313</v>
      </c>
      <c r="L132" s="6" t="s">
        <v>545</v>
      </c>
    </row>
    <row r="133" spans="1:12" ht="30" customHeight="1" x14ac:dyDescent="0.2">
      <c r="A133" s="176" t="str">
        <f t="shared" si="4"/>
        <v>19/04/yyyy5</v>
      </c>
      <c r="B133" s="169">
        <f t="shared" si="5"/>
        <v>5</v>
      </c>
      <c r="C133" s="6" t="s">
        <v>500</v>
      </c>
      <c r="D133" s="40" t="s">
        <v>501</v>
      </c>
      <c r="E133" s="6">
        <v>4</v>
      </c>
      <c r="F133" s="6" t="s">
        <v>283</v>
      </c>
      <c r="G133" s="18">
        <v>45035</v>
      </c>
      <c r="H133" s="6" t="s">
        <v>76</v>
      </c>
      <c r="I133" s="18" t="s">
        <v>35</v>
      </c>
      <c r="J133" s="6">
        <f>IFERROR(VLOOKUP(I133,Jueces!$A$1:$B$11,2,FALSE),"")</f>
        <v>3</v>
      </c>
      <c r="K133" s="6" t="s">
        <v>247</v>
      </c>
      <c r="L133" s="6" t="s">
        <v>695</v>
      </c>
    </row>
    <row r="134" spans="1:12" ht="30" customHeight="1" x14ac:dyDescent="0.2">
      <c r="A134" s="176" t="str">
        <f t="shared" si="4"/>
        <v>19/04/yyyy6</v>
      </c>
      <c r="B134" s="169">
        <f t="shared" si="5"/>
        <v>6</v>
      </c>
      <c r="C134" s="6" t="s">
        <v>439</v>
      </c>
      <c r="D134" s="40" t="s">
        <v>440</v>
      </c>
      <c r="E134" s="6">
        <v>4</v>
      </c>
      <c r="F134" s="6" t="s">
        <v>1441</v>
      </c>
      <c r="G134" s="18">
        <v>45035</v>
      </c>
      <c r="H134" s="6" t="s">
        <v>228</v>
      </c>
      <c r="I134" s="18" t="s">
        <v>31</v>
      </c>
      <c r="J134" s="6">
        <f>IFERROR(VLOOKUP(I134,Jueces!$A$1:$B$11,2,FALSE),"")</f>
        <v>2</v>
      </c>
      <c r="K134" s="6" t="s">
        <v>330</v>
      </c>
      <c r="L134" s="6" t="s">
        <v>695</v>
      </c>
    </row>
    <row r="135" spans="1:12" ht="30" customHeight="1" x14ac:dyDescent="0.2">
      <c r="A135" s="176" t="str">
        <f t="shared" si="4"/>
        <v>20/04/yyyy1</v>
      </c>
      <c r="B135" s="169">
        <f t="shared" si="5"/>
        <v>1</v>
      </c>
      <c r="C135" s="6" t="s">
        <v>522</v>
      </c>
      <c r="D135" s="40" t="s">
        <v>524</v>
      </c>
      <c r="E135" s="6">
        <v>4</v>
      </c>
      <c r="F135" s="6" t="s">
        <v>283</v>
      </c>
      <c r="G135" s="18">
        <v>45036</v>
      </c>
      <c r="H135" s="6" t="s">
        <v>73</v>
      </c>
      <c r="I135" s="18" t="s">
        <v>78</v>
      </c>
      <c r="J135" s="6">
        <f>IFERROR(VLOOKUP(I135,Jueces!$A$1:$B$11,2,FALSE),"")</f>
        <v>8</v>
      </c>
      <c r="K135" s="6" t="s">
        <v>313</v>
      </c>
      <c r="L135" s="6" t="s">
        <v>695</v>
      </c>
    </row>
    <row r="136" spans="1:12" ht="30" customHeight="1" x14ac:dyDescent="0.2">
      <c r="A136" s="176" t="str">
        <f t="shared" si="4"/>
        <v>20/04/yyyy2</v>
      </c>
      <c r="B136" s="169">
        <f t="shared" si="5"/>
        <v>2</v>
      </c>
      <c r="C136" s="6" t="s">
        <v>555</v>
      </c>
      <c r="D136" s="40" t="s">
        <v>557</v>
      </c>
      <c r="E136" s="6">
        <v>4</v>
      </c>
      <c r="F136" s="6" t="s">
        <v>568</v>
      </c>
      <c r="G136" s="18">
        <v>45036</v>
      </c>
      <c r="H136" s="6" t="s">
        <v>73</v>
      </c>
      <c r="I136" s="18" t="s">
        <v>33</v>
      </c>
      <c r="J136" s="6">
        <f>IFERROR(VLOOKUP(I136,Jueces!$A$1:$B$11,2,FALSE),"")</f>
        <v>4</v>
      </c>
      <c r="K136" s="6" t="s">
        <v>366</v>
      </c>
      <c r="L136" s="6" t="s">
        <v>690</v>
      </c>
    </row>
    <row r="137" spans="1:12" ht="30" customHeight="1" x14ac:dyDescent="0.2">
      <c r="A137" s="176" t="str">
        <f t="shared" si="4"/>
        <v>20/04/yyyy3</v>
      </c>
      <c r="B137" s="169">
        <f t="shared" si="5"/>
        <v>3</v>
      </c>
      <c r="C137" s="6" t="s">
        <v>379</v>
      </c>
      <c r="D137" s="40" t="s">
        <v>381</v>
      </c>
      <c r="E137" s="6">
        <v>4</v>
      </c>
      <c r="F137" s="6" t="s">
        <v>32</v>
      </c>
      <c r="G137" s="18">
        <v>45036</v>
      </c>
      <c r="H137" s="6" t="s">
        <v>989</v>
      </c>
      <c r="I137" s="18" t="s">
        <v>33</v>
      </c>
      <c r="J137" s="6">
        <f>IFERROR(VLOOKUP(I137,Jueces!$A$1:$B$11,2,FALSE),"")</f>
        <v>4</v>
      </c>
      <c r="K137" s="6" t="s">
        <v>380</v>
      </c>
      <c r="L137" s="6" t="s">
        <v>695</v>
      </c>
    </row>
    <row r="138" spans="1:12" ht="30" customHeight="1" x14ac:dyDescent="0.2">
      <c r="A138" s="176" t="str">
        <f t="shared" si="4"/>
        <v>20/04/yyyy4</v>
      </c>
      <c r="B138" s="169">
        <f t="shared" si="5"/>
        <v>4</v>
      </c>
      <c r="C138" s="6" t="s">
        <v>531</v>
      </c>
      <c r="D138" s="40" t="s">
        <v>534</v>
      </c>
      <c r="E138" s="6">
        <v>4</v>
      </c>
      <c r="F138" s="6" t="s">
        <v>1441</v>
      </c>
      <c r="G138" s="18">
        <v>45036</v>
      </c>
      <c r="H138" s="6" t="s">
        <v>228</v>
      </c>
      <c r="I138" s="18" t="s">
        <v>33</v>
      </c>
      <c r="J138" s="6">
        <f>IFERROR(VLOOKUP(I138,Jueces!$A$1:$B$11,2,FALSE),"")</f>
        <v>4</v>
      </c>
      <c r="K138" s="6" t="s">
        <v>365</v>
      </c>
      <c r="L138" s="6" t="s">
        <v>695</v>
      </c>
    </row>
    <row r="139" spans="1:12" ht="30" customHeight="1" x14ac:dyDescent="0.2">
      <c r="A139" s="176" t="str">
        <f t="shared" si="4"/>
        <v>21/04/yyyy1</v>
      </c>
      <c r="B139" s="169">
        <f t="shared" si="5"/>
        <v>1</v>
      </c>
      <c r="C139" s="6" t="s">
        <v>649</v>
      </c>
      <c r="D139" s="40" t="s">
        <v>650</v>
      </c>
      <c r="E139" s="6">
        <v>4</v>
      </c>
      <c r="F139" s="6" t="s">
        <v>1441</v>
      </c>
      <c r="G139" s="18">
        <v>45037</v>
      </c>
      <c r="H139" s="6" t="s">
        <v>73</v>
      </c>
      <c r="I139" s="18" t="s">
        <v>31</v>
      </c>
      <c r="J139" s="6">
        <f>IFERROR(VLOOKUP(I139,Jueces!$A$1:$B$11,2,FALSE),"")</f>
        <v>2</v>
      </c>
      <c r="K139" s="6" t="s">
        <v>600</v>
      </c>
      <c r="L139" s="6" t="s">
        <v>523</v>
      </c>
    </row>
    <row r="140" spans="1:12" ht="30" customHeight="1" x14ac:dyDescent="0.2">
      <c r="A140" s="176" t="str">
        <f t="shared" si="4"/>
        <v>21/04/yyyy2</v>
      </c>
      <c r="B140" s="169">
        <f t="shared" si="5"/>
        <v>2</v>
      </c>
      <c r="C140" s="6" t="s">
        <v>575</v>
      </c>
      <c r="D140" s="40" t="s">
        <v>574</v>
      </c>
      <c r="E140" s="6">
        <v>4</v>
      </c>
      <c r="F140" s="6" t="s">
        <v>568</v>
      </c>
      <c r="G140" s="18">
        <v>45037</v>
      </c>
      <c r="H140" s="6" t="s">
        <v>73</v>
      </c>
      <c r="I140" s="18" t="s">
        <v>33</v>
      </c>
      <c r="J140" s="6">
        <f>IFERROR(VLOOKUP(I140,Jueces!$A$1:$B$11,2,FALSE),"")</f>
        <v>4</v>
      </c>
      <c r="K140" s="6" t="s">
        <v>262</v>
      </c>
      <c r="L140" s="6" t="s">
        <v>287</v>
      </c>
    </row>
    <row r="141" spans="1:12" ht="30" customHeight="1" x14ac:dyDescent="0.2">
      <c r="A141" s="176" t="str">
        <f t="shared" si="4"/>
        <v>24/04/yyyy1</v>
      </c>
      <c r="B141" s="169">
        <f t="shared" si="5"/>
        <v>1</v>
      </c>
      <c r="C141" s="6" t="s">
        <v>454</v>
      </c>
      <c r="D141" s="40" t="s">
        <v>455</v>
      </c>
      <c r="E141" s="6">
        <v>4</v>
      </c>
      <c r="F141" s="6" t="s">
        <v>34</v>
      </c>
      <c r="G141" s="18">
        <v>45040</v>
      </c>
      <c r="H141" s="6" t="s">
        <v>73</v>
      </c>
      <c r="I141" s="18" t="s">
        <v>33</v>
      </c>
      <c r="J141" s="6">
        <f>IFERROR(VLOOKUP(I141,Jueces!$A$1:$B$11,2,FALSE),"")</f>
        <v>4</v>
      </c>
      <c r="K141" s="6" t="s">
        <v>247</v>
      </c>
      <c r="L141" s="6" t="s">
        <v>695</v>
      </c>
    </row>
    <row r="142" spans="1:12" ht="30" customHeight="1" x14ac:dyDescent="0.2">
      <c r="A142" s="176" t="str">
        <f t="shared" si="4"/>
        <v>24/04/yyyy2</v>
      </c>
      <c r="B142" s="169">
        <f t="shared" si="5"/>
        <v>2</v>
      </c>
      <c r="C142" s="6" t="s">
        <v>451</v>
      </c>
      <c r="D142" s="40" t="s">
        <v>452</v>
      </c>
      <c r="E142" s="6">
        <v>3</v>
      </c>
      <c r="F142" s="6" t="s">
        <v>32</v>
      </c>
      <c r="G142" s="18">
        <v>45040</v>
      </c>
      <c r="H142" s="6" t="s">
        <v>73</v>
      </c>
      <c r="I142" s="18" t="s">
        <v>35</v>
      </c>
      <c r="J142" s="6">
        <f>IFERROR(VLOOKUP(I142,Jueces!$A$1:$B$11,2,FALSE),"")</f>
        <v>3</v>
      </c>
      <c r="K142" s="6" t="s">
        <v>412</v>
      </c>
      <c r="L142" s="6" t="s">
        <v>453</v>
      </c>
    </row>
    <row r="143" spans="1:12" ht="30" customHeight="1" x14ac:dyDescent="0.2">
      <c r="A143" s="176" t="str">
        <f t="shared" si="4"/>
        <v>24/04/yyyy3</v>
      </c>
      <c r="B143" s="169">
        <f t="shared" si="5"/>
        <v>3</v>
      </c>
      <c r="C143" s="6" t="s">
        <v>592</v>
      </c>
      <c r="D143" s="40" t="s">
        <v>590</v>
      </c>
      <c r="E143" s="6">
        <v>4</v>
      </c>
      <c r="F143" s="6" t="s">
        <v>43</v>
      </c>
      <c r="G143" s="18">
        <v>45040</v>
      </c>
      <c r="H143" s="6" t="s">
        <v>73</v>
      </c>
      <c r="I143" s="18" t="s">
        <v>78</v>
      </c>
      <c r="J143" s="6">
        <f>IFERROR(VLOOKUP(I143,Jueces!$A$1:$B$11,2,FALSE),"")</f>
        <v>8</v>
      </c>
      <c r="K143" s="6" t="s">
        <v>409</v>
      </c>
      <c r="L143" s="6" t="s">
        <v>363</v>
      </c>
    </row>
    <row r="144" spans="1:12" ht="30" customHeight="1" x14ac:dyDescent="0.2">
      <c r="A144" s="176" t="str">
        <f t="shared" si="4"/>
        <v>25/04/yyyy1</v>
      </c>
      <c r="B144" s="169">
        <f t="shared" si="5"/>
        <v>1</v>
      </c>
      <c r="C144" s="6" t="s">
        <v>476</v>
      </c>
      <c r="D144" s="40" t="s">
        <v>478</v>
      </c>
      <c r="E144" s="6">
        <v>4</v>
      </c>
      <c r="F144" s="6" t="s">
        <v>43</v>
      </c>
      <c r="G144" s="18">
        <v>45041</v>
      </c>
      <c r="H144" s="6" t="s">
        <v>73</v>
      </c>
      <c r="I144" s="18" t="s">
        <v>33</v>
      </c>
      <c r="J144" s="6">
        <f>IFERROR(VLOOKUP(I144,Jueces!$A$1:$B$11,2,FALSE),"")</f>
        <v>4</v>
      </c>
      <c r="K144" s="6" t="s">
        <v>366</v>
      </c>
      <c r="L144" s="6" t="s">
        <v>695</v>
      </c>
    </row>
    <row r="145" spans="1:12" ht="30" customHeight="1" x14ac:dyDescent="0.2">
      <c r="A145" s="176" t="str">
        <f t="shared" si="4"/>
        <v>25/04/yyyy2</v>
      </c>
      <c r="B145" s="169">
        <f t="shared" si="5"/>
        <v>2</v>
      </c>
      <c r="C145" s="6" t="s">
        <v>437</v>
      </c>
      <c r="D145" s="40" t="s">
        <v>438</v>
      </c>
      <c r="E145" s="6">
        <v>4</v>
      </c>
      <c r="F145" s="6" t="s">
        <v>283</v>
      </c>
      <c r="G145" s="18">
        <v>45041</v>
      </c>
      <c r="H145" s="6" t="s">
        <v>75</v>
      </c>
      <c r="I145" s="18" t="s">
        <v>78</v>
      </c>
      <c r="J145" s="6">
        <f>IFERROR(VLOOKUP(I145,Jueces!$A$1:$B$11,2,FALSE),"")</f>
        <v>8</v>
      </c>
      <c r="K145" s="6" t="s">
        <v>412</v>
      </c>
      <c r="L145" s="6" t="s">
        <v>141</v>
      </c>
    </row>
    <row r="146" spans="1:12" ht="30" customHeight="1" x14ac:dyDescent="0.2">
      <c r="A146" s="176" t="str">
        <f t="shared" si="4"/>
        <v>26/04/yyyy1</v>
      </c>
      <c r="B146" s="169">
        <f t="shared" si="5"/>
        <v>1</v>
      </c>
      <c r="C146" s="6" t="s">
        <v>492</v>
      </c>
      <c r="D146" s="40" t="s">
        <v>527</v>
      </c>
      <c r="E146" s="6">
        <v>4</v>
      </c>
      <c r="F146" s="6" t="s">
        <v>1441</v>
      </c>
      <c r="G146" s="18">
        <v>45042</v>
      </c>
      <c r="H146" s="6" t="s">
        <v>73</v>
      </c>
      <c r="I146" s="18" t="s">
        <v>78</v>
      </c>
      <c r="J146" s="6">
        <f>IFERROR(VLOOKUP(I146,Jueces!$A$1:$B$11,2,FALSE),"")</f>
        <v>8</v>
      </c>
      <c r="K146" s="6" t="s">
        <v>508</v>
      </c>
      <c r="L146" s="6" t="s">
        <v>693</v>
      </c>
    </row>
    <row r="147" spans="1:12" ht="30" customHeight="1" x14ac:dyDescent="0.2">
      <c r="A147" s="176" t="str">
        <f t="shared" si="4"/>
        <v>26/04/yyyy2</v>
      </c>
      <c r="B147" s="169">
        <f t="shared" si="5"/>
        <v>2</v>
      </c>
      <c r="C147" s="6" t="s">
        <v>542</v>
      </c>
      <c r="D147" s="40" t="s">
        <v>543</v>
      </c>
      <c r="E147" s="6">
        <v>4</v>
      </c>
      <c r="F147" s="6" t="s">
        <v>43</v>
      </c>
      <c r="G147" s="18">
        <v>45042</v>
      </c>
      <c r="H147" s="6" t="s">
        <v>73</v>
      </c>
      <c r="I147" s="18" t="s">
        <v>33</v>
      </c>
      <c r="J147" s="6">
        <f>IFERROR(VLOOKUP(I147,Jueces!$A$1:$B$11,2,FALSE),"")</f>
        <v>4</v>
      </c>
      <c r="K147" s="6" t="s">
        <v>581</v>
      </c>
      <c r="L147" s="6" t="s">
        <v>695</v>
      </c>
    </row>
    <row r="148" spans="1:12" ht="30" customHeight="1" x14ac:dyDescent="0.2">
      <c r="A148" s="176" t="str">
        <f t="shared" si="4"/>
        <v>26/04/yyyy3</v>
      </c>
      <c r="B148" s="169">
        <f t="shared" si="5"/>
        <v>3</v>
      </c>
      <c r="C148" s="6" t="s">
        <v>495</v>
      </c>
      <c r="D148" s="40" t="s">
        <v>493</v>
      </c>
      <c r="E148" s="6">
        <v>4</v>
      </c>
      <c r="F148" s="6" t="s">
        <v>34</v>
      </c>
      <c r="G148" s="18">
        <v>45042</v>
      </c>
      <c r="H148" s="6" t="s">
        <v>75</v>
      </c>
      <c r="I148" s="18" t="s">
        <v>33</v>
      </c>
      <c r="J148" s="6">
        <f>IFERROR(VLOOKUP(I148,Jueces!$A$1:$B$11,2,FALSE),"")</f>
        <v>4</v>
      </c>
      <c r="K148" s="6" t="s">
        <v>414</v>
      </c>
      <c r="L148" s="6" t="s">
        <v>695</v>
      </c>
    </row>
    <row r="149" spans="1:12" ht="30" customHeight="1" x14ac:dyDescent="0.2">
      <c r="A149" s="176" t="str">
        <f t="shared" si="4"/>
        <v>27/04/yyyy1</v>
      </c>
      <c r="B149" s="169">
        <f t="shared" si="5"/>
        <v>1</v>
      </c>
      <c r="C149" s="6" t="s">
        <v>591</v>
      </c>
      <c r="D149" s="40" t="s">
        <v>601</v>
      </c>
      <c r="E149" s="6">
        <v>4</v>
      </c>
      <c r="F149" s="6" t="s">
        <v>29</v>
      </c>
      <c r="G149" s="18">
        <v>45043</v>
      </c>
      <c r="H149" s="6" t="s">
        <v>73</v>
      </c>
      <c r="I149" s="18" t="s">
        <v>35</v>
      </c>
      <c r="J149" s="6">
        <f>IFERROR(VLOOKUP(I149,Jueces!$A$1:$B$11,2,FALSE),"")</f>
        <v>3</v>
      </c>
      <c r="K149" s="6" t="s">
        <v>600</v>
      </c>
      <c r="L149" s="6" t="s">
        <v>287</v>
      </c>
    </row>
    <row r="150" spans="1:12" ht="30" customHeight="1" x14ac:dyDescent="0.2">
      <c r="A150" s="176" t="str">
        <f t="shared" si="4"/>
        <v>27/04/yyyy2</v>
      </c>
      <c r="B150" s="169">
        <f t="shared" si="5"/>
        <v>2</v>
      </c>
      <c r="C150" s="6" t="s">
        <v>552</v>
      </c>
      <c r="D150" s="40" t="s">
        <v>553</v>
      </c>
      <c r="E150" s="6">
        <v>4</v>
      </c>
      <c r="F150" s="6" t="s">
        <v>32</v>
      </c>
      <c r="G150" s="18">
        <v>45043</v>
      </c>
      <c r="H150" s="6" t="s">
        <v>76</v>
      </c>
      <c r="I150" s="18" t="s">
        <v>35</v>
      </c>
      <c r="J150" s="6">
        <f>IFERROR(VLOOKUP(I150,Jueces!$A$1:$B$11,2,FALSE),"")</f>
        <v>3</v>
      </c>
      <c r="K150" s="6" t="s">
        <v>582</v>
      </c>
      <c r="L150" s="6" t="s">
        <v>363</v>
      </c>
    </row>
    <row r="151" spans="1:12" ht="30" customHeight="1" x14ac:dyDescent="0.2">
      <c r="A151" s="176" t="str">
        <f t="shared" si="4"/>
        <v>28/04/yyyy1</v>
      </c>
      <c r="B151" s="169">
        <f t="shared" si="5"/>
        <v>1</v>
      </c>
      <c r="C151" s="6" t="s">
        <v>556</v>
      </c>
      <c r="D151" s="40" t="s">
        <v>558</v>
      </c>
      <c r="E151" s="6">
        <v>4</v>
      </c>
      <c r="F151" s="6" t="s">
        <v>43</v>
      </c>
      <c r="G151" s="18">
        <v>45044</v>
      </c>
      <c r="H151" s="6" t="s">
        <v>73</v>
      </c>
      <c r="I151" s="18" t="s">
        <v>31</v>
      </c>
      <c r="J151" s="6">
        <f>IFERROR(VLOOKUP(I151,Jueces!$A$1:$B$11,2,FALSE),"")</f>
        <v>2</v>
      </c>
      <c r="K151" s="6" t="s">
        <v>380</v>
      </c>
      <c r="L151" s="6" t="s">
        <v>579</v>
      </c>
    </row>
    <row r="152" spans="1:12" ht="30" customHeight="1" x14ac:dyDescent="0.2">
      <c r="A152" s="176" t="str">
        <f t="shared" si="4"/>
        <v>28/04/yyyy2</v>
      </c>
      <c r="B152" s="169">
        <f t="shared" si="5"/>
        <v>2</v>
      </c>
      <c r="C152" s="6" t="s">
        <v>623</v>
      </c>
      <c r="D152" s="40" t="s">
        <v>627</v>
      </c>
      <c r="E152" s="6">
        <v>4</v>
      </c>
      <c r="F152" s="6" t="s">
        <v>568</v>
      </c>
      <c r="G152" s="18">
        <v>45044</v>
      </c>
      <c r="H152" s="6" t="s">
        <v>73</v>
      </c>
      <c r="I152" s="18" t="s">
        <v>33</v>
      </c>
      <c r="J152" s="6">
        <f>IFERROR(VLOOKUP(I152,Jueces!$A$1:$B$11,2,FALSE),"")</f>
        <v>4</v>
      </c>
      <c r="K152" s="6" t="s">
        <v>413</v>
      </c>
      <c r="L152" s="6" t="s">
        <v>523</v>
      </c>
    </row>
    <row r="153" spans="1:12" ht="30" customHeight="1" x14ac:dyDescent="0.2">
      <c r="A153" s="176" t="str">
        <f t="shared" si="4"/>
        <v>02/05/yyyy1</v>
      </c>
      <c r="B153" s="169">
        <f t="shared" si="5"/>
        <v>1</v>
      </c>
      <c r="C153" s="6" t="s">
        <v>639</v>
      </c>
      <c r="D153" s="40" t="s">
        <v>672</v>
      </c>
      <c r="E153" s="6">
        <v>3</v>
      </c>
      <c r="F153" s="6" t="s">
        <v>568</v>
      </c>
      <c r="G153" s="18">
        <v>45048</v>
      </c>
      <c r="H153" s="6" t="s">
        <v>73</v>
      </c>
      <c r="I153" s="18" t="s">
        <v>35</v>
      </c>
      <c r="J153" s="6">
        <f>IFERROR(VLOOKUP(I153,Jueces!$A$1:$B$11,2,FALSE),"")</f>
        <v>3</v>
      </c>
      <c r="K153" s="6" t="s">
        <v>512</v>
      </c>
      <c r="L153" s="6" t="s">
        <v>694</v>
      </c>
    </row>
    <row r="154" spans="1:12" ht="30" customHeight="1" x14ac:dyDescent="0.2">
      <c r="A154" s="176" t="str">
        <f t="shared" si="4"/>
        <v>02/05/yyyy2</v>
      </c>
      <c r="B154" s="169">
        <f t="shared" si="5"/>
        <v>2</v>
      </c>
      <c r="C154" s="6" t="s">
        <v>446</v>
      </c>
      <c r="D154" s="40" t="s">
        <v>354</v>
      </c>
      <c r="E154" s="6">
        <v>4</v>
      </c>
      <c r="F154" s="6" t="s">
        <v>34</v>
      </c>
      <c r="G154" s="18">
        <v>45048</v>
      </c>
      <c r="H154" s="6" t="s">
        <v>686</v>
      </c>
      <c r="I154" s="18" t="s">
        <v>35</v>
      </c>
      <c r="J154" s="6">
        <f>IFERROR(VLOOKUP(I154,Jueces!$A$1:$B$11,2,FALSE),"")</f>
        <v>3</v>
      </c>
      <c r="K154" s="6" t="s">
        <v>582</v>
      </c>
      <c r="L154" s="6" t="s">
        <v>680</v>
      </c>
    </row>
    <row r="155" spans="1:12" ht="30" customHeight="1" x14ac:dyDescent="0.2">
      <c r="A155" s="176" t="str">
        <f t="shared" si="4"/>
        <v>08/05/yyyy1</v>
      </c>
      <c r="B155" s="169">
        <f t="shared" si="5"/>
        <v>1</v>
      </c>
      <c r="C155" s="6" t="s">
        <v>689</v>
      </c>
      <c r="D155" s="40" t="s">
        <v>685</v>
      </c>
      <c r="E155" s="6">
        <v>4</v>
      </c>
      <c r="F155" s="6" t="s">
        <v>43</v>
      </c>
      <c r="G155" s="18">
        <v>45054</v>
      </c>
      <c r="H155" s="6" t="s">
        <v>73</v>
      </c>
      <c r="I155" s="18" t="s">
        <v>33</v>
      </c>
      <c r="J155" s="6">
        <f>IFERROR(VLOOKUP(I155,Jueces!$A$1:$B$11,2,FALSE),"")</f>
        <v>4</v>
      </c>
      <c r="K155" s="6" t="s">
        <v>366</v>
      </c>
      <c r="L155" s="6" t="s">
        <v>691</v>
      </c>
    </row>
    <row r="156" spans="1:12" ht="30" customHeight="1" x14ac:dyDescent="0.2">
      <c r="A156" s="176" t="str">
        <f t="shared" si="4"/>
        <v>09/05/yyyy1</v>
      </c>
      <c r="B156" s="169">
        <f t="shared" si="5"/>
        <v>1</v>
      </c>
      <c r="C156" s="6" t="s">
        <v>687</v>
      </c>
      <c r="D156" s="40" t="s">
        <v>707</v>
      </c>
      <c r="E156" s="6">
        <v>3</v>
      </c>
      <c r="F156" s="6" t="s">
        <v>1441</v>
      </c>
      <c r="G156" s="18">
        <v>45055</v>
      </c>
      <c r="H156" s="6" t="s">
        <v>73</v>
      </c>
      <c r="I156" s="18" t="s">
        <v>35</v>
      </c>
      <c r="J156" s="6">
        <f>IFERROR(VLOOKUP(I156,Jueces!$A$1:$B$11,2,FALSE),"")</f>
        <v>3</v>
      </c>
      <c r="K156" s="6" t="s">
        <v>688</v>
      </c>
      <c r="L156" s="6" t="s">
        <v>715</v>
      </c>
    </row>
    <row r="157" spans="1:12" ht="30" customHeight="1" x14ac:dyDescent="0.2">
      <c r="A157" s="176" t="str">
        <f t="shared" si="4"/>
        <v>09/05/yyyy2</v>
      </c>
      <c r="B157" s="169">
        <f t="shared" si="5"/>
        <v>2</v>
      </c>
      <c r="C157" s="6" t="s">
        <v>708</v>
      </c>
      <c r="D157" s="40" t="s">
        <v>709</v>
      </c>
      <c r="E157" s="6">
        <v>8</v>
      </c>
      <c r="F157" s="6" t="s">
        <v>29</v>
      </c>
      <c r="G157" s="18">
        <v>45055</v>
      </c>
      <c r="H157" s="6" t="s">
        <v>73</v>
      </c>
      <c r="I157" s="18" t="s">
        <v>33</v>
      </c>
      <c r="J157" s="6">
        <f>IFERROR(VLOOKUP(I157,Jueces!$A$1:$B$11,2,FALSE),"")</f>
        <v>4</v>
      </c>
      <c r="K157" s="6" t="s">
        <v>184</v>
      </c>
      <c r="L157" s="6" t="s">
        <v>710</v>
      </c>
    </row>
    <row r="158" spans="1:12" ht="30" customHeight="1" x14ac:dyDescent="0.2">
      <c r="A158" s="176" t="str">
        <f t="shared" si="4"/>
        <v>10/05/yyyy1</v>
      </c>
      <c r="B158" s="169">
        <f t="shared" si="5"/>
        <v>1</v>
      </c>
      <c r="C158" s="6" t="s">
        <v>722</v>
      </c>
      <c r="D158" s="40" t="s">
        <v>721</v>
      </c>
      <c r="E158" s="6">
        <v>8</v>
      </c>
      <c r="F158" s="6" t="s">
        <v>34</v>
      </c>
      <c r="G158" s="18">
        <v>45056</v>
      </c>
      <c r="H158" s="6" t="s">
        <v>73</v>
      </c>
      <c r="I158" s="18" t="s">
        <v>35</v>
      </c>
      <c r="J158" s="6">
        <f>IFERROR(VLOOKUP(I158,Jueces!$A$1:$B$11,2,FALSE),"")</f>
        <v>3</v>
      </c>
      <c r="K158" s="6" t="s">
        <v>142</v>
      </c>
      <c r="L158" s="6" t="s">
        <v>710</v>
      </c>
    </row>
    <row r="159" spans="1:12" ht="30" customHeight="1" x14ac:dyDescent="0.2">
      <c r="A159" s="176" t="str">
        <f t="shared" si="4"/>
        <v>11/05/yyyy1</v>
      </c>
      <c r="B159" s="169">
        <f t="shared" si="5"/>
        <v>1</v>
      </c>
      <c r="C159" s="6" t="s">
        <v>720</v>
      </c>
      <c r="D159" s="40" t="s">
        <v>724</v>
      </c>
      <c r="E159" s="6">
        <v>8</v>
      </c>
      <c r="F159" s="6" t="s">
        <v>283</v>
      </c>
      <c r="G159" s="18">
        <v>45057</v>
      </c>
      <c r="H159" s="6" t="s">
        <v>73</v>
      </c>
      <c r="I159" s="18" t="s">
        <v>31</v>
      </c>
      <c r="J159" s="6">
        <f>IFERROR(VLOOKUP(I159,Jueces!$A$1:$B$11,2,FALSE),"")</f>
        <v>2</v>
      </c>
      <c r="K159" s="6" t="s">
        <v>248</v>
      </c>
      <c r="L159" s="6" t="s">
        <v>710</v>
      </c>
    </row>
    <row r="160" spans="1:12" ht="30" customHeight="1" x14ac:dyDescent="0.2">
      <c r="A160" s="176" t="str">
        <f t="shared" si="4"/>
        <v>12/05/yyyy1</v>
      </c>
      <c r="B160" s="169">
        <f t="shared" si="5"/>
        <v>1</v>
      </c>
      <c r="C160" s="6" t="s">
        <v>764</v>
      </c>
      <c r="D160" s="40" t="s">
        <v>739</v>
      </c>
      <c r="E160" s="6">
        <v>8</v>
      </c>
      <c r="F160" s="6" t="s">
        <v>1441</v>
      </c>
      <c r="G160" s="18">
        <v>45058</v>
      </c>
      <c r="H160" s="6" t="s">
        <v>73</v>
      </c>
      <c r="I160" s="18" t="s">
        <v>31</v>
      </c>
      <c r="J160" s="6">
        <f>IFERROR(VLOOKUP(I160,Jueces!$A$1:$B$11,2,FALSE),"")</f>
        <v>2</v>
      </c>
      <c r="K160" s="6" t="s">
        <v>413</v>
      </c>
      <c r="L160" s="6" t="s">
        <v>710</v>
      </c>
    </row>
    <row r="161" spans="1:12" ht="30" customHeight="1" x14ac:dyDescent="0.2">
      <c r="A161" s="176" t="str">
        <f t="shared" si="4"/>
        <v>12/05/yyyy2</v>
      </c>
      <c r="B161" s="169">
        <f t="shared" si="5"/>
        <v>2</v>
      </c>
      <c r="C161" s="6" t="s">
        <v>736</v>
      </c>
      <c r="D161" s="40" t="s">
        <v>738</v>
      </c>
      <c r="E161" s="6">
        <v>8</v>
      </c>
      <c r="F161" s="6" t="s">
        <v>32</v>
      </c>
      <c r="G161" s="18">
        <v>45058</v>
      </c>
      <c r="H161" s="6" t="s">
        <v>76</v>
      </c>
      <c r="I161" s="18" t="s">
        <v>33</v>
      </c>
      <c r="J161" s="6">
        <f>IFERROR(VLOOKUP(I161,Jueces!$A$1:$B$11,2,FALSE),"")</f>
        <v>4</v>
      </c>
      <c r="K161" s="6" t="s">
        <v>184</v>
      </c>
      <c r="L161" s="6" t="s">
        <v>710</v>
      </c>
    </row>
    <row r="162" spans="1:12" ht="30" customHeight="1" x14ac:dyDescent="0.2">
      <c r="A162" s="176" t="str">
        <f t="shared" si="4"/>
        <v>15/05/yyyy1</v>
      </c>
      <c r="B162" s="169">
        <f t="shared" si="5"/>
        <v>1</v>
      </c>
      <c r="C162" s="6" t="s">
        <v>761</v>
      </c>
      <c r="D162" s="40" t="s">
        <v>737</v>
      </c>
      <c r="E162" s="6">
        <v>8</v>
      </c>
      <c r="F162" s="6" t="s">
        <v>568</v>
      </c>
      <c r="G162" s="18">
        <v>45061</v>
      </c>
      <c r="H162" s="6" t="s">
        <v>73</v>
      </c>
      <c r="I162" s="18" t="s">
        <v>35</v>
      </c>
      <c r="J162" s="6">
        <f>IFERROR(VLOOKUP(I162,Jueces!$A$1:$B$11,2,FALSE),"")</f>
        <v>3</v>
      </c>
      <c r="K162" s="6" t="s">
        <v>210</v>
      </c>
      <c r="L162" s="6" t="s">
        <v>710</v>
      </c>
    </row>
    <row r="163" spans="1:12" ht="30" customHeight="1" x14ac:dyDescent="0.2">
      <c r="A163" s="176" t="str">
        <f t="shared" si="4"/>
        <v>15/05/yyyy2</v>
      </c>
      <c r="B163" s="169">
        <f t="shared" si="5"/>
        <v>2</v>
      </c>
      <c r="C163" s="6" t="s">
        <v>766</v>
      </c>
      <c r="D163" s="40" t="s">
        <v>762</v>
      </c>
      <c r="E163" s="6">
        <v>8</v>
      </c>
      <c r="F163" s="6" t="s">
        <v>283</v>
      </c>
      <c r="G163" s="18">
        <v>45061</v>
      </c>
      <c r="H163" s="6" t="s">
        <v>73</v>
      </c>
      <c r="I163" s="18" t="s">
        <v>33</v>
      </c>
      <c r="J163" s="6">
        <f>IFERROR(VLOOKUP(I163,Jueces!$A$1:$B$11,2,FALSE),"")</f>
        <v>4</v>
      </c>
      <c r="K163" s="6" t="s">
        <v>248</v>
      </c>
      <c r="L163" s="6" t="s">
        <v>767</v>
      </c>
    </row>
    <row r="164" spans="1:12" ht="30" customHeight="1" x14ac:dyDescent="0.2">
      <c r="A164" s="176" t="str">
        <f t="shared" si="4"/>
        <v>16/05/yyyy1</v>
      </c>
      <c r="B164" s="169">
        <f t="shared" si="5"/>
        <v>1</v>
      </c>
      <c r="C164" s="6" t="s">
        <v>765</v>
      </c>
      <c r="D164" s="40" t="s">
        <v>740</v>
      </c>
      <c r="E164" s="6">
        <v>8</v>
      </c>
      <c r="F164" s="6" t="s">
        <v>43</v>
      </c>
      <c r="G164" s="18">
        <v>45062</v>
      </c>
      <c r="H164" s="6" t="s">
        <v>73</v>
      </c>
      <c r="I164" s="18" t="s">
        <v>35</v>
      </c>
      <c r="J164" s="6">
        <f>IFERROR(VLOOKUP(I164,Jueces!$A$1:$B$11,2,FALSE),"")</f>
        <v>3</v>
      </c>
      <c r="K164" s="6" t="s">
        <v>248</v>
      </c>
      <c r="L164" s="6" t="s">
        <v>710</v>
      </c>
    </row>
    <row r="165" spans="1:12" ht="30" customHeight="1" x14ac:dyDescent="0.2">
      <c r="A165" s="176" t="str">
        <f t="shared" si="4"/>
        <v>16/05/yyyy2</v>
      </c>
      <c r="B165" s="169">
        <f t="shared" si="5"/>
        <v>2</v>
      </c>
      <c r="C165" s="6" t="s">
        <v>821</v>
      </c>
      <c r="D165" s="40" t="s">
        <v>780</v>
      </c>
      <c r="E165" s="6">
        <v>8</v>
      </c>
      <c r="F165" s="6" t="s">
        <v>1441</v>
      </c>
      <c r="G165" s="18">
        <v>45062</v>
      </c>
      <c r="H165" s="6" t="s">
        <v>1086</v>
      </c>
      <c r="I165" s="18" t="s">
        <v>31</v>
      </c>
      <c r="J165" s="6">
        <f>IFERROR(VLOOKUP(I165,Jueces!$A$1:$B$11,2,FALSE),"")</f>
        <v>2</v>
      </c>
      <c r="K165" s="6" t="s">
        <v>184</v>
      </c>
      <c r="L165" s="6" t="s">
        <v>723</v>
      </c>
    </row>
    <row r="166" spans="1:12" ht="30" customHeight="1" x14ac:dyDescent="0.2">
      <c r="A166" s="176" t="str">
        <f t="shared" si="4"/>
        <v>17/05/yyyy1</v>
      </c>
      <c r="B166" s="169">
        <f t="shared" si="5"/>
        <v>1</v>
      </c>
      <c r="C166" s="6" t="s">
        <v>768</v>
      </c>
      <c r="D166" s="40" t="s">
        <v>763</v>
      </c>
      <c r="E166" s="6">
        <v>8</v>
      </c>
      <c r="F166" s="6" t="s">
        <v>29</v>
      </c>
      <c r="G166" s="18">
        <v>45063</v>
      </c>
      <c r="H166" s="6" t="s">
        <v>73</v>
      </c>
      <c r="I166" s="18" t="s">
        <v>33</v>
      </c>
      <c r="J166" s="6">
        <f>IFERROR(VLOOKUP(I166,Jueces!$A$1:$B$11,2,FALSE),"")</f>
        <v>4</v>
      </c>
      <c r="K166" s="6" t="s">
        <v>804</v>
      </c>
      <c r="L166" s="6" t="s">
        <v>710</v>
      </c>
    </row>
    <row r="167" spans="1:12" ht="30" customHeight="1" x14ac:dyDescent="0.2">
      <c r="A167" s="176" t="str">
        <f t="shared" si="4"/>
        <v>17/05/yyyy2</v>
      </c>
      <c r="B167" s="169">
        <f t="shared" si="5"/>
        <v>2</v>
      </c>
      <c r="C167" s="6" t="s">
        <v>822</v>
      </c>
      <c r="D167" s="40" t="s">
        <v>784</v>
      </c>
      <c r="E167" s="6">
        <v>8</v>
      </c>
      <c r="F167" s="6" t="s">
        <v>43</v>
      </c>
      <c r="G167" s="18">
        <v>45063</v>
      </c>
      <c r="H167" s="6" t="s">
        <v>73</v>
      </c>
      <c r="I167" s="18" t="s">
        <v>35</v>
      </c>
      <c r="J167" s="6">
        <f>IFERROR(VLOOKUP(I167,Jueces!$A$1:$B$11,2,FALSE),"")</f>
        <v>3</v>
      </c>
      <c r="K167" s="6" t="s">
        <v>412</v>
      </c>
      <c r="L167" s="6" t="s">
        <v>767</v>
      </c>
    </row>
    <row r="168" spans="1:12" ht="30" customHeight="1" x14ac:dyDescent="0.2">
      <c r="A168" s="176" t="str">
        <f t="shared" si="4"/>
        <v>18/05/yyyy1</v>
      </c>
      <c r="B168" s="169">
        <f t="shared" si="5"/>
        <v>1</v>
      </c>
      <c r="C168" s="6" t="s">
        <v>781</v>
      </c>
      <c r="D168" s="40" t="s">
        <v>769</v>
      </c>
      <c r="E168" s="6">
        <v>8</v>
      </c>
      <c r="F168" s="6" t="s">
        <v>32</v>
      </c>
      <c r="G168" s="18">
        <v>45064</v>
      </c>
      <c r="H168" s="6" t="s">
        <v>73</v>
      </c>
      <c r="I168" s="18" t="s">
        <v>78</v>
      </c>
      <c r="J168" s="6">
        <f>IFERROR(VLOOKUP(I168,Jueces!$A$1:$B$11,2,FALSE),"")</f>
        <v>8</v>
      </c>
      <c r="K168" s="6" t="s">
        <v>642</v>
      </c>
      <c r="L168" s="6" t="s">
        <v>710</v>
      </c>
    </row>
    <row r="169" spans="1:12" ht="30" customHeight="1" x14ac:dyDescent="0.2">
      <c r="A169" s="176" t="str">
        <f t="shared" si="4"/>
        <v>18/05/yyyy2</v>
      </c>
      <c r="B169" s="169">
        <f t="shared" si="5"/>
        <v>2</v>
      </c>
      <c r="C169" s="6" t="s">
        <v>823</v>
      </c>
      <c r="D169" s="40" t="s">
        <v>832</v>
      </c>
      <c r="E169" s="6">
        <v>8</v>
      </c>
      <c r="F169" s="6" t="s">
        <v>34</v>
      </c>
      <c r="G169" s="18">
        <v>45064</v>
      </c>
      <c r="H169" s="6" t="s">
        <v>73</v>
      </c>
      <c r="I169" s="18" t="s">
        <v>33</v>
      </c>
      <c r="J169" s="6">
        <f>IFERROR(VLOOKUP(I169,Jueces!$A$1:$B$11,2,FALSE),"")</f>
        <v>4</v>
      </c>
      <c r="K169" s="6" t="s">
        <v>105</v>
      </c>
      <c r="L169" s="6" t="s">
        <v>711</v>
      </c>
    </row>
    <row r="170" spans="1:12" ht="30" customHeight="1" x14ac:dyDescent="0.2">
      <c r="A170" s="176" t="str">
        <f t="shared" si="4"/>
        <v>18/05/yyyy3</v>
      </c>
      <c r="B170" s="169">
        <f t="shared" si="5"/>
        <v>3</v>
      </c>
      <c r="C170" s="6" t="s">
        <v>865</v>
      </c>
      <c r="D170" s="40" t="s">
        <v>869</v>
      </c>
      <c r="E170" s="6">
        <v>8</v>
      </c>
      <c r="F170" s="6" t="s">
        <v>43</v>
      </c>
      <c r="G170" s="18">
        <v>45064</v>
      </c>
      <c r="H170" s="6" t="s">
        <v>686</v>
      </c>
      <c r="I170" s="18" t="s">
        <v>31</v>
      </c>
      <c r="J170" s="6">
        <f>IFERROR(VLOOKUP(I170,Jueces!$A$1:$B$11,2,FALSE),"")</f>
        <v>2</v>
      </c>
      <c r="K170" s="6" t="s">
        <v>799</v>
      </c>
      <c r="L170" s="6" t="s">
        <v>767</v>
      </c>
    </row>
    <row r="171" spans="1:12" ht="30" customHeight="1" x14ac:dyDescent="0.2">
      <c r="A171" s="176" t="str">
        <f t="shared" si="4"/>
        <v>19/05/yyyy1</v>
      </c>
      <c r="B171" s="169">
        <f t="shared" si="5"/>
        <v>1</v>
      </c>
      <c r="C171" s="6" t="s">
        <v>843</v>
      </c>
      <c r="D171" s="40" t="s">
        <v>842</v>
      </c>
      <c r="E171" s="6">
        <v>8</v>
      </c>
      <c r="F171" s="6" t="s">
        <v>34</v>
      </c>
      <c r="G171" s="18">
        <v>45065</v>
      </c>
      <c r="H171" s="6" t="s">
        <v>73</v>
      </c>
      <c r="I171" s="18" t="s">
        <v>35</v>
      </c>
      <c r="J171" s="6">
        <f>IFERROR(VLOOKUP(I171,Jueces!$A$1:$B$11,2,FALSE),"")</f>
        <v>3</v>
      </c>
      <c r="K171" s="6" t="s">
        <v>811</v>
      </c>
      <c r="L171" s="6" t="s">
        <v>767</v>
      </c>
    </row>
    <row r="172" spans="1:12" ht="30" customHeight="1" x14ac:dyDescent="0.2">
      <c r="A172" s="176" t="str">
        <f t="shared" si="4"/>
        <v>19/05/yyyy2</v>
      </c>
      <c r="B172" s="169">
        <f t="shared" si="5"/>
        <v>2</v>
      </c>
      <c r="C172" s="6" t="s">
        <v>824</v>
      </c>
      <c r="D172" s="40" t="s">
        <v>787</v>
      </c>
      <c r="E172" s="6">
        <v>8</v>
      </c>
      <c r="F172" s="6" t="s">
        <v>568</v>
      </c>
      <c r="G172" s="18">
        <v>45065</v>
      </c>
      <c r="H172" s="6" t="s">
        <v>73</v>
      </c>
      <c r="I172" s="18" t="s">
        <v>78</v>
      </c>
      <c r="J172" s="6">
        <f>IFERROR(VLOOKUP(I172,Jueces!$A$1:$B$11,2,FALSE),"")</f>
        <v>8</v>
      </c>
      <c r="K172" s="6" t="s">
        <v>262</v>
      </c>
      <c r="L172" s="6" t="s">
        <v>710</v>
      </c>
    </row>
    <row r="173" spans="1:12" ht="30" customHeight="1" x14ac:dyDescent="0.2">
      <c r="A173" s="176" t="str">
        <f t="shared" si="4"/>
        <v>19/05/yyyy3</v>
      </c>
      <c r="B173" s="169">
        <f t="shared" si="5"/>
        <v>3</v>
      </c>
      <c r="C173" s="6" t="s">
        <v>856</v>
      </c>
      <c r="D173" s="40" t="s">
        <v>851</v>
      </c>
      <c r="E173" s="6">
        <v>8</v>
      </c>
      <c r="F173" s="6" t="s">
        <v>1441</v>
      </c>
      <c r="G173" s="18">
        <v>45065</v>
      </c>
      <c r="H173" s="6" t="s">
        <v>686</v>
      </c>
      <c r="I173" s="18" t="s">
        <v>78</v>
      </c>
      <c r="J173" s="6">
        <f>IFERROR(VLOOKUP(I173,Jueces!$A$1:$B$11,2,FALSE),"")</f>
        <v>8</v>
      </c>
      <c r="K173" s="6" t="s">
        <v>809</v>
      </c>
      <c r="L173" s="6" t="s">
        <v>767</v>
      </c>
    </row>
    <row r="174" spans="1:12" ht="30" customHeight="1" x14ac:dyDescent="0.2">
      <c r="A174" s="176" t="str">
        <f t="shared" si="4"/>
        <v>22/05/yyyy1</v>
      </c>
      <c r="B174" s="169">
        <f t="shared" si="5"/>
        <v>1</v>
      </c>
      <c r="C174" s="6" t="s">
        <v>840</v>
      </c>
      <c r="D174" s="40" t="s">
        <v>834</v>
      </c>
      <c r="E174" s="6">
        <v>8</v>
      </c>
      <c r="F174" s="322" t="s">
        <v>568</v>
      </c>
      <c r="G174" s="18">
        <v>45068</v>
      </c>
      <c r="H174" s="6" t="s">
        <v>73</v>
      </c>
      <c r="I174" s="18" t="s">
        <v>33</v>
      </c>
      <c r="J174" s="6">
        <f>IFERROR(VLOOKUP(I174,Jueces!$A$1:$B$11,2,FALSE),"")</f>
        <v>4</v>
      </c>
      <c r="K174" s="6" t="s">
        <v>793</v>
      </c>
      <c r="L174" s="6" t="s">
        <v>723</v>
      </c>
    </row>
    <row r="175" spans="1:12" ht="30" customHeight="1" x14ac:dyDescent="0.2">
      <c r="A175" s="176" t="str">
        <f t="shared" si="4"/>
        <v>22/05/yyyy2</v>
      </c>
      <c r="B175" s="169">
        <f t="shared" si="5"/>
        <v>2</v>
      </c>
      <c r="C175" s="6" t="s">
        <v>826</v>
      </c>
      <c r="D175" s="40" t="s">
        <v>815</v>
      </c>
      <c r="E175" s="6">
        <v>8</v>
      </c>
      <c r="F175" s="6" t="s">
        <v>29</v>
      </c>
      <c r="G175" s="18">
        <v>45068</v>
      </c>
      <c r="H175" s="6" t="s">
        <v>73</v>
      </c>
      <c r="I175" s="18" t="s">
        <v>78</v>
      </c>
      <c r="J175" s="6">
        <f>IFERROR(VLOOKUP(I175,Jueces!$A$1:$B$11,2,FALSE),"")</f>
        <v>8</v>
      </c>
      <c r="K175" s="6" t="s">
        <v>809</v>
      </c>
      <c r="L175" s="6" t="s">
        <v>767</v>
      </c>
    </row>
    <row r="176" spans="1:12" ht="30" customHeight="1" x14ac:dyDescent="0.2">
      <c r="A176" s="176" t="str">
        <f t="shared" si="4"/>
        <v>22/05/yyyy3</v>
      </c>
      <c r="B176" s="169">
        <f t="shared" si="5"/>
        <v>3</v>
      </c>
      <c r="C176" s="6" t="s">
        <v>828</v>
      </c>
      <c r="D176" s="40" t="s">
        <v>894</v>
      </c>
      <c r="E176" s="6">
        <v>8</v>
      </c>
      <c r="F176" s="6" t="s">
        <v>1441</v>
      </c>
      <c r="G176" s="18">
        <v>45068</v>
      </c>
      <c r="H176" s="6" t="s">
        <v>686</v>
      </c>
      <c r="I176" s="18" t="s">
        <v>78</v>
      </c>
      <c r="J176" s="6">
        <f>IFERROR(VLOOKUP(I176,Jueces!$A$1:$B$11,2,FALSE),"")</f>
        <v>8</v>
      </c>
      <c r="K176" s="6" t="s">
        <v>804</v>
      </c>
      <c r="L176" s="6" t="s">
        <v>767</v>
      </c>
    </row>
    <row r="177" spans="1:12" ht="30" customHeight="1" x14ac:dyDescent="0.2">
      <c r="A177" s="176" t="str">
        <f t="shared" si="4"/>
        <v>22/05/yyyy4</v>
      </c>
      <c r="B177" s="169">
        <f t="shared" si="5"/>
        <v>4</v>
      </c>
      <c r="C177" s="6" t="s">
        <v>878</v>
      </c>
      <c r="D177" s="40" t="s">
        <v>867</v>
      </c>
      <c r="E177" s="6">
        <v>8</v>
      </c>
      <c r="F177" s="6" t="s">
        <v>32</v>
      </c>
      <c r="G177" s="18">
        <v>45068</v>
      </c>
      <c r="H177" s="6" t="s">
        <v>686</v>
      </c>
      <c r="I177" s="18" t="s">
        <v>33</v>
      </c>
      <c r="J177" s="6">
        <f>IFERROR(VLOOKUP(I177,Jueces!$A$1:$B$11,2,FALSE),"")</f>
        <v>4</v>
      </c>
      <c r="K177" s="6" t="s">
        <v>809</v>
      </c>
      <c r="L177" s="6" t="s">
        <v>723</v>
      </c>
    </row>
    <row r="178" spans="1:12" ht="30" customHeight="1" x14ac:dyDescent="0.2">
      <c r="A178" s="176" t="str">
        <f t="shared" si="4"/>
        <v>23/05/yyyy1</v>
      </c>
      <c r="B178" s="169">
        <f t="shared" si="5"/>
        <v>1</v>
      </c>
      <c r="C178" s="6" t="s">
        <v>827</v>
      </c>
      <c r="D178" s="40" t="s">
        <v>820</v>
      </c>
      <c r="E178" s="6">
        <v>8</v>
      </c>
      <c r="F178" s="6" t="s">
        <v>283</v>
      </c>
      <c r="G178" s="18">
        <v>45069</v>
      </c>
      <c r="H178" s="6" t="s">
        <v>73</v>
      </c>
      <c r="I178" s="18" t="s">
        <v>31</v>
      </c>
      <c r="J178" s="6">
        <f>IFERROR(VLOOKUP(I178,Jueces!$A$1:$B$11,2,FALSE),"")</f>
        <v>2</v>
      </c>
      <c r="K178" s="74" t="s">
        <v>830</v>
      </c>
      <c r="L178" s="6" t="s">
        <v>767</v>
      </c>
    </row>
    <row r="179" spans="1:12" ht="30" customHeight="1" x14ac:dyDescent="0.2">
      <c r="A179" s="176" t="str">
        <f t="shared" si="4"/>
        <v>23/05/yyyy2</v>
      </c>
      <c r="B179" s="169">
        <f t="shared" si="5"/>
        <v>2</v>
      </c>
      <c r="C179" s="6" t="s">
        <v>849</v>
      </c>
      <c r="D179" s="40" t="s">
        <v>850</v>
      </c>
      <c r="E179" s="6">
        <v>8</v>
      </c>
      <c r="F179" s="6" t="s">
        <v>43</v>
      </c>
      <c r="G179" s="18">
        <v>45069</v>
      </c>
      <c r="H179" s="6" t="s">
        <v>73</v>
      </c>
      <c r="I179" s="18" t="s">
        <v>35</v>
      </c>
      <c r="J179" s="6">
        <f>IFERROR(VLOOKUP(I179,Jueces!$A$1:$B$11,2,FALSE),"")</f>
        <v>3</v>
      </c>
      <c r="K179" s="6" t="s">
        <v>569</v>
      </c>
      <c r="L179" s="6" t="s">
        <v>783</v>
      </c>
    </row>
    <row r="180" spans="1:12" ht="30" customHeight="1" x14ac:dyDescent="0.2">
      <c r="A180" s="176" t="str">
        <f t="shared" si="4"/>
        <v>23/05/yyyy3</v>
      </c>
      <c r="B180" s="169">
        <f t="shared" si="5"/>
        <v>3</v>
      </c>
      <c r="C180" s="6" t="s">
        <v>879</v>
      </c>
      <c r="D180" s="40" t="s">
        <v>868</v>
      </c>
      <c r="E180" s="6">
        <v>8</v>
      </c>
      <c r="F180" s="6" t="s">
        <v>29</v>
      </c>
      <c r="G180" s="18">
        <v>45069</v>
      </c>
      <c r="H180" s="6" t="s">
        <v>73</v>
      </c>
      <c r="I180" s="18" t="s">
        <v>33</v>
      </c>
      <c r="J180" s="6">
        <f>IFERROR(VLOOKUP(I180,Jueces!$A$1:$B$11,2,FALSE),"")</f>
        <v>4</v>
      </c>
      <c r="K180" s="6" t="s">
        <v>813</v>
      </c>
      <c r="L180" s="6" t="s">
        <v>723</v>
      </c>
    </row>
    <row r="181" spans="1:12" ht="30" customHeight="1" x14ac:dyDescent="0.2">
      <c r="A181" s="176" t="str">
        <f t="shared" si="4"/>
        <v>23/05/yyyy4</v>
      </c>
      <c r="B181" s="169">
        <f t="shared" si="5"/>
        <v>4</v>
      </c>
      <c r="C181" s="6" t="s">
        <v>855</v>
      </c>
      <c r="D181" s="40" t="s">
        <v>846</v>
      </c>
      <c r="E181" s="6">
        <v>8</v>
      </c>
      <c r="F181" s="6" t="s">
        <v>32</v>
      </c>
      <c r="G181" s="18">
        <v>45069</v>
      </c>
      <c r="H181" s="6" t="s">
        <v>686</v>
      </c>
      <c r="I181" s="18" t="s">
        <v>31</v>
      </c>
      <c r="J181" s="6">
        <f>IFERROR(VLOOKUP(I181,Jueces!$A$1:$B$11,2,FALSE),"")</f>
        <v>2</v>
      </c>
      <c r="K181" s="6" t="s">
        <v>812</v>
      </c>
      <c r="L181" s="6" t="s">
        <v>767</v>
      </c>
    </row>
    <row r="182" spans="1:12" ht="30" customHeight="1" x14ac:dyDescent="0.2">
      <c r="A182" s="176" t="str">
        <f t="shared" si="4"/>
        <v>24/05/yyyy1</v>
      </c>
      <c r="B182" s="169">
        <f t="shared" si="5"/>
        <v>1</v>
      </c>
      <c r="C182" s="6" t="s">
        <v>896</v>
      </c>
      <c r="D182" s="40" t="s">
        <v>844</v>
      </c>
      <c r="E182" s="6">
        <v>8</v>
      </c>
      <c r="F182" s="6" t="s">
        <v>568</v>
      </c>
      <c r="G182" s="18">
        <v>45070</v>
      </c>
      <c r="H182" s="6" t="s">
        <v>73</v>
      </c>
      <c r="I182" s="18" t="s">
        <v>31</v>
      </c>
      <c r="J182" s="6">
        <f>IFERROR(VLOOKUP(I182,Jueces!$A$1:$B$11,2,FALSE),"")</f>
        <v>2</v>
      </c>
      <c r="K182" s="6" t="s">
        <v>830</v>
      </c>
      <c r="L182" s="6" t="s">
        <v>723</v>
      </c>
    </row>
    <row r="183" spans="1:12" ht="30" customHeight="1" x14ac:dyDescent="0.2">
      <c r="A183" s="176" t="str">
        <f t="shared" si="4"/>
        <v>24/05/yyyy2</v>
      </c>
      <c r="B183" s="169">
        <f t="shared" si="5"/>
        <v>2</v>
      </c>
      <c r="C183" s="6" t="s">
        <v>831</v>
      </c>
      <c r="D183" s="40" t="s">
        <v>816</v>
      </c>
      <c r="E183" s="6">
        <v>8</v>
      </c>
      <c r="F183" s="6" t="s">
        <v>34</v>
      </c>
      <c r="G183" s="18">
        <v>45070</v>
      </c>
      <c r="H183" s="6" t="s">
        <v>73</v>
      </c>
      <c r="I183" s="18" t="s">
        <v>78</v>
      </c>
      <c r="J183" s="6">
        <f>IFERROR(VLOOKUP(I183,Jueces!$A$1:$B$11,2,FALSE),"")</f>
        <v>8</v>
      </c>
      <c r="K183" s="6" t="s">
        <v>809</v>
      </c>
      <c r="L183" s="6" t="s">
        <v>767</v>
      </c>
    </row>
    <row r="184" spans="1:12" ht="30" customHeight="1" x14ac:dyDescent="0.2">
      <c r="A184" s="176" t="str">
        <f t="shared" si="4"/>
        <v>24/05/yyyy3</v>
      </c>
      <c r="B184" s="169">
        <f t="shared" si="5"/>
        <v>3</v>
      </c>
      <c r="C184" s="6" t="s">
        <v>854</v>
      </c>
      <c r="D184" s="40" t="s">
        <v>847</v>
      </c>
      <c r="E184" s="6">
        <v>8</v>
      </c>
      <c r="F184" s="6" t="s">
        <v>29</v>
      </c>
      <c r="G184" s="18">
        <v>45070</v>
      </c>
      <c r="H184" s="6" t="s">
        <v>686</v>
      </c>
      <c r="I184" s="18" t="s">
        <v>31</v>
      </c>
      <c r="J184" s="6">
        <f>IFERROR(VLOOKUP(I184,Jueces!$A$1:$B$11,2,FALSE),"")</f>
        <v>2</v>
      </c>
      <c r="K184" s="6" t="s">
        <v>789</v>
      </c>
      <c r="L184" s="6" t="s">
        <v>767</v>
      </c>
    </row>
    <row r="185" spans="1:12" ht="30" customHeight="1" x14ac:dyDescent="0.2">
      <c r="A185" s="176" t="str">
        <f t="shared" si="4"/>
        <v>24/05/yyyy4</v>
      </c>
      <c r="B185" s="169">
        <f t="shared" si="5"/>
        <v>4</v>
      </c>
      <c r="C185" s="6" t="s">
        <v>876</v>
      </c>
      <c r="D185" s="40" t="s">
        <v>877</v>
      </c>
      <c r="E185" s="6">
        <v>8</v>
      </c>
      <c r="F185" s="6" t="s">
        <v>1441</v>
      </c>
      <c r="G185" s="18">
        <v>45070</v>
      </c>
      <c r="H185" s="6" t="s">
        <v>686</v>
      </c>
      <c r="I185" s="18" t="s">
        <v>78</v>
      </c>
      <c r="J185" s="6">
        <f>IFERROR(VLOOKUP(I185,Jueces!$A$1:$B$11,2,FALSE),"")</f>
        <v>8</v>
      </c>
      <c r="K185" s="6" t="s">
        <v>829</v>
      </c>
      <c r="L185" s="6" t="s">
        <v>887</v>
      </c>
    </row>
    <row r="186" spans="1:12" ht="30" customHeight="1" x14ac:dyDescent="0.2">
      <c r="A186" s="176" t="str">
        <f t="shared" si="4"/>
        <v>24/05/yyyy5</v>
      </c>
      <c r="B186" s="169">
        <f t="shared" si="5"/>
        <v>5</v>
      </c>
      <c r="C186" s="6" t="s">
        <v>933</v>
      </c>
      <c r="D186" s="40" t="s">
        <v>923</v>
      </c>
      <c r="E186" s="6">
        <v>8</v>
      </c>
      <c r="F186" s="6" t="s">
        <v>1441</v>
      </c>
      <c r="G186" s="18">
        <v>45070</v>
      </c>
      <c r="H186" s="6" t="s">
        <v>76</v>
      </c>
      <c r="I186" s="18" t="s">
        <v>78</v>
      </c>
      <c r="J186" s="6">
        <f>IFERROR(VLOOKUP(I186,Jueces!$A$1:$B$11,2,FALSE),"")</f>
        <v>8</v>
      </c>
      <c r="K186" s="6" t="s">
        <v>401</v>
      </c>
      <c r="L186" s="6" t="s">
        <v>887</v>
      </c>
    </row>
    <row r="187" spans="1:12" ht="30" customHeight="1" x14ac:dyDescent="0.2">
      <c r="A187" s="176" t="str">
        <f t="shared" si="4"/>
        <v>29/05/yyyy1</v>
      </c>
      <c r="B187" s="169">
        <f t="shared" si="5"/>
        <v>1</v>
      </c>
      <c r="C187" s="6" t="s">
        <v>901</v>
      </c>
      <c r="D187" s="40" t="s">
        <v>895</v>
      </c>
      <c r="E187" s="6">
        <v>8</v>
      </c>
      <c r="F187" s="6" t="s">
        <v>32</v>
      </c>
      <c r="G187" s="18">
        <v>45075</v>
      </c>
      <c r="H187" s="14" t="s">
        <v>73</v>
      </c>
      <c r="I187" s="18" t="s">
        <v>35</v>
      </c>
      <c r="J187" s="6">
        <f>IFERROR(VLOOKUP(I187,Jueces!$A$1:$B$11,2,FALSE),"")</f>
        <v>3</v>
      </c>
      <c r="K187" s="6" t="s">
        <v>797</v>
      </c>
      <c r="L187" s="6" t="s">
        <v>897</v>
      </c>
    </row>
    <row r="188" spans="1:12" ht="30" customHeight="1" x14ac:dyDescent="0.2">
      <c r="A188" s="176" t="str">
        <f t="shared" si="4"/>
        <v>29/05/yyyy2</v>
      </c>
      <c r="B188" s="169">
        <f t="shared" si="5"/>
        <v>2</v>
      </c>
      <c r="C188" s="6" t="s">
        <v>884</v>
      </c>
      <c r="D188" s="40" t="s">
        <v>885</v>
      </c>
      <c r="E188" s="6">
        <v>8</v>
      </c>
      <c r="F188" s="6" t="s">
        <v>568</v>
      </c>
      <c r="G188" s="18">
        <v>45075</v>
      </c>
      <c r="H188" s="6" t="s">
        <v>73</v>
      </c>
      <c r="I188" s="18" t="s">
        <v>33</v>
      </c>
      <c r="J188" s="6">
        <f>IFERROR(VLOOKUP(I188,Jueces!$A$1:$B$11,2,FALSE),"")</f>
        <v>4</v>
      </c>
      <c r="K188" s="6" t="s">
        <v>806</v>
      </c>
      <c r="L188" s="6" t="s">
        <v>886</v>
      </c>
    </row>
    <row r="189" spans="1:12" ht="30" customHeight="1" x14ac:dyDescent="0.2">
      <c r="A189" s="176" t="str">
        <f t="shared" si="4"/>
        <v>29/05/yyyy3</v>
      </c>
      <c r="B189" s="169">
        <f t="shared" si="5"/>
        <v>3</v>
      </c>
      <c r="C189" s="6" t="s">
        <v>873</v>
      </c>
      <c r="D189" s="40" t="s">
        <v>853</v>
      </c>
      <c r="E189" s="6">
        <v>8</v>
      </c>
      <c r="F189" s="6" t="s">
        <v>1441</v>
      </c>
      <c r="G189" s="18">
        <v>45075</v>
      </c>
      <c r="H189" s="6" t="s">
        <v>73</v>
      </c>
      <c r="I189" s="18" t="s">
        <v>31</v>
      </c>
      <c r="J189" s="6">
        <f>IFERROR(VLOOKUP(I189,Jueces!$A$1:$B$11,2,FALSE),"")</f>
        <v>2</v>
      </c>
      <c r="K189" s="6" t="s">
        <v>1033</v>
      </c>
      <c r="L189" s="6" t="s">
        <v>1032</v>
      </c>
    </row>
    <row r="190" spans="1:12" ht="30" customHeight="1" x14ac:dyDescent="0.2">
      <c r="A190" s="176" t="str">
        <f t="shared" si="4"/>
        <v>29/05/yyyy4</v>
      </c>
      <c r="B190" s="169">
        <f t="shared" si="5"/>
        <v>4</v>
      </c>
      <c r="C190" s="6" t="s">
        <v>889</v>
      </c>
      <c r="D190" s="40" t="s">
        <v>890</v>
      </c>
      <c r="E190" s="6">
        <v>8</v>
      </c>
      <c r="F190" s="6" t="s">
        <v>1441</v>
      </c>
      <c r="G190" s="18">
        <v>45075</v>
      </c>
      <c r="H190" s="6" t="s">
        <v>686</v>
      </c>
      <c r="I190" s="18" t="s">
        <v>78</v>
      </c>
      <c r="J190" s="6">
        <f>IFERROR(VLOOKUP(I190,Jueces!$A$1:$B$11,2,FALSE),"")</f>
        <v>8</v>
      </c>
      <c r="K190" s="6" t="s">
        <v>805</v>
      </c>
      <c r="L190" s="6" t="s">
        <v>893</v>
      </c>
    </row>
    <row r="191" spans="1:12" ht="30" customHeight="1" x14ac:dyDescent="0.2">
      <c r="A191" s="176" t="str">
        <f t="shared" si="4"/>
        <v>29/05/yyyy5</v>
      </c>
      <c r="B191" s="169">
        <f t="shared" si="5"/>
        <v>5</v>
      </c>
      <c r="C191" s="6" t="s">
        <v>882</v>
      </c>
      <c r="D191" s="40" t="s">
        <v>871</v>
      </c>
      <c r="E191" s="6">
        <v>8</v>
      </c>
      <c r="F191" s="6" t="s">
        <v>283</v>
      </c>
      <c r="G191" s="18">
        <v>45075</v>
      </c>
      <c r="H191" s="6" t="s">
        <v>686</v>
      </c>
      <c r="I191" s="18" t="s">
        <v>35</v>
      </c>
      <c r="J191" s="6">
        <f>IFERROR(VLOOKUP(I191,Jueces!$A$1:$B$11,2,FALSE),"")</f>
        <v>3</v>
      </c>
      <c r="K191" s="6" t="s">
        <v>789</v>
      </c>
      <c r="L191" s="6" t="s">
        <v>712</v>
      </c>
    </row>
    <row r="192" spans="1:12" ht="30" customHeight="1" x14ac:dyDescent="0.2">
      <c r="A192" s="176" t="str">
        <f t="shared" si="4"/>
        <v>30/05/yyyy1</v>
      </c>
      <c r="B192" s="169">
        <f t="shared" si="5"/>
        <v>1</v>
      </c>
      <c r="C192" s="6" t="s">
        <v>944</v>
      </c>
      <c r="D192" s="40" t="s">
        <v>946</v>
      </c>
      <c r="E192" s="6">
        <v>2</v>
      </c>
      <c r="F192" s="6" t="s">
        <v>43</v>
      </c>
      <c r="G192" s="18">
        <v>45076</v>
      </c>
      <c r="H192" s="6" t="s">
        <v>73</v>
      </c>
      <c r="I192" s="18" t="s">
        <v>35</v>
      </c>
      <c r="J192" s="6">
        <f>IFERROR(VLOOKUP(I192,Jueces!$A$1:$B$11,2,FALSE),"")</f>
        <v>3</v>
      </c>
      <c r="K192" s="6" t="s">
        <v>191</v>
      </c>
      <c r="L192" s="6" t="s">
        <v>977</v>
      </c>
    </row>
    <row r="193" spans="1:12" ht="30" customHeight="1" x14ac:dyDescent="0.2">
      <c r="A193" s="176" t="str">
        <f t="shared" si="4"/>
        <v>31/05/yyyy1</v>
      </c>
      <c r="B193" s="169">
        <f t="shared" si="5"/>
        <v>1</v>
      </c>
      <c r="C193" s="6" t="s">
        <v>914</v>
      </c>
      <c r="D193" s="40" t="s">
        <v>858</v>
      </c>
      <c r="E193" s="6">
        <v>8</v>
      </c>
      <c r="F193" s="6" t="s">
        <v>34</v>
      </c>
      <c r="G193" s="18">
        <v>45077</v>
      </c>
      <c r="H193" s="6" t="s">
        <v>73</v>
      </c>
      <c r="I193" s="18" t="s">
        <v>33</v>
      </c>
      <c r="J193" s="6">
        <f>IFERROR(VLOOKUP(I193,Jueces!$A$1:$B$11,2,FALSE),"")</f>
        <v>4</v>
      </c>
      <c r="K193" s="6" t="s">
        <v>812</v>
      </c>
      <c r="L193" s="6" t="s">
        <v>887</v>
      </c>
    </row>
    <row r="194" spans="1:12" ht="30" customHeight="1" x14ac:dyDescent="0.2">
      <c r="A194" s="176" t="str">
        <f t="shared" si="4"/>
        <v>31/05/yyyy2</v>
      </c>
      <c r="B194" s="169">
        <f t="shared" si="5"/>
        <v>2</v>
      </c>
      <c r="C194" s="6" t="s">
        <v>906</v>
      </c>
      <c r="D194" s="40" t="s">
        <v>917</v>
      </c>
      <c r="E194" s="6">
        <v>8</v>
      </c>
      <c r="F194" s="6" t="s">
        <v>43</v>
      </c>
      <c r="G194" s="18">
        <v>45077</v>
      </c>
      <c r="H194" s="6" t="s">
        <v>73</v>
      </c>
      <c r="I194" s="18" t="s">
        <v>31</v>
      </c>
      <c r="J194" s="6">
        <f>IFERROR(VLOOKUP(I194,Jueces!$A$1:$B$11,2,FALSE),"")</f>
        <v>2</v>
      </c>
      <c r="K194" s="6" t="s">
        <v>262</v>
      </c>
      <c r="L194" s="6" t="s">
        <v>723</v>
      </c>
    </row>
    <row r="195" spans="1:12" ht="30" customHeight="1" x14ac:dyDescent="0.2">
      <c r="A195" s="176" t="str">
        <f t="shared" ref="A195:A258" si="6">CONCATENATE(TEXT($G195,"dd/mm/yyyy"),$B195)</f>
        <v>31/05/yyyy3</v>
      </c>
      <c r="B195" s="169">
        <f t="shared" si="5"/>
        <v>3</v>
      </c>
      <c r="C195" s="6" t="s">
        <v>915</v>
      </c>
      <c r="D195" s="40" t="s">
        <v>892</v>
      </c>
      <c r="E195" s="6">
        <v>8</v>
      </c>
      <c r="F195" s="6" t="s">
        <v>32</v>
      </c>
      <c r="G195" s="18">
        <v>45077</v>
      </c>
      <c r="H195" s="6" t="s">
        <v>686</v>
      </c>
      <c r="I195" s="18" t="s">
        <v>78</v>
      </c>
      <c r="J195" s="6">
        <f>IFERROR(VLOOKUP(I195,Jueces!$A$1:$B$11,2,FALSE),"")</f>
        <v>8</v>
      </c>
      <c r="K195" s="6" t="s">
        <v>806</v>
      </c>
      <c r="L195" s="6" t="s">
        <v>723</v>
      </c>
    </row>
    <row r="196" spans="1:12" ht="30" customHeight="1" x14ac:dyDescent="0.2">
      <c r="A196" s="176" t="str">
        <f t="shared" si="6"/>
        <v>31/05/yyyy4</v>
      </c>
      <c r="B196" s="169">
        <f t="shared" ref="B196:B259" si="7">IF($G196=$G195,$B195+1,1)</f>
        <v>4</v>
      </c>
      <c r="C196" s="6" t="s">
        <v>945</v>
      </c>
      <c r="D196" s="40" t="s">
        <v>978</v>
      </c>
      <c r="E196" s="6">
        <v>8</v>
      </c>
      <c r="F196" s="6" t="s">
        <v>29</v>
      </c>
      <c r="G196" s="18">
        <v>45077</v>
      </c>
      <c r="H196" s="6" t="s">
        <v>228</v>
      </c>
      <c r="I196" s="18" t="s">
        <v>31</v>
      </c>
      <c r="J196" s="6">
        <f>IFERROR(VLOOKUP(I196,Jueces!$A$1:$B$11,2,FALSE),"")</f>
        <v>2</v>
      </c>
      <c r="K196" s="6" t="s">
        <v>326</v>
      </c>
      <c r="L196" s="6" t="s">
        <v>887</v>
      </c>
    </row>
    <row r="197" spans="1:12" ht="30" customHeight="1" x14ac:dyDescent="0.2">
      <c r="A197" s="176" t="str">
        <f t="shared" si="6"/>
        <v>01/06/yyyy1</v>
      </c>
      <c r="B197" s="169">
        <f t="shared" si="7"/>
        <v>1</v>
      </c>
      <c r="C197" s="6" t="s">
        <v>786</v>
      </c>
      <c r="D197" s="40" t="s">
        <v>994</v>
      </c>
      <c r="E197" s="6">
        <v>8</v>
      </c>
      <c r="F197" s="6" t="s">
        <v>32</v>
      </c>
      <c r="G197" s="18">
        <v>45078</v>
      </c>
      <c r="H197" s="6" t="s">
        <v>73</v>
      </c>
      <c r="I197" s="18" t="s">
        <v>33</v>
      </c>
      <c r="J197" s="6">
        <f>IFERROR(VLOOKUP(I197,Jueces!$A$1:$B$11,2,FALSE),"")</f>
        <v>4</v>
      </c>
      <c r="K197" s="6" t="s">
        <v>805</v>
      </c>
      <c r="L197" s="6" t="s">
        <v>837</v>
      </c>
    </row>
    <row r="198" spans="1:12" ht="30" customHeight="1" x14ac:dyDescent="0.2">
      <c r="A198" s="176" t="str">
        <f t="shared" si="6"/>
        <v>01/06/yyyy2</v>
      </c>
      <c r="B198" s="169">
        <f t="shared" si="7"/>
        <v>2</v>
      </c>
      <c r="C198" s="6" t="s">
        <v>866</v>
      </c>
      <c r="D198" s="40" t="s">
        <v>870</v>
      </c>
      <c r="E198" s="6">
        <v>8</v>
      </c>
      <c r="F198" s="6" t="s">
        <v>43</v>
      </c>
      <c r="G198" s="18">
        <v>45078</v>
      </c>
      <c r="H198" s="6" t="s">
        <v>73</v>
      </c>
      <c r="I198" s="18" t="s">
        <v>35</v>
      </c>
      <c r="J198" s="6">
        <f>IFERROR(VLOOKUP(I198,Jueces!$A$1:$B$11,2,FALSE),"")</f>
        <v>3</v>
      </c>
      <c r="K198" s="6" t="s">
        <v>802</v>
      </c>
      <c r="L198" s="6" t="s">
        <v>883</v>
      </c>
    </row>
    <row r="199" spans="1:12" ht="30" customHeight="1" x14ac:dyDescent="0.2">
      <c r="A199" s="176" t="str">
        <f t="shared" si="6"/>
        <v>01/06/yyyy3</v>
      </c>
      <c r="B199" s="169">
        <f t="shared" si="7"/>
        <v>3</v>
      </c>
      <c r="C199" s="6" t="s">
        <v>958</v>
      </c>
      <c r="D199" s="40" t="s">
        <v>959</v>
      </c>
      <c r="E199" s="6">
        <v>8</v>
      </c>
      <c r="F199" s="6" t="s">
        <v>1441</v>
      </c>
      <c r="G199" s="18">
        <v>45078</v>
      </c>
      <c r="H199" s="6" t="s">
        <v>73</v>
      </c>
      <c r="I199" s="18" t="s">
        <v>78</v>
      </c>
      <c r="J199" s="6">
        <f>IFERROR(VLOOKUP(I199,Jueces!$A$1:$B$11,2,FALSE),"")</f>
        <v>8</v>
      </c>
      <c r="K199" s="6" t="s">
        <v>806</v>
      </c>
      <c r="L199" s="6" t="s">
        <v>1031</v>
      </c>
    </row>
    <row r="200" spans="1:12" ht="30" customHeight="1" x14ac:dyDescent="0.2">
      <c r="A200" s="176" t="str">
        <f t="shared" si="6"/>
        <v>01/06/yyyy4</v>
      </c>
      <c r="B200" s="169">
        <f t="shared" si="7"/>
        <v>4</v>
      </c>
      <c r="C200" s="6" t="s">
        <v>845</v>
      </c>
      <c r="D200" s="40" t="s">
        <v>852</v>
      </c>
      <c r="E200" s="6">
        <v>8</v>
      </c>
      <c r="F200" s="6" t="s">
        <v>283</v>
      </c>
      <c r="G200" s="18">
        <v>45078</v>
      </c>
      <c r="H200" s="6" t="s">
        <v>686</v>
      </c>
      <c r="I200" s="18" t="s">
        <v>78</v>
      </c>
      <c r="J200" s="6">
        <f>IFERROR(VLOOKUP(I200,Jueces!$A$1:$B$11,2,FALSE),"")</f>
        <v>8</v>
      </c>
      <c r="K200" s="6" t="s">
        <v>811</v>
      </c>
      <c r="L200" s="6" t="s">
        <v>767</v>
      </c>
    </row>
    <row r="201" spans="1:12" ht="30" customHeight="1" x14ac:dyDescent="0.2">
      <c r="A201" s="176" t="str">
        <f t="shared" si="6"/>
        <v>01/06/yyyy5</v>
      </c>
      <c r="B201" s="169">
        <f t="shared" si="7"/>
        <v>5</v>
      </c>
      <c r="C201" s="66" t="s">
        <v>881</v>
      </c>
      <c r="D201" s="67" t="s">
        <v>880</v>
      </c>
      <c r="E201" s="66">
        <v>8</v>
      </c>
      <c r="F201" s="66" t="s">
        <v>29</v>
      </c>
      <c r="G201" s="68">
        <v>45078</v>
      </c>
      <c r="H201" s="66" t="s">
        <v>686</v>
      </c>
      <c r="I201" s="68" t="s">
        <v>33</v>
      </c>
      <c r="J201" s="6">
        <f>IFERROR(VLOOKUP(I201,Jueces!$A$1:$B$11,2,FALSE),"")</f>
        <v>4</v>
      </c>
      <c r="K201" s="66" t="s">
        <v>810</v>
      </c>
      <c r="L201" s="66" t="s">
        <v>887</v>
      </c>
    </row>
    <row r="202" spans="1:12" ht="30" customHeight="1" x14ac:dyDescent="0.2">
      <c r="A202" s="176" t="str">
        <f t="shared" si="6"/>
        <v>01/06/yyyy6</v>
      </c>
      <c r="B202" s="169">
        <f t="shared" si="7"/>
        <v>6</v>
      </c>
      <c r="C202" s="66" t="s">
        <v>960</v>
      </c>
      <c r="D202" s="67" t="s">
        <v>961</v>
      </c>
      <c r="E202" s="66">
        <v>8</v>
      </c>
      <c r="F202" s="66" t="s">
        <v>568</v>
      </c>
      <c r="G202" s="68">
        <v>45078</v>
      </c>
      <c r="H202" s="66" t="s">
        <v>77</v>
      </c>
      <c r="I202" s="68" t="s">
        <v>78</v>
      </c>
      <c r="J202" s="6">
        <f>IFERROR(VLOOKUP(I202,Jueces!$A$1:$B$11,2,FALSE),"")</f>
        <v>8</v>
      </c>
      <c r="K202" s="66" t="s">
        <v>799</v>
      </c>
      <c r="L202" s="66" t="s">
        <v>86</v>
      </c>
    </row>
    <row r="203" spans="1:12" ht="30" customHeight="1" x14ac:dyDescent="0.2">
      <c r="A203" s="176" t="str">
        <f t="shared" si="6"/>
        <v>01/06/yyyy7</v>
      </c>
      <c r="B203" s="169">
        <f t="shared" si="7"/>
        <v>7</v>
      </c>
      <c r="C203" s="66" t="s">
        <v>986</v>
      </c>
      <c r="D203" s="67" t="s">
        <v>987</v>
      </c>
      <c r="E203" s="66">
        <v>3</v>
      </c>
      <c r="F203" s="66" t="s">
        <v>43</v>
      </c>
      <c r="G203" s="68">
        <v>45078</v>
      </c>
      <c r="H203" s="66" t="s">
        <v>989</v>
      </c>
      <c r="I203" s="68" t="s">
        <v>35</v>
      </c>
      <c r="J203" s="6">
        <f>IFERROR(VLOOKUP(I203,Jueces!$A$1:$B$11,2,FALSE),"")</f>
        <v>3</v>
      </c>
      <c r="K203" s="66" t="s">
        <v>181</v>
      </c>
      <c r="L203" s="66" t="s">
        <v>1031</v>
      </c>
    </row>
    <row r="204" spans="1:12" ht="30" customHeight="1" x14ac:dyDescent="0.2">
      <c r="A204" s="176" t="str">
        <f t="shared" si="6"/>
        <v>02/06/yyyy1</v>
      </c>
      <c r="B204" s="169">
        <f t="shared" si="7"/>
        <v>1</v>
      </c>
      <c r="C204" s="66" t="s">
        <v>891</v>
      </c>
      <c r="D204" s="67" t="s">
        <v>979</v>
      </c>
      <c r="E204" s="66">
        <v>8</v>
      </c>
      <c r="F204" s="66" t="s">
        <v>29</v>
      </c>
      <c r="G204" s="68">
        <v>45079</v>
      </c>
      <c r="H204" s="66" t="s">
        <v>999</v>
      </c>
      <c r="I204" s="68" t="s">
        <v>78</v>
      </c>
      <c r="J204" s="6">
        <f>IFERROR(VLOOKUP(I204,Jueces!$A$1:$B$11,2,FALSE),"")</f>
        <v>8</v>
      </c>
      <c r="K204" s="66" t="s">
        <v>802</v>
      </c>
      <c r="L204" s="66" t="s">
        <v>916</v>
      </c>
    </row>
    <row r="205" spans="1:12" ht="30" customHeight="1" x14ac:dyDescent="0.2">
      <c r="A205" s="176" t="str">
        <f t="shared" si="6"/>
        <v>02/06/yyyy2</v>
      </c>
      <c r="B205" s="169">
        <f t="shared" si="7"/>
        <v>2</v>
      </c>
      <c r="C205" s="6" t="s">
        <v>836</v>
      </c>
      <c r="D205" s="40" t="s">
        <v>838</v>
      </c>
      <c r="E205" s="6">
        <v>8</v>
      </c>
      <c r="F205" s="6" t="s">
        <v>1441</v>
      </c>
      <c r="G205" s="18">
        <v>45079</v>
      </c>
      <c r="H205" s="6" t="s">
        <v>73</v>
      </c>
      <c r="I205" s="18" t="s">
        <v>35</v>
      </c>
      <c r="J205" s="6">
        <f>IFERROR(VLOOKUP(I205,Jueces!$A$1:$B$11,2,FALSE),"")</f>
        <v>3</v>
      </c>
      <c r="K205" s="6" t="s">
        <v>799</v>
      </c>
      <c r="L205" s="6" t="s">
        <v>711</v>
      </c>
    </row>
    <row r="206" spans="1:12" ht="30" customHeight="1" x14ac:dyDescent="0.2">
      <c r="A206" s="176" t="str">
        <f t="shared" si="6"/>
        <v>02/06/yyyy3</v>
      </c>
      <c r="B206" s="169">
        <f t="shared" si="7"/>
        <v>3</v>
      </c>
      <c r="C206" s="66" t="s">
        <v>900</v>
      </c>
      <c r="D206" s="67" t="s">
        <v>872</v>
      </c>
      <c r="E206" s="66">
        <v>8</v>
      </c>
      <c r="F206" s="66" t="s">
        <v>283</v>
      </c>
      <c r="G206" s="68">
        <v>45079</v>
      </c>
      <c r="H206" s="66" t="s">
        <v>686</v>
      </c>
      <c r="I206" s="68" t="s">
        <v>78</v>
      </c>
      <c r="J206" s="6">
        <f>IFERROR(VLOOKUP(I206,Jueces!$A$1:$B$11,2,FALSE),"")</f>
        <v>8</v>
      </c>
      <c r="K206" s="66" t="s">
        <v>326</v>
      </c>
      <c r="L206" s="66" t="s">
        <v>767</v>
      </c>
    </row>
    <row r="207" spans="1:12" ht="30" customHeight="1" x14ac:dyDescent="0.2">
      <c r="A207" s="176" t="str">
        <f t="shared" si="6"/>
        <v>02/06/yyyy4</v>
      </c>
      <c r="B207" s="169">
        <f t="shared" si="7"/>
        <v>4</v>
      </c>
      <c r="C207" s="66" t="s">
        <v>938</v>
      </c>
      <c r="D207" s="67" t="s">
        <v>939</v>
      </c>
      <c r="E207" s="66">
        <v>8</v>
      </c>
      <c r="F207" s="66" t="s">
        <v>568</v>
      </c>
      <c r="G207" s="68">
        <v>45079</v>
      </c>
      <c r="H207" s="66" t="s">
        <v>686</v>
      </c>
      <c r="I207" s="68" t="s">
        <v>33</v>
      </c>
      <c r="J207" s="6">
        <f>IFERROR(VLOOKUP(I207,Jueces!$A$1:$B$11,2,FALSE),"")</f>
        <v>4</v>
      </c>
      <c r="K207" s="66" t="s">
        <v>802</v>
      </c>
      <c r="L207" s="66" t="s">
        <v>1007</v>
      </c>
    </row>
    <row r="208" spans="1:12" ht="30" customHeight="1" x14ac:dyDescent="0.2">
      <c r="A208" s="176" t="str">
        <f t="shared" si="6"/>
        <v>02/06/yyyy5</v>
      </c>
      <c r="B208" s="169">
        <f t="shared" si="7"/>
        <v>5</v>
      </c>
      <c r="C208" s="66" t="s">
        <v>935</v>
      </c>
      <c r="D208" s="67" t="s">
        <v>922</v>
      </c>
      <c r="E208" s="66">
        <v>8</v>
      </c>
      <c r="F208" s="66" t="s">
        <v>34</v>
      </c>
      <c r="G208" s="68">
        <v>45079</v>
      </c>
      <c r="H208" s="66" t="s">
        <v>686</v>
      </c>
      <c r="I208" s="68" t="s">
        <v>35</v>
      </c>
      <c r="J208" s="6">
        <f>IFERROR(VLOOKUP(I208,Jueces!$A$1:$B$11,2,FALSE),"")</f>
        <v>3</v>
      </c>
      <c r="K208" s="66" t="s">
        <v>277</v>
      </c>
      <c r="L208" s="66" t="s">
        <v>710</v>
      </c>
    </row>
    <row r="209" spans="1:12" ht="30" customHeight="1" x14ac:dyDescent="0.2">
      <c r="A209" s="176" t="str">
        <f t="shared" si="6"/>
        <v>05/06/yyyy1</v>
      </c>
      <c r="B209" s="169">
        <f t="shared" si="7"/>
        <v>1</v>
      </c>
      <c r="C209" s="6" t="s">
        <v>921</v>
      </c>
      <c r="D209" s="40" t="s">
        <v>1037</v>
      </c>
      <c r="E209" s="6">
        <v>8</v>
      </c>
      <c r="F209" s="6" t="s">
        <v>568</v>
      </c>
      <c r="G209" s="18">
        <v>45082</v>
      </c>
      <c r="H209" s="6" t="s">
        <v>73</v>
      </c>
      <c r="I209" s="18" t="s">
        <v>33</v>
      </c>
      <c r="J209" s="6">
        <f>IFERROR(VLOOKUP(I209,Jueces!$A$1:$B$11,2,FALSE),"")</f>
        <v>4</v>
      </c>
      <c r="K209" s="6" t="s">
        <v>406</v>
      </c>
      <c r="L209" s="6" t="s">
        <v>767</v>
      </c>
    </row>
    <row r="210" spans="1:12" ht="30" customHeight="1" x14ac:dyDescent="0.2">
      <c r="A210" s="176" t="str">
        <f t="shared" si="6"/>
        <v>05/06/yyyy2</v>
      </c>
      <c r="B210" s="169">
        <f t="shared" si="7"/>
        <v>2</v>
      </c>
      <c r="C210" s="6" t="s">
        <v>970</v>
      </c>
      <c r="D210" s="40" t="s">
        <v>971</v>
      </c>
      <c r="E210" s="6">
        <v>8</v>
      </c>
      <c r="F210" s="6" t="s">
        <v>1441</v>
      </c>
      <c r="G210" s="18">
        <v>45082</v>
      </c>
      <c r="H210" s="6" t="s">
        <v>73</v>
      </c>
      <c r="I210" s="18" t="s">
        <v>78</v>
      </c>
      <c r="J210" s="6">
        <f>IFERROR(VLOOKUP(I210,Jueces!$A$1:$B$11,2,FALSE),"")</f>
        <v>8</v>
      </c>
      <c r="K210" s="6" t="s">
        <v>569</v>
      </c>
      <c r="L210" s="6" t="s">
        <v>972</v>
      </c>
    </row>
    <row r="211" spans="1:12" ht="30" customHeight="1" x14ac:dyDescent="0.2">
      <c r="A211" s="176" t="str">
        <f t="shared" si="6"/>
        <v>05/06/yyyy3</v>
      </c>
      <c r="B211" s="169">
        <f t="shared" si="7"/>
        <v>3</v>
      </c>
      <c r="C211" s="66" t="s">
        <v>927</v>
      </c>
      <c r="D211" s="67" t="s">
        <v>928</v>
      </c>
      <c r="E211" s="66">
        <v>8</v>
      </c>
      <c r="F211" s="66" t="s">
        <v>32</v>
      </c>
      <c r="G211" s="68">
        <v>45082</v>
      </c>
      <c r="H211" s="66" t="s">
        <v>686</v>
      </c>
      <c r="I211" s="68" t="s">
        <v>33</v>
      </c>
      <c r="J211" s="6">
        <f>IFERROR(VLOOKUP(I211,Jueces!$A$1:$B$11,2,FALSE),"")</f>
        <v>4</v>
      </c>
      <c r="K211" s="66" t="s">
        <v>793</v>
      </c>
      <c r="L211" s="66" t="s">
        <v>767</v>
      </c>
    </row>
    <row r="212" spans="1:12" ht="30" customHeight="1" x14ac:dyDescent="0.2">
      <c r="A212" s="176" t="str">
        <f t="shared" si="6"/>
        <v>05/06/yyyy4</v>
      </c>
      <c r="B212" s="169">
        <f t="shared" si="7"/>
        <v>4</v>
      </c>
      <c r="C212" s="66" t="s">
        <v>975</v>
      </c>
      <c r="D212" s="67" t="s">
        <v>967</v>
      </c>
      <c r="E212" s="66">
        <v>8</v>
      </c>
      <c r="F212" s="66" t="s">
        <v>283</v>
      </c>
      <c r="G212" s="68">
        <v>45082</v>
      </c>
      <c r="H212" s="66" t="s">
        <v>228</v>
      </c>
      <c r="I212" s="68" t="s">
        <v>78</v>
      </c>
      <c r="J212" s="6">
        <f>IFERROR(VLOOKUP(I212,Jueces!$A$1:$B$11,2,FALSE),"")</f>
        <v>8</v>
      </c>
      <c r="K212" s="66" t="s">
        <v>794</v>
      </c>
      <c r="L212" s="66" t="s">
        <v>1304</v>
      </c>
    </row>
    <row r="213" spans="1:12" ht="30" customHeight="1" x14ac:dyDescent="0.2">
      <c r="A213" s="176" t="str">
        <f t="shared" si="6"/>
        <v>06/06/yyyy1</v>
      </c>
      <c r="B213" s="169">
        <f t="shared" si="7"/>
        <v>1</v>
      </c>
      <c r="C213" s="66" t="s">
        <v>841</v>
      </c>
      <c r="D213" s="67" t="s">
        <v>833</v>
      </c>
      <c r="E213" s="66">
        <v>8</v>
      </c>
      <c r="F213" s="66" t="s">
        <v>43</v>
      </c>
      <c r="G213" s="68">
        <v>45083</v>
      </c>
      <c r="H213" s="66" t="s">
        <v>73</v>
      </c>
      <c r="I213" s="68" t="s">
        <v>35</v>
      </c>
      <c r="J213" s="6">
        <f>IFERROR(VLOOKUP(I213,Jueces!$A$1:$B$11,2,FALSE),"")</f>
        <v>3</v>
      </c>
      <c r="K213" s="66" t="s">
        <v>1070</v>
      </c>
      <c r="L213" s="66" t="s">
        <v>767</v>
      </c>
    </row>
    <row r="214" spans="1:12" ht="30" customHeight="1" x14ac:dyDescent="0.2">
      <c r="A214" s="176" t="str">
        <f t="shared" si="6"/>
        <v>06/06/yyyy2</v>
      </c>
      <c r="B214" s="169">
        <f t="shared" si="7"/>
        <v>2</v>
      </c>
      <c r="C214" s="66" t="s">
        <v>976</v>
      </c>
      <c r="D214" s="67" t="s">
        <v>964</v>
      </c>
      <c r="E214" s="66">
        <v>8</v>
      </c>
      <c r="F214" s="66" t="s">
        <v>29</v>
      </c>
      <c r="G214" s="68">
        <v>45083</v>
      </c>
      <c r="H214" s="66" t="s">
        <v>73</v>
      </c>
      <c r="I214" s="68" t="s">
        <v>33</v>
      </c>
      <c r="J214" s="6">
        <f>IFERROR(VLOOKUP(I214,Jueces!$A$1:$B$11,2,FALSE),"")</f>
        <v>4</v>
      </c>
      <c r="K214" s="66" t="s">
        <v>812</v>
      </c>
      <c r="L214" s="66" t="s">
        <v>887</v>
      </c>
    </row>
    <row r="215" spans="1:12" ht="30" customHeight="1" x14ac:dyDescent="0.2">
      <c r="A215" s="176" t="str">
        <f t="shared" si="6"/>
        <v>06/06/yyyy3</v>
      </c>
      <c r="B215" s="169">
        <f t="shared" si="7"/>
        <v>3</v>
      </c>
      <c r="C215" s="66" t="s">
        <v>965</v>
      </c>
      <c r="D215" s="67" t="s">
        <v>966</v>
      </c>
      <c r="E215" s="66">
        <v>8</v>
      </c>
      <c r="F215" s="66" t="s">
        <v>34</v>
      </c>
      <c r="G215" s="68">
        <v>45083</v>
      </c>
      <c r="H215" s="66" t="s">
        <v>686</v>
      </c>
      <c r="I215" s="68" t="s">
        <v>35</v>
      </c>
      <c r="J215" s="6">
        <f>IFERROR(VLOOKUP(I215,Jueces!$A$1:$B$11,2,FALSE),"")</f>
        <v>3</v>
      </c>
      <c r="K215" s="66" t="s">
        <v>416</v>
      </c>
      <c r="L215" s="66" t="s">
        <v>887</v>
      </c>
    </row>
    <row r="216" spans="1:12" ht="30" customHeight="1" x14ac:dyDescent="0.2">
      <c r="A216" s="176" t="str">
        <f t="shared" si="6"/>
        <v>06/06/yyyy4</v>
      </c>
      <c r="B216" s="169">
        <f t="shared" si="7"/>
        <v>4</v>
      </c>
      <c r="C216" s="66" t="s">
        <v>968</v>
      </c>
      <c r="D216" s="67" t="s">
        <v>969</v>
      </c>
      <c r="E216" s="66">
        <v>8</v>
      </c>
      <c r="F216" s="66" t="s">
        <v>32</v>
      </c>
      <c r="G216" s="68">
        <v>45083</v>
      </c>
      <c r="H216" s="66" t="s">
        <v>686</v>
      </c>
      <c r="I216" s="68" t="s">
        <v>33</v>
      </c>
      <c r="J216" s="6">
        <f>IFERROR(VLOOKUP(I216,Jueces!$A$1:$B$11,2,FALSE),"")</f>
        <v>4</v>
      </c>
      <c r="K216" s="67" t="s">
        <v>800</v>
      </c>
      <c r="L216" s="66" t="s">
        <v>983</v>
      </c>
    </row>
    <row r="217" spans="1:12" ht="30" customHeight="1" x14ac:dyDescent="0.2">
      <c r="A217" s="176" t="str">
        <f t="shared" si="6"/>
        <v>07/06/yyyy1</v>
      </c>
      <c r="B217" s="169">
        <f t="shared" si="7"/>
        <v>1</v>
      </c>
      <c r="C217" s="66" t="s">
        <v>857</v>
      </c>
      <c r="D217" s="67" t="s">
        <v>888</v>
      </c>
      <c r="E217" s="66">
        <v>2</v>
      </c>
      <c r="F217" s="66" t="s">
        <v>34</v>
      </c>
      <c r="G217" s="68">
        <v>45084</v>
      </c>
      <c r="H217" s="66" t="s">
        <v>73</v>
      </c>
      <c r="I217" s="68" t="s">
        <v>33</v>
      </c>
      <c r="J217" s="6">
        <f>IFERROR(VLOOKUP(I217,Jueces!$A$1:$B$11,2,FALSE),"")</f>
        <v>4</v>
      </c>
      <c r="K217" s="66" t="s">
        <v>415</v>
      </c>
      <c r="L217" s="66" t="s">
        <v>767</v>
      </c>
    </row>
    <row r="218" spans="1:12" ht="30" customHeight="1" x14ac:dyDescent="0.2">
      <c r="A218" s="176" t="str">
        <f t="shared" si="6"/>
        <v>07/06/yyyy2</v>
      </c>
      <c r="B218" s="169">
        <f t="shared" si="7"/>
        <v>2</v>
      </c>
      <c r="C218" s="66" t="s">
        <v>981</v>
      </c>
      <c r="D218" s="67" t="s">
        <v>982</v>
      </c>
      <c r="E218" s="66">
        <v>8</v>
      </c>
      <c r="F218" s="66" t="s">
        <v>1441</v>
      </c>
      <c r="G218" s="68">
        <v>45084</v>
      </c>
      <c r="H218" s="66" t="s">
        <v>73</v>
      </c>
      <c r="I218" s="68" t="s">
        <v>35</v>
      </c>
      <c r="J218" s="6">
        <f>IFERROR(VLOOKUP(I218,Jueces!$A$1:$B$11,2,FALSE),"")</f>
        <v>3</v>
      </c>
      <c r="K218" s="66" t="s">
        <v>813</v>
      </c>
      <c r="L218" s="66" t="s">
        <v>723</v>
      </c>
    </row>
    <row r="219" spans="1:12" ht="30" customHeight="1" x14ac:dyDescent="0.2">
      <c r="A219" s="176" t="str">
        <f t="shared" si="6"/>
        <v>07/06/yyyy3</v>
      </c>
      <c r="B219" s="169">
        <f t="shared" si="7"/>
        <v>3</v>
      </c>
      <c r="C219" s="66" t="s">
        <v>1000</v>
      </c>
      <c r="D219" s="67" t="s">
        <v>997</v>
      </c>
      <c r="E219" s="66">
        <v>8</v>
      </c>
      <c r="F219" s="66" t="s">
        <v>1441</v>
      </c>
      <c r="G219" s="68">
        <v>45084</v>
      </c>
      <c r="H219" s="66" t="s">
        <v>686</v>
      </c>
      <c r="I219" s="68" t="s">
        <v>35</v>
      </c>
      <c r="J219" s="6">
        <f>IFERROR(VLOOKUP(I219,Jueces!$A$1:$B$11,2,FALSE),"")</f>
        <v>3</v>
      </c>
      <c r="K219" s="66" t="s">
        <v>813</v>
      </c>
      <c r="L219" s="66" t="s">
        <v>723</v>
      </c>
    </row>
    <row r="220" spans="1:12" ht="30" customHeight="1" x14ac:dyDescent="0.2">
      <c r="A220" s="176" t="str">
        <f t="shared" si="6"/>
        <v>08/06/yyyy1</v>
      </c>
      <c r="B220" s="169">
        <f t="shared" si="7"/>
        <v>1</v>
      </c>
      <c r="C220" s="66" t="s">
        <v>1054</v>
      </c>
      <c r="D220" s="67" t="s">
        <v>1055</v>
      </c>
      <c r="E220" s="66">
        <v>2</v>
      </c>
      <c r="F220" s="66" t="s">
        <v>1441</v>
      </c>
      <c r="G220" s="68">
        <v>45085</v>
      </c>
      <c r="H220" s="66" t="s">
        <v>73</v>
      </c>
      <c r="I220" s="68" t="s">
        <v>78</v>
      </c>
      <c r="J220" s="6">
        <f>IFERROR(VLOOKUP(I220,Jueces!$A$1:$B$11,2,FALSE),"")</f>
        <v>8</v>
      </c>
      <c r="K220" s="66" t="s">
        <v>812</v>
      </c>
      <c r="L220" s="66" t="s">
        <v>711</v>
      </c>
    </row>
    <row r="221" spans="1:12" ht="30" customHeight="1" x14ac:dyDescent="0.2">
      <c r="A221" s="176" t="str">
        <f t="shared" si="6"/>
        <v>08/06/yyyy2</v>
      </c>
      <c r="B221" s="169">
        <f t="shared" si="7"/>
        <v>2</v>
      </c>
      <c r="C221" s="66" t="s">
        <v>1030</v>
      </c>
      <c r="D221" s="67" t="s">
        <v>1052</v>
      </c>
      <c r="E221" s="66">
        <v>8</v>
      </c>
      <c r="F221" s="66" t="s">
        <v>283</v>
      </c>
      <c r="G221" s="68">
        <v>45085</v>
      </c>
      <c r="H221" s="66" t="s">
        <v>686</v>
      </c>
      <c r="I221" s="68" t="s">
        <v>33</v>
      </c>
      <c r="J221" s="6">
        <f>IFERROR(VLOOKUP(I221,Jueces!$A$1:$B$11,2,FALSE),"")</f>
        <v>4</v>
      </c>
      <c r="K221" s="66" t="s">
        <v>801</v>
      </c>
      <c r="L221" s="66" t="s">
        <v>1047</v>
      </c>
    </row>
    <row r="222" spans="1:12" ht="30" customHeight="1" x14ac:dyDescent="0.2">
      <c r="A222" s="176" t="str">
        <f t="shared" si="6"/>
        <v>08/06/yyyy3</v>
      </c>
      <c r="B222" s="169">
        <f t="shared" si="7"/>
        <v>3</v>
      </c>
      <c r="C222" s="66" t="s">
        <v>1043</v>
      </c>
      <c r="D222" s="67" t="s">
        <v>1044</v>
      </c>
      <c r="E222" s="66">
        <v>2</v>
      </c>
      <c r="F222" s="66" t="s">
        <v>43</v>
      </c>
      <c r="G222" s="68">
        <v>45085</v>
      </c>
      <c r="H222" s="66" t="s">
        <v>686</v>
      </c>
      <c r="I222" s="68" t="s">
        <v>35</v>
      </c>
      <c r="J222" s="6">
        <f>IFERROR(VLOOKUP(I222,Jueces!$A$1:$B$11,2,FALSE),"")</f>
        <v>3</v>
      </c>
      <c r="K222" s="66" t="s">
        <v>809</v>
      </c>
      <c r="L222" s="66" t="s">
        <v>711</v>
      </c>
    </row>
    <row r="223" spans="1:12" ht="30" customHeight="1" x14ac:dyDescent="0.2">
      <c r="A223" s="176" t="str">
        <f t="shared" si="6"/>
        <v>09/06/yyyy1</v>
      </c>
      <c r="B223" s="169">
        <f t="shared" si="7"/>
        <v>1</v>
      </c>
      <c r="C223" s="66" t="s">
        <v>1058</v>
      </c>
      <c r="D223" s="67" t="s">
        <v>1059</v>
      </c>
      <c r="E223" s="66">
        <v>2</v>
      </c>
      <c r="F223" s="66" t="s">
        <v>1441</v>
      </c>
      <c r="G223" s="68">
        <v>45086</v>
      </c>
      <c r="H223" s="66" t="s">
        <v>73</v>
      </c>
      <c r="I223" s="68" t="s">
        <v>78</v>
      </c>
      <c r="J223" s="6">
        <f>IFERROR(VLOOKUP(I223,Jueces!$A$1:$B$11,2,FALSE),"")</f>
        <v>8</v>
      </c>
      <c r="K223" s="66" t="s">
        <v>812</v>
      </c>
      <c r="L223" s="66" t="s">
        <v>314</v>
      </c>
    </row>
    <row r="224" spans="1:12" ht="30" customHeight="1" x14ac:dyDescent="0.2">
      <c r="A224" s="176" t="str">
        <f t="shared" si="6"/>
        <v>09/06/yyyy2</v>
      </c>
      <c r="B224" s="169">
        <f t="shared" si="7"/>
        <v>2</v>
      </c>
      <c r="C224" s="66" t="s">
        <v>1060</v>
      </c>
      <c r="D224" s="67" t="s">
        <v>1061</v>
      </c>
      <c r="E224" s="66">
        <v>2</v>
      </c>
      <c r="F224" s="66" t="s">
        <v>29</v>
      </c>
      <c r="G224" s="68">
        <v>45086</v>
      </c>
      <c r="H224" s="66" t="s">
        <v>73</v>
      </c>
      <c r="I224" s="68" t="s">
        <v>33</v>
      </c>
      <c r="J224" s="6">
        <f>IFERROR(VLOOKUP(I224,Jueces!$A$1:$B$11,2,FALSE),"")</f>
        <v>4</v>
      </c>
      <c r="K224" s="66" t="s">
        <v>811</v>
      </c>
      <c r="L224" s="66" t="s">
        <v>711</v>
      </c>
    </row>
    <row r="225" spans="1:12" ht="30" customHeight="1" x14ac:dyDescent="0.2">
      <c r="A225" s="176" t="str">
        <f t="shared" si="6"/>
        <v>09/06/yyyy3</v>
      </c>
      <c r="B225" s="169">
        <f t="shared" si="7"/>
        <v>3</v>
      </c>
      <c r="C225" s="66" t="s">
        <v>1056</v>
      </c>
      <c r="D225" s="67" t="s">
        <v>1057</v>
      </c>
      <c r="E225" s="66">
        <v>2</v>
      </c>
      <c r="F225" s="66" t="s">
        <v>32</v>
      </c>
      <c r="G225" s="68">
        <v>45086</v>
      </c>
      <c r="H225" s="66" t="s">
        <v>686</v>
      </c>
      <c r="I225" s="68" t="s">
        <v>78</v>
      </c>
      <c r="J225" s="6">
        <f>IFERROR(VLOOKUP(I225,Jueces!$A$1:$B$11,2,FALSE),"")</f>
        <v>8</v>
      </c>
      <c r="K225" s="66" t="s">
        <v>811</v>
      </c>
      <c r="L225" s="66" t="s">
        <v>712</v>
      </c>
    </row>
    <row r="226" spans="1:12" ht="30" customHeight="1" x14ac:dyDescent="0.2">
      <c r="A226" s="176" t="str">
        <f t="shared" si="6"/>
        <v>12/06/yyyy1</v>
      </c>
      <c r="B226" s="169">
        <f t="shared" si="7"/>
        <v>1</v>
      </c>
      <c r="C226" s="6" t="s">
        <v>1072</v>
      </c>
      <c r="D226" s="67" t="s">
        <v>1080</v>
      </c>
      <c r="E226" s="66">
        <v>2</v>
      </c>
      <c r="F226" s="66" t="s">
        <v>283</v>
      </c>
      <c r="G226" s="68">
        <v>45089</v>
      </c>
      <c r="H226" s="66" t="s">
        <v>73</v>
      </c>
      <c r="I226" s="68" t="s">
        <v>35</v>
      </c>
      <c r="J226" s="6">
        <f>IFERROR(VLOOKUP(I226,Jueces!$A$1:$B$11,2,FALSE),"")</f>
        <v>3</v>
      </c>
      <c r="K226" s="66" t="s">
        <v>1070</v>
      </c>
      <c r="L226" s="66" t="s">
        <v>711</v>
      </c>
    </row>
    <row r="227" spans="1:12" ht="30" customHeight="1" x14ac:dyDescent="0.2">
      <c r="A227" s="176" t="str">
        <f t="shared" si="6"/>
        <v>13/06/yyyy1</v>
      </c>
      <c r="B227" s="169">
        <f t="shared" si="7"/>
        <v>1</v>
      </c>
      <c r="C227" s="66" t="s">
        <v>1073</v>
      </c>
      <c r="D227" s="67" t="s">
        <v>1071</v>
      </c>
      <c r="E227" s="66">
        <v>2</v>
      </c>
      <c r="F227" s="66" t="s">
        <v>43</v>
      </c>
      <c r="G227" s="68">
        <v>45090</v>
      </c>
      <c r="H227" s="66" t="s">
        <v>73</v>
      </c>
      <c r="I227" s="68" t="s">
        <v>78</v>
      </c>
      <c r="J227" s="6">
        <f>IFERROR(VLOOKUP(I227,Jueces!$A$1:$B$11,2,FALSE),"")</f>
        <v>8</v>
      </c>
      <c r="K227" s="66" t="s">
        <v>582</v>
      </c>
      <c r="L227" s="66" t="s">
        <v>711</v>
      </c>
    </row>
    <row r="228" spans="1:12" ht="30" customHeight="1" x14ac:dyDescent="0.2">
      <c r="A228" s="176" t="str">
        <f t="shared" si="6"/>
        <v>13/06/yyyy2</v>
      </c>
      <c r="B228" s="169">
        <f t="shared" si="7"/>
        <v>2</v>
      </c>
      <c r="C228" s="66" t="s">
        <v>1094</v>
      </c>
      <c r="D228" s="67" t="s">
        <v>1093</v>
      </c>
      <c r="E228" s="66">
        <v>2</v>
      </c>
      <c r="F228" s="66" t="s">
        <v>32</v>
      </c>
      <c r="G228" s="68">
        <v>45090</v>
      </c>
      <c r="H228" s="66" t="s">
        <v>73</v>
      </c>
      <c r="I228" s="68" t="s">
        <v>35</v>
      </c>
      <c r="J228" s="6">
        <f>IFERROR(VLOOKUP(I228,Jueces!$A$1:$B$11,2,FALSE),"")</f>
        <v>3</v>
      </c>
      <c r="K228" s="66" t="s">
        <v>1305</v>
      </c>
      <c r="L228" s="66" t="s">
        <v>1179</v>
      </c>
    </row>
    <row r="229" spans="1:12" ht="30" customHeight="1" x14ac:dyDescent="0.2">
      <c r="A229" s="176" t="str">
        <f t="shared" si="6"/>
        <v>14/06/yyyy1</v>
      </c>
      <c r="B229" s="169">
        <f t="shared" si="7"/>
        <v>1</v>
      </c>
      <c r="C229" s="66" t="s">
        <v>1077</v>
      </c>
      <c r="D229" s="67" t="s">
        <v>1075</v>
      </c>
      <c r="E229" s="66">
        <v>2</v>
      </c>
      <c r="F229" s="66" t="s">
        <v>29</v>
      </c>
      <c r="G229" s="68">
        <v>45091</v>
      </c>
      <c r="H229" s="66" t="s">
        <v>73</v>
      </c>
      <c r="I229" s="68" t="s">
        <v>35</v>
      </c>
      <c r="J229" s="6">
        <f>IFERROR(VLOOKUP(I229,Jueces!$A$1:$B$11,2,FALSE),"")</f>
        <v>3</v>
      </c>
      <c r="K229" s="66" t="s">
        <v>813</v>
      </c>
      <c r="L229" s="66" t="s">
        <v>711</v>
      </c>
    </row>
    <row r="230" spans="1:12" ht="30" customHeight="1" x14ac:dyDescent="0.2">
      <c r="A230" s="176" t="str">
        <f t="shared" si="6"/>
        <v>14/06/yyyy2</v>
      </c>
      <c r="B230" s="169">
        <f t="shared" si="7"/>
        <v>2</v>
      </c>
      <c r="C230" s="6" t="s">
        <v>1111</v>
      </c>
      <c r="D230" s="40" t="s">
        <v>1112</v>
      </c>
      <c r="E230" s="6">
        <v>2</v>
      </c>
      <c r="F230" s="6" t="s">
        <v>1441</v>
      </c>
      <c r="G230" s="18">
        <v>45091</v>
      </c>
      <c r="H230" s="6" t="s">
        <v>73</v>
      </c>
      <c r="I230" s="18" t="s">
        <v>78</v>
      </c>
      <c r="J230" s="6">
        <f>IFERROR(VLOOKUP(I230,Jueces!$A$1:$B$11,2,FALSE),"")</f>
        <v>8</v>
      </c>
      <c r="K230" s="6" t="s">
        <v>812</v>
      </c>
      <c r="L230" s="6" t="s">
        <v>712</v>
      </c>
    </row>
    <row r="231" spans="1:12" ht="30" customHeight="1" x14ac:dyDescent="0.2">
      <c r="A231" s="176" t="str">
        <f t="shared" si="6"/>
        <v>14/06/yyyy3</v>
      </c>
      <c r="B231" s="169">
        <f t="shared" si="7"/>
        <v>3</v>
      </c>
      <c r="C231" s="6" t="s">
        <v>1079</v>
      </c>
      <c r="D231" s="40" t="s">
        <v>1090</v>
      </c>
      <c r="E231" s="6">
        <v>2</v>
      </c>
      <c r="F231" s="6" t="s">
        <v>43</v>
      </c>
      <c r="G231" s="18">
        <v>45091</v>
      </c>
      <c r="H231" s="6" t="s">
        <v>1086</v>
      </c>
      <c r="I231" s="18" t="s">
        <v>35</v>
      </c>
      <c r="J231" s="6">
        <f>IFERROR(VLOOKUP(I231,Jueces!$A$1:$B$11,2,FALSE),"")</f>
        <v>3</v>
      </c>
      <c r="K231" s="6" t="s">
        <v>807</v>
      </c>
      <c r="L231" s="6" t="s">
        <v>712</v>
      </c>
    </row>
    <row r="232" spans="1:12" ht="30" customHeight="1" x14ac:dyDescent="0.2">
      <c r="A232" s="176" t="str">
        <f t="shared" si="6"/>
        <v>15/06/yyyy1</v>
      </c>
      <c r="B232" s="169">
        <f t="shared" si="7"/>
        <v>1</v>
      </c>
      <c r="C232" s="66" t="s">
        <v>1078</v>
      </c>
      <c r="D232" s="67" t="s">
        <v>1076</v>
      </c>
      <c r="E232" s="66">
        <v>2</v>
      </c>
      <c r="F232" s="66" t="s">
        <v>32</v>
      </c>
      <c r="G232" s="68">
        <v>45092</v>
      </c>
      <c r="H232" s="66" t="s">
        <v>73</v>
      </c>
      <c r="I232" s="68" t="s">
        <v>35</v>
      </c>
      <c r="J232" s="6">
        <f>IFERROR(VLOOKUP(I232,Jueces!$A$1:$B$11,2,FALSE),"")</f>
        <v>3</v>
      </c>
      <c r="K232" s="66" t="s">
        <v>1070</v>
      </c>
      <c r="L232" s="66" t="s">
        <v>711</v>
      </c>
    </row>
    <row r="233" spans="1:12" ht="30" customHeight="1" x14ac:dyDescent="0.2">
      <c r="A233" s="176" t="str">
        <f t="shared" si="6"/>
        <v>15/06/yyyy2</v>
      </c>
      <c r="B233" s="169">
        <f t="shared" si="7"/>
        <v>2</v>
      </c>
      <c r="C233" s="66" t="s">
        <v>1088</v>
      </c>
      <c r="D233" s="67" t="s">
        <v>1089</v>
      </c>
      <c r="E233" s="66">
        <v>2</v>
      </c>
      <c r="F233" s="66" t="s">
        <v>1441</v>
      </c>
      <c r="G233" s="68">
        <v>45092</v>
      </c>
      <c r="H233" s="66" t="s">
        <v>73</v>
      </c>
      <c r="I233" s="68" t="s">
        <v>78</v>
      </c>
      <c r="J233" s="6">
        <f>IFERROR(VLOOKUP(I233,Jueces!$A$1:$B$11,2,FALSE),"")</f>
        <v>8</v>
      </c>
      <c r="K233" s="66" t="s">
        <v>1180</v>
      </c>
      <c r="L233" s="66" t="s">
        <v>1179</v>
      </c>
    </row>
    <row r="234" spans="1:12" ht="30" customHeight="1" x14ac:dyDescent="0.2">
      <c r="A234" s="176" t="str">
        <f t="shared" si="6"/>
        <v>15/06/yyyy3</v>
      </c>
      <c r="B234" s="169">
        <f t="shared" si="7"/>
        <v>3</v>
      </c>
      <c r="C234" s="66" t="s">
        <v>1092</v>
      </c>
      <c r="D234" s="67" t="s">
        <v>1091</v>
      </c>
      <c r="E234" s="66">
        <v>2</v>
      </c>
      <c r="F234" s="66" t="s">
        <v>29</v>
      </c>
      <c r="G234" s="68">
        <v>45092</v>
      </c>
      <c r="H234" s="66" t="s">
        <v>1086</v>
      </c>
      <c r="I234" s="68" t="s">
        <v>78</v>
      </c>
      <c r="J234" s="6">
        <f>IFERROR(VLOOKUP(I234,Jueces!$A$1:$B$11,2,FALSE),"")</f>
        <v>8</v>
      </c>
      <c r="K234" s="66" t="s">
        <v>809</v>
      </c>
      <c r="L234" s="66" t="s">
        <v>712</v>
      </c>
    </row>
    <row r="235" spans="1:12" ht="30" customHeight="1" x14ac:dyDescent="0.2">
      <c r="A235" s="176" t="str">
        <f t="shared" si="6"/>
        <v>15/06/yyyy4</v>
      </c>
      <c r="B235" s="169">
        <f t="shared" si="7"/>
        <v>4</v>
      </c>
      <c r="C235" s="66" t="s">
        <v>1107</v>
      </c>
      <c r="D235" s="67" t="s">
        <v>1192</v>
      </c>
      <c r="E235" s="66">
        <v>2</v>
      </c>
      <c r="F235" s="66" t="s">
        <v>1442</v>
      </c>
      <c r="G235" s="68">
        <v>45092</v>
      </c>
      <c r="H235" s="66" t="s">
        <v>1086</v>
      </c>
      <c r="I235" s="68" t="s">
        <v>35</v>
      </c>
      <c r="J235" s="6">
        <f>IFERROR(VLOOKUP(I235,Jueces!$A$1:$B$11,2,FALSE),"")</f>
        <v>3</v>
      </c>
      <c r="K235" s="66" t="s">
        <v>806</v>
      </c>
      <c r="L235" s="66" t="s">
        <v>1108</v>
      </c>
    </row>
    <row r="236" spans="1:12" ht="30" customHeight="1" x14ac:dyDescent="0.2">
      <c r="A236" s="176" t="str">
        <f t="shared" si="6"/>
        <v>16/06/yyyy1</v>
      </c>
      <c r="B236" s="169">
        <f t="shared" si="7"/>
        <v>1</v>
      </c>
      <c r="C236" s="66" t="s">
        <v>1101</v>
      </c>
      <c r="D236" s="67" t="s">
        <v>1102</v>
      </c>
      <c r="E236" s="66">
        <v>2</v>
      </c>
      <c r="F236" s="66" t="s">
        <v>43</v>
      </c>
      <c r="G236" s="68">
        <v>45093</v>
      </c>
      <c r="H236" s="66" t="s">
        <v>73</v>
      </c>
      <c r="I236" s="68" t="s">
        <v>78</v>
      </c>
      <c r="J236" s="6">
        <f>IFERROR(VLOOKUP(I236,Jueces!$A$1:$B$11,2,FALSE),"")</f>
        <v>8</v>
      </c>
      <c r="K236" s="66" t="s">
        <v>1070</v>
      </c>
      <c r="L236" s="66" t="s">
        <v>712</v>
      </c>
    </row>
    <row r="237" spans="1:12" ht="30" customHeight="1" x14ac:dyDescent="0.2">
      <c r="A237" s="176" t="str">
        <f t="shared" si="6"/>
        <v>16/06/yyyy2</v>
      </c>
      <c r="B237" s="169">
        <f t="shared" si="7"/>
        <v>2</v>
      </c>
      <c r="C237" s="66" t="s">
        <v>1100</v>
      </c>
      <c r="D237" s="67" t="s">
        <v>1085</v>
      </c>
      <c r="E237" s="66">
        <v>3</v>
      </c>
      <c r="F237" s="66" t="s">
        <v>283</v>
      </c>
      <c r="G237" s="68">
        <v>45093</v>
      </c>
      <c r="H237" s="66" t="s">
        <v>1086</v>
      </c>
      <c r="I237" s="68" t="s">
        <v>31</v>
      </c>
      <c r="J237" s="6">
        <f>IFERROR(VLOOKUP(I237,Jueces!$A$1:$B$11,2,FALSE),"")</f>
        <v>2</v>
      </c>
      <c r="K237" s="66" t="s">
        <v>181</v>
      </c>
      <c r="L237" s="66" t="s">
        <v>712</v>
      </c>
    </row>
    <row r="238" spans="1:12" ht="30" customHeight="1" x14ac:dyDescent="0.2">
      <c r="A238" s="176" t="str">
        <f t="shared" si="6"/>
        <v>16/06/yyyy3</v>
      </c>
      <c r="B238" s="169">
        <f t="shared" si="7"/>
        <v>3</v>
      </c>
      <c r="C238" s="66" t="s">
        <v>1104</v>
      </c>
      <c r="D238" s="67" t="s">
        <v>1105</v>
      </c>
      <c r="E238" s="66">
        <v>2</v>
      </c>
      <c r="F238" s="66" t="s">
        <v>32</v>
      </c>
      <c r="G238" s="68">
        <v>45093</v>
      </c>
      <c r="H238" s="66" t="s">
        <v>1086</v>
      </c>
      <c r="I238" s="68" t="s">
        <v>78</v>
      </c>
      <c r="J238" s="6">
        <f>IFERROR(VLOOKUP(I238,Jueces!$A$1:$B$11,2,FALSE),"")</f>
        <v>8</v>
      </c>
      <c r="K238" s="66" t="s">
        <v>326</v>
      </c>
      <c r="L238" s="66" t="s">
        <v>1106</v>
      </c>
    </row>
    <row r="239" spans="1:12" ht="30" customHeight="1" x14ac:dyDescent="0.2">
      <c r="A239" s="176" t="str">
        <f t="shared" si="6"/>
        <v>16/06/yyyy4</v>
      </c>
      <c r="B239" s="169">
        <f t="shared" si="7"/>
        <v>4</v>
      </c>
      <c r="C239" s="66" t="s">
        <v>1074</v>
      </c>
      <c r="D239" s="67" t="s">
        <v>1062</v>
      </c>
      <c r="E239" s="66">
        <v>4</v>
      </c>
      <c r="F239" s="66" t="s">
        <v>1441</v>
      </c>
      <c r="G239" s="68">
        <v>45093</v>
      </c>
      <c r="H239" s="66" t="s">
        <v>77</v>
      </c>
      <c r="I239" s="68" t="s">
        <v>31</v>
      </c>
      <c r="J239" s="6">
        <f>IFERROR(VLOOKUP(I239,Jueces!$A$1:$B$11,2,FALSE),"")</f>
        <v>2</v>
      </c>
      <c r="K239" s="66" t="s">
        <v>814</v>
      </c>
      <c r="L239" s="66" t="s">
        <v>1066</v>
      </c>
    </row>
    <row r="240" spans="1:12" ht="30" customHeight="1" x14ac:dyDescent="0.2">
      <c r="A240" s="176" t="str">
        <f t="shared" si="6"/>
        <v>16/06/yyyy5</v>
      </c>
      <c r="B240" s="169">
        <f t="shared" si="7"/>
        <v>5</v>
      </c>
      <c r="C240" s="66" t="s">
        <v>1145</v>
      </c>
      <c r="D240" s="67" t="s">
        <v>1142</v>
      </c>
      <c r="E240" s="66">
        <v>2</v>
      </c>
      <c r="F240" s="66" t="s">
        <v>1441</v>
      </c>
      <c r="G240" s="68">
        <v>45093</v>
      </c>
      <c r="H240" s="66" t="s">
        <v>1150</v>
      </c>
      <c r="I240" s="68" t="s">
        <v>31</v>
      </c>
      <c r="J240" s="6">
        <f>IFERROR(VLOOKUP(I240,Jueces!$A$1:$B$11,2,FALSE),"")</f>
        <v>2</v>
      </c>
      <c r="K240" s="66" t="s">
        <v>812</v>
      </c>
      <c r="L240" s="66" t="s">
        <v>712</v>
      </c>
    </row>
    <row r="241" spans="1:12" ht="30" customHeight="1" x14ac:dyDescent="0.2">
      <c r="A241" s="176" t="str">
        <f t="shared" si="6"/>
        <v>21/06/yyyy1</v>
      </c>
      <c r="B241" s="169">
        <f t="shared" si="7"/>
        <v>1</v>
      </c>
      <c r="C241" s="66" t="s">
        <v>1147</v>
      </c>
      <c r="D241" s="67" t="s">
        <v>1216</v>
      </c>
      <c r="E241" s="66">
        <v>8</v>
      </c>
      <c r="F241" s="66" t="s">
        <v>283</v>
      </c>
      <c r="G241" s="68">
        <v>45098</v>
      </c>
      <c r="H241" s="66" t="s">
        <v>73</v>
      </c>
      <c r="I241" s="68" t="s">
        <v>31</v>
      </c>
      <c r="J241" s="6">
        <f>IFERROR(VLOOKUP(I241,Jueces!$A$1:$B$11,2,FALSE),"")</f>
        <v>2</v>
      </c>
      <c r="K241" s="66" t="s">
        <v>1306</v>
      </c>
      <c r="L241" s="66" t="s">
        <v>767</v>
      </c>
    </row>
    <row r="242" spans="1:12" ht="30" customHeight="1" x14ac:dyDescent="0.2">
      <c r="A242" s="176" t="str">
        <f t="shared" si="6"/>
        <v>21/06/yyyy2</v>
      </c>
      <c r="B242" s="169">
        <f t="shared" si="7"/>
        <v>2</v>
      </c>
      <c r="C242" s="66" t="s">
        <v>1110</v>
      </c>
      <c r="D242" s="67" t="s">
        <v>1218</v>
      </c>
      <c r="E242" s="66">
        <v>2</v>
      </c>
      <c r="F242" s="66" t="s">
        <v>1442</v>
      </c>
      <c r="G242" s="68">
        <v>45098</v>
      </c>
      <c r="H242" s="66" t="s">
        <v>73</v>
      </c>
      <c r="I242" s="68" t="s">
        <v>78</v>
      </c>
      <c r="J242" s="6">
        <f>IFERROR(VLOOKUP(I242,Jueces!$A$1:$B$11,2,FALSE),"")</f>
        <v>8</v>
      </c>
      <c r="K242" s="66" t="s">
        <v>1180</v>
      </c>
      <c r="L242" s="66" t="s">
        <v>1179</v>
      </c>
    </row>
    <row r="243" spans="1:12" ht="30" customHeight="1" x14ac:dyDescent="0.2">
      <c r="A243" s="176" t="str">
        <f t="shared" si="6"/>
        <v>21/06/yyyy3</v>
      </c>
      <c r="B243" s="169">
        <f t="shared" si="7"/>
        <v>3</v>
      </c>
      <c r="C243" s="66" t="s">
        <v>1113</v>
      </c>
      <c r="D243" s="67" t="s">
        <v>1217</v>
      </c>
      <c r="E243" s="66">
        <v>2</v>
      </c>
      <c r="F243" s="66" t="s">
        <v>32</v>
      </c>
      <c r="G243" s="68">
        <v>45098</v>
      </c>
      <c r="H243" s="73" t="s">
        <v>1086</v>
      </c>
      <c r="I243" s="68" t="s">
        <v>78</v>
      </c>
      <c r="J243" s="6">
        <f>IFERROR(VLOOKUP(I243,Jueces!$A$1:$B$11,2,FALSE),"")</f>
        <v>8</v>
      </c>
      <c r="K243" s="66" t="s">
        <v>809</v>
      </c>
      <c r="L243" s="66" t="s">
        <v>171</v>
      </c>
    </row>
    <row r="244" spans="1:12" ht="30" customHeight="1" x14ac:dyDescent="0.2">
      <c r="A244" s="176" t="str">
        <f t="shared" si="6"/>
        <v>21/06/yyyy4</v>
      </c>
      <c r="B244" s="169">
        <f t="shared" si="7"/>
        <v>4</v>
      </c>
      <c r="C244" s="66" t="s">
        <v>1201</v>
      </c>
      <c r="D244" s="67" t="s">
        <v>1219</v>
      </c>
      <c r="E244" s="66">
        <v>2</v>
      </c>
      <c r="F244" s="66" t="s">
        <v>1441</v>
      </c>
      <c r="G244" s="68">
        <v>45098</v>
      </c>
      <c r="H244" s="73" t="s">
        <v>1210</v>
      </c>
      <c r="I244" s="68" t="s">
        <v>31</v>
      </c>
      <c r="J244" s="6">
        <f>IFERROR(VLOOKUP(I244,Jueces!$A$1:$B$11,2,FALSE),"")</f>
        <v>2</v>
      </c>
      <c r="K244" s="66" t="s">
        <v>811</v>
      </c>
      <c r="L244" s="66" t="s">
        <v>712</v>
      </c>
    </row>
    <row r="245" spans="1:12" ht="30" customHeight="1" x14ac:dyDescent="0.2">
      <c r="A245" s="176" t="str">
        <f t="shared" si="6"/>
        <v>22/06/yyyy1</v>
      </c>
      <c r="B245" s="169">
        <f t="shared" si="7"/>
        <v>1</v>
      </c>
      <c r="C245" s="66" t="s">
        <v>1114</v>
      </c>
      <c r="D245" s="67" t="s">
        <v>1202</v>
      </c>
      <c r="E245" s="66">
        <v>2</v>
      </c>
      <c r="F245" s="66" t="s">
        <v>283</v>
      </c>
      <c r="G245" s="68">
        <v>45099</v>
      </c>
      <c r="H245" s="66" t="s">
        <v>73</v>
      </c>
      <c r="I245" s="68" t="s">
        <v>31</v>
      </c>
      <c r="J245" s="6">
        <f>IFERROR(VLOOKUP(I245,Jueces!$A$1:$B$11,2,FALSE),"")</f>
        <v>2</v>
      </c>
      <c r="K245" s="66" t="s">
        <v>406</v>
      </c>
      <c r="L245" s="66" t="s">
        <v>171</v>
      </c>
    </row>
    <row r="246" spans="1:12" ht="30" customHeight="1" x14ac:dyDescent="0.2">
      <c r="A246" s="176" t="str">
        <f t="shared" si="6"/>
        <v>22/06/yyyy2</v>
      </c>
      <c r="B246" s="169">
        <f t="shared" si="7"/>
        <v>2</v>
      </c>
      <c r="C246" s="66" t="s">
        <v>1122</v>
      </c>
      <c r="D246" s="67" t="s">
        <v>1117</v>
      </c>
      <c r="E246" s="66">
        <v>2</v>
      </c>
      <c r="F246" s="66" t="s">
        <v>43</v>
      </c>
      <c r="G246" s="68">
        <v>45099</v>
      </c>
      <c r="H246" s="66" t="s">
        <v>73</v>
      </c>
      <c r="I246" s="68" t="s">
        <v>78</v>
      </c>
      <c r="J246" s="6">
        <f>IFERROR(VLOOKUP(I246,Jueces!$A$1:$B$11,2,FALSE),"")</f>
        <v>8</v>
      </c>
      <c r="K246" s="66" t="s">
        <v>789</v>
      </c>
      <c r="L246" s="66" t="s">
        <v>1290</v>
      </c>
    </row>
    <row r="247" spans="1:12" ht="30" customHeight="1" x14ac:dyDescent="0.2">
      <c r="A247" s="176" t="str">
        <f t="shared" si="6"/>
        <v>22/06/yyyy3</v>
      </c>
      <c r="B247" s="169">
        <f t="shared" si="7"/>
        <v>3</v>
      </c>
      <c r="C247" s="66" t="s">
        <v>1120</v>
      </c>
      <c r="D247" s="67" t="s">
        <v>1115</v>
      </c>
      <c r="E247" s="66">
        <v>2</v>
      </c>
      <c r="F247" s="66" t="s">
        <v>1441</v>
      </c>
      <c r="G247" s="68">
        <v>45099</v>
      </c>
      <c r="H247" s="73" t="s">
        <v>1086</v>
      </c>
      <c r="I247" s="68" t="s">
        <v>31</v>
      </c>
      <c r="J247" s="6">
        <f>IFERROR(VLOOKUP(I247,Jueces!$A$1:$B$11,2,FALSE),"")</f>
        <v>2</v>
      </c>
      <c r="K247" s="66" t="s">
        <v>807</v>
      </c>
      <c r="L247" s="66" t="s">
        <v>712</v>
      </c>
    </row>
    <row r="248" spans="1:12" ht="30" customHeight="1" x14ac:dyDescent="0.2">
      <c r="A248" s="176" t="str">
        <f t="shared" si="6"/>
        <v>23/06/yyyy1</v>
      </c>
      <c r="B248" s="169">
        <f t="shared" si="7"/>
        <v>1</v>
      </c>
      <c r="C248" s="66" t="s">
        <v>1121</v>
      </c>
      <c r="D248" s="67" t="s">
        <v>1141</v>
      </c>
      <c r="E248" s="66">
        <v>2</v>
      </c>
      <c r="F248" s="66" t="s">
        <v>43</v>
      </c>
      <c r="G248" s="68">
        <v>45100</v>
      </c>
      <c r="H248" s="66" t="s">
        <v>73</v>
      </c>
      <c r="I248" s="68" t="s">
        <v>31</v>
      </c>
      <c r="J248" s="6">
        <f>IFERROR(VLOOKUP(I248,Jueces!$A$1:$B$11,2,FALSE),"")</f>
        <v>2</v>
      </c>
      <c r="K248" s="66" t="s">
        <v>569</v>
      </c>
      <c r="L248" s="66" t="s">
        <v>1294</v>
      </c>
    </row>
    <row r="249" spans="1:12" ht="30" customHeight="1" x14ac:dyDescent="0.2">
      <c r="A249" s="176" t="str">
        <f t="shared" si="6"/>
        <v>23/06/yyyy2</v>
      </c>
      <c r="B249" s="169">
        <f t="shared" si="7"/>
        <v>2</v>
      </c>
      <c r="C249" s="66" t="s">
        <v>1119</v>
      </c>
      <c r="D249" s="67" t="s">
        <v>1116</v>
      </c>
      <c r="E249" s="66">
        <v>2</v>
      </c>
      <c r="F249" s="66" t="s">
        <v>283</v>
      </c>
      <c r="G249" s="68">
        <v>45100</v>
      </c>
      <c r="H249" s="66" t="s">
        <v>73</v>
      </c>
      <c r="I249" s="68" t="s">
        <v>78</v>
      </c>
      <c r="J249" s="6">
        <f>IFERROR(VLOOKUP(I249,Jueces!$A$1:$B$11,2,FALSE),"")</f>
        <v>8</v>
      </c>
      <c r="K249" s="66" t="s">
        <v>812</v>
      </c>
      <c r="L249" s="66" t="s">
        <v>712</v>
      </c>
    </row>
    <row r="250" spans="1:12" ht="30" customHeight="1" x14ac:dyDescent="0.2">
      <c r="A250" s="176" t="str">
        <f t="shared" si="6"/>
        <v>23/06/yyyy3</v>
      </c>
      <c r="B250" s="169">
        <f t="shared" si="7"/>
        <v>3</v>
      </c>
      <c r="C250" s="66" t="s">
        <v>1144</v>
      </c>
      <c r="D250" s="67" t="s">
        <v>1143</v>
      </c>
      <c r="E250" s="66">
        <v>2</v>
      </c>
      <c r="F250" s="66" t="s">
        <v>32</v>
      </c>
      <c r="G250" s="68">
        <v>45100</v>
      </c>
      <c r="H250" s="66" t="s">
        <v>1086</v>
      </c>
      <c r="I250" s="68" t="s">
        <v>78</v>
      </c>
      <c r="J250" s="6">
        <f>IFERROR(VLOOKUP(I250,Jueces!$A$1:$B$11,2,FALSE),"")</f>
        <v>8</v>
      </c>
      <c r="K250" s="66" t="s">
        <v>807</v>
      </c>
      <c r="L250" s="66" t="s">
        <v>712</v>
      </c>
    </row>
    <row r="251" spans="1:12" ht="30" customHeight="1" x14ac:dyDescent="0.2">
      <c r="A251" s="176" t="str">
        <f t="shared" si="6"/>
        <v>23/06/yyyy4</v>
      </c>
      <c r="B251" s="169">
        <f t="shared" si="7"/>
        <v>4</v>
      </c>
      <c r="C251" s="66" t="s">
        <v>1154</v>
      </c>
      <c r="D251" s="67" t="s">
        <v>1153</v>
      </c>
      <c r="E251" s="66">
        <v>2</v>
      </c>
      <c r="F251" s="66" t="s">
        <v>1442</v>
      </c>
      <c r="G251" s="68">
        <v>45100</v>
      </c>
      <c r="H251" s="66" t="s">
        <v>1086</v>
      </c>
      <c r="I251" s="68" t="s">
        <v>31</v>
      </c>
      <c r="J251" s="6">
        <f>IFERROR(VLOOKUP(I251,Jueces!$A$1:$B$11,2,FALSE),"")</f>
        <v>2</v>
      </c>
      <c r="K251" s="66" t="s">
        <v>809</v>
      </c>
      <c r="L251" s="66" t="s">
        <v>692</v>
      </c>
    </row>
    <row r="252" spans="1:12" ht="30" customHeight="1" x14ac:dyDescent="0.2">
      <c r="A252" s="176" t="str">
        <f t="shared" si="6"/>
        <v>23/06/yyyy5</v>
      </c>
      <c r="B252" s="169">
        <f t="shared" si="7"/>
        <v>5</v>
      </c>
      <c r="C252" s="66" t="s">
        <v>1282</v>
      </c>
      <c r="D252" s="67" t="s">
        <v>3058</v>
      </c>
      <c r="E252" s="66">
        <v>2</v>
      </c>
      <c r="F252" s="66" t="s">
        <v>1441</v>
      </c>
      <c r="G252" s="68">
        <v>45100</v>
      </c>
      <c r="H252" s="66" t="s">
        <v>1210</v>
      </c>
      <c r="I252" s="68" t="s">
        <v>31</v>
      </c>
      <c r="J252" s="6">
        <f>IFERROR(VLOOKUP(I252,Jueces!$A$1:$B$11,2,FALSE),"")</f>
        <v>2</v>
      </c>
      <c r="K252" s="66" t="s">
        <v>806</v>
      </c>
      <c r="L252" s="66" t="s">
        <v>1307</v>
      </c>
    </row>
    <row r="253" spans="1:12" ht="30" customHeight="1" x14ac:dyDescent="0.2">
      <c r="A253" s="176" t="str">
        <f t="shared" si="6"/>
        <v>26/06/yyyy1</v>
      </c>
      <c r="B253" s="169">
        <f t="shared" si="7"/>
        <v>1</v>
      </c>
      <c r="C253" s="66" t="s">
        <v>1109</v>
      </c>
      <c r="D253" s="67" t="s">
        <v>1353</v>
      </c>
      <c r="E253" s="66">
        <v>2</v>
      </c>
      <c r="F253" s="66" t="s">
        <v>283</v>
      </c>
      <c r="G253" s="68">
        <v>45103</v>
      </c>
      <c r="H253" s="73" t="s">
        <v>73</v>
      </c>
      <c r="I253" s="68" t="s">
        <v>33</v>
      </c>
      <c r="J253" s="6">
        <f>IFERROR(VLOOKUP(I253,Jueces!$A$1:$B$11,2,FALSE),"")</f>
        <v>4</v>
      </c>
      <c r="K253" s="66" t="s">
        <v>811</v>
      </c>
      <c r="L253" s="66" t="s">
        <v>711</v>
      </c>
    </row>
    <row r="254" spans="1:12" ht="30" customHeight="1" x14ac:dyDescent="0.2">
      <c r="A254" s="176" t="str">
        <f t="shared" si="6"/>
        <v>26/06/yyyy2</v>
      </c>
      <c r="B254" s="169">
        <f t="shared" si="7"/>
        <v>2</v>
      </c>
      <c r="C254" s="66" t="s">
        <v>1151</v>
      </c>
      <c r="D254" s="67" t="s">
        <v>1152</v>
      </c>
      <c r="E254" s="66">
        <v>2</v>
      </c>
      <c r="F254" s="66" t="s">
        <v>29</v>
      </c>
      <c r="G254" s="68">
        <v>45103</v>
      </c>
      <c r="H254" s="66" t="s">
        <v>73</v>
      </c>
      <c r="I254" s="68" t="s">
        <v>31</v>
      </c>
      <c r="J254" s="6">
        <f>IFERROR(VLOOKUP(I254,Jueces!$A$1:$B$11,2,FALSE),"")</f>
        <v>2</v>
      </c>
      <c r="K254" s="66" t="s">
        <v>806</v>
      </c>
      <c r="L254" s="66" t="s">
        <v>1179</v>
      </c>
    </row>
    <row r="255" spans="1:12" ht="30" customHeight="1" x14ac:dyDescent="0.2">
      <c r="A255" s="176" t="str">
        <f t="shared" si="6"/>
        <v>26/06/yyyy3</v>
      </c>
      <c r="B255" s="169">
        <f t="shared" si="7"/>
        <v>3</v>
      </c>
      <c r="C255" s="66" t="s">
        <v>1212</v>
      </c>
      <c r="D255" s="67" t="s">
        <v>1354</v>
      </c>
      <c r="E255" s="66">
        <v>2</v>
      </c>
      <c r="F255" s="66" t="s">
        <v>32</v>
      </c>
      <c r="G255" s="68">
        <v>45103</v>
      </c>
      <c r="H255" s="66" t="s">
        <v>73</v>
      </c>
      <c r="I255" s="68" t="s">
        <v>1221</v>
      </c>
      <c r="J255" s="6">
        <f>IFERROR(VLOOKUP(I255,Jueces!$A$1:$B$11,2,FALSE),"")</f>
        <v>7</v>
      </c>
      <c r="K255" s="66" t="s">
        <v>812</v>
      </c>
      <c r="L255" s="66" t="s">
        <v>1334</v>
      </c>
    </row>
    <row r="256" spans="1:12" ht="30" customHeight="1" x14ac:dyDescent="0.2">
      <c r="A256" s="176" t="str">
        <f t="shared" si="6"/>
        <v>26/06/yyyy4</v>
      </c>
      <c r="B256" s="169">
        <f t="shared" si="7"/>
        <v>4</v>
      </c>
      <c r="C256" s="66" t="s">
        <v>1248</v>
      </c>
      <c r="D256" s="67" t="s">
        <v>1249</v>
      </c>
      <c r="E256" s="66">
        <v>2</v>
      </c>
      <c r="F256" s="66" t="s">
        <v>1441</v>
      </c>
      <c r="G256" s="68">
        <v>45103</v>
      </c>
      <c r="H256" s="66" t="s">
        <v>73</v>
      </c>
      <c r="I256" s="68" t="s">
        <v>1222</v>
      </c>
      <c r="J256" s="6" t="s">
        <v>1346</v>
      </c>
      <c r="K256" s="66" t="s">
        <v>797</v>
      </c>
      <c r="L256" s="66" t="s">
        <v>1288</v>
      </c>
    </row>
    <row r="257" spans="1:12" ht="30" customHeight="1" x14ac:dyDescent="0.2">
      <c r="A257" s="176" t="str">
        <f t="shared" si="6"/>
        <v>26/06/yyyy5</v>
      </c>
      <c r="B257" s="169">
        <f t="shared" si="7"/>
        <v>5</v>
      </c>
      <c r="C257" s="66" t="s">
        <v>1146</v>
      </c>
      <c r="D257" s="67" t="s">
        <v>1352</v>
      </c>
      <c r="E257" s="66">
        <v>2</v>
      </c>
      <c r="F257" s="66" t="s">
        <v>1442</v>
      </c>
      <c r="G257" s="68">
        <v>45103</v>
      </c>
      <c r="H257" s="66" t="s">
        <v>1086</v>
      </c>
      <c r="I257" s="68" t="s">
        <v>31</v>
      </c>
      <c r="J257" s="6">
        <f>IFERROR(VLOOKUP(I257,Jueces!$A$1:$B$11,2,FALSE),"")</f>
        <v>2</v>
      </c>
      <c r="K257" s="66" t="s">
        <v>811</v>
      </c>
      <c r="L257" s="66" t="s">
        <v>713</v>
      </c>
    </row>
    <row r="258" spans="1:12" ht="30" customHeight="1" x14ac:dyDescent="0.2">
      <c r="A258" s="176" t="str">
        <f t="shared" si="6"/>
        <v>26/06/yyyy6</v>
      </c>
      <c r="B258" s="169">
        <f t="shared" si="7"/>
        <v>6</v>
      </c>
      <c r="C258" s="6" t="s">
        <v>1194</v>
      </c>
      <c r="D258" s="40" t="s">
        <v>1351</v>
      </c>
      <c r="E258" s="6">
        <v>2</v>
      </c>
      <c r="F258" s="6" t="s">
        <v>1443</v>
      </c>
      <c r="G258" s="18">
        <v>45103</v>
      </c>
      <c r="H258" s="6" t="s">
        <v>77</v>
      </c>
      <c r="I258" s="18" t="s">
        <v>33</v>
      </c>
      <c r="J258" s="6">
        <f>IFERROR(VLOOKUP(I258,Jueces!$A$1:$B$11,2,FALSE),"")</f>
        <v>4</v>
      </c>
      <c r="K258" s="6" t="s">
        <v>813</v>
      </c>
      <c r="L258" s="6" t="s">
        <v>1334</v>
      </c>
    </row>
    <row r="259" spans="1:12" ht="30" customHeight="1" x14ac:dyDescent="0.2">
      <c r="A259" s="176" t="str">
        <f t="shared" ref="A259:A322" si="8">CONCATENATE(TEXT($G259,"dd/mm/yyyy"),$B259)</f>
        <v>27/06/yyyy1</v>
      </c>
      <c r="B259" s="169">
        <f t="shared" si="7"/>
        <v>1</v>
      </c>
      <c r="C259" s="66" t="s">
        <v>1162</v>
      </c>
      <c r="D259" s="67" t="s">
        <v>1355</v>
      </c>
      <c r="E259" s="66">
        <v>2</v>
      </c>
      <c r="F259" s="66" t="s">
        <v>32</v>
      </c>
      <c r="G259" s="68">
        <v>45104</v>
      </c>
      <c r="H259" s="66" t="s">
        <v>73</v>
      </c>
      <c r="I259" s="68" t="s">
        <v>31</v>
      </c>
      <c r="J259" s="6">
        <f>IFERROR(VLOOKUP(I259,Jueces!$A$1:$B$11,2,FALSE),"")</f>
        <v>2</v>
      </c>
      <c r="K259" s="66" t="s">
        <v>569</v>
      </c>
      <c r="L259" s="66" t="s">
        <v>712</v>
      </c>
    </row>
    <row r="260" spans="1:12" ht="30" customHeight="1" x14ac:dyDescent="0.2">
      <c r="A260" s="176" t="str">
        <f t="shared" si="8"/>
        <v>27/06/yyyy2</v>
      </c>
      <c r="B260" s="169">
        <f t="shared" ref="B260:B323" si="9">IF($G260=$G259,$B259+1,1)</f>
        <v>2</v>
      </c>
      <c r="C260" s="66" t="s">
        <v>1183</v>
      </c>
      <c r="D260" s="67" t="s">
        <v>1356</v>
      </c>
      <c r="E260" s="66">
        <v>2</v>
      </c>
      <c r="F260" s="66" t="s">
        <v>1442</v>
      </c>
      <c r="G260" s="68">
        <v>45104</v>
      </c>
      <c r="H260" s="66" t="s">
        <v>73</v>
      </c>
      <c r="I260" s="68" t="s">
        <v>33</v>
      </c>
      <c r="J260" s="6">
        <f>IFERROR(VLOOKUP(I260,Jueces!$A$1:$B$11,2,FALSE),"")</f>
        <v>4</v>
      </c>
      <c r="K260" s="66" t="s">
        <v>802</v>
      </c>
      <c r="L260" s="66" t="s">
        <v>711</v>
      </c>
    </row>
    <row r="261" spans="1:12" ht="30" customHeight="1" x14ac:dyDescent="0.2">
      <c r="A261" s="176" t="str">
        <f t="shared" si="8"/>
        <v>27/06/yyyy3</v>
      </c>
      <c r="B261" s="169">
        <f t="shared" si="9"/>
        <v>3</v>
      </c>
      <c r="C261" s="66" t="s">
        <v>1273</v>
      </c>
      <c r="D261" s="67" t="s">
        <v>1373</v>
      </c>
      <c r="E261" s="66">
        <v>3</v>
      </c>
      <c r="F261" s="66" t="s">
        <v>283</v>
      </c>
      <c r="G261" s="68">
        <v>45104</v>
      </c>
      <c r="H261" s="66" t="s">
        <v>73</v>
      </c>
      <c r="I261" s="68" t="s">
        <v>1220</v>
      </c>
      <c r="J261" s="6">
        <f>IFERROR(VLOOKUP(I261,Jueces!$A$1:$B$11,2,FALSE),"")</f>
        <v>1</v>
      </c>
      <c r="K261" s="66" t="s">
        <v>791</v>
      </c>
      <c r="L261" s="66" t="s">
        <v>693</v>
      </c>
    </row>
    <row r="262" spans="1:12" ht="30" customHeight="1" x14ac:dyDescent="0.2">
      <c r="A262" s="176" t="str">
        <f t="shared" si="8"/>
        <v>27/06/yyyy4</v>
      </c>
      <c r="B262" s="169">
        <f t="shared" si="9"/>
        <v>4</v>
      </c>
      <c r="C262" s="66" t="s">
        <v>1269</v>
      </c>
      <c r="D262" s="67" t="s">
        <v>1357</v>
      </c>
      <c r="E262" s="66">
        <v>1</v>
      </c>
      <c r="F262" s="66" t="s">
        <v>1441</v>
      </c>
      <c r="G262" s="68">
        <v>45104</v>
      </c>
      <c r="H262" s="66" t="s">
        <v>73</v>
      </c>
      <c r="I262" s="68" t="s">
        <v>1223</v>
      </c>
      <c r="J262" s="6" t="s">
        <v>1326</v>
      </c>
      <c r="K262" s="66" t="s">
        <v>798</v>
      </c>
      <c r="L262" s="66" t="s">
        <v>692</v>
      </c>
    </row>
    <row r="263" spans="1:12" ht="30" customHeight="1" x14ac:dyDescent="0.2">
      <c r="A263" s="176" t="str">
        <f t="shared" si="8"/>
        <v>27/06/yyyy5</v>
      </c>
      <c r="B263" s="169">
        <f t="shared" si="9"/>
        <v>5</v>
      </c>
      <c r="C263" s="66" t="s">
        <v>1197</v>
      </c>
      <c r="D263" s="67" t="s">
        <v>1358</v>
      </c>
      <c r="E263" s="66">
        <v>2</v>
      </c>
      <c r="F263" s="66" t="s">
        <v>1443</v>
      </c>
      <c r="G263" s="68">
        <v>45104</v>
      </c>
      <c r="H263" s="73" t="s">
        <v>1086</v>
      </c>
      <c r="I263" s="68" t="s">
        <v>78</v>
      </c>
      <c r="J263" s="6">
        <f>IFERROR(VLOOKUP(I263,Jueces!$A$1:$B$11,2,FALSE),"")</f>
        <v>8</v>
      </c>
      <c r="K263" s="66" t="s">
        <v>812</v>
      </c>
      <c r="L263" s="66" t="s">
        <v>1179</v>
      </c>
    </row>
    <row r="264" spans="1:12" ht="30" customHeight="1" x14ac:dyDescent="0.2">
      <c r="A264" s="176" t="str">
        <f t="shared" si="8"/>
        <v>27/06/yyyy6</v>
      </c>
      <c r="B264" s="169">
        <f t="shared" si="9"/>
        <v>6</v>
      </c>
      <c r="C264" s="6" t="s">
        <v>1316</v>
      </c>
      <c r="D264" s="40" t="s">
        <v>1359</v>
      </c>
      <c r="E264" s="6">
        <v>3</v>
      </c>
      <c r="F264" s="6" t="s">
        <v>43</v>
      </c>
      <c r="G264" s="18">
        <v>45104</v>
      </c>
      <c r="H264" s="6" t="s">
        <v>1086</v>
      </c>
      <c r="I264" s="18" t="s">
        <v>1220</v>
      </c>
      <c r="J264" s="6">
        <f>IFERROR(VLOOKUP(I264,Jueces!$A$1:$B$11,2,FALSE),"")</f>
        <v>1</v>
      </c>
      <c r="K264" s="6" t="s">
        <v>810</v>
      </c>
      <c r="L264" s="6" t="s">
        <v>693</v>
      </c>
    </row>
    <row r="265" spans="1:12" ht="30" customHeight="1" x14ac:dyDescent="0.2">
      <c r="A265" s="176" t="str">
        <f t="shared" si="8"/>
        <v>28/06/yyyy1</v>
      </c>
      <c r="B265" s="169">
        <f t="shared" si="9"/>
        <v>1</v>
      </c>
      <c r="C265" s="66" t="s">
        <v>1163</v>
      </c>
      <c r="D265" s="67" t="s">
        <v>1161</v>
      </c>
      <c r="E265" s="66">
        <v>2</v>
      </c>
      <c r="F265" s="66" t="s">
        <v>29</v>
      </c>
      <c r="G265" s="68">
        <v>45105</v>
      </c>
      <c r="H265" s="66" t="s">
        <v>73</v>
      </c>
      <c r="I265" s="68" t="s">
        <v>33</v>
      </c>
      <c r="J265" s="6">
        <f>IFERROR(VLOOKUP(I265,Jueces!$A$1:$B$11,2,FALSE),"")</f>
        <v>4</v>
      </c>
      <c r="K265" s="66" t="s">
        <v>414</v>
      </c>
      <c r="L265" s="66" t="s">
        <v>1179</v>
      </c>
    </row>
    <row r="266" spans="1:12" ht="30" customHeight="1" x14ac:dyDescent="0.2">
      <c r="A266" s="176" t="str">
        <f t="shared" si="8"/>
        <v>28/06/yyyy2</v>
      </c>
      <c r="B266" s="169">
        <f t="shared" si="9"/>
        <v>2</v>
      </c>
      <c r="C266" s="66" t="s">
        <v>1195</v>
      </c>
      <c r="D266" s="67" t="s">
        <v>1196</v>
      </c>
      <c r="E266" s="66">
        <v>8</v>
      </c>
      <c r="F266" s="66" t="s">
        <v>1443</v>
      </c>
      <c r="G266" s="68">
        <v>45105</v>
      </c>
      <c r="H266" s="66" t="s">
        <v>73</v>
      </c>
      <c r="I266" s="68" t="s">
        <v>78</v>
      </c>
      <c r="J266" s="6">
        <f>IFERROR(VLOOKUP(I266,Jueces!$A$1:$B$11,2,FALSE),"")</f>
        <v>8</v>
      </c>
      <c r="K266" s="66" t="s">
        <v>799</v>
      </c>
      <c r="L266" s="66" t="s">
        <v>711</v>
      </c>
    </row>
    <row r="267" spans="1:12" ht="30" customHeight="1" x14ac:dyDescent="0.2">
      <c r="A267" s="176" t="str">
        <f t="shared" si="8"/>
        <v>28/06/yyyy3</v>
      </c>
      <c r="B267" s="169">
        <f t="shared" si="9"/>
        <v>3</v>
      </c>
      <c r="C267" s="66" t="s">
        <v>1264</v>
      </c>
      <c r="D267" s="67" t="s">
        <v>1251</v>
      </c>
      <c r="E267" s="66">
        <v>3</v>
      </c>
      <c r="F267" s="66" t="s">
        <v>1441</v>
      </c>
      <c r="G267" s="68">
        <v>45105</v>
      </c>
      <c r="H267" s="66" t="s">
        <v>73</v>
      </c>
      <c r="I267" s="68" t="s">
        <v>1221</v>
      </c>
      <c r="J267" s="6">
        <f>IFERROR(VLOOKUP(I267,Jueces!$A$1:$B$11,2,FALSE),"")</f>
        <v>7</v>
      </c>
      <c r="K267" s="66" t="s">
        <v>811</v>
      </c>
      <c r="L267" s="66" t="s">
        <v>693</v>
      </c>
    </row>
    <row r="268" spans="1:12" ht="30" customHeight="1" x14ac:dyDescent="0.2">
      <c r="A268" s="176" t="str">
        <f t="shared" si="8"/>
        <v>28/06/yyyy4</v>
      </c>
      <c r="B268" s="169">
        <f t="shared" si="9"/>
        <v>4</v>
      </c>
      <c r="C268" s="66" t="s">
        <v>1270</v>
      </c>
      <c r="D268" s="67" t="s">
        <v>1271</v>
      </c>
      <c r="E268" s="66">
        <v>1</v>
      </c>
      <c r="F268" s="66" t="s">
        <v>32</v>
      </c>
      <c r="G268" s="68">
        <v>45105</v>
      </c>
      <c r="H268" s="66" t="s">
        <v>73</v>
      </c>
      <c r="I268" s="68" t="s">
        <v>31</v>
      </c>
      <c r="J268" s="6">
        <f>IFERROR(VLOOKUP(I268,Jueces!$A$1:$B$11,2,FALSE),"")</f>
        <v>2</v>
      </c>
      <c r="K268" s="66" t="s">
        <v>688</v>
      </c>
      <c r="L268" s="66" t="s">
        <v>723</v>
      </c>
    </row>
    <row r="269" spans="1:12" ht="30" customHeight="1" x14ac:dyDescent="0.2">
      <c r="A269" s="176" t="str">
        <f t="shared" si="8"/>
        <v>28/06/yyyy5</v>
      </c>
      <c r="B269" s="169">
        <f t="shared" si="9"/>
        <v>5</v>
      </c>
      <c r="C269" s="66" t="s">
        <v>1165</v>
      </c>
      <c r="D269" s="67" t="s">
        <v>1164</v>
      </c>
      <c r="E269" s="66">
        <v>2</v>
      </c>
      <c r="F269" s="66" t="s">
        <v>43</v>
      </c>
      <c r="G269" s="68">
        <v>45105</v>
      </c>
      <c r="H269" s="66" t="s">
        <v>1086</v>
      </c>
      <c r="I269" s="68" t="s">
        <v>33</v>
      </c>
      <c r="J269" s="6">
        <f>IFERROR(VLOOKUP(I269,Jueces!$A$1:$B$11,2,FALSE),"")</f>
        <v>4</v>
      </c>
      <c r="K269" s="66" t="s">
        <v>277</v>
      </c>
      <c r="L269" s="66" t="s">
        <v>1179</v>
      </c>
    </row>
    <row r="270" spans="1:12" ht="30" customHeight="1" x14ac:dyDescent="0.2">
      <c r="A270" s="176" t="str">
        <f t="shared" si="8"/>
        <v>28/06/yyyy6</v>
      </c>
      <c r="B270" s="169">
        <f t="shared" si="9"/>
        <v>6</v>
      </c>
      <c r="C270" s="66" t="s">
        <v>1267</v>
      </c>
      <c r="D270" s="67" t="s">
        <v>1268</v>
      </c>
      <c r="E270" s="66">
        <v>3</v>
      </c>
      <c r="F270" s="66" t="s">
        <v>283</v>
      </c>
      <c r="G270" s="68">
        <v>45105</v>
      </c>
      <c r="H270" s="66" t="s">
        <v>1086</v>
      </c>
      <c r="I270" s="68" t="s">
        <v>78</v>
      </c>
      <c r="J270" s="6">
        <f>IFERROR(VLOOKUP(I270,Jueces!$A$1:$B$11,2,FALSE),"")</f>
        <v>8</v>
      </c>
      <c r="K270" s="66" t="s">
        <v>1180</v>
      </c>
      <c r="L270" s="120" t="s">
        <v>697</v>
      </c>
    </row>
    <row r="271" spans="1:12" ht="30" customHeight="1" x14ac:dyDescent="0.2">
      <c r="A271" s="176" t="str">
        <f t="shared" si="8"/>
        <v>29/06/yyyy1</v>
      </c>
      <c r="B271" s="169">
        <f t="shared" si="9"/>
        <v>1</v>
      </c>
      <c r="C271" s="66" t="s">
        <v>1211</v>
      </c>
      <c r="D271" s="67" t="s">
        <v>1422</v>
      </c>
      <c r="E271" s="66">
        <v>2</v>
      </c>
      <c r="F271" s="66" t="s">
        <v>1441</v>
      </c>
      <c r="G271" s="68">
        <v>45106</v>
      </c>
      <c r="H271" s="66" t="s">
        <v>73</v>
      </c>
      <c r="I271" s="68" t="s">
        <v>1220</v>
      </c>
      <c r="J271" s="6">
        <f>IFERROR(VLOOKUP(I271,Jueces!$A$1:$B$11,2,FALSE),"")</f>
        <v>1</v>
      </c>
      <c r="K271" s="66" t="s">
        <v>797</v>
      </c>
      <c r="L271" s="66" t="s">
        <v>782</v>
      </c>
    </row>
    <row r="272" spans="1:12" ht="30" customHeight="1" x14ac:dyDescent="0.2">
      <c r="A272" s="176" t="str">
        <f t="shared" si="8"/>
        <v>29/06/yyyy2</v>
      </c>
      <c r="B272" s="169">
        <f t="shared" si="9"/>
        <v>2</v>
      </c>
      <c r="C272" s="66" t="s">
        <v>1272</v>
      </c>
      <c r="D272" s="67" t="s">
        <v>1423</v>
      </c>
      <c r="E272" s="66">
        <v>2</v>
      </c>
      <c r="F272" s="66" t="s">
        <v>1442</v>
      </c>
      <c r="G272" s="68">
        <v>45106</v>
      </c>
      <c r="H272" s="66" t="s">
        <v>73</v>
      </c>
      <c r="I272" s="68" t="s">
        <v>31</v>
      </c>
      <c r="J272" s="6">
        <f>IFERROR(VLOOKUP(I272,Jueces!$A$1:$B$11,2,FALSE),"")</f>
        <v>2</v>
      </c>
      <c r="K272" s="66" t="s">
        <v>508</v>
      </c>
      <c r="L272" s="66" t="s">
        <v>1285</v>
      </c>
    </row>
    <row r="273" spans="1:12" ht="30" customHeight="1" x14ac:dyDescent="0.2">
      <c r="A273" s="176" t="str">
        <f t="shared" si="8"/>
        <v>29/06/yyyy3</v>
      </c>
      <c r="B273" s="169">
        <f t="shared" si="9"/>
        <v>3</v>
      </c>
      <c r="C273" s="66" t="s">
        <v>1265</v>
      </c>
      <c r="D273" s="67" t="s">
        <v>1425</v>
      </c>
      <c r="E273" s="66">
        <v>2</v>
      </c>
      <c r="F273" s="66" t="s">
        <v>32</v>
      </c>
      <c r="G273" s="68">
        <v>45106</v>
      </c>
      <c r="H273" s="66" t="s">
        <v>73</v>
      </c>
      <c r="I273" s="68" t="s">
        <v>1222</v>
      </c>
      <c r="J273" s="6" t="s">
        <v>1326</v>
      </c>
      <c r="K273" s="66" t="s">
        <v>807</v>
      </c>
      <c r="L273" s="66" t="s">
        <v>1286</v>
      </c>
    </row>
    <row r="274" spans="1:12" ht="30" customHeight="1" x14ac:dyDescent="0.2">
      <c r="A274" s="176" t="str">
        <f t="shared" si="8"/>
        <v>29/06/yyyy4</v>
      </c>
      <c r="B274" s="169">
        <f t="shared" si="9"/>
        <v>4</v>
      </c>
      <c r="C274" s="66" t="s">
        <v>1266</v>
      </c>
      <c r="D274" s="67" t="s">
        <v>1424</v>
      </c>
      <c r="E274" s="66">
        <v>3</v>
      </c>
      <c r="F274" s="66" t="s">
        <v>29</v>
      </c>
      <c r="G274" s="68">
        <v>45106</v>
      </c>
      <c r="H274" s="66" t="s">
        <v>73</v>
      </c>
      <c r="I274" s="68" t="s">
        <v>33</v>
      </c>
      <c r="J274" s="6">
        <f>IFERROR(VLOOKUP(I274,Jueces!$A$1:$B$11,2,FALSE),"")</f>
        <v>4</v>
      </c>
      <c r="K274" s="66" t="s">
        <v>812</v>
      </c>
      <c r="L274" s="66" t="s">
        <v>1290</v>
      </c>
    </row>
    <row r="275" spans="1:12" ht="30" customHeight="1" x14ac:dyDescent="0.2">
      <c r="A275" s="176" t="str">
        <f t="shared" si="8"/>
        <v>29/06/yyyy5</v>
      </c>
      <c r="B275" s="169">
        <f t="shared" si="9"/>
        <v>5</v>
      </c>
      <c r="C275" s="66" t="s">
        <v>1213</v>
      </c>
      <c r="D275" s="67" t="s">
        <v>1426</v>
      </c>
      <c r="E275" s="104">
        <v>2</v>
      </c>
      <c r="F275" s="68" t="s">
        <v>43</v>
      </c>
      <c r="G275" s="68">
        <v>45106</v>
      </c>
      <c r="H275" s="68" t="s">
        <v>1086</v>
      </c>
      <c r="I275" s="68" t="s">
        <v>1221</v>
      </c>
      <c r="J275" s="104">
        <f>IFERROR(VLOOKUP(I275,Jueces!$A$1:$B$11,2,FALSE),"")</f>
        <v>7</v>
      </c>
      <c r="K275" s="68" t="s">
        <v>797</v>
      </c>
      <c r="L275" s="68" t="s">
        <v>712</v>
      </c>
    </row>
    <row r="276" spans="1:12" ht="30" customHeight="1" x14ac:dyDescent="0.2">
      <c r="A276" s="176" t="str">
        <f t="shared" si="8"/>
        <v>29/06/yyyy6</v>
      </c>
      <c r="B276" s="169">
        <f t="shared" si="9"/>
        <v>6</v>
      </c>
      <c r="C276" s="66" t="s">
        <v>1284</v>
      </c>
      <c r="D276" s="67" t="s">
        <v>3059</v>
      </c>
      <c r="E276" s="66">
        <v>2</v>
      </c>
      <c r="F276" s="66" t="s">
        <v>283</v>
      </c>
      <c r="G276" s="68">
        <v>45106</v>
      </c>
      <c r="H276" s="66" t="s">
        <v>1086</v>
      </c>
      <c r="I276" s="68" t="s">
        <v>1223</v>
      </c>
      <c r="J276" s="6" t="s">
        <v>1326</v>
      </c>
      <c r="K276" s="66" t="s">
        <v>791</v>
      </c>
      <c r="L276" s="66" t="s">
        <v>692</v>
      </c>
    </row>
    <row r="277" spans="1:12" ht="30" customHeight="1" x14ac:dyDescent="0.2">
      <c r="A277" s="176" t="str">
        <f t="shared" si="8"/>
        <v>30/06/yyyy1</v>
      </c>
      <c r="B277" s="169">
        <f t="shared" si="9"/>
        <v>1</v>
      </c>
      <c r="C277" s="66" t="s">
        <v>1074</v>
      </c>
      <c r="D277" s="67" t="s">
        <v>1474</v>
      </c>
      <c r="E277" s="66">
        <v>4</v>
      </c>
      <c r="F277" s="66" t="s">
        <v>1443</v>
      </c>
      <c r="G277" s="68">
        <v>45107</v>
      </c>
      <c r="H277" s="73">
        <v>0.33333333333333331</v>
      </c>
      <c r="I277" s="68" t="s">
        <v>31</v>
      </c>
      <c r="J277" s="6">
        <f>IFERROR(VLOOKUP(I277,Jueces!$A$1:$B$11,2,FALSE),"")</f>
        <v>2</v>
      </c>
      <c r="K277" s="66" t="s">
        <v>1453</v>
      </c>
      <c r="L277" s="66" t="s">
        <v>701</v>
      </c>
    </row>
    <row r="278" spans="1:12" ht="30" customHeight="1" x14ac:dyDescent="0.2">
      <c r="A278" s="176" t="str">
        <f t="shared" si="8"/>
        <v>30/06/yyyy2</v>
      </c>
      <c r="B278" s="169">
        <f t="shared" si="9"/>
        <v>2</v>
      </c>
      <c r="C278" s="66" t="s">
        <v>1209</v>
      </c>
      <c r="D278" s="67" t="s">
        <v>1473</v>
      </c>
      <c r="E278" s="66">
        <v>4</v>
      </c>
      <c r="F278" s="66" t="s">
        <v>43</v>
      </c>
      <c r="G278" s="68">
        <v>45107</v>
      </c>
      <c r="H278" s="66" t="s">
        <v>73</v>
      </c>
      <c r="I278" s="68" t="s">
        <v>33</v>
      </c>
      <c r="J278" s="6">
        <f>IFERROR(VLOOKUP(I278,Jueces!$A$1:$B$11,2,FALSE),"")</f>
        <v>4</v>
      </c>
      <c r="K278" s="66" t="s">
        <v>1070</v>
      </c>
      <c r="L278" s="66" t="s">
        <v>783</v>
      </c>
    </row>
    <row r="279" spans="1:12" ht="30" customHeight="1" x14ac:dyDescent="0.2">
      <c r="A279" s="176" t="str">
        <f t="shared" si="8"/>
        <v>30/06/yyyy3</v>
      </c>
      <c r="B279" s="169">
        <f t="shared" si="9"/>
        <v>3</v>
      </c>
      <c r="C279" s="66" t="s">
        <v>1263</v>
      </c>
      <c r="D279" s="67" t="s">
        <v>1472</v>
      </c>
      <c r="E279" s="66">
        <v>3</v>
      </c>
      <c r="F279" s="66" t="s">
        <v>29</v>
      </c>
      <c r="G279" s="68">
        <v>45107</v>
      </c>
      <c r="H279" s="66" t="s">
        <v>73</v>
      </c>
      <c r="I279" s="68" t="s">
        <v>1220</v>
      </c>
      <c r="J279" s="6">
        <f>IFERROR(VLOOKUP(I279,Jueces!$A$1:$B$11,2,FALSE),"")</f>
        <v>1</v>
      </c>
      <c r="K279" s="66" t="s">
        <v>812</v>
      </c>
      <c r="L279" s="66" t="s">
        <v>692</v>
      </c>
    </row>
    <row r="280" spans="1:12" ht="30" customHeight="1" x14ac:dyDescent="0.2">
      <c r="A280" s="176" t="str">
        <f t="shared" si="8"/>
        <v>30/06/yyyy4</v>
      </c>
      <c r="B280" s="169">
        <f t="shared" si="9"/>
        <v>4</v>
      </c>
      <c r="C280" s="66" t="s">
        <v>1289</v>
      </c>
      <c r="D280" s="67" t="s">
        <v>1471</v>
      </c>
      <c r="E280" s="66">
        <v>3</v>
      </c>
      <c r="F280" s="66" t="s">
        <v>1442</v>
      </c>
      <c r="G280" s="68">
        <v>45107</v>
      </c>
      <c r="H280" s="66" t="s">
        <v>73</v>
      </c>
      <c r="I280" s="68" t="s">
        <v>78</v>
      </c>
      <c r="J280" s="66">
        <f>IFERROR(VLOOKUP(I280,Jueces!$A$1:$B$11,2,FALSE),"")</f>
        <v>8</v>
      </c>
      <c r="K280" s="66" t="s">
        <v>807</v>
      </c>
      <c r="L280" s="66" t="s">
        <v>1461</v>
      </c>
    </row>
    <row r="281" spans="1:12" ht="30" customHeight="1" x14ac:dyDescent="0.2">
      <c r="A281" s="176" t="str">
        <f t="shared" si="8"/>
        <v>30/06/yyyy5</v>
      </c>
      <c r="B281" s="169">
        <f t="shared" si="9"/>
        <v>5</v>
      </c>
      <c r="C281" s="66" t="s">
        <v>1365</v>
      </c>
      <c r="D281" s="67" t="s">
        <v>1470</v>
      </c>
      <c r="E281" s="66">
        <v>3</v>
      </c>
      <c r="F281" s="66" t="s">
        <v>283</v>
      </c>
      <c r="G281" s="68">
        <v>45107</v>
      </c>
      <c r="H281" s="66" t="s">
        <v>73</v>
      </c>
      <c r="I281" s="68" t="s">
        <v>1223</v>
      </c>
      <c r="J281" s="66" t="s">
        <v>1326</v>
      </c>
      <c r="K281" s="66" t="s">
        <v>811</v>
      </c>
      <c r="L281" s="66" t="s">
        <v>694</v>
      </c>
    </row>
    <row r="282" spans="1:12" ht="30" customHeight="1" x14ac:dyDescent="0.2">
      <c r="A282" s="176" t="str">
        <f t="shared" si="8"/>
        <v>30/06/yyyy6</v>
      </c>
      <c r="B282" s="169">
        <f t="shared" si="9"/>
        <v>6</v>
      </c>
      <c r="C282" s="66" t="s">
        <v>1250</v>
      </c>
      <c r="D282" s="67" t="s">
        <v>1469</v>
      </c>
      <c r="E282" s="66">
        <v>3</v>
      </c>
      <c r="F282" s="66" t="s">
        <v>32</v>
      </c>
      <c r="G282" s="68">
        <v>45107</v>
      </c>
      <c r="H282" s="66" t="s">
        <v>1086</v>
      </c>
      <c r="I282" s="68" t="s">
        <v>33</v>
      </c>
      <c r="J282" s="66">
        <f>IFERROR(VLOOKUP(I282,Jueces!$A$1:$B$11,2,FALSE),"")</f>
        <v>4</v>
      </c>
      <c r="K282" s="66" t="s">
        <v>1453</v>
      </c>
      <c r="L282" s="66" t="s">
        <v>1467</v>
      </c>
    </row>
    <row r="283" spans="1:12" ht="30" customHeight="1" x14ac:dyDescent="0.2">
      <c r="A283" s="176" t="str">
        <f t="shared" si="8"/>
        <v>30/06/yyyy7</v>
      </c>
      <c r="B283" s="169">
        <f t="shared" si="9"/>
        <v>7</v>
      </c>
      <c r="C283" s="66" t="s">
        <v>1368</v>
      </c>
      <c r="D283" s="67" t="s">
        <v>1369</v>
      </c>
      <c r="E283" s="66">
        <v>3</v>
      </c>
      <c r="F283" s="66" t="s">
        <v>43</v>
      </c>
      <c r="G283" s="68">
        <v>45107</v>
      </c>
      <c r="H283" s="73" t="s">
        <v>75</v>
      </c>
      <c r="I283" s="68" t="s">
        <v>35</v>
      </c>
      <c r="J283" s="66">
        <f>IFERROR(VLOOKUP(I283,Jueces!$A$1:$B$11,2,FALSE),"")</f>
        <v>3</v>
      </c>
      <c r="K283" s="66" t="s">
        <v>812</v>
      </c>
      <c r="L283" s="66" t="s">
        <v>1386</v>
      </c>
    </row>
    <row r="284" spans="1:12" ht="30" customHeight="1" x14ac:dyDescent="0.2">
      <c r="A284" s="176" t="str">
        <f t="shared" si="8"/>
        <v>03/07/yyyy1</v>
      </c>
      <c r="B284" s="169">
        <f t="shared" si="9"/>
        <v>1</v>
      </c>
      <c r="C284" s="66" t="s">
        <v>1318</v>
      </c>
      <c r="D284" s="67" t="s">
        <v>1513</v>
      </c>
      <c r="E284" s="66">
        <v>3</v>
      </c>
      <c r="F284" s="66" t="s">
        <v>1443</v>
      </c>
      <c r="G284" s="68">
        <v>45110</v>
      </c>
      <c r="H284" s="73" t="s">
        <v>73</v>
      </c>
      <c r="I284" s="68" t="s">
        <v>1221</v>
      </c>
      <c r="J284" s="66">
        <f>IFERROR(VLOOKUP(I284,Jueces!$A$1:$B$11,2,FALSE),"")</f>
        <v>7</v>
      </c>
      <c r="K284" s="66" t="s">
        <v>812</v>
      </c>
      <c r="L284" s="66" t="s">
        <v>693</v>
      </c>
    </row>
    <row r="285" spans="1:12" ht="30" customHeight="1" x14ac:dyDescent="0.2">
      <c r="A285" s="176" t="str">
        <f t="shared" si="8"/>
        <v>03/07/yyyy2</v>
      </c>
      <c r="B285" s="169">
        <f t="shared" si="9"/>
        <v>2</v>
      </c>
      <c r="C285" s="66" t="s">
        <v>1312</v>
      </c>
      <c r="D285" s="67" t="s">
        <v>1514</v>
      </c>
      <c r="E285" s="66">
        <v>2</v>
      </c>
      <c r="F285" s="66" t="s">
        <v>568</v>
      </c>
      <c r="G285" s="68">
        <v>45110</v>
      </c>
      <c r="H285" s="66" t="s">
        <v>73</v>
      </c>
      <c r="I285" s="68" t="s">
        <v>78</v>
      </c>
      <c r="J285" s="66">
        <f>IFERROR(VLOOKUP(I285,Jueces!$A$1:$B$11,2,FALSE),"")</f>
        <v>8</v>
      </c>
      <c r="K285" s="66" t="s">
        <v>811</v>
      </c>
      <c r="L285" s="66" t="s">
        <v>1498</v>
      </c>
    </row>
    <row r="286" spans="1:12" ht="30" customHeight="1" x14ac:dyDescent="0.2">
      <c r="A286" s="176" t="str">
        <f t="shared" si="8"/>
        <v>03/07/yyyy3</v>
      </c>
      <c r="B286" s="169">
        <f t="shared" si="9"/>
        <v>3</v>
      </c>
      <c r="C286" s="66" t="s">
        <v>1314</v>
      </c>
      <c r="D286" s="67" t="s">
        <v>1515</v>
      </c>
      <c r="E286" s="66">
        <v>2</v>
      </c>
      <c r="F286" s="66" t="s">
        <v>29</v>
      </c>
      <c r="G286" s="68">
        <v>45110</v>
      </c>
      <c r="H286" s="66" t="s">
        <v>73</v>
      </c>
      <c r="I286" s="68" t="s">
        <v>35</v>
      </c>
      <c r="J286" s="66">
        <f>IFERROR(VLOOKUP(I286,Jueces!$A$1:$B$11,2,FALSE),"")</f>
        <v>3</v>
      </c>
      <c r="K286" s="66" t="s">
        <v>326</v>
      </c>
      <c r="L286" s="66" t="s">
        <v>1179</v>
      </c>
    </row>
    <row r="287" spans="1:12" ht="30" customHeight="1" x14ac:dyDescent="0.2">
      <c r="A287" s="176" t="str">
        <f t="shared" si="8"/>
        <v>03/07/yyyy4</v>
      </c>
      <c r="B287" s="169">
        <f t="shared" si="9"/>
        <v>4</v>
      </c>
      <c r="C287" s="66" t="s">
        <v>1410</v>
      </c>
      <c r="D287" s="67" t="s">
        <v>1516</v>
      </c>
      <c r="E287" s="66">
        <v>2</v>
      </c>
      <c r="F287" s="66" t="s">
        <v>32</v>
      </c>
      <c r="G287" s="68">
        <v>45110</v>
      </c>
      <c r="H287" s="68" t="s">
        <v>73</v>
      </c>
      <c r="I287" s="68" t="s">
        <v>1220</v>
      </c>
      <c r="J287" s="66">
        <f>IFERROR(VLOOKUP(I287,Jueces!$A$1:$B$11,2,FALSE),"")</f>
        <v>1</v>
      </c>
      <c r="K287" s="66" t="s">
        <v>791</v>
      </c>
      <c r="L287" s="66" t="s">
        <v>1434</v>
      </c>
    </row>
    <row r="288" spans="1:12" ht="30" customHeight="1" x14ac:dyDescent="0.2">
      <c r="A288" s="176" t="str">
        <f t="shared" si="8"/>
        <v>03/07/yyyy5</v>
      </c>
      <c r="B288" s="169">
        <f t="shared" si="9"/>
        <v>5</v>
      </c>
      <c r="C288" s="66" t="s">
        <v>1262</v>
      </c>
      <c r="D288" s="67" t="s">
        <v>1517</v>
      </c>
      <c r="E288" s="66">
        <v>2</v>
      </c>
      <c r="F288" s="66" t="s">
        <v>1443</v>
      </c>
      <c r="G288" s="68">
        <v>45110</v>
      </c>
      <c r="H288" s="66" t="s">
        <v>1086</v>
      </c>
      <c r="I288" s="68" t="s">
        <v>1221</v>
      </c>
      <c r="J288" s="66">
        <f>IFERROR(VLOOKUP(I288,Jueces!$A$1:$B$11,2,FALSE),"")</f>
        <v>7</v>
      </c>
      <c r="K288" s="66" t="s">
        <v>813</v>
      </c>
      <c r="L288" s="66" t="s">
        <v>1290</v>
      </c>
    </row>
    <row r="289" spans="1:12" ht="30" customHeight="1" x14ac:dyDescent="0.2">
      <c r="A289" s="176" t="str">
        <f t="shared" si="8"/>
        <v>03/07/yyyy6</v>
      </c>
      <c r="B289" s="169">
        <f t="shared" si="9"/>
        <v>6</v>
      </c>
      <c r="C289" s="6" t="s">
        <v>1320</v>
      </c>
      <c r="D289" s="40" t="s">
        <v>1518</v>
      </c>
      <c r="E289" s="6">
        <v>3</v>
      </c>
      <c r="F289" s="6" t="s">
        <v>43</v>
      </c>
      <c r="G289" s="18">
        <v>45110</v>
      </c>
      <c r="H289" s="6" t="s">
        <v>1086</v>
      </c>
      <c r="I289" s="68" t="s">
        <v>1220</v>
      </c>
      <c r="J289" s="66">
        <f>IFERROR(VLOOKUP(I289,Jueces!$A$1:$B$11,2,FALSE),"")</f>
        <v>1</v>
      </c>
      <c r="K289" s="6" t="s">
        <v>812</v>
      </c>
      <c r="L289" s="6" t="s">
        <v>693</v>
      </c>
    </row>
    <row r="290" spans="1:12" ht="30" customHeight="1" x14ac:dyDescent="0.2">
      <c r="A290" s="176" t="str">
        <f t="shared" si="8"/>
        <v>03/07/yyyy7</v>
      </c>
      <c r="B290" s="169">
        <f t="shared" si="9"/>
        <v>7</v>
      </c>
      <c r="C290" s="109" t="s">
        <v>1343</v>
      </c>
      <c r="D290" s="110" t="s">
        <v>1519</v>
      </c>
      <c r="E290" s="109">
        <v>2</v>
      </c>
      <c r="F290" s="66" t="s">
        <v>1442</v>
      </c>
      <c r="G290" s="261">
        <v>45110</v>
      </c>
      <c r="H290" s="109" t="s">
        <v>1086</v>
      </c>
      <c r="I290" s="68" t="s">
        <v>78</v>
      </c>
      <c r="J290" s="66">
        <f>IFERROR(VLOOKUP(I290,Jueces!$A$1:$B$11,2,FALSE),"")</f>
        <v>8</v>
      </c>
      <c r="K290" s="66" t="s">
        <v>1502</v>
      </c>
      <c r="L290" s="66" t="s">
        <v>1179</v>
      </c>
    </row>
    <row r="291" spans="1:12" ht="30" customHeight="1" x14ac:dyDescent="0.2">
      <c r="A291" s="176" t="str">
        <f t="shared" si="8"/>
        <v>04/07/yyyy1</v>
      </c>
      <c r="B291" s="169">
        <f t="shared" si="9"/>
        <v>1</v>
      </c>
      <c r="C291" s="66" t="s">
        <v>1315</v>
      </c>
      <c r="D291" s="67" t="s">
        <v>1546</v>
      </c>
      <c r="E291" s="66">
        <v>3</v>
      </c>
      <c r="F291" s="66" t="s">
        <v>32</v>
      </c>
      <c r="G291" s="68">
        <v>45111</v>
      </c>
      <c r="H291" s="66" t="s">
        <v>73</v>
      </c>
      <c r="I291" s="68" t="s">
        <v>1221</v>
      </c>
      <c r="J291" s="66">
        <f>IFERROR(VLOOKUP(I291,Jueces!$A$1:$B$11,2,FALSE),"")</f>
        <v>7</v>
      </c>
      <c r="K291" s="66" t="s">
        <v>807</v>
      </c>
      <c r="L291" s="66" t="s">
        <v>1527</v>
      </c>
    </row>
    <row r="292" spans="1:12" ht="30" customHeight="1" x14ac:dyDescent="0.2">
      <c r="A292" s="176" t="str">
        <f t="shared" si="8"/>
        <v>04/07/yyyy2</v>
      </c>
      <c r="B292" s="169">
        <f t="shared" si="9"/>
        <v>2</v>
      </c>
      <c r="C292" s="66" t="s">
        <v>1327</v>
      </c>
      <c r="D292" s="67" t="s">
        <v>1545</v>
      </c>
      <c r="E292" s="66">
        <v>1</v>
      </c>
      <c r="F292" s="66" t="s">
        <v>1441</v>
      </c>
      <c r="G292" s="68">
        <v>45111</v>
      </c>
      <c r="H292" s="66" t="s">
        <v>73</v>
      </c>
      <c r="I292" s="68" t="s">
        <v>35</v>
      </c>
      <c r="J292" s="66">
        <f>IFERROR(VLOOKUP(I292,Jueces!$A$1:$B$11,2,FALSE),"")</f>
        <v>3</v>
      </c>
      <c r="K292" s="66" t="s">
        <v>405</v>
      </c>
      <c r="L292" s="66" t="s">
        <v>1087</v>
      </c>
    </row>
    <row r="293" spans="1:12" ht="30" customHeight="1" x14ac:dyDescent="0.2">
      <c r="A293" s="176" t="str">
        <f t="shared" si="8"/>
        <v>04/07/yyyy3</v>
      </c>
      <c r="B293" s="169">
        <f t="shared" si="9"/>
        <v>3</v>
      </c>
      <c r="C293" s="66" t="s">
        <v>1411</v>
      </c>
      <c r="D293" s="67" t="s">
        <v>1544</v>
      </c>
      <c r="E293" s="66">
        <v>2</v>
      </c>
      <c r="F293" s="66" t="s">
        <v>1442</v>
      </c>
      <c r="G293" s="68">
        <v>45111</v>
      </c>
      <c r="H293" s="66" t="s">
        <v>73</v>
      </c>
      <c r="I293" s="68" t="s">
        <v>1220</v>
      </c>
      <c r="J293" s="66">
        <f>IFERROR(VLOOKUP(I293,Jueces!$A$1:$B$11,2,FALSE),"")</f>
        <v>1</v>
      </c>
      <c r="K293" s="66" t="s">
        <v>185</v>
      </c>
      <c r="L293" s="66" t="s">
        <v>1179</v>
      </c>
    </row>
    <row r="294" spans="1:12" ht="30" customHeight="1" x14ac:dyDescent="0.2">
      <c r="A294" s="176" t="str">
        <f t="shared" si="8"/>
        <v>04/07/yyyy4</v>
      </c>
      <c r="B294" s="169">
        <f t="shared" si="9"/>
        <v>4</v>
      </c>
      <c r="C294" s="66" t="s">
        <v>1385</v>
      </c>
      <c r="D294" s="67" t="s">
        <v>1543</v>
      </c>
      <c r="E294" s="66">
        <v>2</v>
      </c>
      <c r="F294" s="66" t="s">
        <v>29</v>
      </c>
      <c r="G294" s="68">
        <v>45111</v>
      </c>
      <c r="H294" s="68" t="s">
        <v>73</v>
      </c>
      <c r="I294" s="68" t="s">
        <v>78</v>
      </c>
      <c r="J294" s="66">
        <f>IFERROR(VLOOKUP(I294,Jueces!$A$1:$B$11,2,FALSE),"")</f>
        <v>8</v>
      </c>
      <c r="K294" s="66" t="s">
        <v>812</v>
      </c>
      <c r="L294" s="66" t="s">
        <v>783</v>
      </c>
    </row>
    <row r="295" spans="1:12" ht="30" customHeight="1" x14ac:dyDescent="0.2">
      <c r="A295" s="176" t="str">
        <f t="shared" si="8"/>
        <v>04/07/yyyy5</v>
      </c>
      <c r="B295" s="169">
        <f t="shared" si="9"/>
        <v>5</v>
      </c>
      <c r="C295" s="66" t="s">
        <v>1342</v>
      </c>
      <c r="D295" s="67" t="s">
        <v>1542</v>
      </c>
      <c r="E295" s="66">
        <v>3</v>
      </c>
      <c r="F295" s="66" t="s">
        <v>283</v>
      </c>
      <c r="G295" s="68">
        <v>45111</v>
      </c>
      <c r="H295" s="66" t="s">
        <v>1086</v>
      </c>
      <c r="I295" s="68" t="s">
        <v>35</v>
      </c>
      <c r="J295" s="66">
        <f>IFERROR(VLOOKUP(I295,Jueces!$A$1:$B$11,2,FALSE),"")</f>
        <v>3</v>
      </c>
      <c r="K295" s="66" t="s">
        <v>812</v>
      </c>
      <c r="L295" s="66" t="s">
        <v>693</v>
      </c>
    </row>
    <row r="296" spans="1:12" ht="30" customHeight="1" x14ac:dyDescent="0.2">
      <c r="A296" s="176" t="str">
        <f t="shared" si="8"/>
        <v>04/07/yyyy6</v>
      </c>
      <c r="B296" s="169">
        <f t="shared" si="9"/>
        <v>6</v>
      </c>
      <c r="C296" s="66" t="s">
        <v>1345</v>
      </c>
      <c r="D296" s="67" t="s">
        <v>1541</v>
      </c>
      <c r="E296" s="66">
        <v>2</v>
      </c>
      <c r="F296" s="66" t="s">
        <v>1443</v>
      </c>
      <c r="G296" s="68">
        <v>45111</v>
      </c>
      <c r="H296" s="66" t="s">
        <v>1086</v>
      </c>
      <c r="I296" s="68" t="s">
        <v>1222</v>
      </c>
      <c r="J296" s="66" t="s">
        <v>1520</v>
      </c>
      <c r="K296" s="66" t="s">
        <v>810</v>
      </c>
      <c r="L296" s="66" t="s">
        <v>1007</v>
      </c>
    </row>
    <row r="297" spans="1:12" ht="30" customHeight="1" x14ac:dyDescent="0.2">
      <c r="A297" s="176" t="str">
        <f t="shared" si="8"/>
        <v>04/07/yyyy7</v>
      </c>
      <c r="B297" s="169">
        <f t="shared" si="9"/>
        <v>7</v>
      </c>
      <c r="C297" s="66" t="s">
        <v>1383</v>
      </c>
      <c r="D297" s="67" t="s">
        <v>1540</v>
      </c>
      <c r="E297" s="66">
        <v>2</v>
      </c>
      <c r="F297" s="66" t="s">
        <v>43</v>
      </c>
      <c r="G297" s="68">
        <v>45111</v>
      </c>
      <c r="H297" s="66" t="s">
        <v>1086</v>
      </c>
      <c r="I297" s="68" t="s">
        <v>1221</v>
      </c>
      <c r="J297" s="66">
        <f>IFERROR(VLOOKUP(I297,Jueces!$A$1:$B$11,2,FALSE),"")</f>
        <v>7</v>
      </c>
      <c r="K297" s="66" t="s">
        <v>1502</v>
      </c>
      <c r="L297" s="66" t="s">
        <v>1179</v>
      </c>
    </row>
    <row r="298" spans="1:12" ht="30" customHeight="1" x14ac:dyDescent="0.2">
      <c r="A298" s="176" t="str">
        <f t="shared" si="8"/>
        <v>05/07/yyyy1</v>
      </c>
      <c r="B298" s="169">
        <f t="shared" si="9"/>
        <v>1</v>
      </c>
      <c r="C298" s="66" t="s">
        <v>1283</v>
      </c>
      <c r="D298" s="67" t="s">
        <v>1586</v>
      </c>
      <c r="E298" s="66">
        <v>2</v>
      </c>
      <c r="F298" s="66" t="s">
        <v>568</v>
      </c>
      <c r="G298" s="68">
        <v>45112</v>
      </c>
      <c r="H298" s="66" t="s">
        <v>73</v>
      </c>
      <c r="I298" s="68" t="s">
        <v>35</v>
      </c>
      <c r="J298" s="66">
        <f>IFERROR(VLOOKUP(I298,Jueces!$A$1:$B$11,2,FALSE),"")</f>
        <v>3</v>
      </c>
      <c r="K298" s="66" t="s">
        <v>688</v>
      </c>
      <c r="L298" s="66" t="s">
        <v>1179</v>
      </c>
    </row>
    <row r="299" spans="1:12" ht="30" customHeight="1" x14ac:dyDescent="0.2">
      <c r="A299" s="176" t="str">
        <f t="shared" si="8"/>
        <v>05/07/yyyy2</v>
      </c>
      <c r="B299" s="169">
        <f t="shared" si="9"/>
        <v>2</v>
      </c>
      <c r="C299" s="66" t="s">
        <v>1339</v>
      </c>
      <c r="D299" s="67" t="s">
        <v>1590</v>
      </c>
      <c r="E299" s="66">
        <v>3</v>
      </c>
      <c r="F299" s="66" t="s">
        <v>1443</v>
      </c>
      <c r="G299" s="68">
        <v>45112</v>
      </c>
      <c r="H299" s="66" t="s">
        <v>73</v>
      </c>
      <c r="I299" s="68" t="s">
        <v>1221</v>
      </c>
      <c r="J299" s="66">
        <f>IFERROR(VLOOKUP(I299,Jueces!$A$1:$B$11,2,FALSE),"")</f>
        <v>7</v>
      </c>
      <c r="K299" s="66" t="s">
        <v>812</v>
      </c>
      <c r="L299" s="66" t="s">
        <v>1579</v>
      </c>
    </row>
    <row r="300" spans="1:12" ht="30" customHeight="1" x14ac:dyDescent="0.2">
      <c r="A300" s="176" t="str">
        <f t="shared" si="8"/>
        <v>05/07/yyyy3</v>
      </c>
      <c r="B300" s="169">
        <f t="shared" si="9"/>
        <v>3</v>
      </c>
      <c r="C300" s="66" t="s">
        <v>1348</v>
      </c>
      <c r="D300" s="67" t="s">
        <v>1591</v>
      </c>
      <c r="E300" s="66">
        <v>4</v>
      </c>
      <c r="F300" s="66" t="s">
        <v>29</v>
      </c>
      <c r="G300" s="68">
        <v>45112</v>
      </c>
      <c r="H300" s="66" t="s">
        <v>73</v>
      </c>
      <c r="I300" s="68" t="s">
        <v>1222</v>
      </c>
      <c r="J300" s="66" t="s">
        <v>1436</v>
      </c>
      <c r="K300" s="66" t="s">
        <v>814</v>
      </c>
      <c r="L300" s="66" t="s">
        <v>1350</v>
      </c>
    </row>
    <row r="301" spans="1:12" ht="30" customHeight="1" x14ac:dyDescent="0.2">
      <c r="A301" s="176" t="str">
        <f t="shared" si="8"/>
        <v>05/07/yyyy4</v>
      </c>
      <c r="B301" s="169">
        <f t="shared" si="9"/>
        <v>4</v>
      </c>
      <c r="C301" s="66" t="s">
        <v>1319</v>
      </c>
      <c r="D301" s="67" t="s">
        <v>1574</v>
      </c>
      <c r="E301" s="66">
        <v>3</v>
      </c>
      <c r="F301" s="66" t="s">
        <v>1442</v>
      </c>
      <c r="G301" s="68">
        <v>45112</v>
      </c>
      <c r="H301" s="66" t="s">
        <v>1086</v>
      </c>
      <c r="I301" s="68" t="s">
        <v>1220</v>
      </c>
      <c r="J301" s="66">
        <f>IFERROR(VLOOKUP(I301,Jueces!$A$1:$B$11,2,FALSE),"")</f>
        <v>1</v>
      </c>
      <c r="K301" s="66" t="s">
        <v>797</v>
      </c>
      <c r="L301" s="66" t="s">
        <v>1571</v>
      </c>
    </row>
    <row r="302" spans="1:12" ht="30" customHeight="1" x14ac:dyDescent="0.2">
      <c r="A302" s="176" t="str">
        <f t="shared" si="8"/>
        <v>05/07/yyyy5</v>
      </c>
      <c r="B302" s="169">
        <f t="shared" si="9"/>
        <v>5</v>
      </c>
      <c r="C302" s="66" t="s">
        <v>1113</v>
      </c>
      <c r="D302" s="67" t="s">
        <v>1576</v>
      </c>
      <c r="E302" s="66">
        <v>2</v>
      </c>
      <c r="F302" s="66" t="s">
        <v>32</v>
      </c>
      <c r="G302" s="68">
        <v>45112</v>
      </c>
      <c r="H302" s="68" t="s">
        <v>1086</v>
      </c>
      <c r="I302" s="68" t="s">
        <v>78</v>
      </c>
      <c r="J302" s="66">
        <f>IFERROR(VLOOKUP(I302,Jueces!$A$1:$B$11,2,FALSE),"")</f>
        <v>8</v>
      </c>
      <c r="K302" s="66" t="s">
        <v>809</v>
      </c>
      <c r="L302" s="66" t="s">
        <v>713</v>
      </c>
    </row>
    <row r="303" spans="1:12" ht="30" customHeight="1" x14ac:dyDescent="0.2">
      <c r="A303" s="176" t="str">
        <f t="shared" si="8"/>
        <v>06/07/yyyy1</v>
      </c>
      <c r="B303" s="169">
        <f t="shared" si="9"/>
        <v>1</v>
      </c>
      <c r="C303" s="66" t="s">
        <v>1317</v>
      </c>
      <c r="D303" s="67" t="s">
        <v>1615</v>
      </c>
      <c r="E303" s="66">
        <v>2</v>
      </c>
      <c r="F303" s="66" t="s">
        <v>29</v>
      </c>
      <c r="G303" s="68">
        <v>45113</v>
      </c>
      <c r="H303" s="66" t="s">
        <v>73</v>
      </c>
      <c r="I303" s="68" t="s">
        <v>1222</v>
      </c>
      <c r="J303" s="66" t="s">
        <v>1346</v>
      </c>
      <c r="K303" s="66" t="s">
        <v>688</v>
      </c>
      <c r="L303" s="66" t="s">
        <v>1648</v>
      </c>
    </row>
    <row r="304" spans="1:12" ht="30" customHeight="1" x14ac:dyDescent="0.2">
      <c r="A304" s="176" t="str">
        <f t="shared" si="8"/>
        <v>06/07/yyyy2</v>
      </c>
      <c r="B304" s="169">
        <f t="shared" si="9"/>
        <v>2</v>
      </c>
      <c r="C304" s="66" t="s">
        <v>1340</v>
      </c>
      <c r="D304" s="67" t="s">
        <v>1617</v>
      </c>
      <c r="E304" s="66">
        <v>3</v>
      </c>
      <c r="F304" s="66" t="s">
        <v>283</v>
      </c>
      <c r="G304" s="68">
        <v>45113</v>
      </c>
      <c r="H304" s="66" t="s">
        <v>73</v>
      </c>
      <c r="I304" s="68" t="s">
        <v>35</v>
      </c>
      <c r="J304" s="66">
        <f>IFERROR(VLOOKUP(I304,Jueces!$A$1:$B$11,2,FALSE),"")</f>
        <v>3</v>
      </c>
      <c r="K304" s="66" t="s">
        <v>813</v>
      </c>
      <c r="L304" s="66" t="s">
        <v>693</v>
      </c>
    </row>
    <row r="305" spans="1:12" ht="30" customHeight="1" x14ac:dyDescent="0.2">
      <c r="A305" s="176" t="str">
        <f t="shared" si="8"/>
        <v>06/07/yyyy3</v>
      </c>
      <c r="B305" s="169">
        <f t="shared" si="9"/>
        <v>3</v>
      </c>
      <c r="C305" s="66" t="s">
        <v>1412</v>
      </c>
      <c r="D305" s="67" t="s">
        <v>1616</v>
      </c>
      <c r="E305" s="66">
        <v>2</v>
      </c>
      <c r="F305" s="66" t="s">
        <v>43</v>
      </c>
      <c r="G305" s="68">
        <v>45113</v>
      </c>
      <c r="H305" s="68" t="s">
        <v>73</v>
      </c>
      <c r="I305" s="68" t="s">
        <v>1221</v>
      </c>
      <c r="J305" s="66">
        <f>IFERROR(VLOOKUP(I305,Jueces!$A$1:$B$11,2,FALSE),"")</f>
        <v>7</v>
      </c>
      <c r="K305" s="66" t="s">
        <v>807</v>
      </c>
      <c r="L305" s="66" t="s">
        <v>782</v>
      </c>
    </row>
    <row r="306" spans="1:12" ht="30" customHeight="1" x14ac:dyDescent="0.2">
      <c r="A306" s="176" t="str">
        <f t="shared" si="8"/>
        <v>06/07/yyyy4</v>
      </c>
      <c r="B306" s="169">
        <f t="shared" si="9"/>
        <v>4</v>
      </c>
      <c r="C306" s="66" t="s">
        <v>1419</v>
      </c>
      <c r="D306" s="67" t="s">
        <v>1618</v>
      </c>
      <c r="E306" s="66">
        <v>3</v>
      </c>
      <c r="F306" s="66" t="s">
        <v>1443</v>
      </c>
      <c r="G306" s="68">
        <v>45113</v>
      </c>
      <c r="H306" s="68" t="s">
        <v>73</v>
      </c>
      <c r="I306" s="68" t="s">
        <v>78</v>
      </c>
      <c r="J306" s="66">
        <f>IFERROR(VLOOKUP(I306,Jueces!$A$1:$B$11,2,FALSE),"")</f>
        <v>8</v>
      </c>
      <c r="K306" s="66" t="s">
        <v>810</v>
      </c>
      <c r="L306" s="66" t="s">
        <v>692</v>
      </c>
    </row>
    <row r="307" spans="1:12" ht="30" customHeight="1" x14ac:dyDescent="0.2">
      <c r="A307" s="176" t="str">
        <f t="shared" si="8"/>
        <v>06/07/yyyy5</v>
      </c>
      <c r="B307" s="169">
        <f t="shared" si="9"/>
        <v>5</v>
      </c>
      <c r="C307" s="66" t="s">
        <v>1344</v>
      </c>
      <c r="D307" s="67" t="s">
        <v>1605</v>
      </c>
      <c r="E307" s="66">
        <v>2</v>
      </c>
      <c r="F307" s="66" t="s">
        <v>568</v>
      </c>
      <c r="G307" s="68">
        <v>45113</v>
      </c>
      <c r="H307" s="66" t="s">
        <v>1086</v>
      </c>
      <c r="I307" s="68" t="s">
        <v>35</v>
      </c>
      <c r="J307" s="66">
        <f>IFERROR(VLOOKUP(I307,Jueces!$A$1:$B$11,2,FALSE),"")</f>
        <v>3</v>
      </c>
      <c r="K307" s="66" t="s">
        <v>313</v>
      </c>
      <c r="L307" s="66" t="s">
        <v>1347</v>
      </c>
    </row>
    <row r="308" spans="1:12" ht="30" customHeight="1" x14ac:dyDescent="0.2">
      <c r="A308" s="176" t="str">
        <f t="shared" si="8"/>
        <v>06/07/yyyy6</v>
      </c>
      <c r="B308" s="169">
        <f t="shared" si="9"/>
        <v>6</v>
      </c>
      <c r="C308" s="66" t="s">
        <v>1384</v>
      </c>
      <c r="D308" s="67" t="s">
        <v>1606</v>
      </c>
      <c r="E308" s="66">
        <v>2</v>
      </c>
      <c r="F308" s="66" t="s">
        <v>1441</v>
      </c>
      <c r="G308" s="68">
        <v>45113</v>
      </c>
      <c r="H308" s="68" t="s">
        <v>1086</v>
      </c>
      <c r="I308" s="68" t="s">
        <v>78</v>
      </c>
      <c r="J308" s="66">
        <f>IFERROR(VLOOKUP(I308,Jueces!$A$1:$B$11,2,FALSE),"")</f>
        <v>8</v>
      </c>
      <c r="K308" s="66" t="s">
        <v>582</v>
      </c>
      <c r="L308" s="66" t="s">
        <v>693</v>
      </c>
    </row>
    <row r="309" spans="1:12" ht="30" customHeight="1" x14ac:dyDescent="0.2">
      <c r="A309" s="176" t="str">
        <f t="shared" si="8"/>
        <v>06/07/yyyy7</v>
      </c>
      <c r="B309" s="169">
        <f t="shared" si="9"/>
        <v>7</v>
      </c>
      <c r="C309" s="66" t="s">
        <v>1409</v>
      </c>
      <c r="D309" s="67" t="s">
        <v>1607</v>
      </c>
      <c r="E309" s="66">
        <v>2</v>
      </c>
      <c r="F309" s="66" t="s">
        <v>32</v>
      </c>
      <c r="G309" s="68">
        <v>45113</v>
      </c>
      <c r="H309" s="68" t="s">
        <v>1086</v>
      </c>
      <c r="I309" s="68" t="s">
        <v>1220</v>
      </c>
      <c r="J309" s="66">
        <f>IFERROR(VLOOKUP(I309,Jueces!$A$1:$B$11,2,FALSE),"")</f>
        <v>1</v>
      </c>
      <c r="K309" s="66" t="s">
        <v>793</v>
      </c>
      <c r="L309" s="66" t="s">
        <v>1290</v>
      </c>
    </row>
    <row r="310" spans="1:12" ht="30" customHeight="1" x14ac:dyDescent="0.2">
      <c r="A310" s="176" t="str">
        <f t="shared" si="8"/>
        <v>06/07/yyyy8</v>
      </c>
      <c r="B310" s="169">
        <f t="shared" si="9"/>
        <v>8</v>
      </c>
      <c r="C310" s="66" t="s">
        <v>1433</v>
      </c>
      <c r="D310" s="67" t="s">
        <v>1602</v>
      </c>
      <c r="E310" s="66">
        <v>3</v>
      </c>
      <c r="F310" s="66" t="s">
        <v>1442</v>
      </c>
      <c r="G310" s="68">
        <v>45113</v>
      </c>
      <c r="H310" s="68" t="s">
        <v>1086</v>
      </c>
      <c r="I310" s="68" t="s">
        <v>1221</v>
      </c>
      <c r="J310" s="66">
        <f>IFERROR(VLOOKUP(I310,Jueces!$A$1:$B$11,2,FALSE),"")</f>
        <v>7</v>
      </c>
      <c r="K310" s="66" t="s">
        <v>789</v>
      </c>
      <c r="L310" s="66" t="s">
        <v>694</v>
      </c>
    </row>
    <row r="311" spans="1:12" ht="30" customHeight="1" x14ac:dyDescent="0.2">
      <c r="A311" s="176" t="str">
        <f t="shared" si="8"/>
        <v>07/07/yyyy1</v>
      </c>
      <c r="B311" s="169">
        <f t="shared" si="9"/>
        <v>1</v>
      </c>
      <c r="C311" s="66" t="s">
        <v>1313</v>
      </c>
      <c r="D311" s="67" t="s">
        <v>1664</v>
      </c>
      <c r="E311" s="66">
        <v>2</v>
      </c>
      <c r="F311" s="66" t="s">
        <v>1441</v>
      </c>
      <c r="G311" s="68">
        <v>45114</v>
      </c>
      <c r="H311" s="66" t="s">
        <v>73</v>
      </c>
      <c r="I311" s="68" t="s">
        <v>1220</v>
      </c>
      <c r="J311" s="66">
        <v>2</v>
      </c>
      <c r="K311" s="66" t="s">
        <v>791</v>
      </c>
      <c r="L311" s="66" t="s">
        <v>692</v>
      </c>
    </row>
    <row r="312" spans="1:12" ht="30" customHeight="1" x14ac:dyDescent="0.2">
      <c r="A312" s="176" t="str">
        <f t="shared" si="8"/>
        <v>07/07/yyyy2</v>
      </c>
      <c r="B312" s="169">
        <f t="shared" si="9"/>
        <v>2</v>
      </c>
      <c r="C312" s="66" t="s">
        <v>1370</v>
      </c>
      <c r="D312" s="67" t="s">
        <v>1665</v>
      </c>
      <c r="E312" s="66">
        <v>3</v>
      </c>
      <c r="F312" s="66" t="s">
        <v>43</v>
      </c>
      <c r="G312" s="68">
        <v>45114</v>
      </c>
      <c r="H312" s="66" t="s">
        <v>73</v>
      </c>
      <c r="I312" s="68" t="s">
        <v>1222</v>
      </c>
      <c r="J312" s="66" t="s">
        <v>1346</v>
      </c>
      <c r="K312" s="66" t="s">
        <v>799</v>
      </c>
      <c r="L312" s="66" t="s">
        <v>693</v>
      </c>
    </row>
    <row r="313" spans="1:12" ht="30" customHeight="1" x14ac:dyDescent="0.2">
      <c r="A313" s="176" t="str">
        <f t="shared" si="8"/>
        <v>07/07/yyyy3</v>
      </c>
      <c r="B313" s="169">
        <f t="shared" si="9"/>
        <v>3</v>
      </c>
      <c r="C313" s="66" t="s">
        <v>1413</v>
      </c>
      <c r="D313" s="67" t="s">
        <v>1666</v>
      </c>
      <c r="E313" s="66">
        <v>2</v>
      </c>
      <c r="F313" s="66" t="s">
        <v>568</v>
      </c>
      <c r="G313" s="68">
        <v>45114</v>
      </c>
      <c r="H313" s="68" t="s">
        <v>73</v>
      </c>
      <c r="I313" s="68" t="s">
        <v>35</v>
      </c>
      <c r="J313" s="66">
        <f>IFERROR(VLOOKUP(I313,Jueces!$A$1:$B$11,2,FALSE),"")</f>
        <v>3</v>
      </c>
      <c r="K313" s="66" t="s">
        <v>797</v>
      </c>
      <c r="L313" s="66" t="s">
        <v>1179</v>
      </c>
    </row>
    <row r="314" spans="1:12" ht="30" customHeight="1" x14ac:dyDescent="0.2">
      <c r="A314" s="176" t="str">
        <f t="shared" si="8"/>
        <v>07/07/yyyy4</v>
      </c>
      <c r="B314" s="169">
        <f t="shared" si="9"/>
        <v>4</v>
      </c>
      <c r="C314" s="66" t="s">
        <v>1415</v>
      </c>
      <c r="D314" s="67" t="s">
        <v>1667</v>
      </c>
      <c r="E314" s="66">
        <v>3</v>
      </c>
      <c r="F314" s="66" t="s">
        <v>283</v>
      </c>
      <c r="G314" s="68">
        <v>45114</v>
      </c>
      <c r="H314" s="68" t="s">
        <v>73</v>
      </c>
      <c r="I314" s="68" t="s">
        <v>1221</v>
      </c>
      <c r="J314" s="66">
        <f>IFERROR(VLOOKUP(I314,Jueces!$A$1:$B$11,2,FALSE),"")</f>
        <v>7</v>
      </c>
      <c r="K314" s="66" t="s">
        <v>1306</v>
      </c>
      <c r="L314" s="66" t="s">
        <v>1416</v>
      </c>
    </row>
    <row r="315" spans="1:12" ht="30" customHeight="1" x14ac:dyDescent="0.2">
      <c r="A315" s="176" t="str">
        <f t="shared" si="8"/>
        <v>07/07/yyyy5</v>
      </c>
      <c r="B315" s="169">
        <f t="shared" si="9"/>
        <v>5</v>
      </c>
      <c r="C315" s="66" t="s">
        <v>1476</v>
      </c>
      <c r="D315" s="67" t="s">
        <v>1669</v>
      </c>
      <c r="E315" s="66">
        <v>2</v>
      </c>
      <c r="F315" s="66" t="s">
        <v>1443</v>
      </c>
      <c r="G315" s="68">
        <v>45114</v>
      </c>
      <c r="H315" s="68" t="s">
        <v>73</v>
      </c>
      <c r="I315" s="68" t="s">
        <v>78</v>
      </c>
      <c r="J315" s="66">
        <f>IFERROR(VLOOKUP(I315,Jueces!$A$1:$B$11,2,FALSE),"")</f>
        <v>8</v>
      </c>
      <c r="K315" s="66" t="s">
        <v>1656</v>
      </c>
      <c r="L315" s="66" t="s">
        <v>1438</v>
      </c>
    </row>
    <row r="316" spans="1:12" ht="30" customHeight="1" x14ac:dyDescent="0.2">
      <c r="A316" s="176" t="str">
        <f t="shared" si="8"/>
        <v>07/07/yyyy6</v>
      </c>
      <c r="B316" s="169">
        <f t="shared" si="9"/>
        <v>6</v>
      </c>
      <c r="C316" s="66" t="s">
        <v>1366</v>
      </c>
      <c r="D316" s="67" t="s">
        <v>1668</v>
      </c>
      <c r="E316" s="66">
        <v>3</v>
      </c>
      <c r="F316" s="66" t="s">
        <v>32</v>
      </c>
      <c r="G316" s="68">
        <v>45114</v>
      </c>
      <c r="H316" s="66" t="s">
        <v>1086</v>
      </c>
      <c r="I316" s="68" t="s">
        <v>1220</v>
      </c>
      <c r="J316" s="66">
        <f>IFERROR(VLOOKUP(I316,Jueces!$A$1:$B$11,2,FALSE),"")</f>
        <v>1</v>
      </c>
      <c r="K316" s="66" t="s">
        <v>284</v>
      </c>
      <c r="L316" s="66" t="s">
        <v>693</v>
      </c>
    </row>
    <row r="317" spans="1:12" ht="30" customHeight="1" x14ac:dyDescent="0.2">
      <c r="A317" s="176" t="str">
        <f t="shared" si="8"/>
        <v>07/07/yyyy7</v>
      </c>
      <c r="B317" s="169">
        <f t="shared" si="9"/>
        <v>7</v>
      </c>
      <c r="C317" s="66" t="s">
        <v>1401</v>
      </c>
      <c r="D317" s="67" t="s">
        <v>1670</v>
      </c>
      <c r="E317" s="66">
        <v>2</v>
      </c>
      <c r="F317" s="66" t="s">
        <v>1441</v>
      </c>
      <c r="G317" s="68">
        <v>45114</v>
      </c>
      <c r="H317" s="68" t="s">
        <v>1086</v>
      </c>
      <c r="I317" s="68" t="s">
        <v>35</v>
      </c>
      <c r="J317" s="66">
        <f>IFERROR(VLOOKUP(I317,Jueces!$A$1:$B$11,2,FALSE),"")</f>
        <v>3</v>
      </c>
      <c r="K317" s="66" t="s">
        <v>813</v>
      </c>
      <c r="L317" s="66" t="s">
        <v>692</v>
      </c>
    </row>
    <row r="318" spans="1:12" ht="30" customHeight="1" x14ac:dyDescent="0.2">
      <c r="A318" s="176" t="str">
        <f t="shared" si="8"/>
        <v>07/07/yyyy8</v>
      </c>
      <c r="B318" s="169">
        <f t="shared" si="9"/>
        <v>8</v>
      </c>
      <c r="C318" s="66" t="s">
        <v>1430</v>
      </c>
      <c r="D318" s="67" t="s">
        <v>1671</v>
      </c>
      <c r="E318" s="66">
        <v>1</v>
      </c>
      <c r="F318" s="66" t="s">
        <v>1442</v>
      </c>
      <c r="G318" s="68">
        <v>45114</v>
      </c>
      <c r="H318" s="68" t="s">
        <v>1086</v>
      </c>
      <c r="I318" s="68" t="s">
        <v>78</v>
      </c>
      <c r="J318" s="66">
        <f>IFERROR(VLOOKUP(I318,Jueces!$A$1:$B$11,2,FALSE),"")</f>
        <v>8</v>
      </c>
      <c r="K318" s="66" t="s">
        <v>812</v>
      </c>
      <c r="L318" s="66" t="s">
        <v>712</v>
      </c>
    </row>
    <row r="319" spans="1:12" ht="30" customHeight="1" x14ac:dyDescent="0.2">
      <c r="A319" s="176" t="str">
        <f t="shared" si="8"/>
        <v>10/07/yyyy1</v>
      </c>
      <c r="B319" s="169">
        <f t="shared" si="9"/>
        <v>1</v>
      </c>
      <c r="C319" s="66" t="s">
        <v>1478</v>
      </c>
      <c r="D319" s="67" t="s">
        <v>1705</v>
      </c>
      <c r="E319" s="66">
        <v>3</v>
      </c>
      <c r="F319" s="66" t="s">
        <v>1442</v>
      </c>
      <c r="G319" s="68">
        <v>45117</v>
      </c>
      <c r="H319" s="68" t="s">
        <v>76</v>
      </c>
      <c r="I319" s="68" t="s">
        <v>1492</v>
      </c>
      <c r="J319" s="66" t="s">
        <v>1346</v>
      </c>
      <c r="K319" s="66" t="s">
        <v>812</v>
      </c>
      <c r="L319" s="66" t="s">
        <v>692</v>
      </c>
    </row>
    <row r="320" spans="1:12" ht="30" customHeight="1" x14ac:dyDescent="0.2">
      <c r="A320" s="176" t="str">
        <f t="shared" si="8"/>
        <v>10/07/yyyy2</v>
      </c>
      <c r="B320" s="169">
        <f t="shared" si="9"/>
        <v>2</v>
      </c>
      <c r="C320" s="66" t="s">
        <v>1479</v>
      </c>
      <c r="D320" s="67" t="s">
        <v>1706</v>
      </c>
      <c r="E320" s="66">
        <v>3</v>
      </c>
      <c r="F320" s="66" t="s">
        <v>29</v>
      </c>
      <c r="G320" s="68">
        <v>45117</v>
      </c>
      <c r="H320" s="68" t="s">
        <v>76</v>
      </c>
      <c r="I320" s="68" t="s">
        <v>1625</v>
      </c>
      <c r="J320" s="66" t="s">
        <v>1491</v>
      </c>
      <c r="K320" s="66" t="s">
        <v>806</v>
      </c>
      <c r="L320" s="66" t="s">
        <v>694</v>
      </c>
    </row>
    <row r="321" spans="1:12" ht="30" customHeight="1" x14ac:dyDescent="0.2">
      <c r="A321" s="176" t="str">
        <f t="shared" si="8"/>
        <v>10/07/yyyy3</v>
      </c>
      <c r="B321" s="169">
        <f t="shared" si="9"/>
        <v>3</v>
      </c>
      <c r="C321" s="66" t="s">
        <v>1440</v>
      </c>
      <c r="D321" s="67" t="s">
        <v>1707</v>
      </c>
      <c r="E321" s="66">
        <v>2</v>
      </c>
      <c r="F321" s="66" t="s">
        <v>43</v>
      </c>
      <c r="G321" s="68">
        <v>45117</v>
      </c>
      <c r="H321" s="68" t="s">
        <v>1450</v>
      </c>
      <c r="I321" s="68" t="s">
        <v>1625</v>
      </c>
      <c r="J321" s="66" t="s">
        <v>1491</v>
      </c>
      <c r="K321" s="66" t="s">
        <v>793</v>
      </c>
      <c r="L321" s="66" t="s">
        <v>1447</v>
      </c>
    </row>
    <row r="322" spans="1:12" ht="30" customHeight="1" x14ac:dyDescent="0.2">
      <c r="A322" s="176" t="str">
        <f t="shared" si="8"/>
        <v>10/07/yyyy4</v>
      </c>
      <c r="B322" s="169">
        <f t="shared" si="9"/>
        <v>4</v>
      </c>
      <c r="C322" s="66" t="s">
        <v>1480</v>
      </c>
      <c r="D322" s="67" t="s">
        <v>1708</v>
      </c>
      <c r="E322" s="66">
        <v>3</v>
      </c>
      <c r="F322" s="66" t="s">
        <v>568</v>
      </c>
      <c r="G322" s="68">
        <v>45117</v>
      </c>
      <c r="H322" s="68" t="s">
        <v>1450</v>
      </c>
      <c r="I322" s="68" t="s">
        <v>1492</v>
      </c>
      <c r="J322" s="66" t="s">
        <v>1346</v>
      </c>
      <c r="K322" s="66" t="s">
        <v>806</v>
      </c>
      <c r="L322" s="66" t="s">
        <v>694</v>
      </c>
    </row>
    <row r="323" spans="1:12" ht="30" customHeight="1" x14ac:dyDescent="0.2">
      <c r="A323" s="176" t="str">
        <f t="shared" ref="A323:A386" si="10">CONCATENATE(TEXT($G323,"dd/mm/yyyy"),$B323)</f>
        <v>10/07/yyyy5</v>
      </c>
      <c r="B323" s="169">
        <f t="shared" si="9"/>
        <v>5</v>
      </c>
      <c r="C323" s="66" t="s">
        <v>1408</v>
      </c>
      <c r="D323" s="67" t="s">
        <v>1709</v>
      </c>
      <c r="E323" s="66">
        <v>3</v>
      </c>
      <c r="F323" s="66" t="s">
        <v>1441</v>
      </c>
      <c r="G323" s="68">
        <v>45117</v>
      </c>
      <c r="H323" s="68" t="s">
        <v>547</v>
      </c>
      <c r="I323" s="68" t="s">
        <v>1492</v>
      </c>
      <c r="J323" s="66" t="s">
        <v>1346</v>
      </c>
      <c r="K323" s="66" t="s">
        <v>813</v>
      </c>
      <c r="L323" s="66" t="s">
        <v>693</v>
      </c>
    </row>
    <row r="324" spans="1:12" ht="30" customHeight="1" x14ac:dyDescent="0.2">
      <c r="A324" s="176" t="str">
        <f t="shared" si="10"/>
        <v>10/07/yyyy6</v>
      </c>
      <c r="B324" s="169">
        <f t="shared" ref="B324:B387" si="11">IF($G324=$G323,$B323+1,1)</f>
        <v>6</v>
      </c>
      <c r="C324" s="66" t="s">
        <v>1448</v>
      </c>
      <c r="D324" s="67" t="s">
        <v>1710</v>
      </c>
      <c r="E324" s="66">
        <v>1</v>
      </c>
      <c r="F324" s="66" t="s">
        <v>32</v>
      </c>
      <c r="G324" s="68">
        <v>45117</v>
      </c>
      <c r="H324" s="68" t="s">
        <v>547</v>
      </c>
      <c r="I324" s="68" t="s">
        <v>35</v>
      </c>
      <c r="J324" s="66">
        <f>IFERROR(VLOOKUP(I324,Jueces!$A$1:$B$11,2,FALSE),"")</f>
        <v>3</v>
      </c>
      <c r="K324" s="66" t="s">
        <v>811</v>
      </c>
      <c r="L324" s="66" t="s">
        <v>1087</v>
      </c>
    </row>
    <row r="325" spans="1:12" ht="30" customHeight="1" x14ac:dyDescent="0.2">
      <c r="A325" s="176" t="str">
        <f t="shared" si="10"/>
        <v>11/07/yyyy1</v>
      </c>
      <c r="B325" s="169">
        <f t="shared" si="11"/>
        <v>1</v>
      </c>
      <c r="C325" s="66" t="s">
        <v>1418</v>
      </c>
      <c r="D325" s="67" t="s">
        <v>1417</v>
      </c>
      <c r="E325" s="66">
        <v>3</v>
      </c>
      <c r="F325" s="66" t="s">
        <v>1442</v>
      </c>
      <c r="G325" s="68">
        <v>45118</v>
      </c>
      <c r="H325" s="68" t="s">
        <v>76</v>
      </c>
      <c r="I325" s="68" t="s">
        <v>35</v>
      </c>
      <c r="J325" s="66">
        <f>IFERROR(VLOOKUP(I325,Jueces!$A$1:$B$11,2,FALSE),"")</f>
        <v>3</v>
      </c>
      <c r="K325" s="66" t="s">
        <v>813</v>
      </c>
      <c r="L325" s="66" t="s">
        <v>697</v>
      </c>
    </row>
    <row r="326" spans="1:12" ht="30" customHeight="1" x14ac:dyDescent="0.2">
      <c r="A326" s="176" t="str">
        <f t="shared" si="10"/>
        <v>11/07/yyyy2</v>
      </c>
      <c r="B326" s="169">
        <f t="shared" si="11"/>
        <v>2</v>
      </c>
      <c r="C326" s="66" t="s">
        <v>1420</v>
      </c>
      <c r="D326" s="67" t="s">
        <v>1421</v>
      </c>
      <c r="E326" s="66">
        <v>3</v>
      </c>
      <c r="F326" s="66" t="s">
        <v>29</v>
      </c>
      <c r="G326" s="68">
        <v>45118</v>
      </c>
      <c r="H326" s="68" t="s">
        <v>76</v>
      </c>
      <c r="I326" s="68" t="s">
        <v>31</v>
      </c>
      <c r="J326" s="66">
        <f>IFERROR(VLOOKUP(I326,Jueces!$A$1:$B$11,2,FALSE),"")</f>
        <v>2</v>
      </c>
      <c r="K326" s="66" t="s">
        <v>807</v>
      </c>
      <c r="L326" s="66" t="s">
        <v>693</v>
      </c>
    </row>
    <row r="327" spans="1:12" ht="30" customHeight="1" x14ac:dyDescent="0.2">
      <c r="A327" s="176" t="str">
        <f t="shared" si="10"/>
        <v>11/07/yyyy3</v>
      </c>
      <c r="B327" s="169">
        <f t="shared" si="11"/>
        <v>3</v>
      </c>
      <c r="C327" s="66" t="s">
        <v>1482</v>
      </c>
      <c r="D327" s="67" t="s">
        <v>1483</v>
      </c>
      <c r="E327" s="66">
        <v>3</v>
      </c>
      <c r="F327" s="66" t="s">
        <v>32</v>
      </c>
      <c r="G327" s="68">
        <v>45118</v>
      </c>
      <c r="H327" s="68" t="s">
        <v>76</v>
      </c>
      <c r="I327" s="68" t="s">
        <v>1625</v>
      </c>
      <c r="J327" s="66" t="s">
        <v>1491</v>
      </c>
      <c r="K327" s="66" t="s">
        <v>789</v>
      </c>
      <c r="L327" s="66" t="s">
        <v>694</v>
      </c>
    </row>
    <row r="328" spans="1:12" ht="30" customHeight="1" x14ac:dyDescent="0.2">
      <c r="A328" s="176" t="str">
        <f t="shared" si="10"/>
        <v>11/07/yyyy4</v>
      </c>
      <c r="B328" s="169">
        <f t="shared" si="11"/>
        <v>4</v>
      </c>
      <c r="C328" s="66" t="s">
        <v>1407</v>
      </c>
      <c r="D328" s="67" t="s">
        <v>1879</v>
      </c>
      <c r="E328" s="66">
        <v>3</v>
      </c>
      <c r="F328" s="66" t="s">
        <v>283</v>
      </c>
      <c r="G328" s="68">
        <v>45118</v>
      </c>
      <c r="H328" s="68" t="s">
        <v>1450</v>
      </c>
      <c r="I328" s="68" t="s">
        <v>35</v>
      </c>
      <c r="J328" s="66">
        <f>IFERROR(VLOOKUP(I328,Jueces!$A$1:$B$11,2,FALSE),"")</f>
        <v>3</v>
      </c>
      <c r="K328" s="66" t="s">
        <v>813</v>
      </c>
      <c r="L328" s="66" t="s">
        <v>693</v>
      </c>
    </row>
    <row r="329" spans="1:12" ht="30" customHeight="1" x14ac:dyDescent="0.2">
      <c r="A329" s="176" t="str">
        <f t="shared" si="10"/>
        <v>11/07/yyyy5</v>
      </c>
      <c r="B329" s="169">
        <f t="shared" si="11"/>
        <v>5</v>
      </c>
      <c r="C329" s="66" t="s">
        <v>1456</v>
      </c>
      <c r="D329" s="67" t="s">
        <v>1455</v>
      </c>
      <c r="E329" s="66">
        <v>3</v>
      </c>
      <c r="F329" s="66" t="s">
        <v>568</v>
      </c>
      <c r="G329" s="68">
        <v>45118</v>
      </c>
      <c r="H329" s="68" t="s">
        <v>1450</v>
      </c>
      <c r="I329" s="68" t="s">
        <v>35</v>
      </c>
      <c r="J329" s="66">
        <f>IFERROR(VLOOKUP(I329,Jueces!$A$1:$B$11,2,FALSE),"")</f>
        <v>3</v>
      </c>
      <c r="K329" s="66" t="s">
        <v>807</v>
      </c>
      <c r="L329" s="66" t="s">
        <v>694</v>
      </c>
    </row>
    <row r="330" spans="1:12" ht="30" customHeight="1" x14ac:dyDescent="0.2">
      <c r="A330" s="176" t="str">
        <f t="shared" si="10"/>
        <v>11/07/yyyy6</v>
      </c>
      <c r="B330" s="169">
        <f t="shared" si="11"/>
        <v>6</v>
      </c>
      <c r="C330" s="66" t="s">
        <v>1449</v>
      </c>
      <c r="D330" s="67" t="s">
        <v>1452</v>
      </c>
      <c r="E330" s="66">
        <v>2</v>
      </c>
      <c r="F330" s="66" t="s">
        <v>1441</v>
      </c>
      <c r="G330" s="68">
        <v>45118</v>
      </c>
      <c r="H330" s="68" t="s">
        <v>1450</v>
      </c>
      <c r="I330" s="68" t="s">
        <v>31</v>
      </c>
      <c r="J330" s="66">
        <f>IFERROR(VLOOKUP(I330,Jueces!$A$1:$B$11,2,FALSE),"")</f>
        <v>2</v>
      </c>
      <c r="K330" s="66" t="s">
        <v>801</v>
      </c>
      <c r="L330" s="66" t="s">
        <v>692</v>
      </c>
    </row>
    <row r="331" spans="1:12" ht="30" customHeight="1" x14ac:dyDescent="0.2">
      <c r="A331" s="176" t="str">
        <f t="shared" si="10"/>
        <v>11/07/yyyy7</v>
      </c>
      <c r="B331" s="169">
        <f t="shared" si="11"/>
        <v>7</v>
      </c>
      <c r="C331" s="66" t="s">
        <v>1451</v>
      </c>
      <c r="D331" s="67" t="s">
        <v>1477</v>
      </c>
      <c r="E331" s="66">
        <v>3</v>
      </c>
      <c r="F331" s="66" t="s">
        <v>43</v>
      </c>
      <c r="G331" s="68">
        <v>45118</v>
      </c>
      <c r="H331" s="68" t="s">
        <v>1450</v>
      </c>
      <c r="I331" s="68" t="s">
        <v>1492</v>
      </c>
      <c r="J331" s="66" t="s">
        <v>1346</v>
      </c>
      <c r="K331" s="66" t="s">
        <v>801</v>
      </c>
      <c r="L331" s="66" t="s">
        <v>1386</v>
      </c>
    </row>
    <row r="332" spans="1:12" ht="30" customHeight="1" x14ac:dyDescent="0.2">
      <c r="A332" s="176" t="str">
        <f t="shared" si="10"/>
        <v>11/07/yyyy8</v>
      </c>
      <c r="B332" s="169">
        <f t="shared" si="11"/>
        <v>8</v>
      </c>
      <c r="C332" s="66" t="s">
        <v>1678</v>
      </c>
      <c r="D332" s="40" t="s">
        <v>1676</v>
      </c>
      <c r="E332" s="66">
        <v>3</v>
      </c>
      <c r="F332" s="66" t="s">
        <v>1663</v>
      </c>
      <c r="G332" s="68">
        <v>45118</v>
      </c>
      <c r="H332" s="68" t="s">
        <v>1562</v>
      </c>
      <c r="I332" s="68" t="s">
        <v>1625</v>
      </c>
      <c r="J332" s="66" t="s">
        <v>1491</v>
      </c>
      <c r="K332" s="66" t="s">
        <v>789</v>
      </c>
      <c r="L332" s="66" t="s">
        <v>1694</v>
      </c>
    </row>
    <row r="333" spans="1:12" ht="30" customHeight="1" x14ac:dyDescent="0.2">
      <c r="A333" s="176" t="str">
        <f t="shared" si="10"/>
        <v>11/07/yyyy9</v>
      </c>
      <c r="B333" s="169">
        <f t="shared" si="11"/>
        <v>9</v>
      </c>
      <c r="C333" s="66" t="s">
        <v>1481</v>
      </c>
      <c r="D333" s="67" t="s">
        <v>1488</v>
      </c>
      <c r="E333" s="66">
        <v>3</v>
      </c>
      <c r="F333" s="66" t="s">
        <v>283</v>
      </c>
      <c r="G333" s="68">
        <v>45118</v>
      </c>
      <c r="H333" s="68" t="s">
        <v>989</v>
      </c>
      <c r="I333" s="68" t="s">
        <v>1625</v>
      </c>
      <c r="J333" s="66" t="s">
        <v>1491</v>
      </c>
      <c r="K333" s="66" t="s">
        <v>797</v>
      </c>
      <c r="L333" s="66" t="s">
        <v>693</v>
      </c>
    </row>
    <row r="334" spans="1:12" ht="30" customHeight="1" x14ac:dyDescent="0.2">
      <c r="A334" s="176" t="str">
        <f t="shared" si="10"/>
        <v>12/07/yyyy1</v>
      </c>
      <c r="B334" s="169">
        <f t="shared" si="11"/>
        <v>1</v>
      </c>
      <c r="C334" s="66" t="s">
        <v>1552</v>
      </c>
      <c r="D334" s="67" t="s">
        <v>1524</v>
      </c>
      <c r="E334" s="66">
        <v>4</v>
      </c>
      <c r="F334" s="66" t="s">
        <v>1442</v>
      </c>
      <c r="G334" s="68">
        <v>45119</v>
      </c>
      <c r="H334" s="68" t="s">
        <v>76</v>
      </c>
      <c r="I334" s="68" t="s">
        <v>31</v>
      </c>
      <c r="J334" s="66">
        <f>IFERROR(VLOOKUP(I334,Jueces!$A$1:$B$11,2,FALSE),"")</f>
        <v>2</v>
      </c>
      <c r="K334" s="66" t="s">
        <v>807</v>
      </c>
      <c r="L334" s="66" t="s">
        <v>695</v>
      </c>
    </row>
    <row r="335" spans="1:12" ht="30" customHeight="1" x14ac:dyDescent="0.2">
      <c r="A335" s="176" t="str">
        <f t="shared" si="10"/>
        <v>12/07/yyyy2</v>
      </c>
      <c r="B335" s="169">
        <f t="shared" si="11"/>
        <v>2</v>
      </c>
      <c r="C335" s="66" t="s">
        <v>1551</v>
      </c>
      <c r="D335" s="67" t="s">
        <v>1792</v>
      </c>
      <c r="E335" s="66">
        <v>3</v>
      </c>
      <c r="F335" s="66" t="s">
        <v>1441</v>
      </c>
      <c r="G335" s="68">
        <v>45119</v>
      </c>
      <c r="H335" s="68" t="s">
        <v>76</v>
      </c>
      <c r="I335" s="68" t="s">
        <v>1492</v>
      </c>
      <c r="J335" s="66" t="s">
        <v>1346</v>
      </c>
      <c r="K335" s="66" t="s">
        <v>812</v>
      </c>
      <c r="L335" s="66" t="s">
        <v>694</v>
      </c>
    </row>
    <row r="336" spans="1:12" ht="30" customHeight="1" x14ac:dyDescent="0.2">
      <c r="A336" s="176" t="str">
        <f t="shared" si="10"/>
        <v>12/07/yyyy3</v>
      </c>
      <c r="B336" s="169">
        <f t="shared" si="11"/>
        <v>3</v>
      </c>
      <c r="C336" s="66" t="s">
        <v>1548</v>
      </c>
      <c r="D336" s="67" t="s">
        <v>1525</v>
      </c>
      <c r="E336" s="66">
        <v>3</v>
      </c>
      <c r="F336" s="66" t="s">
        <v>283</v>
      </c>
      <c r="G336" s="68">
        <v>45119</v>
      </c>
      <c r="H336" s="68" t="s">
        <v>1450</v>
      </c>
      <c r="I336" s="68" t="s">
        <v>35</v>
      </c>
      <c r="J336" s="66">
        <f>IFERROR(VLOOKUP(I336,Jueces!$A$1:$B$11,2,FALSE),"")</f>
        <v>3</v>
      </c>
      <c r="K336" s="66" t="s">
        <v>807</v>
      </c>
      <c r="L336" s="66" t="s">
        <v>694</v>
      </c>
    </row>
    <row r="337" spans="1:12" ht="30" customHeight="1" x14ac:dyDescent="0.2">
      <c r="A337" s="176" t="str">
        <f t="shared" si="10"/>
        <v>12/07/yyyy4</v>
      </c>
      <c r="B337" s="169">
        <f t="shared" si="11"/>
        <v>4</v>
      </c>
      <c r="C337" s="66" t="s">
        <v>1523</v>
      </c>
      <c r="D337" s="67" t="s">
        <v>1521</v>
      </c>
      <c r="E337" s="66">
        <v>4</v>
      </c>
      <c r="F337" s="66" t="s">
        <v>568</v>
      </c>
      <c r="G337" s="68">
        <v>45119</v>
      </c>
      <c r="H337" s="68" t="s">
        <v>547</v>
      </c>
      <c r="I337" s="68" t="s">
        <v>35</v>
      </c>
      <c r="J337" s="66">
        <f>IFERROR(VLOOKUP(I337,Jueces!$A$1:$B$11,2,FALSE),"")</f>
        <v>3</v>
      </c>
      <c r="K337" s="66" t="s">
        <v>1522</v>
      </c>
      <c r="L337" s="66" t="s">
        <v>1434</v>
      </c>
    </row>
    <row r="338" spans="1:12" ht="30" customHeight="1" x14ac:dyDescent="0.2">
      <c r="A338" s="176" t="str">
        <f t="shared" si="10"/>
        <v>12/07/yyyy5</v>
      </c>
      <c r="B338" s="169">
        <f t="shared" si="11"/>
        <v>5</v>
      </c>
      <c r="C338" s="66" t="s">
        <v>1549</v>
      </c>
      <c r="D338" s="67" t="s">
        <v>1793</v>
      </c>
      <c r="E338" s="66">
        <v>2</v>
      </c>
      <c r="F338" s="66" t="s">
        <v>43</v>
      </c>
      <c r="G338" s="68">
        <v>45119</v>
      </c>
      <c r="H338" s="68" t="s">
        <v>547</v>
      </c>
      <c r="I338" s="68" t="s">
        <v>1625</v>
      </c>
      <c r="J338" s="66" t="s">
        <v>1491</v>
      </c>
      <c r="K338" s="66" t="s">
        <v>798</v>
      </c>
      <c r="L338" s="66" t="s">
        <v>1179</v>
      </c>
    </row>
    <row r="339" spans="1:12" ht="30" customHeight="1" x14ac:dyDescent="0.2">
      <c r="A339" s="176" t="str">
        <f t="shared" si="10"/>
        <v>12/07/yyyy6</v>
      </c>
      <c r="B339" s="169">
        <f t="shared" si="11"/>
        <v>6</v>
      </c>
      <c r="C339" s="66" t="s">
        <v>1557</v>
      </c>
      <c r="D339" s="67" t="s">
        <v>1556</v>
      </c>
      <c r="E339" s="66">
        <v>4</v>
      </c>
      <c r="F339" s="66" t="s">
        <v>29</v>
      </c>
      <c r="G339" s="68">
        <v>45119</v>
      </c>
      <c r="H339" s="68" t="s">
        <v>547</v>
      </c>
      <c r="I339" s="68" t="s">
        <v>1492</v>
      </c>
      <c r="J339" s="66" t="s">
        <v>1346</v>
      </c>
      <c r="K339" s="66" t="s">
        <v>813</v>
      </c>
      <c r="L339" s="66" t="s">
        <v>694</v>
      </c>
    </row>
    <row r="340" spans="1:12" ht="30" customHeight="1" x14ac:dyDescent="0.2">
      <c r="A340" s="176" t="str">
        <f t="shared" si="10"/>
        <v>12/07/yyyy7</v>
      </c>
      <c r="B340" s="169">
        <f t="shared" si="11"/>
        <v>7</v>
      </c>
      <c r="C340" s="66" t="s">
        <v>1559</v>
      </c>
      <c r="D340" s="67" t="s">
        <v>1773</v>
      </c>
      <c r="E340" s="66">
        <v>3</v>
      </c>
      <c r="F340" s="66" t="s">
        <v>43</v>
      </c>
      <c r="G340" s="68">
        <v>45119</v>
      </c>
      <c r="H340" s="68" t="s">
        <v>1562</v>
      </c>
      <c r="I340" s="68" t="s">
        <v>1625</v>
      </c>
      <c r="J340" s="66" t="s">
        <v>1491</v>
      </c>
      <c r="K340" s="66" t="s">
        <v>806</v>
      </c>
      <c r="L340" s="66" t="s">
        <v>694</v>
      </c>
    </row>
    <row r="341" spans="1:12" ht="30" customHeight="1" x14ac:dyDescent="0.2">
      <c r="A341" s="176" t="str">
        <f t="shared" si="10"/>
        <v>13/07/yyyy1</v>
      </c>
      <c r="B341" s="169">
        <f t="shared" si="11"/>
        <v>1</v>
      </c>
      <c r="C341" s="66" t="s">
        <v>1554</v>
      </c>
      <c r="D341" s="67" t="s">
        <v>1794</v>
      </c>
      <c r="E341" s="66">
        <v>4</v>
      </c>
      <c r="F341" s="66" t="s">
        <v>32</v>
      </c>
      <c r="G341" s="68">
        <v>45120</v>
      </c>
      <c r="H341" s="68" t="s">
        <v>76</v>
      </c>
      <c r="I341" s="68" t="s">
        <v>1625</v>
      </c>
      <c r="J341" s="66" t="s">
        <v>1491</v>
      </c>
      <c r="K341" s="66" t="s">
        <v>814</v>
      </c>
      <c r="L341" s="66" t="s">
        <v>1558</v>
      </c>
    </row>
    <row r="342" spans="1:12" ht="30" customHeight="1" x14ac:dyDescent="0.2">
      <c r="A342" s="176" t="str">
        <f t="shared" si="10"/>
        <v>13/07/yyyy2</v>
      </c>
      <c r="B342" s="169">
        <f t="shared" si="11"/>
        <v>2</v>
      </c>
      <c r="C342" s="66" t="s">
        <v>1550</v>
      </c>
      <c r="D342" s="67" t="s">
        <v>1795</v>
      </c>
      <c r="E342" s="66">
        <v>3</v>
      </c>
      <c r="F342" s="66" t="s">
        <v>568</v>
      </c>
      <c r="G342" s="68">
        <v>45120</v>
      </c>
      <c r="H342" s="68" t="s">
        <v>76</v>
      </c>
      <c r="I342" s="68" t="s">
        <v>31</v>
      </c>
      <c r="J342" s="66">
        <f>IFERROR(VLOOKUP(I342,Jueces!$A$1:$B$11,2,FALSE),"")</f>
        <v>2</v>
      </c>
      <c r="K342" s="66" t="s">
        <v>813</v>
      </c>
      <c r="L342" s="66" t="s">
        <v>694</v>
      </c>
    </row>
    <row r="343" spans="1:12" ht="30" customHeight="1" x14ac:dyDescent="0.2">
      <c r="A343" s="176" t="str">
        <f t="shared" si="10"/>
        <v>13/07/yyyy3</v>
      </c>
      <c r="B343" s="169">
        <f t="shared" si="11"/>
        <v>3</v>
      </c>
      <c r="C343" s="66" t="s">
        <v>1565</v>
      </c>
      <c r="D343" s="67" t="s">
        <v>1796</v>
      </c>
      <c r="E343" s="66">
        <v>4</v>
      </c>
      <c r="F343" s="66" t="s">
        <v>43</v>
      </c>
      <c r="G343" s="68">
        <v>45120</v>
      </c>
      <c r="H343" s="68" t="s">
        <v>76</v>
      </c>
      <c r="I343" s="68" t="s">
        <v>1492</v>
      </c>
      <c r="J343" s="66" t="s">
        <v>1346</v>
      </c>
      <c r="K343" s="66" t="s">
        <v>809</v>
      </c>
      <c r="L343" s="66" t="s">
        <v>695</v>
      </c>
    </row>
    <row r="344" spans="1:12" ht="30" customHeight="1" x14ac:dyDescent="0.2">
      <c r="A344" s="176" t="str">
        <f t="shared" si="10"/>
        <v>13/07/yyyy4</v>
      </c>
      <c r="B344" s="169">
        <f t="shared" si="11"/>
        <v>4</v>
      </c>
      <c r="C344" s="66" t="s">
        <v>1555</v>
      </c>
      <c r="D344" s="67" t="s">
        <v>1797</v>
      </c>
      <c r="E344" s="66">
        <v>4</v>
      </c>
      <c r="F344" s="66" t="s">
        <v>29</v>
      </c>
      <c r="G344" s="68">
        <v>45120</v>
      </c>
      <c r="H344" s="68" t="s">
        <v>1450</v>
      </c>
      <c r="I344" s="68" t="s">
        <v>1492</v>
      </c>
      <c r="J344" s="66" t="s">
        <v>1346</v>
      </c>
      <c r="K344" s="66" t="s">
        <v>813</v>
      </c>
      <c r="L344" s="66" t="s">
        <v>695</v>
      </c>
    </row>
    <row r="345" spans="1:12" ht="30" customHeight="1" x14ac:dyDescent="0.2">
      <c r="A345" s="176" t="str">
        <f t="shared" si="10"/>
        <v>13/07/yyyy5</v>
      </c>
      <c r="B345" s="169">
        <f t="shared" si="11"/>
        <v>5</v>
      </c>
      <c r="C345" s="66" t="s">
        <v>1553</v>
      </c>
      <c r="D345" s="67" t="s">
        <v>1798</v>
      </c>
      <c r="E345" s="66">
        <v>3</v>
      </c>
      <c r="F345" s="66" t="s">
        <v>32</v>
      </c>
      <c r="G345" s="68">
        <v>45120</v>
      </c>
      <c r="H345" s="68" t="s">
        <v>1450</v>
      </c>
      <c r="I345" s="68" t="s">
        <v>31</v>
      </c>
      <c r="J345" s="66">
        <f>IFERROR(VLOOKUP(I345,Jueces!$A$1:$B$11,2,FALSE),"")</f>
        <v>2</v>
      </c>
      <c r="K345" s="66" t="s">
        <v>810</v>
      </c>
      <c r="L345" s="66" t="s">
        <v>694</v>
      </c>
    </row>
    <row r="346" spans="1:12" ht="30" customHeight="1" x14ac:dyDescent="0.2">
      <c r="A346" s="176" t="str">
        <f t="shared" si="10"/>
        <v>13/07/yyyy6</v>
      </c>
      <c r="B346" s="169">
        <f t="shared" si="11"/>
        <v>6</v>
      </c>
      <c r="C346" s="66" t="s">
        <v>1561</v>
      </c>
      <c r="D346" s="67" t="s">
        <v>1799</v>
      </c>
      <c r="E346" s="66">
        <v>4</v>
      </c>
      <c r="F346" s="66" t="s">
        <v>1442</v>
      </c>
      <c r="G346" s="68">
        <v>45120</v>
      </c>
      <c r="H346" s="68" t="s">
        <v>547</v>
      </c>
      <c r="I346" s="68" t="s">
        <v>1625</v>
      </c>
      <c r="J346" s="66" t="str">
        <f>IFERROR(VLOOKUP(I346,Jueces!$A$1:$B$13,2,FALSE),"")</f>
        <v>JUI 5</v>
      </c>
      <c r="K346" s="66" t="s">
        <v>806</v>
      </c>
      <c r="L346" s="66" t="s">
        <v>695</v>
      </c>
    </row>
    <row r="347" spans="1:12" ht="30" customHeight="1" x14ac:dyDescent="0.2">
      <c r="A347" s="176" t="str">
        <f t="shared" si="10"/>
        <v>13/07/yyyy7</v>
      </c>
      <c r="B347" s="169">
        <f t="shared" si="11"/>
        <v>7</v>
      </c>
      <c r="C347" s="66" t="s">
        <v>1563</v>
      </c>
      <c r="D347" s="67" t="s">
        <v>1800</v>
      </c>
      <c r="E347" s="66">
        <v>3</v>
      </c>
      <c r="F347" s="66" t="s">
        <v>283</v>
      </c>
      <c r="G347" s="68">
        <v>45120</v>
      </c>
      <c r="H347" s="68" t="s">
        <v>547</v>
      </c>
      <c r="I347" s="68" t="s">
        <v>31</v>
      </c>
      <c r="J347" s="66">
        <f>IFERROR(VLOOKUP(I347,Jueces!$A$1:$B$13,2,FALSE),"")</f>
        <v>2</v>
      </c>
      <c r="K347" s="66" t="s">
        <v>789</v>
      </c>
      <c r="L347" s="66" t="s">
        <v>1828</v>
      </c>
    </row>
    <row r="348" spans="1:12" ht="30" customHeight="1" x14ac:dyDescent="0.2">
      <c r="A348" s="176" t="str">
        <f t="shared" si="10"/>
        <v>14/07/yyyy1</v>
      </c>
      <c r="B348" s="169">
        <f t="shared" si="11"/>
        <v>1</v>
      </c>
      <c r="C348" s="66" t="s">
        <v>1486</v>
      </c>
      <c r="D348" s="67" t="s">
        <v>1487</v>
      </c>
      <c r="E348" s="66">
        <v>3</v>
      </c>
      <c r="F348" s="66" t="s">
        <v>43</v>
      </c>
      <c r="G348" s="68">
        <v>45121</v>
      </c>
      <c r="H348" s="68" t="s">
        <v>76</v>
      </c>
      <c r="I348" s="68" t="s">
        <v>1625</v>
      </c>
      <c r="J348" s="66" t="s">
        <v>1491</v>
      </c>
      <c r="K348" s="66" t="s">
        <v>813</v>
      </c>
      <c r="L348" s="66" t="s">
        <v>693</v>
      </c>
    </row>
    <row r="349" spans="1:12" ht="30" customHeight="1" x14ac:dyDescent="0.2">
      <c r="A349" s="176" t="str">
        <f t="shared" si="10"/>
        <v>14/07/yyyy2</v>
      </c>
      <c r="B349" s="169">
        <f t="shared" si="11"/>
        <v>2</v>
      </c>
      <c r="C349" s="66" t="s">
        <v>1560</v>
      </c>
      <c r="D349" s="67" t="s">
        <v>1526</v>
      </c>
      <c r="E349" s="66">
        <v>4</v>
      </c>
      <c r="F349" s="66" t="s">
        <v>1441</v>
      </c>
      <c r="G349" s="68">
        <v>45121</v>
      </c>
      <c r="H349" s="68" t="s">
        <v>76</v>
      </c>
      <c r="I349" s="68" t="s">
        <v>35</v>
      </c>
      <c r="J349" s="66">
        <f>IFERROR(VLOOKUP(I349,Jueces!$A$1:$B$13,2,FALSE),"")</f>
        <v>3</v>
      </c>
      <c r="K349" s="66" t="s">
        <v>508</v>
      </c>
      <c r="L349" s="66" t="s">
        <v>1823</v>
      </c>
    </row>
    <row r="350" spans="1:12" ht="30" customHeight="1" x14ac:dyDescent="0.2">
      <c r="A350" s="176" t="str">
        <f t="shared" si="10"/>
        <v>14/07/yyyy3</v>
      </c>
      <c r="B350" s="169">
        <f t="shared" si="11"/>
        <v>3</v>
      </c>
      <c r="C350" s="66" t="s">
        <v>1569</v>
      </c>
      <c r="D350" s="67" t="s">
        <v>1582</v>
      </c>
      <c r="E350" s="66">
        <v>4</v>
      </c>
      <c r="F350" s="66" t="s">
        <v>32</v>
      </c>
      <c r="G350" s="68">
        <v>45121</v>
      </c>
      <c r="H350" s="68" t="s">
        <v>76</v>
      </c>
      <c r="I350" s="68" t="s">
        <v>31</v>
      </c>
      <c r="J350" s="66">
        <f>IFERROR(VLOOKUP(I350,Jueces!$A$1:$B$13,2,FALSE),"")</f>
        <v>2</v>
      </c>
      <c r="K350" s="66" t="s">
        <v>809</v>
      </c>
      <c r="L350" s="66" t="s">
        <v>695</v>
      </c>
    </row>
    <row r="351" spans="1:12" ht="30" customHeight="1" x14ac:dyDescent="0.2">
      <c r="A351" s="176" t="str">
        <f t="shared" si="10"/>
        <v>14/07/yyyy4</v>
      </c>
      <c r="B351" s="169">
        <f t="shared" si="11"/>
        <v>4</v>
      </c>
      <c r="C351" s="66" t="s">
        <v>1641</v>
      </c>
      <c r="D351" s="67" t="s">
        <v>1646</v>
      </c>
      <c r="E351" s="66">
        <v>3</v>
      </c>
      <c r="F351" s="66" t="s">
        <v>283</v>
      </c>
      <c r="G351" s="68">
        <v>45121</v>
      </c>
      <c r="H351" s="68" t="s">
        <v>76</v>
      </c>
      <c r="I351" s="68" t="s">
        <v>1492</v>
      </c>
      <c r="J351" s="66" t="s">
        <v>1346</v>
      </c>
      <c r="K351" s="66" t="s">
        <v>793</v>
      </c>
      <c r="L351" s="66" t="s">
        <v>1647</v>
      </c>
    </row>
    <row r="352" spans="1:12" ht="30" customHeight="1" x14ac:dyDescent="0.2">
      <c r="A352" s="176" t="str">
        <f t="shared" si="10"/>
        <v>14/07/yyyy5</v>
      </c>
      <c r="B352" s="169">
        <f t="shared" si="11"/>
        <v>5</v>
      </c>
      <c r="C352" s="66" t="s">
        <v>1567</v>
      </c>
      <c r="D352" s="67" t="s">
        <v>1568</v>
      </c>
      <c r="E352" s="66">
        <v>4</v>
      </c>
      <c r="F352" s="66" t="s">
        <v>29</v>
      </c>
      <c r="G352" s="68">
        <v>45121</v>
      </c>
      <c r="H352" s="68" t="s">
        <v>1450</v>
      </c>
      <c r="I352" s="68" t="s">
        <v>1625</v>
      </c>
      <c r="J352" s="66" t="str">
        <f>IFERROR(VLOOKUP(I352,Jueces!$A$1:$B$13,2,FALSE),"")</f>
        <v>JUI 5</v>
      </c>
      <c r="K352" s="66" t="s">
        <v>807</v>
      </c>
      <c r="L352" s="66" t="s">
        <v>695</v>
      </c>
    </row>
    <row r="353" spans="1:12" ht="30" customHeight="1" x14ac:dyDescent="0.2">
      <c r="A353" s="176" t="str">
        <f t="shared" si="10"/>
        <v>14/07/yyyy6</v>
      </c>
      <c r="B353" s="169">
        <f t="shared" si="11"/>
        <v>6</v>
      </c>
      <c r="C353" s="66" t="s">
        <v>1598</v>
      </c>
      <c r="D353" s="67" t="s">
        <v>1599</v>
      </c>
      <c r="E353" s="66">
        <v>3</v>
      </c>
      <c r="F353" s="66" t="s">
        <v>1442</v>
      </c>
      <c r="G353" s="68">
        <v>45121</v>
      </c>
      <c r="H353" s="68" t="s">
        <v>1450</v>
      </c>
      <c r="I353" s="68" t="s">
        <v>1492</v>
      </c>
      <c r="J353" s="66" t="s">
        <v>1346</v>
      </c>
      <c r="K353" s="66" t="s">
        <v>1834</v>
      </c>
      <c r="L353" s="66" t="s">
        <v>694</v>
      </c>
    </row>
    <row r="354" spans="1:12" ht="30" customHeight="1" x14ac:dyDescent="0.2">
      <c r="A354" s="176" t="str">
        <f t="shared" si="10"/>
        <v>14/07/yyyy7</v>
      </c>
      <c r="B354" s="169">
        <f t="shared" si="11"/>
        <v>7</v>
      </c>
      <c r="C354" s="66" t="s">
        <v>1597</v>
      </c>
      <c r="D354" s="67" t="s">
        <v>1621</v>
      </c>
      <c r="E354" s="66">
        <v>3</v>
      </c>
      <c r="F354" s="66" t="s">
        <v>568</v>
      </c>
      <c r="G354" s="68">
        <v>45121</v>
      </c>
      <c r="H354" s="68" t="s">
        <v>547</v>
      </c>
      <c r="I354" s="68" t="s">
        <v>1492</v>
      </c>
      <c r="J354" s="66" t="s">
        <v>1346</v>
      </c>
      <c r="K354" s="66" t="s">
        <v>809</v>
      </c>
      <c r="L354" s="66" t="s">
        <v>693</v>
      </c>
    </row>
    <row r="355" spans="1:12" ht="30" customHeight="1" x14ac:dyDescent="0.2">
      <c r="A355" s="176" t="str">
        <f t="shared" si="10"/>
        <v>17/07/yyyy1</v>
      </c>
      <c r="B355" s="169">
        <f t="shared" si="11"/>
        <v>1</v>
      </c>
      <c r="C355" s="66" t="s">
        <v>1594</v>
      </c>
      <c r="D355" s="67" t="s">
        <v>1846</v>
      </c>
      <c r="E355" s="66">
        <v>4</v>
      </c>
      <c r="F355" s="66" t="s">
        <v>283</v>
      </c>
      <c r="G355" s="68">
        <v>45124</v>
      </c>
      <c r="H355" s="68" t="s">
        <v>76</v>
      </c>
      <c r="I355" s="68" t="s">
        <v>1689</v>
      </c>
      <c r="J355" s="66" t="s">
        <v>1692</v>
      </c>
      <c r="K355" s="66" t="s">
        <v>806</v>
      </c>
      <c r="L355" s="66" t="s">
        <v>695</v>
      </c>
    </row>
    <row r="356" spans="1:12" ht="30" customHeight="1" x14ac:dyDescent="0.2">
      <c r="A356" s="176" t="str">
        <f t="shared" si="10"/>
        <v>17/07/yyyy2</v>
      </c>
      <c r="B356" s="169">
        <f t="shared" si="11"/>
        <v>2</v>
      </c>
      <c r="C356" s="66" t="s">
        <v>1643</v>
      </c>
      <c r="D356" s="67" t="s">
        <v>1645</v>
      </c>
      <c r="E356" s="66">
        <v>3</v>
      </c>
      <c r="F356" s="66" t="s">
        <v>1441</v>
      </c>
      <c r="G356" s="68">
        <v>45124</v>
      </c>
      <c r="H356" s="68" t="s">
        <v>76</v>
      </c>
      <c r="I356" s="68" t="s">
        <v>1732</v>
      </c>
      <c r="J356" s="66" t="s">
        <v>1346</v>
      </c>
      <c r="K356" s="66" t="s">
        <v>810</v>
      </c>
      <c r="L356" s="66" t="s">
        <v>694</v>
      </c>
    </row>
    <row r="357" spans="1:12" ht="30" customHeight="1" x14ac:dyDescent="0.2">
      <c r="A357" s="176" t="str">
        <f t="shared" si="10"/>
        <v>17/07/yyyy3</v>
      </c>
      <c r="B357" s="169">
        <f t="shared" si="11"/>
        <v>3</v>
      </c>
      <c r="C357" s="66" t="s">
        <v>1638</v>
      </c>
      <c r="D357" s="67" t="s">
        <v>1688</v>
      </c>
      <c r="E357" s="66">
        <v>3</v>
      </c>
      <c r="F357" s="66" t="s">
        <v>1443</v>
      </c>
      <c r="G357" s="68">
        <v>45124</v>
      </c>
      <c r="H357" s="68" t="s">
        <v>76</v>
      </c>
      <c r="I357" s="68" t="s">
        <v>31</v>
      </c>
      <c r="J357" s="66">
        <f>IFERROR(VLOOKUP(I357,Jueces!$A$1:$B$11,2,FALSE),"")</f>
        <v>2</v>
      </c>
      <c r="K357" s="66" t="s">
        <v>797</v>
      </c>
      <c r="L357" s="66" t="s">
        <v>782</v>
      </c>
    </row>
    <row r="358" spans="1:12" ht="30" customHeight="1" x14ac:dyDescent="0.2">
      <c r="A358" s="176" t="str">
        <f t="shared" si="10"/>
        <v>17/07/yyyy4</v>
      </c>
      <c r="B358" s="169">
        <f t="shared" si="11"/>
        <v>4</v>
      </c>
      <c r="C358" s="66" t="s">
        <v>1721</v>
      </c>
      <c r="D358" s="67" t="s">
        <v>1593</v>
      </c>
      <c r="E358" s="66">
        <v>4</v>
      </c>
      <c r="F358" s="66" t="s">
        <v>1663</v>
      </c>
      <c r="G358" s="68">
        <v>45124</v>
      </c>
      <c r="H358" s="68" t="s">
        <v>1450</v>
      </c>
      <c r="I358" s="68" t="s">
        <v>1732</v>
      </c>
      <c r="J358" s="66" t="s">
        <v>1346</v>
      </c>
      <c r="K358" s="66" t="s">
        <v>813</v>
      </c>
      <c r="L358" s="66" t="s">
        <v>695</v>
      </c>
    </row>
    <row r="359" spans="1:12" ht="30" customHeight="1" x14ac:dyDescent="0.2">
      <c r="A359" s="176" t="str">
        <f t="shared" si="10"/>
        <v>17/07/yyyy5</v>
      </c>
      <c r="B359" s="169">
        <f t="shared" si="11"/>
        <v>5</v>
      </c>
      <c r="C359" s="66" t="s">
        <v>1595</v>
      </c>
      <c r="D359" s="67" t="s">
        <v>1644</v>
      </c>
      <c r="E359" s="66">
        <v>4</v>
      </c>
      <c r="F359" s="66" t="s">
        <v>1661</v>
      </c>
      <c r="G359" s="68">
        <v>45124</v>
      </c>
      <c r="H359" s="68" t="s">
        <v>547</v>
      </c>
      <c r="I359" s="68" t="s">
        <v>1625</v>
      </c>
      <c r="J359" s="66" t="s">
        <v>1491</v>
      </c>
      <c r="K359" s="66" t="s">
        <v>810</v>
      </c>
      <c r="L359" s="66" t="s">
        <v>783</v>
      </c>
    </row>
    <row r="360" spans="1:12" ht="30" customHeight="1" x14ac:dyDescent="0.2">
      <c r="A360" s="176" t="str">
        <f t="shared" si="10"/>
        <v>18/07/yyyy1</v>
      </c>
      <c r="B360" s="169">
        <f t="shared" si="11"/>
        <v>1</v>
      </c>
      <c r="C360" s="66" t="s">
        <v>1695</v>
      </c>
      <c r="D360" s="67" t="s">
        <v>1704</v>
      </c>
      <c r="E360" s="66">
        <v>4</v>
      </c>
      <c r="F360" s="66" t="s">
        <v>1443</v>
      </c>
      <c r="G360" s="68">
        <v>45125</v>
      </c>
      <c r="H360" s="68" t="s">
        <v>76</v>
      </c>
      <c r="I360" s="68" t="s">
        <v>1732</v>
      </c>
      <c r="J360" s="66" t="s">
        <v>1326</v>
      </c>
      <c r="K360" s="66" t="s">
        <v>806</v>
      </c>
      <c r="L360" s="66" t="s">
        <v>695</v>
      </c>
    </row>
    <row r="361" spans="1:12" ht="30" customHeight="1" x14ac:dyDescent="0.2">
      <c r="A361" s="176" t="str">
        <f t="shared" si="10"/>
        <v>18/07/yyyy2</v>
      </c>
      <c r="B361" s="169">
        <f t="shared" si="11"/>
        <v>2</v>
      </c>
      <c r="C361" s="66" t="s">
        <v>1697</v>
      </c>
      <c r="D361" s="67" t="s">
        <v>1712</v>
      </c>
      <c r="E361" s="66">
        <v>4</v>
      </c>
      <c r="F361" s="66" t="s">
        <v>1663</v>
      </c>
      <c r="G361" s="68">
        <v>45125</v>
      </c>
      <c r="H361" s="68" t="s">
        <v>76</v>
      </c>
      <c r="I361" s="68" t="s">
        <v>31</v>
      </c>
      <c r="J361" s="66">
        <f>IFERROR(VLOOKUP(I361,Jueces!$A$1:$B$11,2,FALSE),"")</f>
        <v>2</v>
      </c>
      <c r="K361" s="66" t="s">
        <v>812</v>
      </c>
      <c r="L361" s="66" t="s">
        <v>1861</v>
      </c>
    </row>
    <row r="362" spans="1:12" ht="30" customHeight="1" x14ac:dyDescent="0.2">
      <c r="A362" s="176" t="str">
        <f t="shared" si="10"/>
        <v>18/07/yyyy3</v>
      </c>
      <c r="B362" s="169">
        <f t="shared" si="11"/>
        <v>3</v>
      </c>
      <c r="C362" s="66" t="s">
        <v>1700</v>
      </c>
      <c r="D362" s="67" t="s">
        <v>1877</v>
      </c>
      <c r="E362" s="66">
        <v>3</v>
      </c>
      <c r="F362" s="66" t="s">
        <v>1742</v>
      </c>
      <c r="G362" s="68">
        <v>45125</v>
      </c>
      <c r="H362" s="68" t="s">
        <v>76</v>
      </c>
      <c r="I362" s="68" t="s">
        <v>1625</v>
      </c>
      <c r="J362" s="66" t="s">
        <v>1491</v>
      </c>
      <c r="K362" s="66" t="s">
        <v>797</v>
      </c>
      <c r="L362" s="66" t="s">
        <v>693</v>
      </c>
    </row>
    <row r="363" spans="1:12" ht="30" customHeight="1" x14ac:dyDescent="0.2">
      <c r="A363" s="176" t="str">
        <f t="shared" si="10"/>
        <v>18/07/yyyy4</v>
      </c>
      <c r="B363" s="169">
        <f t="shared" si="11"/>
        <v>4</v>
      </c>
      <c r="C363" s="66" t="s">
        <v>1703</v>
      </c>
      <c r="D363" s="67" t="s">
        <v>1876</v>
      </c>
      <c r="E363" s="66">
        <v>3</v>
      </c>
      <c r="F363" s="66" t="s">
        <v>283</v>
      </c>
      <c r="G363" s="68">
        <v>45125</v>
      </c>
      <c r="H363" s="68" t="s">
        <v>1450</v>
      </c>
      <c r="I363" s="68" t="s">
        <v>1625</v>
      </c>
      <c r="J363" s="66" t="s">
        <v>1491</v>
      </c>
      <c r="K363" s="66" t="s">
        <v>802</v>
      </c>
      <c r="L363" s="66" t="s">
        <v>1711</v>
      </c>
    </row>
    <row r="364" spans="1:12" ht="30" customHeight="1" x14ac:dyDescent="0.2">
      <c r="A364" s="176" t="str">
        <f t="shared" si="10"/>
        <v>18/07/yyyy5</v>
      </c>
      <c r="B364" s="169">
        <f t="shared" si="11"/>
        <v>5</v>
      </c>
      <c r="C364" s="66" t="s">
        <v>1725</v>
      </c>
      <c r="D364" s="67" t="s">
        <v>1724</v>
      </c>
      <c r="E364" s="66">
        <v>4</v>
      </c>
      <c r="F364" s="66" t="s">
        <v>1661</v>
      </c>
      <c r="G364" s="68">
        <v>45125</v>
      </c>
      <c r="H364" s="68" t="s">
        <v>1764</v>
      </c>
      <c r="I364" s="68" t="s">
        <v>1732</v>
      </c>
      <c r="J364" s="66" t="s">
        <v>1346</v>
      </c>
      <c r="K364" s="66" t="s">
        <v>806</v>
      </c>
      <c r="L364" s="66" t="s">
        <v>695</v>
      </c>
    </row>
    <row r="365" spans="1:12" ht="30" customHeight="1" x14ac:dyDescent="0.2">
      <c r="A365" s="176" t="str">
        <f t="shared" si="10"/>
        <v>19/07/yyyy1</v>
      </c>
      <c r="B365" s="169">
        <f t="shared" si="11"/>
        <v>1</v>
      </c>
      <c r="C365" s="66" t="s">
        <v>1640</v>
      </c>
      <c r="D365" s="67" t="s">
        <v>1637</v>
      </c>
      <c r="E365" s="66">
        <v>6</v>
      </c>
      <c r="F365" s="66" t="s">
        <v>1441</v>
      </c>
      <c r="G365" s="68">
        <v>45126</v>
      </c>
      <c r="H365" s="68" t="s">
        <v>76</v>
      </c>
      <c r="I365" s="68" t="s">
        <v>1689</v>
      </c>
      <c r="J365" s="66" t="s">
        <v>1692</v>
      </c>
      <c r="K365" s="66" t="s">
        <v>791</v>
      </c>
      <c r="L365" s="66" t="s">
        <v>694</v>
      </c>
    </row>
    <row r="366" spans="1:12" ht="30" customHeight="1" x14ac:dyDescent="0.2">
      <c r="A366" s="176" t="str">
        <f t="shared" si="10"/>
        <v>19/07/yyyy2</v>
      </c>
      <c r="B366" s="169">
        <f t="shared" si="11"/>
        <v>2</v>
      </c>
      <c r="C366" s="66" t="s">
        <v>1731</v>
      </c>
      <c r="D366" s="67" t="s">
        <v>1713</v>
      </c>
      <c r="E366" s="66">
        <v>2</v>
      </c>
      <c r="F366" s="66" t="s">
        <v>283</v>
      </c>
      <c r="G366" s="68">
        <v>45126</v>
      </c>
      <c r="H366" s="68" t="s">
        <v>76</v>
      </c>
      <c r="I366" s="68" t="s">
        <v>1625</v>
      </c>
      <c r="J366" s="66" t="s">
        <v>1491</v>
      </c>
      <c r="K366" s="66" t="s">
        <v>326</v>
      </c>
      <c r="L366" s="66" t="s">
        <v>695</v>
      </c>
    </row>
    <row r="367" spans="1:12" ht="30" customHeight="1" x14ac:dyDescent="0.2">
      <c r="A367" s="176" t="str">
        <f t="shared" si="10"/>
        <v>19/07/yyyy3</v>
      </c>
      <c r="B367" s="169">
        <f t="shared" si="11"/>
        <v>3</v>
      </c>
      <c r="C367" s="66" t="s">
        <v>1733</v>
      </c>
      <c r="D367" s="67" t="s">
        <v>1730</v>
      </c>
      <c r="E367" s="66">
        <v>3</v>
      </c>
      <c r="F367" s="66" t="s">
        <v>1661</v>
      </c>
      <c r="G367" s="68">
        <v>45126</v>
      </c>
      <c r="H367" s="68" t="s">
        <v>76</v>
      </c>
      <c r="I367" s="68" t="s">
        <v>1732</v>
      </c>
      <c r="J367" s="66" t="s">
        <v>1346</v>
      </c>
      <c r="K367" s="66" t="s">
        <v>798</v>
      </c>
      <c r="L367" s="66" t="s">
        <v>693</v>
      </c>
    </row>
    <row r="368" spans="1:12" ht="30" customHeight="1" x14ac:dyDescent="0.2">
      <c r="A368" s="176" t="str">
        <f t="shared" si="10"/>
        <v>19/07/yyyy4</v>
      </c>
      <c r="B368" s="169">
        <f t="shared" si="11"/>
        <v>4</v>
      </c>
      <c r="C368" s="66" t="s">
        <v>1685</v>
      </c>
      <c r="D368" s="67" t="s">
        <v>1684</v>
      </c>
      <c r="E368" s="66">
        <v>4</v>
      </c>
      <c r="F368" s="66" t="s">
        <v>1742</v>
      </c>
      <c r="G368" s="68">
        <v>45126</v>
      </c>
      <c r="H368" s="68" t="s">
        <v>1450</v>
      </c>
      <c r="I368" s="68" t="s">
        <v>31</v>
      </c>
      <c r="J368" s="66">
        <f>IFERROR(VLOOKUP(I368,Jueces!$A$1:$B$11,2,FALSE),"")</f>
        <v>2</v>
      </c>
      <c r="K368" s="66" t="s">
        <v>804</v>
      </c>
      <c r="L368" s="66" t="s">
        <v>695</v>
      </c>
    </row>
    <row r="369" spans="1:12" ht="30" customHeight="1" x14ac:dyDescent="0.2">
      <c r="A369" s="176" t="str">
        <f t="shared" si="10"/>
        <v>19/07/yyyy5</v>
      </c>
      <c r="B369" s="169">
        <f t="shared" si="11"/>
        <v>5</v>
      </c>
      <c r="C369" s="66" t="s">
        <v>1681</v>
      </c>
      <c r="D369" s="67" t="s">
        <v>1679</v>
      </c>
      <c r="E369" s="66">
        <v>3</v>
      </c>
      <c r="F369" s="66" t="s">
        <v>1663</v>
      </c>
      <c r="G369" s="68">
        <v>45126</v>
      </c>
      <c r="H369" s="68" t="s">
        <v>547</v>
      </c>
      <c r="I369" s="68" t="s">
        <v>1732</v>
      </c>
      <c r="J369" s="66" t="s">
        <v>1346</v>
      </c>
      <c r="K369" s="66" t="s">
        <v>1070</v>
      </c>
      <c r="L369" s="66" t="s">
        <v>694</v>
      </c>
    </row>
    <row r="370" spans="1:12" ht="30" customHeight="1" x14ac:dyDescent="0.2">
      <c r="A370" s="176" t="str">
        <f t="shared" si="10"/>
        <v>19/07/yyyy6</v>
      </c>
      <c r="B370" s="169">
        <f t="shared" si="11"/>
        <v>6</v>
      </c>
      <c r="C370" s="66" t="s">
        <v>1722</v>
      </c>
      <c r="D370" s="67" t="s">
        <v>1723</v>
      </c>
      <c r="E370" s="66">
        <v>3</v>
      </c>
      <c r="F370" s="66" t="s">
        <v>1443</v>
      </c>
      <c r="G370" s="68">
        <v>45126</v>
      </c>
      <c r="H370" s="68" t="s">
        <v>547</v>
      </c>
      <c r="I370" s="68" t="s">
        <v>1625</v>
      </c>
      <c r="J370" s="66" t="s">
        <v>1491</v>
      </c>
      <c r="K370" s="66" t="s">
        <v>801</v>
      </c>
      <c r="L370" s="66" t="s">
        <v>693</v>
      </c>
    </row>
    <row r="371" spans="1:12" ht="30" customHeight="1" x14ac:dyDescent="0.2">
      <c r="A371" s="176" t="str">
        <f t="shared" si="10"/>
        <v>20/07/yyyy1</v>
      </c>
      <c r="B371" s="169">
        <f t="shared" si="11"/>
        <v>1</v>
      </c>
      <c r="C371" s="66" t="s">
        <v>604</v>
      </c>
      <c r="D371" s="67" t="s">
        <v>1951</v>
      </c>
      <c r="E371" s="66">
        <v>4</v>
      </c>
      <c r="F371" s="66" t="s">
        <v>1661</v>
      </c>
      <c r="G371" s="68">
        <v>45127</v>
      </c>
      <c r="H371" s="68" t="s">
        <v>76</v>
      </c>
      <c r="I371" s="68" t="s">
        <v>1689</v>
      </c>
      <c r="J371" s="66" t="s">
        <v>1692</v>
      </c>
      <c r="K371" s="66" t="s">
        <v>813</v>
      </c>
      <c r="L371" s="66" t="s">
        <v>783</v>
      </c>
    </row>
    <row r="372" spans="1:12" ht="30" customHeight="1" x14ac:dyDescent="0.2">
      <c r="A372" s="176" t="str">
        <f t="shared" si="10"/>
        <v>20/07/yyyy2</v>
      </c>
      <c r="B372" s="169">
        <f t="shared" si="11"/>
        <v>2</v>
      </c>
      <c r="C372" s="66" t="s">
        <v>1682</v>
      </c>
      <c r="D372" s="67" t="s">
        <v>1950</v>
      </c>
      <c r="E372" s="66">
        <v>3</v>
      </c>
      <c r="F372" s="66" t="s">
        <v>1443</v>
      </c>
      <c r="G372" s="68">
        <v>45127</v>
      </c>
      <c r="H372" s="68" t="s">
        <v>547</v>
      </c>
      <c r="I372" s="68" t="s">
        <v>31</v>
      </c>
      <c r="J372" s="66">
        <f>IFERROR(VLOOKUP(I372,Jueces!$A$1:$B$11,2,FALSE),"")</f>
        <v>2</v>
      </c>
      <c r="K372" s="66" t="s">
        <v>789</v>
      </c>
      <c r="L372" s="66" t="s">
        <v>694</v>
      </c>
    </row>
    <row r="373" spans="1:12" ht="30" customHeight="1" x14ac:dyDescent="0.2">
      <c r="A373" s="176" t="str">
        <f t="shared" si="10"/>
        <v>20/07/yyyy3</v>
      </c>
      <c r="B373" s="169">
        <f t="shared" si="11"/>
        <v>3</v>
      </c>
      <c r="C373" s="66" t="s">
        <v>1687</v>
      </c>
      <c r="D373" s="67" t="s">
        <v>1686</v>
      </c>
      <c r="E373" s="66">
        <v>4</v>
      </c>
      <c r="F373" s="66" t="s">
        <v>1663</v>
      </c>
      <c r="G373" s="68">
        <v>45127</v>
      </c>
      <c r="H373" s="68" t="s">
        <v>547</v>
      </c>
      <c r="I373" s="68" t="s">
        <v>1732</v>
      </c>
      <c r="J373" s="66" t="s">
        <v>1346</v>
      </c>
      <c r="K373" s="66" t="s">
        <v>813</v>
      </c>
      <c r="L373" s="66" t="s">
        <v>695</v>
      </c>
    </row>
    <row r="374" spans="1:12" ht="30" customHeight="1" x14ac:dyDescent="0.2">
      <c r="A374" s="176" t="str">
        <f t="shared" si="10"/>
        <v>20/07/yyyy4</v>
      </c>
      <c r="B374" s="169">
        <f t="shared" si="11"/>
        <v>4</v>
      </c>
      <c r="C374" s="66" t="s">
        <v>1726</v>
      </c>
      <c r="D374" s="67" t="s">
        <v>1910</v>
      </c>
      <c r="E374" s="66">
        <v>4</v>
      </c>
      <c r="F374" s="66" t="s">
        <v>1441</v>
      </c>
      <c r="G374" s="68">
        <v>45127</v>
      </c>
      <c r="H374" s="68" t="s">
        <v>1562</v>
      </c>
      <c r="I374" s="68" t="s">
        <v>1625</v>
      </c>
      <c r="J374" s="66" t="s">
        <v>1491</v>
      </c>
      <c r="K374" s="66" t="s">
        <v>807</v>
      </c>
      <c r="L374" s="66" t="s">
        <v>695</v>
      </c>
    </row>
    <row r="375" spans="1:12" ht="30" customHeight="1" x14ac:dyDescent="0.2">
      <c r="A375" s="176" t="str">
        <f t="shared" si="10"/>
        <v>21/07/yyyy1</v>
      </c>
      <c r="B375" s="169">
        <f t="shared" si="11"/>
        <v>1</v>
      </c>
      <c r="C375" s="66" t="s">
        <v>1736</v>
      </c>
      <c r="D375" s="67" t="s">
        <v>1949</v>
      </c>
      <c r="E375" s="66">
        <v>4</v>
      </c>
      <c r="F375" s="66" t="s">
        <v>1443</v>
      </c>
      <c r="G375" s="68">
        <v>45128</v>
      </c>
      <c r="H375" s="68" t="s">
        <v>76</v>
      </c>
      <c r="I375" s="68" t="s">
        <v>1732</v>
      </c>
      <c r="J375" s="66" t="s">
        <v>1346</v>
      </c>
      <c r="K375" s="66" t="s">
        <v>797</v>
      </c>
      <c r="L375" s="66" t="s">
        <v>1179</v>
      </c>
    </row>
    <row r="376" spans="1:12" ht="30" customHeight="1" x14ac:dyDescent="0.2">
      <c r="A376" s="176" t="str">
        <f t="shared" si="10"/>
        <v>21/07/yyyy2</v>
      </c>
      <c r="B376" s="169">
        <f t="shared" si="11"/>
        <v>2</v>
      </c>
      <c r="C376" s="66" t="s">
        <v>1735</v>
      </c>
      <c r="D376" s="67" t="s">
        <v>1948</v>
      </c>
      <c r="E376" s="66">
        <v>3</v>
      </c>
      <c r="F376" s="66" t="s">
        <v>283</v>
      </c>
      <c r="G376" s="68">
        <v>45128</v>
      </c>
      <c r="H376" s="68" t="s">
        <v>1450</v>
      </c>
      <c r="I376" s="68" t="s">
        <v>1689</v>
      </c>
      <c r="J376" s="66" t="s">
        <v>1692</v>
      </c>
      <c r="K376" s="66" t="s">
        <v>800</v>
      </c>
      <c r="L376" s="66" t="s">
        <v>694</v>
      </c>
    </row>
    <row r="377" spans="1:12" ht="30" customHeight="1" x14ac:dyDescent="0.2">
      <c r="A377" s="176" t="str">
        <f t="shared" si="10"/>
        <v>21/07/yyyy3</v>
      </c>
      <c r="B377" s="169">
        <f t="shared" si="11"/>
        <v>3</v>
      </c>
      <c r="C377" s="66" t="s">
        <v>1762</v>
      </c>
      <c r="D377" s="67" t="s">
        <v>1947</v>
      </c>
      <c r="E377" s="66">
        <v>4</v>
      </c>
      <c r="F377" s="66" t="s">
        <v>1663</v>
      </c>
      <c r="G377" s="68">
        <v>45128</v>
      </c>
      <c r="H377" s="68" t="s">
        <v>1450</v>
      </c>
      <c r="I377" s="68" t="s">
        <v>1732</v>
      </c>
      <c r="J377" s="66" t="s">
        <v>1346</v>
      </c>
      <c r="K377" s="66" t="s">
        <v>1070</v>
      </c>
      <c r="L377" s="66" t="s">
        <v>1763</v>
      </c>
    </row>
    <row r="378" spans="1:12" ht="30" customHeight="1" x14ac:dyDescent="0.2">
      <c r="A378" s="176" t="str">
        <f t="shared" si="10"/>
        <v>21/07/yyyy4</v>
      </c>
      <c r="B378" s="169">
        <f t="shared" si="11"/>
        <v>4</v>
      </c>
      <c r="C378" s="66" t="s">
        <v>1636</v>
      </c>
      <c r="D378" s="67" t="s">
        <v>1946</v>
      </c>
      <c r="E378" s="66">
        <v>4</v>
      </c>
      <c r="F378" s="66" t="s">
        <v>1742</v>
      </c>
      <c r="G378" s="68">
        <v>45128</v>
      </c>
      <c r="H378" s="68" t="s">
        <v>547</v>
      </c>
      <c r="I378" s="68" t="s">
        <v>31</v>
      </c>
      <c r="J378" s="66">
        <f>IFERROR(VLOOKUP(I378,Jueces!$A$1:$B$11,2,FALSE),"")</f>
        <v>2</v>
      </c>
      <c r="K378" s="66" t="s">
        <v>812</v>
      </c>
      <c r="L378" s="66" t="s">
        <v>695</v>
      </c>
    </row>
    <row r="379" spans="1:12" ht="30" customHeight="1" x14ac:dyDescent="0.2">
      <c r="A379" s="176" t="str">
        <f t="shared" si="10"/>
        <v>21/07/yyyy5</v>
      </c>
      <c r="B379" s="169">
        <f t="shared" si="11"/>
        <v>5</v>
      </c>
      <c r="C379" s="66" t="s">
        <v>1734</v>
      </c>
      <c r="D379" s="67" t="s">
        <v>1945</v>
      </c>
      <c r="E379" s="66">
        <v>4</v>
      </c>
      <c r="F379" s="66" t="s">
        <v>283</v>
      </c>
      <c r="G379" s="68">
        <v>45128</v>
      </c>
      <c r="H379" s="68" t="s">
        <v>547</v>
      </c>
      <c r="I379" s="68" t="s">
        <v>1732</v>
      </c>
      <c r="J379" s="66" t="s">
        <v>1346</v>
      </c>
      <c r="K379" s="66" t="s">
        <v>326</v>
      </c>
      <c r="L379" s="66" t="s">
        <v>695</v>
      </c>
    </row>
    <row r="380" spans="1:12" ht="30" customHeight="1" x14ac:dyDescent="0.2">
      <c r="A380" s="176" t="str">
        <f t="shared" si="10"/>
        <v>21/07/yyyy6</v>
      </c>
      <c r="B380" s="169">
        <f t="shared" si="11"/>
        <v>6</v>
      </c>
      <c r="C380" s="66" t="s">
        <v>1752</v>
      </c>
      <c r="D380" s="67" t="s">
        <v>1944</v>
      </c>
      <c r="E380" s="66">
        <v>4</v>
      </c>
      <c r="F380" s="66" t="s">
        <v>1661</v>
      </c>
      <c r="G380" s="68">
        <v>45128</v>
      </c>
      <c r="H380" s="68" t="s">
        <v>1562</v>
      </c>
      <c r="I380" s="68" t="s">
        <v>1625</v>
      </c>
      <c r="J380" s="66" t="s">
        <v>1491</v>
      </c>
      <c r="K380" s="66" t="s">
        <v>802</v>
      </c>
      <c r="L380" s="66"/>
    </row>
    <row r="381" spans="1:12" ht="30" customHeight="1" x14ac:dyDescent="0.2">
      <c r="A381" s="176" t="str">
        <f t="shared" si="10"/>
        <v>21/07/yyyy7</v>
      </c>
      <c r="B381" s="169">
        <f t="shared" si="11"/>
        <v>7</v>
      </c>
      <c r="C381" s="66" t="s">
        <v>1596</v>
      </c>
      <c r="D381" s="67" t="s">
        <v>1943</v>
      </c>
      <c r="E381" s="66">
        <v>4</v>
      </c>
      <c r="F381" s="66" t="s">
        <v>1441</v>
      </c>
      <c r="G381" s="68">
        <v>45128</v>
      </c>
      <c r="H381" s="68" t="s">
        <v>228</v>
      </c>
      <c r="I381" s="68" t="s">
        <v>1625</v>
      </c>
      <c r="J381" s="66" t="s">
        <v>1491</v>
      </c>
      <c r="K381" s="66" t="s">
        <v>804</v>
      </c>
      <c r="L381" s="66" t="s">
        <v>695</v>
      </c>
    </row>
    <row r="382" spans="1:12" ht="30" customHeight="1" x14ac:dyDescent="0.2">
      <c r="A382" s="176" t="str">
        <f t="shared" si="10"/>
        <v>25/07/yyyy1</v>
      </c>
      <c r="B382" s="169">
        <f t="shared" si="11"/>
        <v>1</v>
      </c>
      <c r="C382" s="66" t="s">
        <v>1770</v>
      </c>
      <c r="D382" s="67" t="s">
        <v>1771</v>
      </c>
      <c r="E382" s="66">
        <v>3</v>
      </c>
      <c r="F382" s="66" t="s">
        <v>32</v>
      </c>
      <c r="G382" s="68">
        <v>45132</v>
      </c>
      <c r="H382" s="68" t="s">
        <v>73</v>
      </c>
      <c r="I382" s="68" t="s">
        <v>35</v>
      </c>
      <c r="J382" s="66">
        <f>IFERROR(VLOOKUP(I382,Jueces!$A$1:$B$11,2,FALSE),"")</f>
        <v>3</v>
      </c>
      <c r="K382" s="66" t="s">
        <v>813</v>
      </c>
      <c r="L382" s="66" t="s">
        <v>694</v>
      </c>
    </row>
    <row r="383" spans="1:12" ht="30" customHeight="1" x14ac:dyDescent="0.2">
      <c r="A383" s="176" t="str">
        <f t="shared" si="10"/>
        <v>25/07/yyyy2</v>
      </c>
      <c r="B383" s="169">
        <f t="shared" si="11"/>
        <v>2</v>
      </c>
      <c r="C383" s="66" t="s">
        <v>1808</v>
      </c>
      <c r="D383" s="67" t="s">
        <v>1821</v>
      </c>
      <c r="E383" s="66">
        <v>2</v>
      </c>
      <c r="F383" s="66" t="s">
        <v>29</v>
      </c>
      <c r="G383" s="68">
        <v>45132</v>
      </c>
      <c r="H383" s="68" t="s">
        <v>73</v>
      </c>
      <c r="I383" s="68" t="s">
        <v>33</v>
      </c>
      <c r="J383" s="66">
        <f>IFERROR(VLOOKUP(I383,Jueces!$A$1:$B$11,2,FALSE),"")</f>
        <v>4</v>
      </c>
      <c r="K383" s="66" t="s">
        <v>326</v>
      </c>
      <c r="L383" s="66" t="s">
        <v>695</v>
      </c>
    </row>
    <row r="384" spans="1:12" ht="30" customHeight="1" x14ac:dyDescent="0.2">
      <c r="A384" s="176" t="str">
        <f t="shared" si="10"/>
        <v>25/07/yyyy3</v>
      </c>
      <c r="B384" s="169">
        <f t="shared" si="11"/>
        <v>3</v>
      </c>
      <c r="C384" s="66" t="s">
        <v>1865</v>
      </c>
      <c r="D384" s="67" t="s">
        <v>1864</v>
      </c>
      <c r="E384" s="66">
        <v>5</v>
      </c>
      <c r="F384" s="66" t="s">
        <v>43</v>
      </c>
      <c r="G384" s="68">
        <v>45132</v>
      </c>
      <c r="H384" s="68" t="s">
        <v>73</v>
      </c>
      <c r="I384" s="68" t="s">
        <v>1222</v>
      </c>
      <c r="J384" s="66" t="s">
        <v>1346</v>
      </c>
      <c r="K384" s="66" t="s">
        <v>812</v>
      </c>
      <c r="L384" s="66" t="s">
        <v>1875</v>
      </c>
    </row>
    <row r="385" spans="1:12" ht="30" customHeight="1" x14ac:dyDescent="0.2">
      <c r="A385" s="176" t="str">
        <f t="shared" si="10"/>
        <v>25/07/yyyy4</v>
      </c>
      <c r="B385" s="169">
        <f t="shared" si="11"/>
        <v>4</v>
      </c>
      <c r="C385" s="66" t="s">
        <v>1813</v>
      </c>
      <c r="D385" s="67" t="s">
        <v>1820</v>
      </c>
      <c r="E385" s="66">
        <v>4</v>
      </c>
      <c r="F385" s="66" t="s">
        <v>1443</v>
      </c>
      <c r="G385" s="68">
        <v>45132</v>
      </c>
      <c r="H385" s="68" t="s">
        <v>1086</v>
      </c>
      <c r="I385" s="68" t="s">
        <v>1225</v>
      </c>
      <c r="J385" s="66">
        <f>IFERROR(VLOOKUP(I385,Jueces!$A$1:$B$11,2,FALSE),"")</f>
        <v>6</v>
      </c>
      <c r="K385" s="66" t="s">
        <v>813</v>
      </c>
      <c r="L385" s="66" t="s">
        <v>695</v>
      </c>
    </row>
    <row r="386" spans="1:12" ht="30" customHeight="1" x14ac:dyDescent="0.2">
      <c r="A386" s="176" t="str">
        <f t="shared" si="10"/>
        <v>25/07/yyyy5</v>
      </c>
      <c r="B386" s="169">
        <f t="shared" si="11"/>
        <v>5</v>
      </c>
      <c r="C386" s="66" t="s">
        <v>1817</v>
      </c>
      <c r="D386" s="67" t="s">
        <v>1874</v>
      </c>
      <c r="E386" s="66">
        <v>4</v>
      </c>
      <c r="F386" s="66" t="s">
        <v>32</v>
      </c>
      <c r="G386" s="68">
        <v>45132</v>
      </c>
      <c r="H386" s="68" t="s">
        <v>1086</v>
      </c>
      <c r="I386" s="68" t="s">
        <v>33</v>
      </c>
      <c r="J386" s="66">
        <f>IFERROR(VLOOKUP(I386,Jueces!$A$1:$B$11,2,FALSE),"")</f>
        <v>4</v>
      </c>
      <c r="K386" s="66" t="s">
        <v>1070</v>
      </c>
      <c r="L386" s="66" t="s">
        <v>1853</v>
      </c>
    </row>
    <row r="387" spans="1:12" ht="30" customHeight="1" x14ac:dyDescent="0.2">
      <c r="A387" s="176" t="str">
        <f t="shared" ref="A387:A450" si="12">CONCATENATE(TEXT($G387,"dd/mm/yyyy"),$B387)</f>
        <v>25/07/yyyy6</v>
      </c>
      <c r="B387" s="169">
        <f t="shared" si="11"/>
        <v>6</v>
      </c>
      <c r="C387" s="66" t="s">
        <v>1811</v>
      </c>
      <c r="D387" s="67" t="s">
        <v>1810</v>
      </c>
      <c r="E387" s="66">
        <v>4</v>
      </c>
      <c r="F387" s="66" t="s">
        <v>568</v>
      </c>
      <c r="G387" s="68">
        <v>45132</v>
      </c>
      <c r="H387" s="68" t="s">
        <v>1086</v>
      </c>
      <c r="I387" s="68" t="s">
        <v>1221</v>
      </c>
      <c r="J387" s="66">
        <f>IFERROR(VLOOKUP(I387,Jueces!$A$1:$B$11,2,FALSE),"")</f>
        <v>7</v>
      </c>
      <c r="K387" s="66" t="s">
        <v>791</v>
      </c>
      <c r="L387" s="66" t="s">
        <v>1838</v>
      </c>
    </row>
    <row r="388" spans="1:12" ht="30" customHeight="1" x14ac:dyDescent="0.2">
      <c r="A388" s="176" t="str">
        <f t="shared" si="12"/>
        <v>26/07/yyyy1</v>
      </c>
      <c r="B388" s="169">
        <f t="shared" ref="B388:B451" si="13">IF($G388=$G387,$B387+1,1)</f>
        <v>1</v>
      </c>
      <c r="C388" s="66" t="s">
        <v>1768</v>
      </c>
      <c r="D388" s="67" t="s">
        <v>1769</v>
      </c>
      <c r="E388" s="66">
        <v>4</v>
      </c>
      <c r="F388" s="66" t="s">
        <v>43</v>
      </c>
      <c r="G388" s="68">
        <v>45133</v>
      </c>
      <c r="H388" s="68" t="s">
        <v>73</v>
      </c>
      <c r="I388" s="68" t="s">
        <v>31</v>
      </c>
      <c r="J388" s="66">
        <f>IFERROR(VLOOKUP(I388,Jueces!$A$1:$B$11,2,FALSE),"")</f>
        <v>2</v>
      </c>
      <c r="K388" s="66" t="s">
        <v>1972</v>
      </c>
      <c r="L388" s="66" t="s">
        <v>1838</v>
      </c>
    </row>
    <row r="389" spans="1:12" ht="30" customHeight="1" x14ac:dyDescent="0.2">
      <c r="A389" s="176" t="str">
        <f t="shared" si="12"/>
        <v>26/07/yyyy2</v>
      </c>
      <c r="B389" s="169">
        <f t="shared" si="13"/>
        <v>2</v>
      </c>
      <c r="C389" s="66" t="s">
        <v>1868</v>
      </c>
      <c r="D389" s="67" t="s">
        <v>1863</v>
      </c>
      <c r="E389" s="66">
        <v>2</v>
      </c>
      <c r="F389" s="66" t="s">
        <v>1442</v>
      </c>
      <c r="G389" s="68">
        <v>45133</v>
      </c>
      <c r="H389" s="68" t="s">
        <v>73</v>
      </c>
      <c r="I389" s="68" t="s">
        <v>1224</v>
      </c>
      <c r="J389" s="66" t="s">
        <v>1346</v>
      </c>
      <c r="K389" s="66" t="s">
        <v>813</v>
      </c>
      <c r="L389" s="66" t="s">
        <v>695</v>
      </c>
    </row>
    <row r="390" spans="1:12" ht="30" customHeight="1" x14ac:dyDescent="0.2">
      <c r="A390" s="176" t="str">
        <f t="shared" si="12"/>
        <v>26/07/yyyy3</v>
      </c>
      <c r="B390" s="169">
        <f t="shared" si="13"/>
        <v>3</v>
      </c>
      <c r="C390" s="66" t="s">
        <v>1880</v>
      </c>
      <c r="D390" s="67" t="s">
        <v>1884</v>
      </c>
      <c r="E390" s="66">
        <v>5</v>
      </c>
      <c r="F390" s="66" t="s">
        <v>568</v>
      </c>
      <c r="G390" s="68">
        <v>45133</v>
      </c>
      <c r="H390" s="68" t="s">
        <v>73</v>
      </c>
      <c r="I390" s="68" t="s">
        <v>78</v>
      </c>
      <c r="J390" s="66">
        <f>IFERROR(VLOOKUP(I390,Jueces!$A$1:$B$11,2,FALSE),"")</f>
        <v>8</v>
      </c>
      <c r="K390" s="66" t="s">
        <v>800</v>
      </c>
      <c r="L390" s="66" t="s">
        <v>1875</v>
      </c>
    </row>
    <row r="391" spans="1:12" ht="30" customHeight="1" x14ac:dyDescent="0.2">
      <c r="A391" s="176" t="str">
        <f t="shared" si="12"/>
        <v>26/07/yyyy4</v>
      </c>
      <c r="B391" s="169">
        <f t="shared" si="13"/>
        <v>4</v>
      </c>
      <c r="C391" s="66" t="s">
        <v>1873</v>
      </c>
      <c r="D391" s="67" t="s">
        <v>1977</v>
      </c>
      <c r="E391" s="66">
        <v>5</v>
      </c>
      <c r="F391" s="66" t="s">
        <v>1443</v>
      </c>
      <c r="G391" s="68">
        <v>45133</v>
      </c>
      <c r="H391" s="68" t="s">
        <v>1086</v>
      </c>
      <c r="I391" s="68" t="s">
        <v>31</v>
      </c>
      <c r="J391" s="66" t="s">
        <v>1925</v>
      </c>
      <c r="K391" s="66" t="s">
        <v>789</v>
      </c>
      <c r="L391" s="66" t="s">
        <v>1875</v>
      </c>
    </row>
    <row r="392" spans="1:12" ht="30" customHeight="1" x14ac:dyDescent="0.2">
      <c r="A392" s="176" t="str">
        <f t="shared" si="12"/>
        <v>26/07/yyyy5</v>
      </c>
      <c r="B392" s="169">
        <f t="shared" si="13"/>
        <v>5</v>
      </c>
      <c r="C392" s="66" t="s">
        <v>1816</v>
      </c>
      <c r="D392" s="67" t="s">
        <v>1809</v>
      </c>
      <c r="E392" s="66">
        <v>4</v>
      </c>
      <c r="F392" s="66" t="s">
        <v>283</v>
      </c>
      <c r="G392" s="68">
        <v>45133</v>
      </c>
      <c r="H392" s="68" t="s">
        <v>1210</v>
      </c>
      <c r="I392" s="68" t="s">
        <v>33</v>
      </c>
      <c r="J392" s="66">
        <f>IFERROR(VLOOKUP(I392,Jueces!$A$1:$B$11,2,FALSE),"")</f>
        <v>4</v>
      </c>
      <c r="K392" s="66" t="s">
        <v>812</v>
      </c>
      <c r="L392" s="66" t="s">
        <v>1969</v>
      </c>
    </row>
    <row r="393" spans="1:12" ht="30" customHeight="1" x14ac:dyDescent="0.2">
      <c r="A393" s="176" t="str">
        <f t="shared" si="12"/>
        <v>26/07/yyyy6</v>
      </c>
      <c r="B393" s="169">
        <f t="shared" si="13"/>
        <v>6</v>
      </c>
      <c r="C393" s="66" t="s">
        <v>1887</v>
      </c>
      <c r="D393" s="67" t="s">
        <v>1888</v>
      </c>
      <c r="E393" s="66">
        <v>4</v>
      </c>
      <c r="F393" s="66" t="s">
        <v>1441</v>
      </c>
      <c r="G393" s="68">
        <v>45133</v>
      </c>
      <c r="H393" s="68" t="s">
        <v>1210</v>
      </c>
      <c r="I393" s="68" t="s">
        <v>1221</v>
      </c>
      <c r="J393" s="66">
        <f>IFERROR(VLOOKUP(I393,Jueces!$A$1:$B$11,2,FALSE),"")</f>
        <v>7</v>
      </c>
      <c r="K393" s="66" t="s">
        <v>801</v>
      </c>
      <c r="L393" s="66" t="s">
        <v>695</v>
      </c>
    </row>
    <row r="394" spans="1:12" ht="30" customHeight="1" x14ac:dyDescent="0.2">
      <c r="A394" s="176" t="str">
        <f t="shared" si="12"/>
        <v>27/07/yyyy1</v>
      </c>
      <c r="B394" s="169">
        <f t="shared" si="13"/>
        <v>1</v>
      </c>
      <c r="C394" s="66" t="s">
        <v>1852</v>
      </c>
      <c r="D394" s="67" t="s">
        <v>2011</v>
      </c>
      <c r="E394" s="66">
        <v>3</v>
      </c>
      <c r="F394" s="66" t="s">
        <v>1443</v>
      </c>
      <c r="G394" s="68">
        <v>45134</v>
      </c>
      <c r="H394" s="68" t="s">
        <v>73</v>
      </c>
      <c r="I394" s="68" t="s">
        <v>78</v>
      </c>
      <c r="J394" s="66">
        <f>IFERROR(VLOOKUP(I394,Jueces!$A$1:$B$11,2,FALSE),"")</f>
        <v>8</v>
      </c>
      <c r="K394" s="66" t="s">
        <v>791</v>
      </c>
      <c r="L394" s="66" t="s">
        <v>694</v>
      </c>
    </row>
    <row r="395" spans="1:12" ht="30" customHeight="1" x14ac:dyDescent="0.2">
      <c r="A395" s="176" t="str">
        <f t="shared" si="12"/>
        <v>27/07/yyyy2</v>
      </c>
      <c r="B395" s="169">
        <f t="shared" si="13"/>
        <v>2</v>
      </c>
      <c r="C395" s="66" t="s">
        <v>1882</v>
      </c>
      <c r="D395" s="67" t="s">
        <v>2015</v>
      </c>
      <c r="E395" s="66">
        <v>4</v>
      </c>
      <c r="F395" s="66" t="s">
        <v>1441</v>
      </c>
      <c r="G395" s="68">
        <v>45134</v>
      </c>
      <c r="H395" s="68" t="s">
        <v>73</v>
      </c>
      <c r="I395" s="68" t="s">
        <v>31</v>
      </c>
      <c r="J395" s="66">
        <f>IFERROR(VLOOKUP(I395,Jueces!$A$1:$B$11,2,FALSE),"")</f>
        <v>2</v>
      </c>
      <c r="K395" s="66" t="s">
        <v>789</v>
      </c>
      <c r="L395" s="66" t="s">
        <v>695</v>
      </c>
    </row>
    <row r="396" spans="1:12" ht="30" customHeight="1" x14ac:dyDescent="0.2">
      <c r="A396" s="176" t="str">
        <f t="shared" si="12"/>
        <v>27/07/yyyy3</v>
      </c>
      <c r="B396" s="169">
        <f t="shared" si="13"/>
        <v>3</v>
      </c>
      <c r="C396" s="66" t="s">
        <v>1883</v>
      </c>
      <c r="D396" s="67" t="s">
        <v>2012</v>
      </c>
      <c r="E396" s="66">
        <v>5</v>
      </c>
      <c r="F396" s="66" t="s">
        <v>1442</v>
      </c>
      <c r="G396" s="68">
        <v>45134</v>
      </c>
      <c r="H396" s="68" t="s">
        <v>73</v>
      </c>
      <c r="I396" s="68" t="s">
        <v>35</v>
      </c>
      <c r="J396" s="66">
        <f>IFERROR(VLOOKUP(I396,Jueces!$A$1:$B$11,2,FALSE),"")</f>
        <v>3</v>
      </c>
      <c r="K396" s="66" t="s">
        <v>812</v>
      </c>
      <c r="L396" s="66" t="s">
        <v>1875</v>
      </c>
    </row>
    <row r="397" spans="1:12" ht="30" customHeight="1" x14ac:dyDescent="0.2">
      <c r="A397" s="176" t="str">
        <f t="shared" si="12"/>
        <v>27/07/yyyy4</v>
      </c>
      <c r="B397" s="169">
        <f t="shared" si="13"/>
        <v>4</v>
      </c>
      <c r="C397" s="66" t="s">
        <v>1885</v>
      </c>
      <c r="D397" s="67" t="s">
        <v>2013</v>
      </c>
      <c r="E397" s="66">
        <v>7</v>
      </c>
      <c r="F397" s="66" t="s">
        <v>32</v>
      </c>
      <c r="G397" s="68">
        <v>45134</v>
      </c>
      <c r="H397" s="68" t="s">
        <v>73</v>
      </c>
      <c r="I397" s="68" t="s">
        <v>33</v>
      </c>
      <c r="J397" s="66">
        <f>IFERROR(VLOOKUP(I397,Jueces!$A$1:$B$11,2,FALSE),"")</f>
        <v>4</v>
      </c>
      <c r="K397" s="66" t="s">
        <v>813</v>
      </c>
      <c r="L397" s="66" t="s">
        <v>1886</v>
      </c>
    </row>
    <row r="398" spans="1:12" ht="30" customHeight="1" x14ac:dyDescent="0.2">
      <c r="A398" s="176" t="str">
        <f t="shared" si="12"/>
        <v>27/07/yyyy5</v>
      </c>
      <c r="B398" s="169">
        <f t="shared" si="13"/>
        <v>5</v>
      </c>
      <c r="C398" s="66" t="s">
        <v>1929</v>
      </c>
      <c r="D398" s="67" t="s">
        <v>2014</v>
      </c>
      <c r="E398" s="66">
        <v>4</v>
      </c>
      <c r="F398" s="66" t="s">
        <v>29</v>
      </c>
      <c r="G398" s="68">
        <v>45134</v>
      </c>
      <c r="H398" s="68" t="s">
        <v>1086</v>
      </c>
      <c r="I398" s="68" t="s">
        <v>1223</v>
      </c>
      <c r="J398" s="66" t="s">
        <v>1925</v>
      </c>
      <c r="K398" s="66" t="s">
        <v>2001</v>
      </c>
      <c r="L398" s="66" t="s">
        <v>2000</v>
      </c>
    </row>
    <row r="399" spans="1:12" ht="30" customHeight="1" x14ac:dyDescent="0.2">
      <c r="A399" s="176" t="str">
        <f t="shared" si="12"/>
        <v>28/07/yyyy1</v>
      </c>
      <c r="B399" s="169">
        <f t="shared" si="13"/>
        <v>1</v>
      </c>
      <c r="C399" s="66" t="s">
        <v>1767</v>
      </c>
      <c r="D399" s="67" t="s">
        <v>2016</v>
      </c>
      <c r="E399" s="66">
        <v>3</v>
      </c>
      <c r="F399" s="66" t="s">
        <v>1441</v>
      </c>
      <c r="G399" s="68">
        <v>45135</v>
      </c>
      <c r="H399" s="68" t="s">
        <v>73</v>
      </c>
      <c r="I399" s="68" t="s">
        <v>1224</v>
      </c>
      <c r="J399" s="66" t="s">
        <v>1346</v>
      </c>
      <c r="K399" s="66" t="s">
        <v>803</v>
      </c>
      <c r="L399" s="66" t="s">
        <v>2031</v>
      </c>
    </row>
    <row r="400" spans="1:12" ht="30" customHeight="1" x14ac:dyDescent="0.2">
      <c r="A400" s="176" t="str">
        <f t="shared" si="12"/>
        <v>28/07/yyyy2</v>
      </c>
      <c r="B400" s="169">
        <f t="shared" si="13"/>
        <v>2</v>
      </c>
      <c r="C400" s="66" t="s">
        <v>1881</v>
      </c>
      <c r="D400" s="67" t="s">
        <v>2017</v>
      </c>
      <c r="E400" s="66">
        <v>2</v>
      </c>
      <c r="F400" s="66" t="s">
        <v>283</v>
      </c>
      <c r="G400" s="68">
        <v>45135</v>
      </c>
      <c r="H400" s="68" t="s">
        <v>73</v>
      </c>
      <c r="I400" s="68" t="s">
        <v>31</v>
      </c>
      <c r="J400" s="66">
        <f>IFERROR(VLOOKUP(I400,Jueces!$A$1:$B$11,2,FALSE),"")</f>
        <v>2</v>
      </c>
      <c r="K400" s="66" t="s">
        <v>813</v>
      </c>
      <c r="L400" s="66" t="s">
        <v>1838</v>
      </c>
    </row>
    <row r="401" spans="1:12" ht="30" customHeight="1" x14ac:dyDescent="0.2">
      <c r="A401" s="176" t="str">
        <f t="shared" si="12"/>
        <v>28/07/yyyy3</v>
      </c>
      <c r="B401" s="169">
        <f t="shared" si="13"/>
        <v>3</v>
      </c>
      <c r="C401" s="66" t="s">
        <v>1927</v>
      </c>
      <c r="D401" s="67" t="s">
        <v>2018</v>
      </c>
      <c r="E401" s="66">
        <v>5</v>
      </c>
      <c r="F401" s="66" t="s">
        <v>43</v>
      </c>
      <c r="G401" s="68">
        <v>45135</v>
      </c>
      <c r="H401" s="68" t="s">
        <v>73</v>
      </c>
      <c r="I401" s="68" t="s">
        <v>1225</v>
      </c>
      <c r="J401" s="66">
        <f>IFERROR(VLOOKUP(I401,Jueces!$A$1:$B$11,2,FALSE),"")</f>
        <v>6</v>
      </c>
      <c r="K401" s="66" t="s">
        <v>789</v>
      </c>
      <c r="L401" s="66" t="s">
        <v>1875</v>
      </c>
    </row>
    <row r="402" spans="1:12" ht="30" customHeight="1" x14ac:dyDescent="0.2">
      <c r="A402" s="176" t="str">
        <f t="shared" si="12"/>
        <v>28/07/yyyy4</v>
      </c>
      <c r="B402" s="169">
        <f t="shared" si="13"/>
        <v>4</v>
      </c>
      <c r="C402" s="66" t="s">
        <v>1872</v>
      </c>
      <c r="D402" s="67" t="s">
        <v>2019</v>
      </c>
      <c r="E402" s="66">
        <v>4</v>
      </c>
      <c r="F402" s="66" t="s">
        <v>1443</v>
      </c>
      <c r="G402" s="68">
        <v>45135</v>
      </c>
      <c r="H402" s="68" t="s">
        <v>1086</v>
      </c>
      <c r="I402" s="68" t="s">
        <v>1223</v>
      </c>
      <c r="J402" s="66" t="s">
        <v>1491</v>
      </c>
      <c r="K402" s="66" t="s">
        <v>813</v>
      </c>
      <c r="L402" s="66" t="s">
        <v>695</v>
      </c>
    </row>
    <row r="403" spans="1:12" ht="30" customHeight="1" x14ac:dyDescent="0.2">
      <c r="A403" s="176" t="str">
        <f t="shared" si="12"/>
        <v>28/07/yyyy5</v>
      </c>
      <c r="B403" s="169">
        <f t="shared" si="13"/>
        <v>5</v>
      </c>
      <c r="C403" s="66" t="s">
        <v>1906</v>
      </c>
      <c r="D403" s="67" t="s">
        <v>2073</v>
      </c>
      <c r="E403" s="66">
        <v>4</v>
      </c>
      <c r="F403" s="66" t="s">
        <v>1442</v>
      </c>
      <c r="G403" s="68">
        <v>45135</v>
      </c>
      <c r="H403" s="68" t="s">
        <v>1086</v>
      </c>
      <c r="I403" s="68" t="s">
        <v>1220</v>
      </c>
      <c r="J403" s="66" t="s">
        <v>1925</v>
      </c>
      <c r="K403" s="66" t="s">
        <v>812</v>
      </c>
      <c r="L403" s="66" t="s">
        <v>2022</v>
      </c>
    </row>
    <row r="404" spans="1:12" ht="30" customHeight="1" x14ac:dyDescent="0.2">
      <c r="A404" s="176" t="str">
        <f t="shared" si="12"/>
        <v>28/07/yyyy6</v>
      </c>
      <c r="B404" s="169">
        <f t="shared" si="13"/>
        <v>6</v>
      </c>
      <c r="C404" s="66" t="s">
        <v>1908</v>
      </c>
      <c r="D404" s="67" t="s">
        <v>2072</v>
      </c>
      <c r="E404" s="66">
        <v>3</v>
      </c>
      <c r="F404" s="66" t="s">
        <v>568</v>
      </c>
      <c r="G404" s="68">
        <v>45135</v>
      </c>
      <c r="H404" s="68" t="s">
        <v>1086</v>
      </c>
      <c r="I404" s="68" t="s">
        <v>1221</v>
      </c>
      <c r="J404" s="66">
        <f>IFERROR(VLOOKUP(I404,Jueces!$A$1:$B$11,2,FALSE),"")</f>
        <v>7</v>
      </c>
      <c r="K404" s="66" t="s">
        <v>508</v>
      </c>
      <c r="L404" s="66" t="s">
        <v>1838</v>
      </c>
    </row>
    <row r="405" spans="1:12" ht="30" customHeight="1" x14ac:dyDescent="0.2">
      <c r="A405" s="176" t="str">
        <f t="shared" si="12"/>
        <v>31/07/yyyy1</v>
      </c>
      <c r="B405" s="169">
        <f t="shared" si="13"/>
        <v>1</v>
      </c>
      <c r="C405" s="66" t="s">
        <v>1698</v>
      </c>
      <c r="D405" s="67" t="s">
        <v>1699</v>
      </c>
      <c r="E405" s="66">
        <v>4</v>
      </c>
      <c r="F405" s="66" t="s">
        <v>1441</v>
      </c>
      <c r="G405" s="68">
        <v>45138</v>
      </c>
      <c r="H405" s="68" t="s">
        <v>73</v>
      </c>
      <c r="I405" s="68" t="s">
        <v>31</v>
      </c>
      <c r="J405" s="66">
        <f>IFERROR(VLOOKUP(I405,Jueces!$A$1:$B$11,2,FALSE),"")</f>
        <v>2</v>
      </c>
      <c r="K405" s="66" t="s">
        <v>803</v>
      </c>
      <c r="L405" s="66" t="s">
        <v>695</v>
      </c>
    </row>
    <row r="406" spans="1:12" ht="30" customHeight="1" x14ac:dyDescent="0.2">
      <c r="A406" s="176" t="str">
        <f t="shared" si="12"/>
        <v>31/07/yyyy2</v>
      </c>
      <c r="B406" s="169">
        <f t="shared" si="13"/>
        <v>2</v>
      </c>
      <c r="C406" s="66" t="s">
        <v>1849</v>
      </c>
      <c r="D406" s="67" t="s">
        <v>1848</v>
      </c>
      <c r="E406" s="66">
        <v>3</v>
      </c>
      <c r="F406" s="66" t="s">
        <v>32</v>
      </c>
      <c r="G406" s="68">
        <v>45138</v>
      </c>
      <c r="H406" s="68" t="s">
        <v>73</v>
      </c>
      <c r="I406" s="68" t="s">
        <v>1223</v>
      </c>
      <c r="J406" s="66" t="s">
        <v>1346</v>
      </c>
      <c r="K406" s="66" t="s">
        <v>798</v>
      </c>
      <c r="L406" s="66" t="s">
        <v>2048</v>
      </c>
    </row>
    <row r="407" spans="1:12" ht="30" customHeight="1" x14ac:dyDescent="0.2">
      <c r="A407" s="176" t="str">
        <f t="shared" si="12"/>
        <v>31/07/yyyy3</v>
      </c>
      <c r="B407" s="169">
        <f t="shared" si="13"/>
        <v>3</v>
      </c>
      <c r="C407" s="66" t="s">
        <v>1907</v>
      </c>
      <c r="D407" s="67" t="s">
        <v>1930</v>
      </c>
      <c r="E407" s="66">
        <v>5</v>
      </c>
      <c r="F407" s="66" t="s">
        <v>283</v>
      </c>
      <c r="G407" s="68">
        <v>45138</v>
      </c>
      <c r="H407" s="68" t="s">
        <v>73</v>
      </c>
      <c r="I407" s="68" t="s">
        <v>35</v>
      </c>
      <c r="J407" s="66">
        <f>IFERROR(VLOOKUP(I407,Jueces!$A$1:$B$11,2,FALSE),"")</f>
        <v>3</v>
      </c>
      <c r="K407" s="66" t="s">
        <v>809</v>
      </c>
      <c r="L407" s="66" t="s">
        <v>1875</v>
      </c>
    </row>
    <row r="408" spans="1:12" ht="30" customHeight="1" x14ac:dyDescent="0.2">
      <c r="A408" s="176" t="str">
        <f t="shared" si="12"/>
        <v>31/07/yyyy4</v>
      </c>
      <c r="B408" s="169">
        <f t="shared" si="13"/>
        <v>4</v>
      </c>
      <c r="C408" s="66" t="s">
        <v>1928</v>
      </c>
      <c r="D408" s="67" t="s">
        <v>2074</v>
      </c>
      <c r="E408" s="66">
        <v>4</v>
      </c>
      <c r="F408" s="66" t="s">
        <v>29</v>
      </c>
      <c r="G408" s="68">
        <v>45138</v>
      </c>
      <c r="H408" s="68" t="s">
        <v>73</v>
      </c>
      <c r="I408" s="68" t="s">
        <v>78</v>
      </c>
      <c r="J408" s="66">
        <f>IFERROR(VLOOKUP(I408,Jueces!$A$1:$B$11,2,FALSE),"")</f>
        <v>8</v>
      </c>
      <c r="K408" s="66" t="s">
        <v>793</v>
      </c>
      <c r="L408" s="66" t="s">
        <v>1838</v>
      </c>
    </row>
    <row r="409" spans="1:12" ht="30" customHeight="1" x14ac:dyDescent="0.2">
      <c r="A409" s="176" t="str">
        <f t="shared" si="12"/>
        <v>31/07/yyyy5</v>
      </c>
      <c r="B409" s="169">
        <f t="shared" si="13"/>
        <v>5</v>
      </c>
      <c r="C409" s="66" t="s">
        <v>1909</v>
      </c>
      <c r="D409" s="67" t="s">
        <v>1905</v>
      </c>
      <c r="E409" s="66">
        <v>2</v>
      </c>
      <c r="F409" s="66" t="s">
        <v>43</v>
      </c>
      <c r="G409" s="68">
        <v>45138</v>
      </c>
      <c r="H409" s="68" t="s">
        <v>1086</v>
      </c>
      <c r="I409" s="68" t="s">
        <v>1221</v>
      </c>
      <c r="J409" s="66">
        <f>IFERROR(VLOOKUP(I409,Jueces!$A$1:$B$11,2,FALSE),"")</f>
        <v>7</v>
      </c>
      <c r="K409" s="66" t="s">
        <v>801</v>
      </c>
      <c r="L409" s="197" t="s">
        <v>695</v>
      </c>
    </row>
    <row r="410" spans="1:12" ht="30" customHeight="1" x14ac:dyDescent="0.2">
      <c r="A410" s="176" t="str">
        <f t="shared" si="12"/>
        <v>31/07/yyyy6</v>
      </c>
      <c r="B410" s="169">
        <f t="shared" si="13"/>
        <v>6</v>
      </c>
      <c r="C410" s="66" t="s">
        <v>1936</v>
      </c>
      <c r="D410" s="67" t="s">
        <v>1937</v>
      </c>
      <c r="E410" s="66">
        <v>5</v>
      </c>
      <c r="F410" s="66" t="s">
        <v>1442</v>
      </c>
      <c r="G410" s="68">
        <v>45138</v>
      </c>
      <c r="H410" s="68" t="s">
        <v>1086</v>
      </c>
      <c r="I410" s="68" t="s">
        <v>1224</v>
      </c>
      <c r="J410" s="66" t="s">
        <v>1326</v>
      </c>
      <c r="K410" s="66" t="s">
        <v>791</v>
      </c>
      <c r="L410" s="66" t="s">
        <v>1875</v>
      </c>
    </row>
    <row r="411" spans="1:12" ht="30" customHeight="1" x14ac:dyDescent="0.2">
      <c r="A411" s="176" t="str">
        <f t="shared" si="12"/>
        <v>31/07/yyyy7</v>
      </c>
      <c r="B411" s="169">
        <f t="shared" si="13"/>
        <v>7</v>
      </c>
      <c r="C411" s="66" t="s">
        <v>1940</v>
      </c>
      <c r="D411" s="67" t="s">
        <v>2071</v>
      </c>
      <c r="E411" s="66">
        <v>4</v>
      </c>
      <c r="F411" s="66" t="s">
        <v>568</v>
      </c>
      <c r="G411" s="68">
        <v>45138</v>
      </c>
      <c r="H411" s="68" t="s">
        <v>1086</v>
      </c>
      <c r="I411" s="68" t="s">
        <v>35</v>
      </c>
      <c r="J411" s="66" t="s">
        <v>1520</v>
      </c>
      <c r="K411" s="66" t="s">
        <v>793</v>
      </c>
      <c r="L411" s="66" t="s">
        <v>1838</v>
      </c>
    </row>
    <row r="412" spans="1:12" ht="30" customHeight="1" x14ac:dyDescent="0.2">
      <c r="A412" s="176" t="str">
        <f t="shared" si="12"/>
        <v>01/08/yyyy1</v>
      </c>
      <c r="B412" s="169">
        <f t="shared" si="13"/>
        <v>1</v>
      </c>
      <c r="C412" s="66" t="s">
        <v>1818</v>
      </c>
      <c r="D412" s="67" t="s">
        <v>2132</v>
      </c>
      <c r="E412" s="66">
        <v>4</v>
      </c>
      <c r="F412" s="66" t="s">
        <v>43</v>
      </c>
      <c r="G412" s="68">
        <v>45139</v>
      </c>
      <c r="H412" s="68" t="s">
        <v>73</v>
      </c>
      <c r="I412" s="68" t="s">
        <v>1220</v>
      </c>
      <c r="J412" s="66">
        <f>IFERROR(VLOOKUP(I412,Jueces!$A$1:$B$11,2,FALSE),"")</f>
        <v>1</v>
      </c>
      <c r="K412" s="66" t="s">
        <v>804</v>
      </c>
      <c r="L412" s="66" t="s">
        <v>1969</v>
      </c>
    </row>
    <row r="413" spans="1:12" ht="30" customHeight="1" x14ac:dyDescent="0.2">
      <c r="A413" s="176" t="str">
        <f t="shared" si="12"/>
        <v>01/08/yyyy2</v>
      </c>
      <c r="B413" s="169">
        <f t="shared" si="13"/>
        <v>2</v>
      </c>
      <c r="C413" s="66" t="s">
        <v>1926</v>
      </c>
      <c r="D413" s="67" t="s">
        <v>2131</v>
      </c>
      <c r="E413" s="66">
        <v>4</v>
      </c>
      <c r="F413" s="66" t="s">
        <v>1442</v>
      </c>
      <c r="G413" s="68">
        <v>45139</v>
      </c>
      <c r="H413" s="68" t="s">
        <v>73</v>
      </c>
      <c r="I413" s="68" t="s">
        <v>31</v>
      </c>
      <c r="J413" s="66">
        <f>IFERROR(VLOOKUP(I413,Jueces!$A$1:$B$11,2,FALSE),"")</f>
        <v>2</v>
      </c>
      <c r="K413" s="66" t="s">
        <v>1702</v>
      </c>
      <c r="L413" s="66" t="s">
        <v>695</v>
      </c>
    </row>
    <row r="414" spans="1:12" ht="30" customHeight="1" x14ac:dyDescent="0.2">
      <c r="A414" s="176" t="str">
        <f t="shared" si="12"/>
        <v>01/08/yyyy3</v>
      </c>
      <c r="B414" s="169">
        <f t="shared" si="13"/>
        <v>3</v>
      </c>
      <c r="C414" s="66" t="s">
        <v>1815</v>
      </c>
      <c r="D414" s="67" t="s">
        <v>2130</v>
      </c>
      <c r="E414" s="66">
        <v>4</v>
      </c>
      <c r="F414" s="66" t="s">
        <v>1443</v>
      </c>
      <c r="G414" s="68">
        <v>45139</v>
      </c>
      <c r="H414" s="68" t="s">
        <v>1086</v>
      </c>
      <c r="I414" s="68" t="s">
        <v>33</v>
      </c>
      <c r="J414" s="66">
        <f>IFERROR(VLOOKUP(I414,Jueces!$A$1:$B$11,2,FALSE),"")</f>
        <v>4</v>
      </c>
      <c r="K414" s="66" t="s">
        <v>802</v>
      </c>
      <c r="L414" s="66" t="s">
        <v>1838</v>
      </c>
    </row>
    <row r="415" spans="1:12" ht="30" customHeight="1" x14ac:dyDescent="0.2">
      <c r="A415" s="176" t="str">
        <f t="shared" si="12"/>
        <v>01/08/yyyy4</v>
      </c>
      <c r="B415" s="169">
        <f t="shared" si="13"/>
        <v>4</v>
      </c>
      <c r="C415" s="66" t="s">
        <v>1812</v>
      </c>
      <c r="D415" s="67" t="s">
        <v>2129</v>
      </c>
      <c r="E415" s="66">
        <v>4</v>
      </c>
      <c r="F415" s="66" t="s">
        <v>29</v>
      </c>
      <c r="G415" s="68">
        <v>45139</v>
      </c>
      <c r="H415" s="68" t="s">
        <v>1086</v>
      </c>
      <c r="I415" s="68" t="s">
        <v>1224</v>
      </c>
      <c r="J415" s="66" t="s">
        <v>1326</v>
      </c>
      <c r="K415" s="66" t="s">
        <v>811</v>
      </c>
      <c r="L415" s="66" t="s">
        <v>695</v>
      </c>
    </row>
    <row r="416" spans="1:12" ht="30" customHeight="1" x14ac:dyDescent="0.2">
      <c r="A416" s="176" t="str">
        <f t="shared" si="12"/>
        <v>01/08/yyyy5</v>
      </c>
      <c r="B416" s="169">
        <f t="shared" si="13"/>
        <v>5</v>
      </c>
      <c r="C416" s="66" t="s">
        <v>1962</v>
      </c>
      <c r="D416" s="67" t="s">
        <v>2128</v>
      </c>
      <c r="E416" s="66">
        <v>4</v>
      </c>
      <c r="F416" s="66" t="s">
        <v>32</v>
      </c>
      <c r="G416" s="68">
        <v>45139</v>
      </c>
      <c r="H416" s="68" t="s">
        <v>1450</v>
      </c>
      <c r="I416" s="68" t="s">
        <v>1224</v>
      </c>
      <c r="J416" s="66" t="s">
        <v>1326</v>
      </c>
      <c r="K416" s="66" t="s">
        <v>811</v>
      </c>
      <c r="L416" s="66" t="s">
        <v>1838</v>
      </c>
    </row>
    <row r="417" spans="1:12" ht="30" customHeight="1" x14ac:dyDescent="0.2">
      <c r="A417" s="176" t="str">
        <f t="shared" si="12"/>
        <v>02/08/yyyy1</v>
      </c>
      <c r="B417" s="169">
        <f t="shared" si="13"/>
        <v>1</v>
      </c>
      <c r="C417" s="66" t="s">
        <v>1939</v>
      </c>
      <c r="D417" s="67" t="s">
        <v>2127</v>
      </c>
      <c r="E417" s="66">
        <v>4</v>
      </c>
      <c r="F417" s="66" t="s">
        <v>568</v>
      </c>
      <c r="G417" s="68">
        <v>45140</v>
      </c>
      <c r="H417" s="68" t="s">
        <v>73</v>
      </c>
      <c r="I417" s="68" t="s">
        <v>1220</v>
      </c>
      <c r="J417" s="66">
        <f>IFERROR(VLOOKUP(I417,Jueces!$A$1:$B$11,2,FALSE),"")</f>
        <v>1</v>
      </c>
      <c r="K417" s="66" t="s">
        <v>789</v>
      </c>
      <c r="L417" s="66" t="s">
        <v>2121</v>
      </c>
    </row>
    <row r="418" spans="1:12" ht="30" customHeight="1" x14ac:dyDescent="0.2">
      <c r="A418" s="176" t="str">
        <f t="shared" si="12"/>
        <v>02/08/yyyy2</v>
      </c>
      <c r="B418" s="169">
        <f t="shared" si="13"/>
        <v>2</v>
      </c>
      <c r="C418" s="66" t="s">
        <v>1959</v>
      </c>
      <c r="D418" s="67" t="s">
        <v>2126</v>
      </c>
      <c r="E418" s="66">
        <v>4</v>
      </c>
      <c r="F418" s="66" t="s">
        <v>29</v>
      </c>
      <c r="G418" s="68">
        <v>45140</v>
      </c>
      <c r="H418" s="68" t="s">
        <v>73</v>
      </c>
      <c r="I418" s="68" t="s">
        <v>33</v>
      </c>
      <c r="J418" s="66">
        <f>IFERROR(VLOOKUP(I418,Jueces!$A$1:$B$11,2,FALSE),"")</f>
        <v>4</v>
      </c>
      <c r="K418" s="66" t="s">
        <v>813</v>
      </c>
      <c r="L418" s="66" t="s">
        <v>695</v>
      </c>
    </row>
    <row r="419" spans="1:12" ht="30" customHeight="1" x14ac:dyDescent="0.2">
      <c r="A419" s="176" t="str">
        <f t="shared" si="12"/>
        <v>02/08/yyyy3</v>
      </c>
      <c r="B419" s="169">
        <f t="shared" si="13"/>
        <v>3</v>
      </c>
      <c r="C419" s="66" t="s">
        <v>1941</v>
      </c>
      <c r="D419" s="67" t="s">
        <v>1979</v>
      </c>
      <c r="E419" s="66">
        <v>4</v>
      </c>
      <c r="F419" s="66" t="s">
        <v>32</v>
      </c>
      <c r="G419" s="68">
        <v>45140</v>
      </c>
      <c r="H419" s="68" t="s">
        <v>73</v>
      </c>
      <c r="I419" s="68" t="s">
        <v>1222</v>
      </c>
      <c r="J419" s="66" t="s">
        <v>1520</v>
      </c>
      <c r="K419" s="66" t="s">
        <v>811</v>
      </c>
      <c r="L419" s="66" t="s">
        <v>1838</v>
      </c>
    </row>
    <row r="420" spans="1:12" ht="30" customHeight="1" x14ac:dyDescent="0.2">
      <c r="A420" s="176" t="str">
        <f t="shared" si="12"/>
        <v>02/08/yyyy4</v>
      </c>
      <c r="B420" s="169">
        <f t="shared" si="13"/>
        <v>4</v>
      </c>
      <c r="C420" s="66" t="s">
        <v>1963</v>
      </c>
      <c r="D420" s="67" t="s">
        <v>1964</v>
      </c>
      <c r="E420" s="66">
        <v>5</v>
      </c>
      <c r="F420" s="66" t="s">
        <v>1443</v>
      </c>
      <c r="G420" s="68">
        <v>45140</v>
      </c>
      <c r="H420" s="68" t="s">
        <v>73</v>
      </c>
      <c r="I420" s="68" t="s">
        <v>78</v>
      </c>
      <c r="J420" s="66">
        <f>IFERROR(VLOOKUP(I420,Jueces!$A$1:$B$11,2,FALSE),"")</f>
        <v>8</v>
      </c>
      <c r="K420" s="66" t="s">
        <v>1522</v>
      </c>
      <c r="L420" s="66" t="s">
        <v>1965</v>
      </c>
    </row>
    <row r="421" spans="1:12" ht="30" customHeight="1" x14ac:dyDescent="0.2">
      <c r="A421" s="176" t="str">
        <f t="shared" si="12"/>
        <v>02/08/yyyy5</v>
      </c>
      <c r="B421" s="169">
        <f t="shared" si="13"/>
        <v>5</v>
      </c>
      <c r="C421" s="66" t="s">
        <v>1958</v>
      </c>
      <c r="D421" s="67" t="s">
        <v>2039</v>
      </c>
      <c r="E421" s="66">
        <v>4</v>
      </c>
      <c r="F421" s="66" t="s">
        <v>1442</v>
      </c>
      <c r="G421" s="68">
        <v>45140</v>
      </c>
      <c r="H421" s="68" t="s">
        <v>1086</v>
      </c>
      <c r="I421" s="68" t="s">
        <v>33</v>
      </c>
      <c r="J421" s="66">
        <f>IFERROR(VLOOKUP(I421,Jueces!$A$1:$B$11,2,FALSE),"")</f>
        <v>4</v>
      </c>
      <c r="K421" s="66" t="s">
        <v>806</v>
      </c>
      <c r="L421" s="66" t="s">
        <v>2035</v>
      </c>
    </row>
    <row r="422" spans="1:12" ht="30" customHeight="1" x14ac:dyDescent="0.2">
      <c r="A422" s="176" t="str">
        <f t="shared" si="12"/>
        <v>02/08/yyyy6</v>
      </c>
      <c r="B422" s="169">
        <f t="shared" si="13"/>
        <v>6</v>
      </c>
      <c r="C422" s="66" t="s">
        <v>1752</v>
      </c>
      <c r="D422" s="67" t="s">
        <v>1989</v>
      </c>
      <c r="E422" s="66">
        <v>4</v>
      </c>
      <c r="F422" s="66" t="s">
        <v>283</v>
      </c>
      <c r="G422" s="68">
        <v>45140</v>
      </c>
      <c r="H422" s="68" t="s">
        <v>1086</v>
      </c>
      <c r="I422" s="68" t="s">
        <v>1223</v>
      </c>
      <c r="J422" s="66" t="s">
        <v>1346</v>
      </c>
      <c r="K422" s="66" t="s">
        <v>2110</v>
      </c>
      <c r="L422" s="66" t="s">
        <v>1990</v>
      </c>
    </row>
    <row r="423" spans="1:12" ht="30" customHeight="1" x14ac:dyDescent="0.2">
      <c r="A423" s="176" t="str">
        <f t="shared" si="12"/>
        <v>03/08/yyyy1</v>
      </c>
      <c r="B423" s="169">
        <f t="shared" si="13"/>
        <v>1</v>
      </c>
      <c r="C423" s="66" t="s">
        <v>1839</v>
      </c>
      <c r="D423" s="67" t="s">
        <v>1978</v>
      </c>
      <c r="E423" s="66">
        <v>4</v>
      </c>
      <c r="F423" s="66" t="s">
        <v>32</v>
      </c>
      <c r="G423" s="68">
        <v>45141</v>
      </c>
      <c r="H423" s="68" t="s">
        <v>73</v>
      </c>
      <c r="I423" s="68" t="s">
        <v>1223</v>
      </c>
      <c r="J423" s="66" t="s">
        <v>1326</v>
      </c>
      <c r="K423" s="66" t="s">
        <v>812</v>
      </c>
      <c r="L423" s="66" t="s">
        <v>1838</v>
      </c>
    </row>
    <row r="424" spans="1:12" ht="30" customHeight="1" x14ac:dyDescent="0.2">
      <c r="A424" s="176" t="str">
        <f t="shared" si="12"/>
        <v>03/08/yyyy2</v>
      </c>
      <c r="B424" s="169">
        <f t="shared" si="13"/>
        <v>2</v>
      </c>
      <c r="C424" s="66" t="s">
        <v>1866</v>
      </c>
      <c r="D424" s="67" t="s">
        <v>2143</v>
      </c>
      <c r="E424" s="66">
        <v>2</v>
      </c>
      <c r="F424" s="66" t="s">
        <v>1443</v>
      </c>
      <c r="G424" s="68">
        <v>45141</v>
      </c>
      <c r="H424" s="68" t="s">
        <v>73</v>
      </c>
      <c r="I424" s="68" t="s">
        <v>33</v>
      </c>
      <c r="J424" s="66">
        <f>IFERROR(VLOOKUP(I424,Jueces!$A$1:$B$11,2,FALSE),"")</f>
        <v>4</v>
      </c>
      <c r="K424" s="66" t="s">
        <v>804</v>
      </c>
      <c r="L424" s="66" t="s">
        <v>695</v>
      </c>
    </row>
    <row r="425" spans="1:12" ht="30" customHeight="1" x14ac:dyDescent="0.2">
      <c r="A425" s="176" t="str">
        <f t="shared" si="12"/>
        <v>03/08/yyyy3</v>
      </c>
      <c r="B425" s="169">
        <f t="shared" si="13"/>
        <v>3</v>
      </c>
      <c r="C425" s="66" t="s">
        <v>2008</v>
      </c>
      <c r="D425" s="67" t="s">
        <v>2009</v>
      </c>
      <c r="E425" s="66">
        <v>5</v>
      </c>
      <c r="F425" s="66" t="s">
        <v>1442</v>
      </c>
      <c r="G425" s="68">
        <v>45141</v>
      </c>
      <c r="H425" s="68" t="s">
        <v>73</v>
      </c>
      <c r="I425" s="68" t="s">
        <v>1220</v>
      </c>
      <c r="J425" s="66" t="s">
        <v>1925</v>
      </c>
      <c r="K425" s="66" t="s">
        <v>813</v>
      </c>
      <c r="L425" s="66" t="s">
        <v>1965</v>
      </c>
    </row>
    <row r="426" spans="1:12" ht="30" customHeight="1" x14ac:dyDescent="0.2">
      <c r="A426" s="176" t="str">
        <f t="shared" si="12"/>
        <v>03/08/yyyy4</v>
      </c>
      <c r="B426" s="169">
        <f t="shared" si="13"/>
        <v>4</v>
      </c>
      <c r="C426" s="66" t="s">
        <v>1957</v>
      </c>
      <c r="D426" s="67" t="s">
        <v>1980</v>
      </c>
      <c r="E426" s="66">
        <v>4</v>
      </c>
      <c r="F426" s="66" t="s">
        <v>283</v>
      </c>
      <c r="G426" s="68">
        <v>45141</v>
      </c>
      <c r="H426" s="68" t="s">
        <v>1086</v>
      </c>
      <c r="I426" s="68" t="s">
        <v>35</v>
      </c>
      <c r="J426" s="66">
        <f>IFERROR(VLOOKUP(I426,Jueces!$A$1:$B$11,2,FALSE),"")</f>
        <v>3</v>
      </c>
      <c r="K426" s="66" t="s">
        <v>807</v>
      </c>
      <c r="L426" s="66" t="s">
        <v>1838</v>
      </c>
    </row>
    <row r="427" spans="1:12" ht="30" customHeight="1" x14ac:dyDescent="0.2">
      <c r="A427" s="176" t="str">
        <f t="shared" si="12"/>
        <v>03/08/yyyy5</v>
      </c>
      <c r="B427" s="169">
        <f t="shared" si="13"/>
        <v>5</v>
      </c>
      <c r="C427" s="66" t="s">
        <v>2038</v>
      </c>
      <c r="D427" s="67" t="s">
        <v>2085</v>
      </c>
      <c r="E427" s="66">
        <v>5</v>
      </c>
      <c r="F427" s="66" t="s">
        <v>43</v>
      </c>
      <c r="G427" s="68">
        <v>45141</v>
      </c>
      <c r="H427" s="68" t="s">
        <v>1086</v>
      </c>
      <c r="I427" s="68" t="s">
        <v>1221</v>
      </c>
      <c r="J427" s="66">
        <f>IFERROR(VLOOKUP(I427,Jueces!$A$1:$B$11,2,FALSE),"")</f>
        <v>7</v>
      </c>
      <c r="K427" s="66" t="s">
        <v>789</v>
      </c>
      <c r="L427" s="66" t="s">
        <v>1965</v>
      </c>
    </row>
    <row r="428" spans="1:12" ht="30" customHeight="1" x14ac:dyDescent="0.2">
      <c r="A428" s="176" t="str">
        <f t="shared" si="12"/>
        <v>03/08/yyyy6</v>
      </c>
      <c r="B428" s="169">
        <f t="shared" si="13"/>
        <v>6</v>
      </c>
      <c r="C428" s="66" t="s">
        <v>2028</v>
      </c>
      <c r="D428" s="67" t="s">
        <v>2029</v>
      </c>
      <c r="E428" s="66">
        <v>5</v>
      </c>
      <c r="F428" s="66" t="s">
        <v>1443</v>
      </c>
      <c r="G428" s="68">
        <v>45141</v>
      </c>
      <c r="H428" s="68" t="s">
        <v>1450</v>
      </c>
      <c r="I428" s="68" t="s">
        <v>31</v>
      </c>
      <c r="J428" s="66" t="s">
        <v>1925</v>
      </c>
      <c r="K428" s="66" t="s">
        <v>569</v>
      </c>
      <c r="L428" s="66" t="s">
        <v>1693</v>
      </c>
    </row>
    <row r="429" spans="1:12" ht="30" customHeight="1" x14ac:dyDescent="0.2">
      <c r="A429" s="176" t="str">
        <f t="shared" si="12"/>
        <v>04/08/yyyy1</v>
      </c>
      <c r="B429" s="169">
        <f t="shared" si="13"/>
        <v>1</v>
      </c>
      <c r="C429" s="66" t="s">
        <v>1960</v>
      </c>
      <c r="D429" s="67" t="s">
        <v>2144</v>
      </c>
      <c r="E429" s="66">
        <v>4</v>
      </c>
      <c r="F429" s="66" t="s">
        <v>32</v>
      </c>
      <c r="G429" s="68">
        <v>45142</v>
      </c>
      <c r="H429" s="68" t="s">
        <v>73</v>
      </c>
      <c r="I429" s="68" t="s">
        <v>1223</v>
      </c>
      <c r="J429" s="66" t="s">
        <v>1346</v>
      </c>
      <c r="K429" s="66" t="s">
        <v>802</v>
      </c>
      <c r="L429" s="66" t="s">
        <v>1838</v>
      </c>
    </row>
    <row r="430" spans="1:12" ht="30" customHeight="1" x14ac:dyDescent="0.2">
      <c r="A430" s="176" t="str">
        <f t="shared" si="12"/>
        <v>04/08/yyyy2</v>
      </c>
      <c r="B430" s="169">
        <f t="shared" si="13"/>
        <v>2</v>
      </c>
      <c r="C430" s="66" t="s">
        <v>1996</v>
      </c>
      <c r="D430" s="67" t="s">
        <v>2145</v>
      </c>
      <c r="E430" s="66">
        <v>1</v>
      </c>
      <c r="F430" s="66" t="s">
        <v>29</v>
      </c>
      <c r="G430" s="68">
        <v>45142</v>
      </c>
      <c r="H430" s="68" t="s">
        <v>73</v>
      </c>
      <c r="I430" s="68" t="s">
        <v>1221</v>
      </c>
      <c r="J430" s="66">
        <f>IFERROR(VLOOKUP(I430,Jueces!$A$1:$B$11,2,FALSE),"")</f>
        <v>7</v>
      </c>
      <c r="K430" s="66" t="s">
        <v>582</v>
      </c>
      <c r="L430" s="66" t="s">
        <v>767</v>
      </c>
    </row>
    <row r="431" spans="1:12" ht="30" customHeight="1" x14ac:dyDescent="0.2">
      <c r="A431" s="176" t="str">
        <f t="shared" si="12"/>
        <v>04/08/yyyy3</v>
      </c>
      <c r="B431" s="169">
        <f t="shared" si="13"/>
        <v>3</v>
      </c>
      <c r="C431" s="66" t="s">
        <v>2032</v>
      </c>
      <c r="D431" s="67" t="s">
        <v>2146</v>
      </c>
      <c r="E431" s="66">
        <v>5</v>
      </c>
      <c r="F431" s="66" t="s">
        <v>1442</v>
      </c>
      <c r="G431" s="68">
        <v>45142</v>
      </c>
      <c r="H431" s="68" t="s">
        <v>73</v>
      </c>
      <c r="I431" s="68" t="s">
        <v>1222</v>
      </c>
      <c r="J431" s="66" t="s">
        <v>1326</v>
      </c>
      <c r="K431" s="66" t="s">
        <v>812</v>
      </c>
      <c r="L431" s="66" t="s">
        <v>1965</v>
      </c>
    </row>
    <row r="432" spans="1:12" ht="30" customHeight="1" x14ac:dyDescent="0.2">
      <c r="A432" s="176" t="str">
        <f t="shared" si="12"/>
        <v>04/08/yyyy4</v>
      </c>
      <c r="B432" s="169">
        <f t="shared" si="13"/>
        <v>4</v>
      </c>
      <c r="C432" s="66" t="s">
        <v>2051</v>
      </c>
      <c r="D432" s="67" t="s">
        <v>2147</v>
      </c>
      <c r="E432" s="66">
        <v>5</v>
      </c>
      <c r="F432" s="66" t="s">
        <v>43</v>
      </c>
      <c r="G432" s="68">
        <v>45142</v>
      </c>
      <c r="H432" s="68" t="s">
        <v>73</v>
      </c>
      <c r="I432" s="68" t="s">
        <v>35</v>
      </c>
      <c r="J432" s="66" t="s">
        <v>1520</v>
      </c>
      <c r="K432" s="66" t="s">
        <v>797</v>
      </c>
      <c r="L432" s="66" t="s">
        <v>1993</v>
      </c>
    </row>
    <row r="433" spans="1:12" ht="30" customHeight="1" x14ac:dyDescent="0.2">
      <c r="A433" s="176" t="str">
        <f t="shared" si="12"/>
        <v>04/08/yyyy5</v>
      </c>
      <c r="B433" s="169">
        <f t="shared" si="13"/>
        <v>5</v>
      </c>
      <c r="C433" s="66" t="s">
        <v>1987</v>
      </c>
      <c r="D433" s="67" t="s">
        <v>2148</v>
      </c>
      <c r="E433" s="66">
        <v>4</v>
      </c>
      <c r="F433" s="66" t="s">
        <v>1443</v>
      </c>
      <c r="G433" s="68">
        <v>45142</v>
      </c>
      <c r="H433" s="68" t="s">
        <v>1086</v>
      </c>
      <c r="I433" s="68" t="s">
        <v>1223</v>
      </c>
      <c r="J433" s="66" t="s">
        <v>1925</v>
      </c>
      <c r="K433" s="66" t="s">
        <v>1453</v>
      </c>
      <c r="L433" s="66" t="s">
        <v>2003</v>
      </c>
    </row>
    <row r="434" spans="1:12" ht="30" customHeight="1" x14ac:dyDescent="0.2">
      <c r="A434" s="176" t="str">
        <f t="shared" si="12"/>
        <v>04/08/yyyy6</v>
      </c>
      <c r="B434" s="169">
        <f t="shared" si="13"/>
        <v>6</v>
      </c>
      <c r="C434" s="66" t="s">
        <v>2002</v>
      </c>
      <c r="D434" s="67" t="s">
        <v>2149</v>
      </c>
      <c r="E434" s="66">
        <v>4</v>
      </c>
      <c r="F434" s="66" t="s">
        <v>1441</v>
      </c>
      <c r="G434" s="68">
        <v>45142</v>
      </c>
      <c r="H434" s="68" t="s">
        <v>1086</v>
      </c>
      <c r="I434" s="68" t="s">
        <v>78</v>
      </c>
      <c r="J434" s="66">
        <f>IFERROR(VLOOKUP(I434,Jueces!$A$1:$B$11,2,FALSE),"")</f>
        <v>8</v>
      </c>
      <c r="K434" s="66" t="s">
        <v>797</v>
      </c>
      <c r="L434" s="66" t="s">
        <v>1969</v>
      </c>
    </row>
    <row r="435" spans="1:12" ht="30" customHeight="1" x14ac:dyDescent="0.2">
      <c r="A435" s="176" t="str">
        <f t="shared" si="12"/>
        <v>04/08/yyyy7</v>
      </c>
      <c r="B435" s="169">
        <f t="shared" si="13"/>
        <v>7</v>
      </c>
      <c r="C435" s="66" t="s">
        <v>1988</v>
      </c>
      <c r="D435" s="67" t="s">
        <v>2150</v>
      </c>
      <c r="E435" s="66">
        <v>4</v>
      </c>
      <c r="F435" s="66" t="s">
        <v>568</v>
      </c>
      <c r="G435" s="68">
        <v>45142</v>
      </c>
      <c r="H435" s="68" t="s">
        <v>2020</v>
      </c>
      <c r="I435" s="68" t="s">
        <v>33</v>
      </c>
      <c r="J435" s="66">
        <f>IFERROR(VLOOKUP(I435,Jueces!$A$1:$B$11,2,FALSE),"")</f>
        <v>4</v>
      </c>
      <c r="K435" s="66" t="s">
        <v>797</v>
      </c>
      <c r="L435" s="66" t="s">
        <v>1838</v>
      </c>
    </row>
    <row r="436" spans="1:12" ht="30" customHeight="1" x14ac:dyDescent="0.2">
      <c r="A436" s="176" t="str">
        <f t="shared" si="12"/>
        <v>07/08/yyyy1</v>
      </c>
      <c r="B436" s="169">
        <f t="shared" si="13"/>
        <v>1</v>
      </c>
      <c r="C436" s="6" t="s">
        <v>1995</v>
      </c>
      <c r="D436" s="40" t="s">
        <v>1961</v>
      </c>
      <c r="E436" s="6">
        <v>2</v>
      </c>
      <c r="F436" s="6" t="s">
        <v>29</v>
      </c>
      <c r="G436" s="18">
        <v>45145</v>
      </c>
      <c r="H436" s="18" t="s">
        <v>73</v>
      </c>
      <c r="I436" s="18" t="s">
        <v>33</v>
      </c>
      <c r="J436" s="6">
        <v>4</v>
      </c>
      <c r="K436" s="6" t="s">
        <v>1070</v>
      </c>
      <c r="L436" s="6" t="s">
        <v>1985</v>
      </c>
    </row>
    <row r="437" spans="1:12" ht="30" customHeight="1" x14ac:dyDescent="0.2">
      <c r="A437" s="176" t="str">
        <f t="shared" si="12"/>
        <v>07/08/yyyy2</v>
      </c>
      <c r="B437" s="169">
        <f t="shared" si="13"/>
        <v>2</v>
      </c>
      <c r="C437" s="66" t="s">
        <v>2036</v>
      </c>
      <c r="D437" s="67" t="s">
        <v>2037</v>
      </c>
      <c r="E437" s="66">
        <v>5</v>
      </c>
      <c r="F437" s="66" t="s">
        <v>43</v>
      </c>
      <c r="G437" s="68">
        <v>45145</v>
      </c>
      <c r="H437" s="68" t="s">
        <v>73</v>
      </c>
      <c r="I437" s="68" t="s">
        <v>1220</v>
      </c>
      <c r="J437" s="66">
        <f>IFERROR(VLOOKUP(I437,Jueces!$A$1:$B$11,2,FALSE),"")</f>
        <v>1</v>
      </c>
      <c r="K437" s="66" t="s">
        <v>813</v>
      </c>
      <c r="L437" s="66" t="s">
        <v>1965</v>
      </c>
    </row>
    <row r="438" spans="1:12" ht="30" customHeight="1" x14ac:dyDescent="0.2">
      <c r="A438" s="176" t="str">
        <f t="shared" si="12"/>
        <v>07/08/yyyy3</v>
      </c>
      <c r="B438" s="169">
        <f t="shared" si="13"/>
        <v>3</v>
      </c>
      <c r="C438" s="66" t="s">
        <v>2052</v>
      </c>
      <c r="D438" s="67" t="s">
        <v>2053</v>
      </c>
      <c r="E438" s="66">
        <v>5</v>
      </c>
      <c r="F438" s="66" t="s">
        <v>568</v>
      </c>
      <c r="G438" s="68">
        <v>45145</v>
      </c>
      <c r="H438" s="68" t="s">
        <v>73</v>
      </c>
      <c r="I438" s="68" t="s">
        <v>1222</v>
      </c>
      <c r="J438" s="66" t="s">
        <v>1326</v>
      </c>
      <c r="K438" s="66" t="s">
        <v>812</v>
      </c>
      <c r="L438" s="66" t="s">
        <v>1875</v>
      </c>
    </row>
    <row r="439" spans="1:12" ht="30" customHeight="1" x14ac:dyDescent="0.2">
      <c r="A439" s="176" t="str">
        <f t="shared" si="12"/>
        <v>07/08/yyyy4</v>
      </c>
      <c r="B439" s="169">
        <f t="shared" si="13"/>
        <v>4</v>
      </c>
      <c r="C439" s="66" t="s">
        <v>2078</v>
      </c>
      <c r="D439" s="67" t="s">
        <v>2079</v>
      </c>
      <c r="E439" s="66">
        <v>5</v>
      </c>
      <c r="F439" s="66" t="s">
        <v>283</v>
      </c>
      <c r="G439" s="68">
        <v>45145</v>
      </c>
      <c r="H439" s="68" t="s">
        <v>73</v>
      </c>
      <c r="I439" s="68" t="s">
        <v>31</v>
      </c>
      <c r="J439" s="66">
        <f>IFERROR(VLOOKUP(I439,Jueces!$A$1:$B$11,2,FALSE),"")</f>
        <v>2</v>
      </c>
      <c r="K439" s="66" t="s">
        <v>807</v>
      </c>
      <c r="L439" s="66" t="s">
        <v>2080</v>
      </c>
    </row>
    <row r="440" spans="1:12" ht="30" customHeight="1" x14ac:dyDescent="0.2">
      <c r="A440" s="176" t="str">
        <f t="shared" si="12"/>
        <v>07/08/yyyy5</v>
      </c>
      <c r="B440" s="169">
        <f t="shared" si="13"/>
        <v>5</v>
      </c>
      <c r="C440" s="66" t="s">
        <v>2084</v>
      </c>
      <c r="D440" s="67" t="s">
        <v>2101</v>
      </c>
      <c r="E440" s="66">
        <v>5</v>
      </c>
      <c r="F440" s="66" t="s">
        <v>1441</v>
      </c>
      <c r="G440" s="68">
        <v>45145</v>
      </c>
      <c r="H440" s="68" t="s">
        <v>73</v>
      </c>
      <c r="I440" s="68" t="s">
        <v>78</v>
      </c>
      <c r="J440" s="66">
        <f>IFERROR(VLOOKUP(I440,Jueces!$A$1:$B$11,2,FALSE),"")</f>
        <v>8</v>
      </c>
      <c r="K440" s="66" t="s">
        <v>798</v>
      </c>
      <c r="L440" s="66" t="s">
        <v>2097</v>
      </c>
    </row>
    <row r="441" spans="1:12" ht="30" customHeight="1" x14ac:dyDescent="0.2">
      <c r="A441" s="176" t="str">
        <f t="shared" si="12"/>
        <v>07/08/yyyy6</v>
      </c>
      <c r="B441" s="169">
        <f t="shared" si="13"/>
        <v>6</v>
      </c>
      <c r="C441" s="66" t="s">
        <v>2067</v>
      </c>
      <c r="D441" s="67" t="s">
        <v>2068</v>
      </c>
      <c r="E441" s="66">
        <v>2</v>
      </c>
      <c r="F441" s="66" t="s">
        <v>32</v>
      </c>
      <c r="G441" s="68">
        <v>45145</v>
      </c>
      <c r="H441" s="68" t="s">
        <v>1086</v>
      </c>
      <c r="I441" s="68" t="s">
        <v>35</v>
      </c>
      <c r="J441" s="66">
        <v>1</v>
      </c>
      <c r="K441" s="66" t="s">
        <v>807</v>
      </c>
      <c r="L441" s="66" t="s">
        <v>1965</v>
      </c>
    </row>
    <row r="442" spans="1:12" ht="30" customHeight="1" x14ac:dyDescent="0.2">
      <c r="A442" s="176" t="str">
        <f t="shared" si="12"/>
        <v>07/08/yyyy7</v>
      </c>
      <c r="B442" s="169">
        <f t="shared" si="13"/>
        <v>7</v>
      </c>
      <c r="C442" s="66" t="s">
        <v>1701</v>
      </c>
      <c r="D442" s="67" t="s">
        <v>2194</v>
      </c>
      <c r="E442" s="66">
        <v>3</v>
      </c>
      <c r="F442" s="66" t="s">
        <v>1441</v>
      </c>
      <c r="G442" s="68">
        <v>45145</v>
      </c>
      <c r="H442" s="68" t="s">
        <v>2020</v>
      </c>
      <c r="I442" s="68" t="s">
        <v>35</v>
      </c>
      <c r="J442" s="66" t="s">
        <v>1520</v>
      </c>
      <c r="K442" s="66" t="s">
        <v>1702</v>
      </c>
      <c r="L442" s="66" t="s">
        <v>694</v>
      </c>
    </row>
    <row r="443" spans="1:12" ht="30" customHeight="1" x14ac:dyDescent="0.2">
      <c r="A443" s="176" t="str">
        <f t="shared" si="12"/>
        <v>08/08/yyyy1</v>
      </c>
      <c r="B443" s="169">
        <f t="shared" si="13"/>
        <v>1</v>
      </c>
      <c r="C443" s="66" t="s">
        <v>2070</v>
      </c>
      <c r="D443" s="67" t="s">
        <v>2069</v>
      </c>
      <c r="E443" s="66">
        <v>5</v>
      </c>
      <c r="F443" s="66" t="s">
        <v>32</v>
      </c>
      <c r="G443" s="68">
        <v>45146</v>
      </c>
      <c r="H443" s="68" t="s">
        <v>73</v>
      </c>
      <c r="I443" s="68" t="s">
        <v>1223</v>
      </c>
      <c r="J443" s="66" t="s">
        <v>1326</v>
      </c>
      <c r="K443" s="66" t="s">
        <v>811</v>
      </c>
      <c r="L443" s="66" t="s">
        <v>1875</v>
      </c>
    </row>
    <row r="444" spans="1:12" ht="30" customHeight="1" x14ac:dyDescent="0.2">
      <c r="A444" s="176" t="str">
        <f t="shared" si="12"/>
        <v>08/08/yyyy2</v>
      </c>
      <c r="B444" s="169">
        <f t="shared" si="13"/>
        <v>2</v>
      </c>
      <c r="C444" s="66" t="s">
        <v>2099</v>
      </c>
      <c r="D444" s="67" t="s">
        <v>2100</v>
      </c>
      <c r="E444" s="66">
        <v>5</v>
      </c>
      <c r="F444" s="66" t="s">
        <v>43</v>
      </c>
      <c r="G444" s="68">
        <v>45146</v>
      </c>
      <c r="H444" s="68" t="s">
        <v>73</v>
      </c>
      <c r="I444" s="68" t="s">
        <v>1220</v>
      </c>
      <c r="J444" s="66" t="s">
        <v>1520</v>
      </c>
      <c r="K444" s="66" t="s">
        <v>809</v>
      </c>
      <c r="L444" s="66" t="s">
        <v>1965</v>
      </c>
    </row>
    <row r="445" spans="1:12" ht="30" customHeight="1" x14ac:dyDescent="0.2">
      <c r="A445" s="176" t="str">
        <f t="shared" si="12"/>
        <v>08/08/yyyy3</v>
      </c>
      <c r="B445" s="169">
        <f t="shared" si="13"/>
        <v>3</v>
      </c>
      <c r="C445" s="66" t="s">
        <v>2106</v>
      </c>
      <c r="D445" s="67" t="s">
        <v>2102</v>
      </c>
      <c r="E445" s="66">
        <v>7</v>
      </c>
      <c r="F445" s="66" t="s">
        <v>1442</v>
      </c>
      <c r="G445" s="68">
        <v>45146</v>
      </c>
      <c r="H445" s="68" t="s">
        <v>73</v>
      </c>
      <c r="I445" s="68" t="s">
        <v>78</v>
      </c>
      <c r="J445" s="66">
        <f>IFERROR(VLOOKUP(I445,Jueces!$A$1:$B$11,2,FALSE),"")</f>
        <v>8</v>
      </c>
      <c r="K445" s="66" t="s">
        <v>1306</v>
      </c>
      <c r="L445" s="66" t="s">
        <v>2103</v>
      </c>
    </row>
    <row r="446" spans="1:12" ht="30" customHeight="1" x14ac:dyDescent="0.2">
      <c r="A446" s="176" t="str">
        <f t="shared" si="12"/>
        <v>08/08/yyyy4</v>
      </c>
      <c r="B446" s="169">
        <f t="shared" si="13"/>
        <v>4</v>
      </c>
      <c r="C446" s="66" t="s">
        <v>2104</v>
      </c>
      <c r="D446" s="67" t="s">
        <v>2105</v>
      </c>
      <c r="E446" s="66">
        <v>5</v>
      </c>
      <c r="F446" s="66" t="s">
        <v>1443</v>
      </c>
      <c r="G446" s="68">
        <v>45146</v>
      </c>
      <c r="H446" s="68" t="s">
        <v>73</v>
      </c>
      <c r="I446" s="68" t="s">
        <v>1221</v>
      </c>
      <c r="J446" s="66">
        <f>IFERROR(VLOOKUP(I446,Jueces!$A$1:$B$11,2,FALSE),"")</f>
        <v>7</v>
      </c>
      <c r="K446" s="66" t="s">
        <v>813</v>
      </c>
      <c r="L446" s="66" t="s">
        <v>2125</v>
      </c>
    </row>
    <row r="447" spans="1:12" ht="30" customHeight="1" x14ac:dyDescent="0.2">
      <c r="A447" s="176" t="str">
        <f t="shared" si="12"/>
        <v>08/08/yyyy5</v>
      </c>
      <c r="B447" s="169">
        <f t="shared" si="13"/>
        <v>5</v>
      </c>
      <c r="C447" s="66" t="s">
        <v>2065</v>
      </c>
      <c r="D447" s="67" t="s">
        <v>2137</v>
      </c>
      <c r="E447" s="66">
        <v>4</v>
      </c>
      <c r="F447" s="66" t="s">
        <v>568</v>
      </c>
      <c r="G447" s="68">
        <v>45146</v>
      </c>
      <c r="H447" s="68" t="s">
        <v>73</v>
      </c>
      <c r="I447" s="68" t="s">
        <v>33</v>
      </c>
      <c r="J447" s="66">
        <f>IFERROR(VLOOKUP(I447,Jueces!$A$1:$B$11,2,FALSE),"")</f>
        <v>4</v>
      </c>
      <c r="K447" s="66" t="s">
        <v>802</v>
      </c>
      <c r="L447" s="66" t="s">
        <v>1838</v>
      </c>
    </row>
    <row r="448" spans="1:12" ht="30" customHeight="1" x14ac:dyDescent="0.2">
      <c r="A448" s="176" t="str">
        <f t="shared" si="12"/>
        <v>08/08/yyyy6</v>
      </c>
      <c r="B448" s="169">
        <f t="shared" si="13"/>
        <v>6</v>
      </c>
      <c r="C448" s="66" t="s">
        <v>1935</v>
      </c>
      <c r="D448" s="67" t="s">
        <v>2222</v>
      </c>
      <c r="E448" s="66">
        <v>4</v>
      </c>
      <c r="F448" s="66" t="s">
        <v>1441</v>
      </c>
      <c r="G448" s="68">
        <v>45146</v>
      </c>
      <c r="H448" s="68" t="s">
        <v>1086</v>
      </c>
      <c r="I448" s="68" t="s">
        <v>1221</v>
      </c>
      <c r="J448" s="66">
        <f>IFERROR(VLOOKUP(I448,Jueces!$A$1:$B$11,2,FALSE),"")</f>
        <v>7</v>
      </c>
      <c r="K448" s="66" t="s">
        <v>796</v>
      </c>
      <c r="L448" s="66" t="s">
        <v>1997</v>
      </c>
    </row>
    <row r="449" spans="1:12" ht="30" customHeight="1" x14ac:dyDescent="0.2">
      <c r="A449" s="176" t="str">
        <f t="shared" si="12"/>
        <v>09/08/yyyy1</v>
      </c>
      <c r="B449" s="169">
        <f t="shared" si="13"/>
        <v>1</v>
      </c>
      <c r="C449" s="66" t="s">
        <v>1814</v>
      </c>
      <c r="D449" s="67" t="s">
        <v>1819</v>
      </c>
      <c r="E449" s="66">
        <v>4</v>
      </c>
      <c r="F449" s="66" t="s">
        <v>283</v>
      </c>
      <c r="G449" s="68">
        <v>45147</v>
      </c>
      <c r="H449" s="68" t="s">
        <v>73</v>
      </c>
      <c r="I449" s="68" t="s">
        <v>33</v>
      </c>
      <c r="J449" s="66">
        <v>4</v>
      </c>
      <c r="K449" s="66" t="s">
        <v>803</v>
      </c>
      <c r="L449" s="66" t="s">
        <v>1838</v>
      </c>
    </row>
    <row r="450" spans="1:12" ht="30" customHeight="1" x14ac:dyDescent="0.2">
      <c r="A450" s="176" t="str">
        <f t="shared" si="12"/>
        <v>09/08/yyyy2</v>
      </c>
      <c r="B450" s="169">
        <f t="shared" si="13"/>
        <v>2</v>
      </c>
      <c r="C450" s="213" t="s">
        <v>2054</v>
      </c>
      <c r="D450" s="67" t="s">
        <v>2098</v>
      </c>
      <c r="E450" s="66">
        <v>1</v>
      </c>
      <c r="F450" s="66" t="s">
        <v>43</v>
      </c>
      <c r="G450" s="68">
        <v>45147</v>
      </c>
      <c r="H450" s="68" t="s">
        <v>73</v>
      </c>
      <c r="I450" s="68" t="s">
        <v>1220</v>
      </c>
      <c r="J450" s="66">
        <f>IFERROR(VLOOKUP(I450,Jueces!$A$1:$B$11,2,FALSE),"")</f>
        <v>1</v>
      </c>
      <c r="K450" s="66" t="s">
        <v>791</v>
      </c>
      <c r="L450" s="66" t="s">
        <v>694</v>
      </c>
    </row>
    <row r="451" spans="1:12" ht="30" customHeight="1" x14ac:dyDescent="0.2">
      <c r="A451" s="176" t="str">
        <f t="shared" ref="A451:A514" si="14">CONCATENATE(TEXT($G451,"dd/mm/yyyy"),$B451)</f>
        <v>09/08/yyyy3</v>
      </c>
      <c r="B451" s="169">
        <f t="shared" si="13"/>
        <v>3</v>
      </c>
      <c r="C451" s="66" t="s">
        <v>2113</v>
      </c>
      <c r="D451" s="67" t="s">
        <v>2309</v>
      </c>
      <c r="E451" s="66">
        <v>5</v>
      </c>
      <c r="F451" s="66" t="s">
        <v>32</v>
      </c>
      <c r="G451" s="68">
        <v>45147</v>
      </c>
      <c r="H451" s="68" t="s">
        <v>73</v>
      </c>
      <c r="I451" s="68" t="s">
        <v>35</v>
      </c>
      <c r="J451" s="66">
        <v>3</v>
      </c>
      <c r="K451" s="66" t="s">
        <v>809</v>
      </c>
      <c r="L451" s="66" t="s">
        <v>1965</v>
      </c>
    </row>
    <row r="452" spans="1:12" ht="30" customHeight="1" x14ac:dyDescent="0.2">
      <c r="A452" s="176" t="str">
        <f t="shared" si="14"/>
        <v>09/08/yyyy4</v>
      </c>
      <c r="B452" s="169">
        <f t="shared" ref="B452:B515" si="15">IF($G452=$G451,$B451+1,1)</f>
        <v>4</v>
      </c>
      <c r="C452" s="66" t="s">
        <v>1109</v>
      </c>
      <c r="D452" s="67" t="s">
        <v>2133</v>
      </c>
      <c r="E452" s="66">
        <v>2</v>
      </c>
      <c r="F452" s="66" t="s">
        <v>1443</v>
      </c>
      <c r="G452" s="68">
        <v>45147</v>
      </c>
      <c r="H452" s="68" t="s">
        <v>73</v>
      </c>
      <c r="I452" s="68" t="s">
        <v>31</v>
      </c>
      <c r="J452" s="66">
        <v>8</v>
      </c>
      <c r="K452" s="66" t="s">
        <v>811</v>
      </c>
      <c r="L452" s="66" t="s">
        <v>711</v>
      </c>
    </row>
    <row r="453" spans="1:12" ht="30" customHeight="1" x14ac:dyDescent="0.2">
      <c r="A453" s="176" t="str">
        <f t="shared" si="14"/>
        <v>09/08/yyyy5</v>
      </c>
      <c r="B453" s="169">
        <f t="shared" si="15"/>
        <v>5</v>
      </c>
      <c r="C453" s="66" t="s">
        <v>2123</v>
      </c>
      <c r="D453" s="67" t="s">
        <v>2124</v>
      </c>
      <c r="E453" s="66">
        <v>5</v>
      </c>
      <c r="F453" s="66" t="s">
        <v>1442</v>
      </c>
      <c r="G453" s="68">
        <v>45147</v>
      </c>
      <c r="H453" s="68" t="s">
        <v>1086</v>
      </c>
      <c r="I453" s="68" t="s">
        <v>1224</v>
      </c>
      <c r="J453" s="66" t="s">
        <v>1346</v>
      </c>
      <c r="K453" s="66" t="s">
        <v>807</v>
      </c>
      <c r="L453" s="66" t="s">
        <v>2142</v>
      </c>
    </row>
    <row r="454" spans="1:12" ht="30" customHeight="1" x14ac:dyDescent="0.2">
      <c r="A454" s="176" t="str">
        <f t="shared" si="14"/>
        <v>09/08/yyyy6</v>
      </c>
      <c r="B454" s="169">
        <f t="shared" si="15"/>
        <v>6</v>
      </c>
      <c r="C454" s="66" t="s">
        <v>2135</v>
      </c>
      <c r="D454" s="67" t="s">
        <v>2136</v>
      </c>
      <c r="E454" s="66">
        <v>6</v>
      </c>
      <c r="F454" s="66" t="s">
        <v>29</v>
      </c>
      <c r="G454" s="68">
        <v>45147</v>
      </c>
      <c r="H454" s="68" t="s">
        <v>1210</v>
      </c>
      <c r="I454" s="68" t="s">
        <v>1224</v>
      </c>
      <c r="J454" s="66">
        <v>2</v>
      </c>
      <c r="K454" s="66" t="s">
        <v>807</v>
      </c>
      <c r="L454" s="66" t="s">
        <v>2125</v>
      </c>
    </row>
    <row r="455" spans="1:12" ht="30" customHeight="1" x14ac:dyDescent="0.2">
      <c r="A455" s="176" t="str">
        <f t="shared" si="14"/>
        <v>10/08/yyyy1</v>
      </c>
      <c r="B455" s="169">
        <f t="shared" si="15"/>
        <v>1</v>
      </c>
      <c r="C455" s="66" t="s">
        <v>2114</v>
      </c>
      <c r="D455" s="67" t="s">
        <v>2247</v>
      </c>
      <c r="E455" s="66">
        <v>5</v>
      </c>
      <c r="F455" s="66" t="s">
        <v>1443</v>
      </c>
      <c r="G455" s="68">
        <v>45148</v>
      </c>
      <c r="H455" s="68" t="s">
        <v>73</v>
      </c>
      <c r="I455" s="68" t="s">
        <v>31</v>
      </c>
      <c r="J455" s="66">
        <f>IFERROR(VLOOKUP(I455,Jueces!$A$1:$B$11,2,FALSE),"")</f>
        <v>2</v>
      </c>
      <c r="K455" s="66" t="s">
        <v>809</v>
      </c>
      <c r="L455" s="66" t="s">
        <v>2254</v>
      </c>
    </row>
    <row r="456" spans="1:12" ht="30" customHeight="1" x14ac:dyDescent="0.2">
      <c r="A456" s="176" t="str">
        <f t="shared" si="14"/>
        <v>10/08/yyyy2</v>
      </c>
      <c r="B456" s="169">
        <f t="shared" si="15"/>
        <v>2</v>
      </c>
      <c r="C456" s="66" t="s">
        <v>2157</v>
      </c>
      <c r="D456" s="67" t="s">
        <v>2248</v>
      </c>
      <c r="E456" s="66">
        <v>7</v>
      </c>
      <c r="F456" s="66" t="s">
        <v>1441</v>
      </c>
      <c r="G456" s="68">
        <v>45148</v>
      </c>
      <c r="H456" s="68" t="s">
        <v>73</v>
      </c>
      <c r="I456" s="68" t="s">
        <v>35</v>
      </c>
      <c r="J456" s="66">
        <f>IFERROR(VLOOKUP(I456,Jueces!$A$1:$B$11,2,FALSE),"")</f>
        <v>3</v>
      </c>
      <c r="K456" s="66" t="s">
        <v>807</v>
      </c>
      <c r="L456" s="66" t="s">
        <v>2048</v>
      </c>
    </row>
    <row r="457" spans="1:12" ht="30" customHeight="1" x14ac:dyDescent="0.2">
      <c r="A457" s="176" t="str">
        <f t="shared" si="14"/>
        <v>10/08/yyyy3</v>
      </c>
      <c r="B457" s="169">
        <f t="shared" si="15"/>
        <v>3</v>
      </c>
      <c r="C457" s="66" t="s">
        <v>2178</v>
      </c>
      <c r="D457" s="67" t="s">
        <v>2249</v>
      </c>
      <c r="E457" s="66">
        <v>5</v>
      </c>
      <c r="F457" s="66" t="s">
        <v>29</v>
      </c>
      <c r="G457" s="68">
        <v>45148</v>
      </c>
      <c r="H457" s="68" t="s">
        <v>73</v>
      </c>
      <c r="I457" s="68" t="s">
        <v>1222</v>
      </c>
      <c r="J457" s="66" t="s">
        <v>2182</v>
      </c>
      <c r="K457" s="66" t="s">
        <v>812</v>
      </c>
      <c r="L457" s="66" t="s">
        <v>1965</v>
      </c>
    </row>
    <row r="458" spans="1:12" ht="30" customHeight="1" x14ac:dyDescent="0.2">
      <c r="A458" s="176" t="str">
        <f t="shared" si="14"/>
        <v>10/08/yyyy4</v>
      </c>
      <c r="B458" s="169">
        <f t="shared" si="15"/>
        <v>4</v>
      </c>
      <c r="C458" s="66" t="s">
        <v>2174</v>
      </c>
      <c r="D458" s="67" t="s">
        <v>2250</v>
      </c>
      <c r="E458" s="66">
        <v>5</v>
      </c>
      <c r="F458" s="66" t="s">
        <v>1442</v>
      </c>
      <c r="G458" s="68">
        <v>45148</v>
      </c>
      <c r="H458" s="73" t="s">
        <v>1086</v>
      </c>
      <c r="I458" s="68" t="s">
        <v>1220</v>
      </c>
      <c r="J458" s="66">
        <f>IFERROR(VLOOKUP(I458,Jueces!$A$1:$B$11,2,FALSE),"")</f>
        <v>1</v>
      </c>
      <c r="K458" s="66" t="s">
        <v>813</v>
      </c>
      <c r="L458" s="66" t="s">
        <v>2260</v>
      </c>
    </row>
    <row r="459" spans="1:12" ht="30" customHeight="1" x14ac:dyDescent="0.2">
      <c r="A459" s="176" t="str">
        <f t="shared" si="14"/>
        <v>11/08/yyyy1</v>
      </c>
      <c r="B459" s="169">
        <f t="shared" si="15"/>
        <v>1</v>
      </c>
      <c r="C459" s="66" t="s">
        <v>2086</v>
      </c>
      <c r="D459" s="67" t="s">
        <v>2087</v>
      </c>
      <c r="E459" s="66">
        <v>4</v>
      </c>
      <c r="F459" s="66" t="s">
        <v>568</v>
      </c>
      <c r="G459" s="68">
        <v>45149</v>
      </c>
      <c r="H459" s="68" t="s">
        <v>73</v>
      </c>
      <c r="I459" s="68" t="s">
        <v>35</v>
      </c>
      <c r="J459" s="66">
        <f>IFERROR(VLOOKUP(I459,Jueces!$A$1:$B$11,2,FALSE),"")</f>
        <v>3</v>
      </c>
      <c r="K459" s="66" t="s">
        <v>801</v>
      </c>
      <c r="L459" s="66" t="s">
        <v>1875</v>
      </c>
    </row>
    <row r="460" spans="1:12" ht="30" customHeight="1" x14ac:dyDescent="0.2">
      <c r="A460" s="176" t="str">
        <f t="shared" si="14"/>
        <v>11/08/yyyy2</v>
      </c>
      <c r="B460" s="169">
        <f t="shared" si="15"/>
        <v>2</v>
      </c>
      <c r="C460" s="66" t="s">
        <v>2158</v>
      </c>
      <c r="D460" s="67" t="s">
        <v>2239</v>
      </c>
      <c r="E460" s="66">
        <v>4</v>
      </c>
      <c r="F460" s="66" t="s">
        <v>32</v>
      </c>
      <c r="G460" s="68">
        <v>45149</v>
      </c>
      <c r="H460" s="68" t="s">
        <v>73</v>
      </c>
      <c r="I460" s="68" t="s">
        <v>1220</v>
      </c>
      <c r="J460" s="66">
        <f>IFERROR(VLOOKUP(I460,Jueces!$A$1:$B$11,2,FALSE),"")</f>
        <v>1</v>
      </c>
      <c r="K460" s="66" t="s">
        <v>789</v>
      </c>
      <c r="L460" s="66" t="s">
        <v>1838</v>
      </c>
    </row>
    <row r="461" spans="1:12" ht="30" customHeight="1" x14ac:dyDescent="0.2">
      <c r="A461" s="176" t="str">
        <f t="shared" si="14"/>
        <v>11/08/yyyy3</v>
      </c>
      <c r="B461" s="169">
        <f t="shared" si="15"/>
        <v>3</v>
      </c>
      <c r="C461" s="66" t="s">
        <v>2162</v>
      </c>
      <c r="D461" s="67" t="s">
        <v>2188</v>
      </c>
      <c r="E461" s="66">
        <v>6</v>
      </c>
      <c r="F461" s="66" t="s">
        <v>29</v>
      </c>
      <c r="G461" s="68">
        <v>45149</v>
      </c>
      <c r="H461" s="68" t="s">
        <v>73</v>
      </c>
      <c r="I461" s="68" t="s">
        <v>31</v>
      </c>
      <c r="J461" s="66">
        <f>IFERROR(VLOOKUP(I461,Jueces!$A$1:$B$11,2,FALSE),"")</f>
        <v>2</v>
      </c>
      <c r="K461" s="66" t="s">
        <v>812</v>
      </c>
      <c r="L461" s="66" t="s">
        <v>2125</v>
      </c>
    </row>
    <row r="462" spans="1:12" ht="30" customHeight="1" x14ac:dyDescent="0.2">
      <c r="A462" s="176" t="str">
        <f t="shared" si="14"/>
        <v>11/08/yyyy4</v>
      </c>
      <c r="B462" s="169">
        <f t="shared" si="15"/>
        <v>4</v>
      </c>
      <c r="C462" s="66" t="s">
        <v>2172</v>
      </c>
      <c r="D462" s="67" t="s">
        <v>2173</v>
      </c>
      <c r="E462" s="66">
        <v>5</v>
      </c>
      <c r="F462" s="66" t="s">
        <v>43</v>
      </c>
      <c r="G462" s="68">
        <v>45149</v>
      </c>
      <c r="H462" s="68" t="s">
        <v>73</v>
      </c>
      <c r="I462" s="68" t="s">
        <v>1221</v>
      </c>
      <c r="J462" s="66">
        <f>IFERROR(VLOOKUP(I462,Jueces!$A$1:$B$11,2,FALSE),"")</f>
        <v>7</v>
      </c>
      <c r="K462" s="66" t="s">
        <v>811</v>
      </c>
      <c r="L462" s="66" t="s">
        <v>1965</v>
      </c>
    </row>
    <row r="463" spans="1:12" ht="30" customHeight="1" x14ac:dyDescent="0.2">
      <c r="A463" s="176" t="str">
        <f t="shared" si="14"/>
        <v>11/08/yyyy5</v>
      </c>
      <c r="B463" s="169">
        <f t="shared" si="15"/>
        <v>5</v>
      </c>
      <c r="C463" s="66" t="s">
        <v>2208</v>
      </c>
      <c r="D463" s="67" t="s">
        <v>2209</v>
      </c>
      <c r="E463" s="66">
        <v>6</v>
      </c>
      <c r="F463" s="66" t="s">
        <v>1443</v>
      </c>
      <c r="G463" s="68">
        <v>45149</v>
      </c>
      <c r="H463" s="73" t="s">
        <v>73</v>
      </c>
      <c r="I463" s="68" t="s">
        <v>1223</v>
      </c>
      <c r="J463" s="66" t="s">
        <v>2266</v>
      </c>
      <c r="K463" s="66" t="s">
        <v>508</v>
      </c>
      <c r="L463" s="66" t="s">
        <v>2125</v>
      </c>
    </row>
    <row r="464" spans="1:12" ht="30" customHeight="1" x14ac:dyDescent="0.2">
      <c r="A464" s="176" t="str">
        <f t="shared" si="14"/>
        <v>11/08/yyyy6</v>
      </c>
      <c r="B464" s="169">
        <f t="shared" si="15"/>
        <v>6</v>
      </c>
      <c r="C464" s="66" t="s">
        <v>2163</v>
      </c>
      <c r="D464" s="67" t="s">
        <v>2251</v>
      </c>
      <c r="E464" s="66">
        <v>6</v>
      </c>
      <c r="F464" s="66" t="s">
        <v>283</v>
      </c>
      <c r="G464" s="68">
        <v>45149</v>
      </c>
      <c r="H464" s="68" t="s">
        <v>1086</v>
      </c>
      <c r="I464" s="68" t="s">
        <v>1223</v>
      </c>
      <c r="J464" s="66" t="s">
        <v>1520</v>
      </c>
      <c r="K464" s="66" t="s">
        <v>788</v>
      </c>
      <c r="L464" s="66" t="s">
        <v>2125</v>
      </c>
    </row>
    <row r="465" spans="1:12" ht="30" customHeight="1" x14ac:dyDescent="0.2">
      <c r="A465" s="176" t="str">
        <f t="shared" si="14"/>
        <v>11/08/yyyy7</v>
      </c>
      <c r="B465" s="169">
        <f t="shared" si="15"/>
        <v>7</v>
      </c>
      <c r="C465" s="66" t="s">
        <v>2176</v>
      </c>
      <c r="D465" s="67" t="s">
        <v>2177</v>
      </c>
      <c r="E465" s="66">
        <v>5</v>
      </c>
      <c r="F465" s="66" t="s">
        <v>1441</v>
      </c>
      <c r="G465" s="68">
        <v>45149</v>
      </c>
      <c r="H465" s="68" t="s">
        <v>1086</v>
      </c>
      <c r="I465" s="68" t="s">
        <v>33</v>
      </c>
      <c r="J465" s="66">
        <f>IFERROR(VLOOKUP(I465,Jueces!$A$1:$B$11,2,FALSE),"")</f>
        <v>4</v>
      </c>
      <c r="K465" s="66" t="s">
        <v>811</v>
      </c>
      <c r="L465" s="66" t="s">
        <v>1965</v>
      </c>
    </row>
    <row r="466" spans="1:12" ht="30" customHeight="1" x14ac:dyDescent="0.2">
      <c r="A466" s="176" t="str">
        <f t="shared" si="14"/>
        <v>14/08/yyyy1</v>
      </c>
      <c r="B466" s="169">
        <f t="shared" si="15"/>
        <v>1</v>
      </c>
      <c r="C466" s="66" t="s">
        <v>2160</v>
      </c>
      <c r="D466" s="67" t="s">
        <v>2161</v>
      </c>
      <c r="E466" s="66">
        <v>6</v>
      </c>
      <c r="F466" s="66" t="s">
        <v>1441</v>
      </c>
      <c r="G466" s="68">
        <v>45152</v>
      </c>
      <c r="H466" s="68" t="s">
        <v>73</v>
      </c>
      <c r="I466" s="68" t="s">
        <v>35</v>
      </c>
      <c r="J466" s="66">
        <f>IFERROR(VLOOKUP(I466,Jueces!$A$1:$B$11,2,FALSE),"")</f>
        <v>3</v>
      </c>
      <c r="K466" s="66" t="s">
        <v>811</v>
      </c>
      <c r="L466" s="66" t="s">
        <v>2125</v>
      </c>
    </row>
    <row r="467" spans="1:12" ht="30" customHeight="1" x14ac:dyDescent="0.2">
      <c r="A467" s="176" t="str">
        <f t="shared" si="14"/>
        <v>14/08/yyyy2</v>
      </c>
      <c r="B467" s="169">
        <f t="shared" si="15"/>
        <v>2</v>
      </c>
      <c r="C467" s="66" t="s">
        <v>2180</v>
      </c>
      <c r="D467" s="67" t="s">
        <v>2181</v>
      </c>
      <c r="E467" s="66">
        <v>5</v>
      </c>
      <c r="F467" s="66" t="s">
        <v>1443</v>
      </c>
      <c r="G467" s="68">
        <v>45152</v>
      </c>
      <c r="H467" s="68" t="s">
        <v>73</v>
      </c>
      <c r="I467" s="68" t="s">
        <v>78</v>
      </c>
      <c r="J467" s="66">
        <v>8</v>
      </c>
      <c r="K467" s="66" t="s">
        <v>1702</v>
      </c>
      <c r="L467" s="66" t="s">
        <v>1028</v>
      </c>
    </row>
    <row r="468" spans="1:12" ht="30" customHeight="1" x14ac:dyDescent="0.2">
      <c r="A468" s="176" t="str">
        <f t="shared" si="14"/>
        <v>14/08/yyyy3</v>
      </c>
      <c r="B468" s="169">
        <f t="shared" si="15"/>
        <v>3</v>
      </c>
      <c r="C468" s="66" t="s">
        <v>2200</v>
      </c>
      <c r="D468" s="67" t="s">
        <v>2220</v>
      </c>
      <c r="E468" s="66">
        <v>6</v>
      </c>
      <c r="F468" s="66" t="s">
        <v>32</v>
      </c>
      <c r="G468" s="68">
        <v>45152</v>
      </c>
      <c r="H468" s="68" t="s">
        <v>73</v>
      </c>
      <c r="I468" s="68" t="s">
        <v>1222</v>
      </c>
      <c r="J468" s="66">
        <v>5</v>
      </c>
      <c r="K468" s="66" t="s">
        <v>809</v>
      </c>
      <c r="L468" s="66" t="s">
        <v>2219</v>
      </c>
    </row>
    <row r="469" spans="1:12" ht="30" customHeight="1" x14ac:dyDescent="0.2">
      <c r="A469" s="176" t="str">
        <f t="shared" si="14"/>
        <v>14/08/yyyy4</v>
      </c>
      <c r="B469" s="169">
        <f t="shared" si="15"/>
        <v>4</v>
      </c>
      <c r="C469" s="66" t="s">
        <v>1931</v>
      </c>
      <c r="D469" s="67" t="s">
        <v>2164</v>
      </c>
      <c r="E469" s="66">
        <v>4</v>
      </c>
      <c r="F469" s="66" t="s">
        <v>568</v>
      </c>
      <c r="G469" s="68">
        <v>45152</v>
      </c>
      <c r="H469" s="68" t="s">
        <v>1086</v>
      </c>
      <c r="I469" s="68" t="s">
        <v>33</v>
      </c>
      <c r="J469" s="66">
        <f>IFERROR(VLOOKUP(I469,Jueces!$A$1:$B$11,2,FALSE),"")</f>
        <v>4</v>
      </c>
      <c r="K469" s="66" t="s">
        <v>811</v>
      </c>
      <c r="L469" s="66" t="s">
        <v>1838</v>
      </c>
    </row>
    <row r="470" spans="1:12" ht="30" customHeight="1" x14ac:dyDescent="0.2">
      <c r="A470" s="176" t="str">
        <f t="shared" si="14"/>
        <v>14/08/yyyy5</v>
      </c>
      <c r="B470" s="169">
        <f t="shared" si="15"/>
        <v>5</v>
      </c>
      <c r="C470" s="66" t="s">
        <v>2185</v>
      </c>
      <c r="D470" s="67" t="s">
        <v>2184</v>
      </c>
      <c r="E470" s="66">
        <v>5</v>
      </c>
      <c r="F470" s="66" t="s">
        <v>43</v>
      </c>
      <c r="G470" s="68">
        <v>45152</v>
      </c>
      <c r="H470" s="68" t="s">
        <v>1086</v>
      </c>
      <c r="I470" s="68" t="s">
        <v>1224</v>
      </c>
      <c r="J470" s="66">
        <v>2</v>
      </c>
      <c r="K470" s="66" t="s">
        <v>2090</v>
      </c>
      <c r="L470" s="66" t="s">
        <v>783</v>
      </c>
    </row>
    <row r="471" spans="1:12" ht="30" customHeight="1" x14ac:dyDescent="0.2">
      <c r="A471" s="176" t="str">
        <f t="shared" si="14"/>
        <v>14/08/yyyy6</v>
      </c>
      <c r="B471" s="169">
        <f t="shared" si="15"/>
        <v>6</v>
      </c>
      <c r="C471" s="66" t="s">
        <v>2192</v>
      </c>
      <c r="D471" s="67" t="s">
        <v>2193</v>
      </c>
      <c r="E471" s="66">
        <v>6</v>
      </c>
      <c r="F471" s="66" t="s">
        <v>1442</v>
      </c>
      <c r="G471" s="68">
        <v>45152</v>
      </c>
      <c r="H471" s="68" t="s">
        <v>1086</v>
      </c>
      <c r="I471" s="68" t="s">
        <v>1223</v>
      </c>
      <c r="J471" s="66" t="s">
        <v>1925</v>
      </c>
      <c r="K471" s="66" t="s">
        <v>2090</v>
      </c>
      <c r="L471" s="66" t="s">
        <v>2125</v>
      </c>
    </row>
    <row r="472" spans="1:12" ht="30" customHeight="1" x14ac:dyDescent="0.2">
      <c r="A472" s="176" t="str">
        <f t="shared" si="14"/>
        <v>15/08/yyyy1</v>
      </c>
      <c r="B472" s="169">
        <f t="shared" si="15"/>
        <v>1</v>
      </c>
      <c r="C472" s="66" t="s">
        <v>2186</v>
      </c>
      <c r="D472" s="67" t="s">
        <v>2187</v>
      </c>
      <c r="E472" s="66">
        <v>4</v>
      </c>
      <c r="F472" s="66" t="s">
        <v>29</v>
      </c>
      <c r="G472" s="68">
        <v>45153</v>
      </c>
      <c r="H472" s="68" t="s">
        <v>73</v>
      </c>
      <c r="I472" s="68" t="s">
        <v>31</v>
      </c>
      <c r="J472" s="66">
        <f>IFERROR(VLOOKUP(I472,Jueces!$A$1:$B$11,2,FALSE),"")</f>
        <v>2</v>
      </c>
      <c r="K472" s="66" t="s">
        <v>798</v>
      </c>
      <c r="L472" s="66" t="s">
        <v>695</v>
      </c>
    </row>
    <row r="473" spans="1:12" ht="30" customHeight="1" x14ac:dyDescent="0.2">
      <c r="A473" s="176" t="str">
        <f t="shared" si="14"/>
        <v>15/08/yyyy2</v>
      </c>
      <c r="B473" s="169">
        <f t="shared" si="15"/>
        <v>2</v>
      </c>
      <c r="C473" s="66" t="s">
        <v>2218</v>
      </c>
      <c r="D473" s="67" t="s">
        <v>2199</v>
      </c>
      <c r="E473" s="66">
        <v>6</v>
      </c>
      <c r="F473" s="66" t="s">
        <v>283</v>
      </c>
      <c r="G473" s="68">
        <v>45153</v>
      </c>
      <c r="H473" s="68" t="s">
        <v>73</v>
      </c>
      <c r="I473" s="68" t="s">
        <v>1221</v>
      </c>
      <c r="J473" s="66" t="s">
        <v>2304</v>
      </c>
      <c r="K473" s="66" t="s">
        <v>1070</v>
      </c>
      <c r="L473" s="66" t="s">
        <v>2125</v>
      </c>
    </row>
    <row r="474" spans="1:12" ht="30" customHeight="1" x14ac:dyDescent="0.2">
      <c r="A474" s="176" t="str">
        <f t="shared" si="14"/>
        <v>15/08/yyyy3</v>
      </c>
      <c r="B474" s="169">
        <f t="shared" si="15"/>
        <v>3</v>
      </c>
      <c r="C474" s="66" t="s">
        <v>2211</v>
      </c>
      <c r="D474" s="67" t="s">
        <v>2212</v>
      </c>
      <c r="E474" s="66">
        <v>2</v>
      </c>
      <c r="F474" s="66" t="s">
        <v>43</v>
      </c>
      <c r="G474" s="68">
        <v>45153</v>
      </c>
      <c r="H474" s="68" t="s">
        <v>73</v>
      </c>
      <c r="I474" s="68" t="s">
        <v>1222</v>
      </c>
      <c r="J474" s="66" t="s">
        <v>1925</v>
      </c>
      <c r="K474" s="66" t="s">
        <v>809</v>
      </c>
      <c r="L474" s="66" t="s">
        <v>1965</v>
      </c>
    </row>
    <row r="475" spans="1:12" ht="30" customHeight="1" x14ac:dyDescent="0.2">
      <c r="A475" s="176" t="str">
        <f t="shared" si="14"/>
        <v>15/08/yyyy4</v>
      </c>
      <c r="B475" s="169">
        <f t="shared" si="15"/>
        <v>4</v>
      </c>
      <c r="C475" s="66" t="s">
        <v>2226</v>
      </c>
      <c r="D475" s="67" t="s">
        <v>2223</v>
      </c>
      <c r="E475" s="66">
        <v>5</v>
      </c>
      <c r="F475" s="66" t="s">
        <v>568</v>
      </c>
      <c r="G475" s="68">
        <v>45153</v>
      </c>
      <c r="H475" s="68" t="s">
        <v>73</v>
      </c>
      <c r="I475" s="68" t="s">
        <v>35</v>
      </c>
      <c r="J475" s="66">
        <f>IFERROR(VLOOKUP(I475,Jueces!$A$1:$B$11,2,FALSE),"")</f>
        <v>3</v>
      </c>
      <c r="K475" s="66" t="s">
        <v>806</v>
      </c>
      <c r="L475" s="66" t="s">
        <v>1875</v>
      </c>
    </row>
    <row r="476" spans="1:12" ht="30" customHeight="1" x14ac:dyDescent="0.2">
      <c r="A476" s="176" t="str">
        <f t="shared" si="14"/>
        <v>15/08/yyyy5</v>
      </c>
      <c r="B476" s="169">
        <f t="shared" si="15"/>
        <v>5</v>
      </c>
      <c r="C476" s="66" t="s">
        <v>2213</v>
      </c>
      <c r="D476" s="67" t="s">
        <v>2214</v>
      </c>
      <c r="E476" s="66">
        <v>6</v>
      </c>
      <c r="F476" s="66" t="s">
        <v>32</v>
      </c>
      <c r="G476" s="68">
        <v>45153</v>
      </c>
      <c r="H476" s="68" t="s">
        <v>547</v>
      </c>
      <c r="I476" s="68" t="s">
        <v>1220</v>
      </c>
      <c r="J476" s="66">
        <f>IFERROR(VLOOKUP(I476,Jueces!$A$1:$B$11,2,FALSE),"")</f>
        <v>1</v>
      </c>
      <c r="K476" s="66" t="s">
        <v>809</v>
      </c>
      <c r="L476" s="66" t="s">
        <v>2125</v>
      </c>
    </row>
    <row r="477" spans="1:12" ht="30" customHeight="1" x14ac:dyDescent="0.2">
      <c r="A477" s="176" t="str">
        <f t="shared" si="14"/>
        <v>16/08/yyyy1</v>
      </c>
      <c r="B477" s="169">
        <f t="shared" si="15"/>
        <v>1</v>
      </c>
      <c r="C477" s="66" t="s">
        <v>2159</v>
      </c>
      <c r="D477" s="67" t="s">
        <v>2217</v>
      </c>
      <c r="E477" s="66">
        <v>6</v>
      </c>
      <c r="F477" s="66" t="s">
        <v>29</v>
      </c>
      <c r="G477" s="68">
        <v>45154</v>
      </c>
      <c r="H477" s="68" t="s">
        <v>73</v>
      </c>
      <c r="I477" s="68" t="s">
        <v>1220</v>
      </c>
      <c r="J477" s="66">
        <f>IFERROR(VLOOKUP(I477,Jueces!$A$1:$B$11,2,FALSE),"")</f>
        <v>1</v>
      </c>
      <c r="K477" s="66" t="s">
        <v>812</v>
      </c>
      <c r="L477" s="66" t="s">
        <v>2125</v>
      </c>
    </row>
    <row r="478" spans="1:12" ht="30" customHeight="1" x14ac:dyDescent="0.2">
      <c r="A478" s="176" t="str">
        <f t="shared" si="14"/>
        <v>16/08/yyyy2</v>
      </c>
      <c r="B478" s="169">
        <f t="shared" si="15"/>
        <v>2</v>
      </c>
      <c r="C478" s="66" t="s">
        <v>2227</v>
      </c>
      <c r="D478" s="67" t="s">
        <v>2224</v>
      </c>
      <c r="E478" s="66">
        <v>5</v>
      </c>
      <c r="F478" s="66" t="s">
        <v>1442</v>
      </c>
      <c r="G478" s="68">
        <v>45154</v>
      </c>
      <c r="H478" s="68" t="s">
        <v>73</v>
      </c>
      <c r="I478" s="68" t="s">
        <v>78</v>
      </c>
      <c r="J478" s="66">
        <f>IFERROR(VLOOKUP(I478,Jueces!$A$1:$B$11,2,FALSE),"")</f>
        <v>8</v>
      </c>
      <c r="K478" s="66" t="s">
        <v>813</v>
      </c>
      <c r="L478" s="66" t="s">
        <v>1965</v>
      </c>
    </row>
    <row r="479" spans="1:12" ht="30" customHeight="1" x14ac:dyDescent="0.2">
      <c r="A479" s="176" t="str">
        <f t="shared" si="14"/>
        <v>16/08/yyyy3</v>
      </c>
      <c r="B479" s="169">
        <f t="shared" si="15"/>
        <v>3</v>
      </c>
      <c r="C479" s="66" t="s">
        <v>2236</v>
      </c>
      <c r="D479" s="67" t="s">
        <v>2361</v>
      </c>
      <c r="E479" s="66">
        <v>6</v>
      </c>
      <c r="F479" s="66" t="s">
        <v>283</v>
      </c>
      <c r="G479" s="68">
        <v>45154</v>
      </c>
      <c r="H479" s="68" t="s">
        <v>73</v>
      </c>
      <c r="I479" s="68" t="s">
        <v>31</v>
      </c>
      <c r="J479" s="66">
        <f>IFERROR(VLOOKUP(I479,Jueces!$A$1:$B$11,2,FALSE),"")</f>
        <v>2</v>
      </c>
      <c r="K479" s="66" t="s">
        <v>1414</v>
      </c>
      <c r="L479" s="66" t="s">
        <v>2219</v>
      </c>
    </row>
    <row r="480" spans="1:12" ht="30" customHeight="1" x14ac:dyDescent="0.2">
      <c r="A480" s="176" t="str">
        <f t="shared" si="14"/>
        <v>16/08/yyyy4</v>
      </c>
      <c r="B480" s="169">
        <f t="shared" si="15"/>
        <v>4</v>
      </c>
      <c r="C480" s="66" t="s">
        <v>2234</v>
      </c>
      <c r="D480" s="67" t="s">
        <v>2216</v>
      </c>
      <c r="E480" s="66">
        <v>6</v>
      </c>
      <c r="F480" s="66" t="s">
        <v>32</v>
      </c>
      <c r="G480" s="68">
        <v>45154</v>
      </c>
      <c r="H480" s="68" t="s">
        <v>1086</v>
      </c>
      <c r="I480" s="68" t="s">
        <v>1222</v>
      </c>
      <c r="J480" s="66" t="s">
        <v>1346</v>
      </c>
      <c r="K480" s="66" t="s">
        <v>812</v>
      </c>
      <c r="L480" s="66" t="s">
        <v>2125</v>
      </c>
    </row>
    <row r="481" spans="1:12" ht="30" customHeight="1" x14ac:dyDescent="0.2">
      <c r="A481" s="176" t="str">
        <f t="shared" si="14"/>
        <v>16/08/yyyy5</v>
      </c>
      <c r="B481" s="169">
        <f t="shared" si="15"/>
        <v>5</v>
      </c>
      <c r="C481" s="66" t="s">
        <v>2201</v>
      </c>
      <c r="D481" s="67" t="s">
        <v>2202</v>
      </c>
      <c r="E481" s="66">
        <v>2</v>
      </c>
      <c r="F481" s="66" t="s">
        <v>568</v>
      </c>
      <c r="G481" s="68">
        <v>45154</v>
      </c>
      <c r="H481" s="68" t="s">
        <v>1086</v>
      </c>
      <c r="I481" s="68" t="s">
        <v>33</v>
      </c>
      <c r="J481" s="66">
        <f>IFERROR(VLOOKUP(I481,Jueces!$A$1:$B$11,2,FALSE),"")</f>
        <v>4</v>
      </c>
      <c r="K481" s="66" t="s">
        <v>803</v>
      </c>
      <c r="L481" s="66" t="s">
        <v>2265</v>
      </c>
    </row>
    <row r="482" spans="1:12" ht="30" customHeight="1" x14ac:dyDescent="0.2">
      <c r="A482" s="176" t="str">
        <f t="shared" si="14"/>
        <v>16/08/yyyy6</v>
      </c>
      <c r="B482" s="169">
        <f t="shared" si="15"/>
        <v>6</v>
      </c>
      <c r="C482" s="66" t="s">
        <v>2263</v>
      </c>
      <c r="D482" s="67" t="s">
        <v>2362</v>
      </c>
      <c r="E482" s="66">
        <v>6</v>
      </c>
      <c r="F482" s="66" t="s">
        <v>1441</v>
      </c>
      <c r="G482" s="68">
        <v>45154</v>
      </c>
      <c r="H482" s="68" t="s">
        <v>1086</v>
      </c>
      <c r="I482" s="68" t="s">
        <v>1224</v>
      </c>
      <c r="J482" s="66" t="s">
        <v>1925</v>
      </c>
      <c r="K482" s="66" t="s">
        <v>813</v>
      </c>
      <c r="L482" s="66" t="s">
        <v>2219</v>
      </c>
    </row>
    <row r="483" spans="1:12" ht="30" customHeight="1" x14ac:dyDescent="0.2">
      <c r="A483" s="176" t="str">
        <f t="shared" si="14"/>
        <v>16/08/yyyy7</v>
      </c>
      <c r="B483" s="169">
        <f t="shared" si="15"/>
        <v>7</v>
      </c>
      <c r="C483" s="66" t="s">
        <v>2111</v>
      </c>
      <c r="D483" s="67" t="s">
        <v>2138</v>
      </c>
      <c r="E483" s="66">
        <v>1</v>
      </c>
      <c r="F483" s="66" t="s">
        <v>1441</v>
      </c>
      <c r="G483" s="68">
        <v>45154</v>
      </c>
      <c r="H483" s="68" t="s">
        <v>547</v>
      </c>
      <c r="I483" s="68" t="s">
        <v>1220</v>
      </c>
      <c r="J483" s="66">
        <f>IFERROR(VLOOKUP(I483,Jueces!$A$1:$B$11,2,FALSE),"")</f>
        <v>1</v>
      </c>
      <c r="K483" s="66" t="s">
        <v>192</v>
      </c>
      <c r="L483" s="66" t="s">
        <v>1286</v>
      </c>
    </row>
    <row r="484" spans="1:12" ht="30" customHeight="1" x14ac:dyDescent="0.2">
      <c r="A484" s="176" t="str">
        <f t="shared" si="14"/>
        <v>17/08/yyyy1</v>
      </c>
      <c r="B484" s="169">
        <f t="shared" si="15"/>
        <v>1</v>
      </c>
      <c r="C484" s="66" t="s">
        <v>2215</v>
      </c>
      <c r="D484" s="67" t="s">
        <v>2376</v>
      </c>
      <c r="E484" s="66">
        <v>6</v>
      </c>
      <c r="F484" s="66" t="s">
        <v>283</v>
      </c>
      <c r="G484" s="68">
        <v>45155</v>
      </c>
      <c r="H484" s="68" t="s">
        <v>73</v>
      </c>
      <c r="I484" s="68" t="s">
        <v>78</v>
      </c>
      <c r="J484" s="66">
        <v>8</v>
      </c>
      <c r="K484" s="66" t="s">
        <v>802</v>
      </c>
      <c r="L484" s="66" t="s">
        <v>2125</v>
      </c>
    </row>
    <row r="485" spans="1:12" ht="30" customHeight="1" x14ac:dyDescent="0.2">
      <c r="A485" s="176" t="str">
        <f t="shared" si="14"/>
        <v>17/08/yyyy2</v>
      </c>
      <c r="B485" s="169">
        <f t="shared" si="15"/>
        <v>2</v>
      </c>
      <c r="C485" s="66" t="s">
        <v>2257</v>
      </c>
      <c r="D485" s="67" t="s">
        <v>2377</v>
      </c>
      <c r="E485" s="66">
        <v>5</v>
      </c>
      <c r="F485" s="66" t="s">
        <v>1441</v>
      </c>
      <c r="G485" s="68">
        <v>45155</v>
      </c>
      <c r="H485" s="68" t="s">
        <v>73</v>
      </c>
      <c r="I485" s="68" t="s">
        <v>33</v>
      </c>
      <c r="J485" s="66">
        <f>IFERROR(VLOOKUP(I485,Jueces!$A$1:$B$11,2,FALSE),"")</f>
        <v>4</v>
      </c>
      <c r="K485" s="66" t="s">
        <v>812</v>
      </c>
      <c r="L485" s="66" t="s">
        <v>1965</v>
      </c>
    </row>
    <row r="486" spans="1:12" ht="30" customHeight="1" x14ac:dyDescent="0.2">
      <c r="A486" s="176" t="str">
        <f t="shared" si="14"/>
        <v>17/08/yyyy3</v>
      </c>
      <c r="B486" s="169">
        <f t="shared" si="15"/>
        <v>3</v>
      </c>
      <c r="C486" s="66" t="s">
        <v>2264</v>
      </c>
      <c r="D486" s="67" t="s">
        <v>2378</v>
      </c>
      <c r="E486" s="66">
        <v>1</v>
      </c>
      <c r="F486" s="66" t="s">
        <v>29</v>
      </c>
      <c r="G486" s="68">
        <v>45155</v>
      </c>
      <c r="H486" s="68" t="s">
        <v>73</v>
      </c>
      <c r="I486" s="68" t="s">
        <v>1223</v>
      </c>
      <c r="J486" s="66" t="s">
        <v>1346</v>
      </c>
      <c r="K486" s="66" t="s">
        <v>813</v>
      </c>
      <c r="L486" s="66" t="s">
        <v>767</v>
      </c>
    </row>
    <row r="487" spans="1:12" ht="30" customHeight="1" x14ac:dyDescent="0.2">
      <c r="A487" s="176" t="str">
        <f t="shared" si="14"/>
        <v>17/08/yyyy4</v>
      </c>
      <c r="B487" s="169">
        <f t="shared" si="15"/>
        <v>4</v>
      </c>
      <c r="C487" s="66" t="s">
        <v>2228</v>
      </c>
      <c r="D487" s="67" t="s">
        <v>2379</v>
      </c>
      <c r="E487" s="66">
        <v>5</v>
      </c>
      <c r="F487" s="66" t="s">
        <v>43</v>
      </c>
      <c r="G487" s="68">
        <v>45155</v>
      </c>
      <c r="H487" s="68" t="s">
        <v>1086</v>
      </c>
      <c r="I487" s="68" t="s">
        <v>31</v>
      </c>
      <c r="J487" s="66">
        <f>IFERROR(VLOOKUP(I487,Jueces!$A$1:$B$11,2,FALSE),"")</f>
        <v>2</v>
      </c>
      <c r="K487" s="66" t="s">
        <v>812</v>
      </c>
      <c r="L487" s="66" t="s">
        <v>700</v>
      </c>
    </row>
    <row r="488" spans="1:12" ht="30" customHeight="1" x14ac:dyDescent="0.2">
      <c r="A488" s="176" t="str">
        <f t="shared" si="14"/>
        <v>17/08/yyyy5</v>
      </c>
      <c r="B488" s="169">
        <f t="shared" si="15"/>
        <v>5</v>
      </c>
      <c r="C488" s="6" t="s">
        <v>2262</v>
      </c>
      <c r="D488" s="40" t="s">
        <v>2380</v>
      </c>
      <c r="E488" s="6">
        <v>5</v>
      </c>
      <c r="F488" s="6" t="s">
        <v>1443</v>
      </c>
      <c r="G488" s="18">
        <v>45155</v>
      </c>
      <c r="H488" s="18" t="s">
        <v>1086</v>
      </c>
      <c r="I488" s="18" t="s">
        <v>1220</v>
      </c>
      <c r="J488" s="6">
        <f>IFERROR(VLOOKUP(I488,Jueces!$A$1:$B$11,2,FALSE),"")</f>
        <v>1</v>
      </c>
      <c r="K488" s="6" t="s">
        <v>811</v>
      </c>
      <c r="L488" s="6" t="s">
        <v>2372</v>
      </c>
    </row>
    <row r="489" spans="1:12" ht="30" customHeight="1" x14ac:dyDescent="0.2">
      <c r="A489" s="176" t="str">
        <f t="shared" si="14"/>
        <v>18/08/yyyy1</v>
      </c>
      <c r="B489" s="169">
        <f t="shared" si="15"/>
        <v>1</v>
      </c>
      <c r="C489" s="66" t="s">
        <v>2203</v>
      </c>
      <c r="D489" s="67" t="s">
        <v>2393</v>
      </c>
      <c r="E489" s="66">
        <v>8</v>
      </c>
      <c r="F489" s="66" t="s">
        <v>1442</v>
      </c>
      <c r="G489" s="68">
        <v>45156</v>
      </c>
      <c r="H489" s="68" t="s">
        <v>73</v>
      </c>
      <c r="I489" s="68" t="s">
        <v>35</v>
      </c>
      <c r="J489" s="66">
        <f>IFERROR(VLOOKUP(I489,Jueces!$A$1:$B$11,2,FALSE),"")</f>
        <v>3</v>
      </c>
      <c r="K489" s="66" t="s">
        <v>1070</v>
      </c>
      <c r="L489" s="66" t="s">
        <v>2230</v>
      </c>
    </row>
    <row r="490" spans="1:12" ht="30" customHeight="1" x14ac:dyDescent="0.2">
      <c r="A490" s="176" t="str">
        <f t="shared" si="14"/>
        <v>18/08/yyyy2</v>
      </c>
      <c r="B490" s="169">
        <f t="shared" si="15"/>
        <v>2</v>
      </c>
      <c r="C490" s="66" t="s">
        <v>2245</v>
      </c>
      <c r="D490" s="67" t="s">
        <v>2225</v>
      </c>
      <c r="E490" s="66">
        <v>5</v>
      </c>
      <c r="F490" s="66" t="s">
        <v>568</v>
      </c>
      <c r="G490" s="68">
        <v>45156</v>
      </c>
      <c r="H490" s="68" t="s">
        <v>73</v>
      </c>
      <c r="I490" s="68" t="s">
        <v>78</v>
      </c>
      <c r="J490" s="66">
        <f>IFERROR(VLOOKUP(I490,Jueces!$A$1:$B$11,2,FALSE),"")</f>
        <v>8</v>
      </c>
      <c r="K490" s="66" t="s">
        <v>508</v>
      </c>
      <c r="L490" s="66" t="s">
        <v>2372</v>
      </c>
    </row>
    <row r="491" spans="1:12" ht="30" customHeight="1" x14ac:dyDescent="0.2">
      <c r="A491" s="176" t="str">
        <f t="shared" si="14"/>
        <v>18/08/yyyy3</v>
      </c>
      <c r="B491" s="169">
        <f t="shared" si="15"/>
        <v>3</v>
      </c>
      <c r="C491" s="66" t="s">
        <v>2231</v>
      </c>
      <c r="D491" s="67" t="s">
        <v>2232</v>
      </c>
      <c r="E491" s="66">
        <v>5</v>
      </c>
      <c r="F491" s="66" t="s">
        <v>1441</v>
      </c>
      <c r="G491" s="68">
        <v>45156</v>
      </c>
      <c r="H491" s="68" t="s">
        <v>73</v>
      </c>
      <c r="I491" s="68" t="s">
        <v>31</v>
      </c>
      <c r="J491" s="66">
        <f>IFERROR(VLOOKUP(I491,Jueces!$A$1:$B$11,2,FALSE),"")</f>
        <v>2</v>
      </c>
      <c r="K491" s="66" t="s">
        <v>2094</v>
      </c>
      <c r="L491" s="66" t="s">
        <v>1571</v>
      </c>
    </row>
    <row r="492" spans="1:12" ht="30" customHeight="1" x14ac:dyDescent="0.2">
      <c r="A492" s="176" t="str">
        <f t="shared" si="14"/>
        <v>18/08/yyyy4</v>
      </c>
      <c r="B492" s="169">
        <f t="shared" si="15"/>
        <v>4</v>
      </c>
      <c r="C492" s="66" t="s">
        <v>2267</v>
      </c>
      <c r="D492" s="67" t="s">
        <v>2269</v>
      </c>
      <c r="E492" s="66">
        <v>5</v>
      </c>
      <c r="F492" s="66" t="s">
        <v>43</v>
      </c>
      <c r="G492" s="68">
        <v>45156</v>
      </c>
      <c r="H492" s="68" t="s">
        <v>73</v>
      </c>
      <c r="I492" s="68" t="s">
        <v>33</v>
      </c>
      <c r="J492" s="66">
        <f>IFERROR(VLOOKUP(I492,Jueces!$A$1:$B$11,2,FALSE),"")</f>
        <v>4</v>
      </c>
      <c r="K492" s="66" t="s">
        <v>812</v>
      </c>
      <c r="L492" s="66" t="s">
        <v>2268</v>
      </c>
    </row>
    <row r="493" spans="1:12" ht="30" customHeight="1" x14ac:dyDescent="0.2">
      <c r="A493" s="176" t="str">
        <f t="shared" si="14"/>
        <v>18/08/yyyy5</v>
      </c>
      <c r="B493" s="169">
        <f t="shared" si="15"/>
        <v>5</v>
      </c>
      <c r="C493" s="66" t="s">
        <v>2280</v>
      </c>
      <c r="D493" s="67" t="s">
        <v>2298</v>
      </c>
      <c r="E493" s="66">
        <v>6</v>
      </c>
      <c r="F493" s="66" t="s">
        <v>29</v>
      </c>
      <c r="G493" s="68">
        <v>45156</v>
      </c>
      <c r="H493" s="68" t="s">
        <v>73</v>
      </c>
      <c r="I493" s="68" t="s">
        <v>1223</v>
      </c>
      <c r="J493" s="66" t="s">
        <v>1346</v>
      </c>
      <c r="K493" s="66" t="s">
        <v>806</v>
      </c>
      <c r="L493" s="66" t="s">
        <v>2387</v>
      </c>
    </row>
    <row r="494" spans="1:12" ht="30" customHeight="1" x14ac:dyDescent="0.2">
      <c r="A494" s="176" t="str">
        <f t="shared" si="14"/>
        <v>18/08/yyyy6</v>
      </c>
      <c r="B494" s="169">
        <f t="shared" si="15"/>
        <v>6</v>
      </c>
      <c r="C494" s="66" t="s">
        <v>2233</v>
      </c>
      <c r="D494" s="67" t="s">
        <v>2235</v>
      </c>
      <c r="E494" s="66">
        <v>5</v>
      </c>
      <c r="F494" s="66" t="s">
        <v>1443</v>
      </c>
      <c r="G494" s="68">
        <v>45156</v>
      </c>
      <c r="H494" s="68" t="s">
        <v>1086</v>
      </c>
      <c r="I494" s="68" t="s">
        <v>1222</v>
      </c>
      <c r="J494" s="66">
        <v>3</v>
      </c>
      <c r="K494" s="66" t="s">
        <v>793</v>
      </c>
      <c r="L494" s="66" t="s">
        <v>1875</v>
      </c>
    </row>
    <row r="495" spans="1:12" ht="30" customHeight="1" x14ac:dyDescent="0.2">
      <c r="A495" s="176" t="str">
        <f t="shared" si="14"/>
        <v>18/08/yyyy7</v>
      </c>
      <c r="B495" s="169">
        <f t="shared" si="15"/>
        <v>7</v>
      </c>
      <c r="C495" s="66" t="s">
        <v>2278</v>
      </c>
      <c r="D495" s="67" t="s">
        <v>2279</v>
      </c>
      <c r="E495" s="66">
        <v>6</v>
      </c>
      <c r="F495" s="66" t="s">
        <v>32</v>
      </c>
      <c r="G495" s="68">
        <v>45156</v>
      </c>
      <c r="H495" s="68" t="s">
        <v>1086</v>
      </c>
      <c r="I495" s="68" t="s">
        <v>1220</v>
      </c>
      <c r="J495" s="66">
        <f>IFERROR(VLOOKUP(I495,Jueces!$A$1:$B$11,2,FALSE),"")</f>
        <v>1</v>
      </c>
      <c r="K495" s="66" t="s">
        <v>812</v>
      </c>
      <c r="L495" s="66" t="s">
        <v>2387</v>
      </c>
    </row>
    <row r="496" spans="1:12" ht="30" customHeight="1" x14ac:dyDescent="0.2">
      <c r="A496" s="176" t="str">
        <f t="shared" si="14"/>
        <v>18/08/yyyy8</v>
      </c>
      <c r="B496" s="169">
        <f t="shared" si="15"/>
        <v>8</v>
      </c>
      <c r="C496" s="66" t="s">
        <v>2325</v>
      </c>
      <c r="D496" s="67" t="s">
        <v>2323</v>
      </c>
      <c r="E496" s="66">
        <v>5</v>
      </c>
      <c r="F496" s="66" t="s">
        <v>283</v>
      </c>
      <c r="G496" s="68">
        <v>45156</v>
      </c>
      <c r="H496" s="68" t="s">
        <v>1086</v>
      </c>
      <c r="I496" s="68" t="s">
        <v>1224</v>
      </c>
      <c r="J496" s="66" t="s">
        <v>1520</v>
      </c>
      <c r="K496" s="66" t="s">
        <v>2090</v>
      </c>
      <c r="L496" s="66" t="s">
        <v>2372</v>
      </c>
    </row>
    <row r="497" spans="1:12" ht="30" customHeight="1" x14ac:dyDescent="0.2">
      <c r="A497" s="176" t="str">
        <f t="shared" si="14"/>
        <v>22/08/yyyy1</v>
      </c>
      <c r="B497" s="169">
        <f t="shared" si="15"/>
        <v>1</v>
      </c>
      <c r="C497" s="66" t="s">
        <v>2191</v>
      </c>
      <c r="D497" s="67" t="s">
        <v>2221</v>
      </c>
      <c r="E497" s="66">
        <v>6</v>
      </c>
      <c r="F497" s="66" t="s">
        <v>1442</v>
      </c>
      <c r="G497" s="68">
        <v>45160</v>
      </c>
      <c r="H497" s="68" t="s">
        <v>73</v>
      </c>
      <c r="I497" s="68" t="s">
        <v>31</v>
      </c>
      <c r="J497" s="66" t="s">
        <v>2343</v>
      </c>
      <c r="K497" s="66" t="s">
        <v>809</v>
      </c>
      <c r="L497" s="66" t="s">
        <v>2125</v>
      </c>
    </row>
    <row r="498" spans="1:12" ht="30" customHeight="1" x14ac:dyDescent="0.2">
      <c r="A498" s="176" t="str">
        <f t="shared" si="14"/>
        <v>22/08/yyyy2</v>
      </c>
      <c r="B498" s="169">
        <f t="shared" si="15"/>
        <v>2</v>
      </c>
      <c r="C498" s="66" t="s">
        <v>2285</v>
      </c>
      <c r="D498" s="67" t="s">
        <v>2287</v>
      </c>
      <c r="E498" s="66">
        <v>4</v>
      </c>
      <c r="F498" s="66" t="s">
        <v>283</v>
      </c>
      <c r="G498" s="68">
        <v>45160</v>
      </c>
      <c r="H498" s="68" t="s">
        <v>73</v>
      </c>
      <c r="I498" s="68" t="s">
        <v>35</v>
      </c>
      <c r="J498" s="66">
        <f>IFERROR(VLOOKUP(I498,Jueces!$A$1:$B$11,2,FALSE),"")</f>
        <v>3</v>
      </c>
      <c r="K498" s="66" t="s">
        <v>814</v>
      </c>
      <c r="L498" s="66" t="s">
        <v>2286</v>
      </c>
    </row>
    <row r="499" spans="1:12" ht="30" customHeight="1" x14ac:dyDescent="0.2">
      <c r="A499" s="176" t="str">
        <f t="shared" si="14"/>
        <v>22/08/yyyy3</v>
      </c>
      <c r="B499" s="169">
        <f t="shared" si="15"/>
        <v>3</v>
      </c>
      <c r="C499" s="66" t="s">
        <v>2307</v>
      </c>
      <c r="D499" s="67" t="s">
        <v>2313</v>
      </c>
      <c r="E499" s="66">
        <v>4</v>
      </c>
      <c r="F499" s="66" t="s">
        <v>568</v>
      </c>
      <c r="G499" s="68">
        <v>45160</v>
      </c>
      <c r="H499" s="68" t="s">
        <v>73</v>
      </c>
      <c r="I499" s="68" t="s">
        <v>33</v>
      </c>
      <c r="J499" s="66">
        <f>IFERROR(VLOOKUP(I499,Jueces!$A$1:$B$11,2,FALSE),"")</f>
        <v>4</v>
      </c>
      <c r="K499" s="66" t="s">
        <v>800</v>
      </c>
      <c r="L499" s="66" t="s">
        <v>2219</v>
      </c>
    </row>
    <row r="500" spans="1:12" ht="30" customHeight="1" x14ac:dyDescent="0.2">
      <c r="A500" s="176" t="str">
        <f t="shared" si="14"/>
        <v>22/08/yyyy4</v>
      </c>
      <c r="B500" s="169">
        <f t="shared" si="15"/>
        <v>4</v>
      </c>
      <c r="C500" s="66" t="s">
        <v>2281</v>
      </c>
      <c r="D500" s="67" t="s">
        <v>2328</v>
      </c>
      <c r="E500" s="66">
        <v>6</v>
      </c>
      <c r="F500" s="66" t="s">
        <v>1441</v>
      </c>
      <c r="G500" s="68">
        <v>45160</v>
      </c>
      <c r="H500" s="68" t="s">
        <v>749</v>
      </c>
      <c r="I500" s="68" t="s">
        <v>1222</v>
      </c>
      <c r="J500" s="66" t="s">
        <v>2394</v>
      </c>
      <c r="K500" s="66" t="s">
        <v>791</v>
      </c>
      <c r="L500" s="66" t="s">
        <v>2305</v>
      </c>
    </row>
    <row r="501" spans="1:12" ht="30" customHeight="1" x14ac:dyDescent="0.2">
      <c r="A501" s="176" t="str">
        <f t="shared" si="14"/>
        <v>22/08/yyyy5</v>
      </c>
      <c r="B501" s="169">
        <f t="shared" si="15"/>
        <v>5</v>
      </c>
      <c r="C501" s="66" t="s">
        <v>2303</v>
      </c>
      <c r="D501" s="67" t="s">
        <v>2308</v>
      </c>
      <c r="E501" s="66">
        <v>5</v>
      </c>
      <c r="F501" s="66" t="s">
        <v>29</v>
      </c>
      <c r="G501" s="68">
        <v>45160</v>
      </c>
      <c r="H501" s="68" t="s">
        <v>1086</v>
      </c>
      <c r="I501" s="68" t="s">
        <v>1220</v>
      </c>
      <c r="J501" s="66">
        <f>IFERROR(VLOOKUP(I501,Jueces!$A$1:$B$11,2,FALSE),"")</f>
        <v>1</v>
      </c>
      <c r="K501" s="66" t="s">
        <v>811</v>
      </c>
      <c r="L501" s="66" t="s">
        <v>2125</v>
      </c>
    </row>
    <row r="502" spans="1:12" ht="30" customHeight="1" x14ac:dyDescent="0.2">
      <c r="A502" s="176" t="str">
        <f t="shared" si="14"/>
        <v>23/08/yyyy1</v>
      </c>
      <c r="B502" s="169">
        <f t="shared" si="15"/>
        <v>1</v>
      </c>
      <c r="C502" s="66" t="s">
        <v>2282</v>
      </c>
      <c r="D502" s="67" t="s">
        <v>2413</v>
      </c>
      <c r="E502" s="66">
        <v>4</v>
      </c>
      <c r="F502" s="66" t="s">
        <v>283</v>
      </c>
      <c r="G502" s="68">
        <v>45161</v>
      </c>
      <c r="H502" s="68" t="s">
        <v>73</v>
      </c>
      <c r="I502" s="68" t="s">
        <v>1223</v>
      </c>
      <c r="J502" s="66" t="s">
        <v>1326</v>
      </c>
      <c r="K502" s="66" t="s">
        <v>807</v>
      </c>
      <c r="L502" s="66" t="s">
        <v>2284</v>
      </c>
    </row>
    <row r="503" spans="1:12" ht="30" customHeight="1" x14ac:dyDescent="0.2">
      <c r="A503" s="176" t="str">
        <f t="shared" si="14"/>
        <v>23/08/yyyy2</v>
      </c>
      <c r="B503" s="169">
        <f t="shared" si="15"/>
        <v>2</v>
      </c>
      <c r="C503" s="66" t="s">
        <v>2301</v>
      </c>
      <c r="D503" s="67" t="s">
        <v>2414</v>
      </c>
      <c r="E503" s="66">
        <v>7</v>
      </c>
      <c r="F503" s="66" t="s">
        <v>1443</v>
      </c>
      <c r="G503" s="68">
        <v>45161</v>
      </c>
      <c r="H503" s="68" t="s">
        <v>73</v>
      </c>
      <c r="I503" s="68" t="s">
        <v>1222</v>
      </c>
      <c r="J503" s="66" t="s">
        <v>1346</v>
      </c>
      <c r="K503" s="67" t="s">
        <v>192</v>
      </c>
      <c r="L503" s="66" t="s">
        <v>2125</v>
      </c>
    </row>
    <row r="504" spans="1:12" ht="30" customHeight="1" x14ac:dyDescent="0.2">
      <c r="A504" s="176" t="str">
        <f t="shared" si="14"/>
        <v>23/08/yyyy3</v>
      </c>
      <c r="B504" s="169">
        <f t="shared" si="15"/>
        <v>3</v>
      </c>
      <c r="C504" s="66" t="s">
        <v>2315</v>
      </c>
      <c r="D504" s="67" t="s">
        <v>2415</v>
      </c>
      <c r="E504" s="66">
        <v>5</v>
      </c>
      <c r="F504" s="66" t="s">
        <v>568</v>
      </c>
      <c r="G504" s="68">
        <v>45161</v>
      </c>
      <c r="H504" s="68" t="s">
        <v>73</v>
      </c>
      <c r="I504" s="68" t="s">
        <v>1220</v>
      </c>
      <c r="J504" s="66" t="s">
        <v>1520</v>
      </c>
      <c r="K504" s="66" t="s">
        <v>2431</v>
      </c>
      <c r="L504" s="6" t="s">
        <v>2430</v>
      </c>
    </row>
    <row r="505" spans="1:12" ht="30" customHeight="1" x14ac:dyDescent="0.2">
      <c r="A505" s="176" t="str">
        <f t="shared" si="14"/>
        <v>23/08/yyyy4</v>
      </c>
      <c r="B505" s="169">
        <f t="shared" si="15"/>
        <v>4</v>
      </c>
      <c r="C505" s="66" t="s">
        <v>2322</v>
      </c>
      <c r="D505" s="67" t="s">
        <v>2416</v>
      </c>
      <c r="E505" s="66">
        <v>6</v>
      </c>
      <c r="F505" s="66" t="s">
        <v>43</v>
      </c>
      <c r="G505" s="68">
        <v>45161</v>
      </c>
      <c r="H505" s="68" t="s">
        <v>73</v>
      </c>
      <c r="I505" s="68" t="s">
        <v>1224</v>
      </c>
      <c r="J505" s="66" t="s">
        <v>2394</v>
      </c>
      <c r="K505" s="66" t="s">
        <v>829</v>
      </c>
      <c r="L505" s="6" t="s">
        <v>2219</v>
      </c>
    </row>
    <row r="506" spans="1:12" ht="30" customHeight="1" x14ac:dyDescent="0.2">
      <c r="A506" s="176" t="str">
        <f t="shared" si="14"/>
        <v>23/08/yyyy5</v>
      </c>
      <c r="B506" s="169">
        <f t="shared" si="15"/>
        <v>5</v>
      </c>
      <c r="C506" s="66" t="s">
        <v>2258</v>
      </c>
      <c r="D506" s="67" t="s">
        <v>2417</v>
      </c>
      <c r="E506" s="66">
        <v>5</v>
      </c>
      <c r="F506" s="66" t="s">
        <v>1442</v>
      </c>
      <c r="G506" s="68">
        <v>45161</v>
      </c>
      <c r="H506" s="68" t="s">
        <v>1086</v>
      </c>
      <c r="I506" s="68" t="s">
        <v>31</v>
      </c>
      <c r="J506" s="66" t="s">
        <v>1346</v>
      </c>
      <c r="K506" s="66" t="s">
        <v>813</v>
      </c>
      <c r="L506" s="6" t="s">
        <v>2125</v>
      </c>
    </row>
    <row r="507" spans="1:12" ht="30" customHeight="1" x14ac:dyDescent="0.2">
      <c r="A507" s="176" t="str">
        <f t="shared" si="14"/>
        <v>23/08/yyyy6</v>
      </c>
      <c r="B507" s="169">
        <f t="shared" si="15"/>
        <v>6</v>
      </c>
      <c r="C507" s="66" t="s">
        <v>2360</v>
      </c>
      <c r="D507" s="67" t="s">
        <v>2418</v>
      </c>
      <c r="E507" s="66">
        <v>5</v>
      </c>
      <c r="F507" s="66" t="s">
        <v>32</v>
      </c>
      <c r="G507" s="68">
        <v>45161</v>
      </c>
      <c r="H507" s="68" t="s">
        <v>1086</v>
      </c>
      <c r="I507" s="68" t="s">
        <v>33</v>
      </c>
      <c r="J507" s="66">
        <f>IFERROR(VLOOKUP(I507,Jueces!$A$1:$B$11,2,FALSE),"")</f>
        <v>4</v>
      </c>
      <c r="K507" s="66" t="s">
        <v>801</v>
      </c>
      <c r="L507" s="6" t="s">
        <v>1965</v>
      </c>
    </row>
    <row r="508" spans="1:12" ht="30" customHeight="1" x14ac:dyDescent="0.2">
      <c r="A508" s="176" t="str">
        <f t="shared" si="14"/>
        <v>23/08/yyyy7</v>
      </c>
      <c r="B508" s="169">
        <f t="shared" si="15"/>
        <v>7</v>
      </c>
      <c r="C508" s="66" t="s">
        <v>2306</v>
      </c>
      <c r="D508" s="67" t="s">
        <v>2419</v>
      </c>
      <c r="E508" s="66">
        <v>6</v>
      </c>
      <c r="F508" s="66" t="s">
        <v>29</v>
      </c>
      <c r="G508" s="68">
        <v>45161</v>
      </c>
      <c r="H508" s="68" t="s">
        <v>77</v>
      </c>
      <c r="I508" s="68" t="s">
        <v>31</v>
      </c>
      <c r="J508" s="66" t="s">
        <v>1491</v>
      </c>
      <c r="K508" s="66" t="s">
        <v>811</v>
      </c>
      <c r="L508" s="6" t="s">
        <v>2125</v>
      </c>
    </row>
    <row r="509" spans="1:12" ht="30" customHeight="1" x14ac:dyDescent="0.2">
      <c r="A509" s="176" t="str">
        <f t="shared" si="14"/>
        <v>24/08/yyyy1</v>
      </c>
      <c r="B509" s="169">
        <f t="shared" si="15"/>
        <v>1</v>
      </c>
      <c r="C509" s="66" t="s">
        <v>2283</v>
      </c>
      <c r="D509" s="67" t="s">
        <v>2453</v>
      </c>
      <c r="E509" s="66">
        <v>7</v>
      </c>
      <c r="F509" s="66" t="s">
        <v>1443</v>
      </c>
      <c r="G509" s="68">
        <v>45162</v>
      </c>
      <c r="H509" s="68" t="s">
        <v>73</v>
      </c>
      <c r="I509" s="68" t="s">
        <v>1222</v>
      </c>
      <c r="J509" s="66" t="s">
        <v>1346</v>
      </c>
      <c r="K509" s="66" t="s">
        <v>2094</v>
      </c>
      <c r="L509" s="66" t="s">
        <v>2324</v>
      </c>
    </row>
    <row r="510" spans="1:12" ht="30" customHeight="1" x14ac:dyDescent="0.2">
      <c r="A510" s="176" t="str">
        <f t="shared" si="14"/>
        <v>24/08/yyyy2</v>
      </c>
      <c r="B510" s="169">
        <f t="shared" si="15"/>
        <v>2</v>
      </c>
      <c r="C510" s="66" t="s">
        <v>2300</v>
      </c>
      <c r="D510" s="67" t="s">
        <v>2447</v>
      </c>
      <c r="E510" s="66">
        <v>8</v>
      </c>
      <c r="F510" s="66" t="s">
        <v>43</v>
      </c>
      <c r="G510" s="68">
        <v>45162</v>
      </c>
      <c r="H510" s="68" t="s">
        <v>73</v>
      </c>
      <c r="I510" s="68" t="s">
        <v>33</v>
      </c>
      <c r="J510" s="66">
        <f>IFERROR(VLOOKUP(I510,Jueces!$A$1:$B$11,2,FALSE),"")</f>
        <v>4</v>
      </c>
      <c r="K510" s="66" t="s">
        <v>1070</v>
      </c>
      <c r="L510" s="66" t="s">
        <v>2314</v>
      </c>
    </row>
    <row r="511" spans="1:12" ht="30" customHeight="1" x14ac:dyDescent="0.2">
      <c r="A511" s="176" t="str">
        <f t="shared" si="14"/>
        <v>24/08/yyyy3</v>
      </c>
      <c r="B511" s="169">
        <f t="shared" si="15"/>
        <v>3</v>
      </c>
      <c r="C511" s="66" t="s">
        <v>2316</v>
      </c>
      <c r="D511" s="67" t="s">
        <v>2469</v>
      </c>
      <c r="E511" s="66">
        <v>5</v>
      </c>
      <c r="F511" s="66" t="s">
        <v>29</v>
      </c>
      <c r="G511" s="68">
        <v>45162</v>
      </c>
      <c r="H511" s="68" t="s">
        <v>73</v>
      </c>
      <c r="I511" s="68" t="s">
        <v>78</v>
      </c>
      <c r="J511" s="66">
        <f>IFERROR(VLOOKUP(I511,Jueces!$A$1:$B$11,2,FALSE),"")</f>
        <v>8</v>
      </c>
      <c r="K511" s="66" t="s">
        <v>796</v>
      </c>
      <c r="L511" s="66" t="s">
        <v>2317</v>
      </c>
    </row>
    <row r="512" spans="1:12" ht="30" customHeight="1" x14ac:dyDescent="0.2">
      <c r="A512" s="176" t="str">
        <f t="shared" si="14"/>
        <v>24/08/yyyy4</v>
      </c>
      <c r="B512" s="169">
        <f t="shared" si="15"/>
        <v>4</v>
      </c>
      <c r="C512" s="66" t="s">
        <v>2321</v>
      </c>
      <c r="D512" s="67" t="s">
        <v>2342</v>
      </c>
      <c r="E512" s="66">
        <v>6</v>
      </c>
      <c r="F512" s="66" t="s">
        <v>1442</v>
      </c>
      <c r="G512" s="68">
        <v>45162</v>
      </c>
      <c r="H512" s="68" t="s">
        <v>73</v>
      </c>
      <c r="I512" s="68" t="s">
        <v>1223</v>
      </c>
      <c r="J512" s="66" t="s">
        <v>1925</v>
      </c>
      <c r="K512" s="66" t="s">
        <v>806</v>
      </c>
      <c r="L512" s="66" t="s">
        <v>725</v>
      </c>
    </row>
    <row r="513" spans="1:12" ht="30" customHeight="1" x14ac:dyDescent="0.2">
      <c r="A513" s="176" t="str">
        <f t="shared" si="14"/>
        <v>24/08/yyyy5</v>
      </c>
      <c r="B513" s="169">
        <f t="shared" si="15"/>
        <v>5</v>
      </c>
      <c r="C513" s="66" t="s">
        <v>2326</v>
      </c>
      <c r="D513" s="67" t="s">
        <v>2353</v>
      </c>
      <c r="E513" s="66">
        <v>5</v>
      </c>
      <c r="F513" s="66" t="s">
        <v>1441</v>
      </c>
      <c r="G513" s="68">
        <v>45162</v>
      </c>
      <c r="H513" s="68" t="s">
        <v>73</v>
      </c>
      <c r="I513" s="68" t="s">
        <v>1223</v>
      </c>
      <c r="J513" s="66" t="s">
        <v>1925</v>
      </c>
      <c r="K513" s="66" t="s">
        <v>812</v>
      </c>
      <c r="L513" s="66" t="s">
        <v>1965</v>
      </c>
    </row>
    <row r="514" spans="1:12" ht="30" customHeight="1" x14ac:dyDescent="0.2">
      <c r="A514" s="176" t="str">
        <f t="shared" si="14"/>
        <v>24/08/yyyy6</v>
      </c>
      <c r="B514" s="169">
        <f t="shared" si="15"/>
        <v>6</v>
      </c>
      <c r="C514" s="66" t="s">
        <v>2350</v>
      </c>
      <c r="D514" s="67" t="s">
        <v>2351</v>
      </c>
      <c r="E514" s="66">
        <v>6</v>
      </c>
      <c r="F514" s="66" t="s">
        <v>568</v>
      </c>
      <c r="G514" s="68">
        <v>45162</v>
      </c>
      <c r="H514" s="68" t="s">
        <v>73</v>
      </c>
      <c r="I514" s="68" t="s">
        <v>1220</v>
      </c>
      <c r="J514" s="66" t="s">
        <v>1520</v>
      </c>
      <c r="K514" s="66" t="s">
        <v>829</v>
      </c>
      <c r="L514" s="66" t="s">
        <v>2125</v>
      </c>
    </row>
    <row r="515" spans="1:12" ht="30" customHeight="1" x14ac:dyDescent="0.2">
      <c r="A515" s="176" t="str">
        <f t="shared" ref="A515:A578" si="16">CONCATENATE(TEXT($G515,"dd/mm/yyyy"),$B515)</f>
        <v>24/08/yyyy7</v>
      </c>
      <c r="B515" s="169">
        <f t="shared" si="15"/>
        <v>7</v>
      </c>
      <c r="C515" s="66" t="s">
        <v>2348</v>
      </c>
      <c r="D515" s="67" t="s">
        <v>2359</v>
      </c>
      <c r="E515" s="66">
        <v>5</v>
      </c>
      <c r="F515" s="66" t="s">
        <v>283</v>
      </c>
      <c r="G515" s="68">
        <v>45162</v>
      </c>
      <c r="H515" s="68" t="s">
        <v>1086</v>
      </c>
      <c r="I515" s="68" t="s">
        <v>1224</v>
      </c>
      <c r="J515" s="66" t="s">
        <v>1520</v>
      </c>
      <c r="K515" s="66" t="s">
        <v>2090</v>
      </c>
      <c r="L515" s="66" t="s">
        <v>2125</v>
      </c>
    </row>
    <row r="516" spans="1:12" ht="30" customHeight="1" x14ac:dyDescent="0.2">
      <c r="A516" s="176" t="str">
        <f t="shared" si="16"/>
        <v>25/08/yyyy1</v>
      </c>
      <c r="B516" s="169">
        <f t="shared" ref="B516:B579" si="17">IF($G516=$G515,$B515+1,1)</f>
        <v>1</v>
      </c>
      <c r="C516" s="66" t="s">
        <v>2302</v>
      </c>
      <c r="D516" s="67" t="s">
        <v>2397</v>
      </c>
      <c r="E516" s="66">
        <v>6</v>
      </c>
      <c r="F516" s="66" t="s">
        <v>1443</v>
      </c>
      <c r="G516" s="68">
        <v>45163</v>
      </c>
      <c r="H516" s="68" t="s">
        <v>73</v>
      </c>
      <c r="I516" s="68" t="s">
        <v>1223</v>
      </c>
      <c r="J516" s="66" t="s">
        <v>1925</v>
      </c>
      <c r="K516" s="66" t="s">
        <v>1070</v>
      </c>
      <c r="L516" s="66" t="s">
        <v>1416</v>
      </c>
    </row>
    <row r="517" spans="1:12" ht="30" customHeight="1" x14ac:dyDescent="0.2">
      <c r="A517" s="176" t="str">
        <f t="shared" si="16"/>
        <v>25/08/yyyy2</v>
      </c>
      <c r="B517" s="169">
        <f t="shared" si="17"/>
        <v>2</v>
      </c>
      <c r="C517" s="66" t="s">
        <v>2356</v>
      </c>
      <c r="D517" s="67" t="s">
        <v>2472</v>
      </c>
      <c r="E517" s="66">
        <v>6</v>
      </c>
      <c r="F517" s="66" t="s">
        <v>568</v>
      </c>
      <c r="G517" s="68">
        <v>45163</v>
      </c>
      <c r="H517" s="68" t="s">
        <v>73</v>
      </c>
      <c r="I517" s="68" t="s">
        <v>1220</v>
      </c>
      <c r="J517" s="66" t="s">
        <v>1520</v>
      </c>
      <c r="K517" s="66" t="s">
        <v>812</v>
      </c>
      <c r="L517" s="66" t="s">
        <v>725</v>
      </c>
    </row>
    <row r="518" spans="1:12" ht="30" customHeight="1" x14ac:dyDescent="0.2">
      <c r="A518" s="176" t="str">
        <f t="shared" si="16"/>
        <v>25/08/yyyy3</v>
      </c>
      <c r="B518" s="169">
        <f t="shared" si="17"/>
        <v>3</v>
      </c>
      <c r="C518" s="66" t="s">
        <v>2368</v>
      </c>
      <c r="D518" s="67" t="s">
        <v>2473</v>
      </c>
      <c r="E518" s="66">
        <v>6</v>
      </c>
      <c r="F518" s="66" t="s">
        <v>43</v>
      </c>
      <c r="G518" s="68">
        <v>45163</v>
      </c>
      <c r="H518" s="68" t="s">
        <v>73</v>
      </c>
      <c r="I518" s="68" t="s">
        <v>1222</v>
      </c>
      <c r="J518" s="66" t="s">
        <v>1346</v>
      </c>
      <c r="K518" s="66" t="s">
        <v>798</v>
      </c>
      <c r="L518" s="66" t="s">
        <v>2125</v>
      </c>
    </row>
    <row r="519" spans="1:12" ht="30" customHeight="1" x14ac:dyDescent="0.2">
      <c r="A519" s="176" t="str">
        <f t="shared" si="16"/>
        <v>25/08/yyyy4</v>
      </c>
      <c r="B519" s="169">
        <f t="shared" si="17"/>
        <v>4</v>
      </c>
      <c r="C519" s="66" t="s">
        <v>2396</v>
      </c>
      <c r="D519" s="67" t="s">
        <v>2474</v>
      </c>
      <c r="E519" s="66">
        <v>6</v>
      </c>
      <c r="F519" s="66" t="s">
        <v>32</v>
      </c>
      <c r="G519" s="68">
        <v>45163</v>
      </c>
      <c r="H519" s="68" t="s">
        <v>73</v>
      </c>
      <c r="I519" s="68" t="s">
        <v>78</v>
      </c>
      <c r="J519" s="66" t="s">
        <v>1491</v>
      </c>
      <c r="K519" s="66" t="s">
        <v>811</v>
      </c>
      <c r="L519" s="66" t="s">
        <v>2219</v>
      </c>
    </row>
    <row r="520" spans="1:12" ht="30" customHeight="1" x14ac:dyDescent="0.2">
      <c r="A520" s="176" t="str">
        <f t="shared" si="16"/>
        <v>25/08/yyyy5</v>
      </c>
      <c r="B520" s="169">
        <f t="shared" si="17"/>
        <v>5</v>
      </c>
      <c r="C520" s="66" t="s">
        <v>2366</v>
      </c>
      <c r="D520" s="67" t="s">
        <v>2475</v>
      </c>
      <c r="E520" s="66">
        <v>4</v>
      </c>
      <c r="F520" s="66" t="s">
        <v>29</v>
      </c>
      <c r="G520" s="68">
        <v>45163</v>
      </c>
      <c r="H520" s="68" t="s">
        <v>1086</v>
      </c>
      <c r="I520" s="68" t="s">
        <v>1224</v>
      </c>
      <c r="J520" s="66" t="s">
        <v>1326</v>
      </c>
      <c r="K520" s="66" t="s">
        <v>796</v>
      </c>
      <c r="L520" s="66" t="s">
        <v>2370</v>
      </c>
    </row>
    <row r="521" spans="1:12" ht="30" customHeight="1" x14ac:dyDescent="0.2">
      <c r="A521" s="176" t="str">
        <f t="shared" si="16"/>
        <v>25/08/yyyy6</v>
      </c>
      <c r="B521" s="169">
        <f t="shared" si="17"/>
        <v>6</v>
      </c>
      <c r="C521" s="66" t="s">
        <v>2369</v>
      </c>
      <c r="D521" s="67" t="s">
        <v>2476</v>
      </c>
      <c r="E521" s="66">
        <v>5</v>
      </c>
      <c r="F521" s="66" t="s">
        <v>1442</v>
      </c>
      <c r="G521" s="68">
        <v>45163</v>
      </c>
      <c r="H521" s="68" t="s">
        <v>1086</v>
      </c>
      <c r="I521" s="68" t="s">
        <v>33</v>
      </c>
      <c r="J521" s="66" t="s">
        <v>1520</v>
      </c>
      <c r="K521" s="66" t="s">
        <v>798</v>
      </c>
      <c r="L521" s="66" t="s">
        <v>1965</v>
      </c>
    </row>
    <row r="522" spans="1:12" ht="30" customHeight="1" x14ac:dyDescent="0.2">
      <c r="A522" s="176" t="str">
        <f t="shared" si="16"/>
        <v>29/08/yyyy1</v>
      </c>
      <c r="B522" s="169">
        <f t="shared" si="17"/>
        <v>1</v>
      </c>
      <c r="C522" s="66" t="s">
        <v>2299</v>
      </c>
      <c r="D522" s="67" t="s">
        <v>2501</v>
      </c>
      <c r="E522" s="66">
        <v>7</v>
      </c>
      <c r="F522" s="66" t="s">
        <v>32</v>
      </c>
      <c r="G522" s="68">
        <v>45167</v>
      </c>
      <c r="H522" s="68" t="s">
        <v>73</v>
      </c>
      <c r="I522" s="68" t="s">
        <v>1224</v>
      </c>
      <c r="J522" s="66" t="s">
        <v>1326</v>
      </c>
      <c r="K522" s="66" t="s">
        <v>796</v>
      </c>
      <c r="L522" s="66"/>
    </row>
    <row r="523" spans="1:12" ht="30" customHeight="1" x14ac:dyDescent="0.2">
      <c r="A523" s="176" t="str">
        <f t="shared" si="16"/>
        <v>29/08/yyyy2</v>
      </c>
      <c r="B523" s="169">
        <f t="shared" si="17"/>
        <v>2</v>
      </c>
      <c r="C523" s="66" t="s">
        <v>2327</v>
      </c>
      <c r="D523" s="67" t="s">
        <v>2504</v>
      </c>
      <c r="E523" s="66">
        <v>6</v>
      </c>
      <c r="F523" s="66" t="s">
        <v>43</v>
      </c>
      <c r="G523" s="68">
        <v>45167</v>
      </c>
      <c r="H523" s="68" t="s">
        <v>73</v>
      </c>
      <c r="I523" s="68" t="s">
        <v>31</v>
      </c>
      <c r="J523" s="66">
        <f>IFERROR(VLOOKUP(I523,Jueces!$A$1:$B$11,2,FALSE),"")</f>
        <v>2</v>
      </c>
      <c r="K523" s="66" t="s">
        <v>812</v>
      </c>
      <c r="L523" s="66" t="s">
        <v>2219</v>
      </c>
    </row>
    <row r="524" spans="1:12" ht="30" customHeight="1" x14ac:dyDescent="0.2">
      <c r="A524" s="176" t="str">
        <f t="shared" si="16"/>
        <v>29/08/yyyy3</v>
      </c>
      <c r="B524" s="169">
        <f t="shared" si="17"/>
        <v>3</v>
      </c>
      <c r="C524" s="66" t="s">
        <v>2347</v>
      </c>
      <c r="D524" s="67" t="s">
        <v>2503</v>
      </c>
      <c r="E524" s="66">
        <v>5</v>
      </c>
      <c r="F524" s="66" t="s">
        <v>29</v>
      </c>
      <c r="G524" s="68">
        <v>45167</v>
      </c>
      <c r="H524" s="68" t="s">
        <v>73</v>
      </c>
      <c r="I524" s="68" t="s">
        <v>1223</v>
      </c>
      <c r="J524" s="66" t="s">
        <v>1346</v>
      </c>
      <c r="K524" s="66" t="s">
        <v>569</v>
      </c>
      <c r="L524" s="66"/>
    </row>
    <row r="525" spans="1:12" ht="30" customHeight="1" x14ac:dyDescent="0.2">
      <c r="A525" s="176" t="str">
        <f t="shared" si="16"/>
        <v>29/08/yyyy4</v>
      </c>
      <c r="B525" s="169">
        <f t="shared" si="17"/>
        <v>4</v>
      </c>
      <c r="C525" s="66" t="s">
        <v>2352</v>
      </c>
      <c r="D525" s="67" t="s">
        <v>2502</v>
      </c>
      <c r="E525" s="66">
        <v>5</v>
      </c>
      <c r="F525" s="66" t="s">
        <v>1441</v>
      </c>
      <c r="G525" s="68">
        <v>45167</v>
      </c>
      <c r="H525" s="68" t="s">
        <v>73</v>
      </c>
      <c r="I525" s="68" t="s">
        <v>1222</v>
      </c>
      <c r="J525" s="66" t="s">
        <v>1925</v>
      </c>
      <c r="K525" s="66" t="s">
        <v>791</v>
      </c>
      <c r="L525" s="66" t="s">
        <v>2125</v>
      </c>
    </row>
    <row r="526" spans="1:12" ht="30" customHeight="1" x14ac:dyDescent="0.2">
      <c r="A526" s="176" t="str">
        <f t="shared" si="16"/>
        <v>29/08/yyyy5</v>
      </c>
      <c r="B526" s="169">
        <f t="shared" si="17"/>
        <v>5</v>
      </c>
      <c r="C526" s="66" t="s">
        <v>2403</v>
      </c>
      <c r="D526" s="67" t="s">
        <v>2505</v>
      </c>
      <c r="E526" s="66">
        <v>6</v>
      </c>
      <c r="F526" s="66" t="s">
        <v>568</v>
      </c>
      <c r="G526" s="68">
        <v>45167</v>
      </c>
      <c r="H526" s="68" t="s">
        <v>73</v>
      </c>
      <c r="I526" s="68" t="s">
        <v>78</v>
      </c>
      <c r="J526" s="66">
        <f>IFERROR(VLOOKUP(I526,Jueces!$A$1:$B$11,2,FALSE),"")</f>
        <v>8</v>
      </c>
      <c r="K526" s="66" t="s">
        <v>811</v>
      </c>
      <c r="L526" s="66" t="s">
        <v>725</v>
      </c>
    </row>
    <row r="527" spans="1:12" ht="30" customHeight="1" x14ac:dyDescent="0.2">
      <c r="A527" s="176" t="str">
        <f t="shared" si="16"/>
        <v>29/08/yyyy6</v>
      </c>
      <c r="B527" s="169">
        <f t="shared" si="17"/>
        <v>6</v>
      </c>
      <c r="C527" s="66" t="s">
        <v>2401</v>
      </c>
      <c r="D527" s="67" t="s">
        <v>2507</v>
      </c>
      <c r="E527" s="66">
        <v>6</v>
      </c>
      <c r="F527" s="66" t="s">
        <v>283</v>
      </c>
      <c r="G527" s="68">
        <v>45167</v>
      </c>
      <c r="H527" s="68" t="s">
        <v>1086</v>
      </c>
      <c r="I527" s="68" t="s">
        <v>1223</v>
      </c>
      <c r="J527" s="66" t="s">
        <v>2423</v>
      </c>
      <c r="K527" s="66" t="s">
        <v>798</v>
      </c>
      <c r="L527" s="66" t="s">
        <v>2125</v>
      </c>
    </row>
    <row r="528" spans="1:12" ht="30" customHeight="1" x14ac:dyDescent="0.2">
      <c r="A528" s="176" t="str">
        <f t="shared" si="16"/>
        <v>30/08/yyyy1</v>
      </c>
      <c r="B528" s="169">
        <f t="shared" si="17"/>
        <v>1</v>
      </c>
      <c r="C528" s="66" t="s">
        <v>2357</v>
      </c>
      <c r="D528" s="67" t="s">
        <v>2358</v>
      </c>
      <c r="E528" s="66">
        <v>6</v>
      </c>
      <c r="F528" s="66" t="s">
        <v>32</v>
      </c>
      <c r="G528" s="68">
        <v>45168</v>
      </c>
      <c r="H528" s="68" t="s">
        <v>73</v>
      </c>
      <c r="I528" s="68" t="s">
        <v>78</v>
      </c>
      <c r="J528" s="66">
        <v>1</v>
      </c>
      <c r="K528" s="66" t="s">
        <v>813</v>
      </c>
      <c r="L528" s="66" t="s">
        <v>725</v>
      </c>
    </row>
    <row r="529" spans="1:12" ht="30" customHeight="1" x14ac:dyDescent="0.2">
      <c r="A529" s="176" t="str">
        <f t="shared" si="16"/>
        <v>30/08/yyyy2</v>
      </c>
      <c r="B529" s="169">
        <f t="shared" si="17"/>
        <v>2</v>
      </c>
      <c r="C529" s="66" t="s">
        <v>2395</v>
      </c>
      <c r="D529" s="67" t="s">
        <v>2470</v>
      </c>
      <c r="E529" s="66">
        <v>6</v>
      </c>
      <c r="F529" s="66" t="s">
        <v>1442</v>
      </c>
      <c r="G529" s="68">
        <v>45168</v>
      </c>
      <c r="H529" s="68" t="s">
        <v>73</v>
      </c>
      <c r="I529" s="68" t="s">
        <v>33</v>
      </c>
      <c r="J529" s="66">
        <f>IFERROR(VLOOKUP(I529,Jueces!$A$1:$B$11,2,FALSE),"")</f>
        <v>4</v>
      </c>
      <c r="K529" s="66" t="s">
        <v>791</v>
      </c>
      <c r="L529" s="66" t="s">
        <v>2219</v>
      </c>
    </row>
    <row r="530" spans="1:12" ht="30" customHeight="1" x14ac:dyDescent="0.2">
      <c r="A530" s="176" t="str">
        <f t="shared" si="16"/>
        <v>30/08/yyyy3</v>
      </c>
      <c r="B530" s="169">
        <f t="shared" si="17"/>
        <v>3</v>
      </c>
      <c r="C530" s="66" t="s">
        <v>2189</v>
      </c>
      <c r="D530" s="67" t="s">
        <v>2190</v>
      </c>
      <c r="E530" s="66">
        <v>5</v>
      </c>
      <c r="F530" s="66" t="s">
        <v>1443</v>
      </c>
      <c r="G530" s="68">
        <v>45168</v>
      </c>
      <c r="H530" s="68" t="s">
        <v>1086</v>
      </c>
      <c r="I530" s="68" t="s">
        <v>1224</v>
      </c>
      <c r="J530" s="66" t="s">
        <v>1925</v>
      </c>
      <c r="K530" s="66" t="s">
        <v>796</v>
      </c>
      <c r="L530" s="66" t="s">
        <v>2207</v>
      </c>
    </row>
    <row r="531" spans="1:12" ht="30" customHeight="1" x14ac:dyDescent="0.2">
      <c r="A531" s="176" t="str">
        <f t="shared" si="16"/>
        <v>30/08/yyyy4</v>
      </c>
      <c r="B531" s="169">
        <f t="shared" si="17"/>
        <v>4</v>
      </c>
      <c r="C531" s="66" t="s">
        <v>2424</v>
      </c>
      <c r="D531" s="67" t="s">
        <v>2487</v>
      </c>
      <c r="E531" s="66">
        <v>7</v>
      </c>
      <c r="F531" s="66" t="s">
        <v>43</v>
      </c>
      <c r="G531" s="68">
        <v>45168</v>
      </c>
      <c r="H531" s="68" t="s">
        <v>1086</v>
      </c>
      <c r="I531" s="68" t="s">
        <v>35</v>
      </c>
      <c r="J531" s="66" t="s">
        <v>1520</v>
      </c>
      <c r="K531" s="66" t="s">
        <v>813</v>
      </c>
      <c r="L531" s="66" t="s">
        <v>723</v>
      </c>
    </row>
    <row r="532" spans="1:12" ht="30" customHeight="1" x14ac:dyDescent="0.2">
      <c r="A532" s="176" t="str">
        <f t="shared" si="16"/>
        <v>30/08/yyyy5</v>
      </c>
      <c r="B532" s="169">
        <f t="shared" si="17"/>
        <v>5</v>
      </c>
      <c r="C532" s="66" t="s">
        <v>2425</v>
      </c>
      <c r="D532" s="67" t="s">
        <v>2460</v>
      </c>
      <c r="E532" s="66">
        <v>7</v>
      </c>
      <c r="F532" s="66" t="s">
        <v>1441</v>
      </c>
      <c r="G532" s="68">
        <v>45168</v>
      </c>
      <c r="H532" s="68" t="s">
        <v>1086</v>
      </c>
      <c r="I532" s="68" t="s">
        <v>1220</v>
      </c>
      <c r="J532" s="66">
        <f>IFERROR(VLOOKUP(I532,Jueces!$A$1:$B$11,2,FALSE),"")</f>
        <v>1</v>
      </c>
      <c r="K532" s="66" t="s">
        <v>802</v>
      </c>
      <c r="L532" s="66" t="s">
        <v>725</v>
      </c>
    </row>
    <row r="533" spans="1:12" ht="30" customHeight="1" x14ac:dyDescent="0.2">
      <c r="A533" s="176" t="str">
        <f t="shared" si="16"/>
        <v>31/08/yyyy1</v>
      </c>
      <c r="B533" s="169">
        <f t="shared" si="17"/>
        <v>1</v>
      </c>
      <c r="C533" s="66" t="s">
        <v>2400</v>
      </c>
      <c r="D533" s="67" t="s">
        <v>2542</v>
      </c>
      <c r="E533" s="66">
        <v>6</v>
      </c>
      <c r="F533" s="66" t="s">
        <v>283</v>
      </c>
      <c r="G533" s="68">
        <v>45169</v>
      </c>
      <c r="H533" s="68" t="s">
        <v>73</v>
      </c>
      <c r="I533" s="68" t="s">
        <v>31</v>
      </c>
      <c r="J533" s="66" t="s">
        <v>1346</v>
      </c>
      <c r="K533" s="66" t="s">
        <v>810</v>
      </c>
      <c r="L533" s="66" t="s">
        <v>725</v>
      </c>
    </row>
    <row r="534" spans="1:12" ht="30" customHeight="1" x14ac:dyDescent="0.2">
      <c r="A534" s="176" t="str">
        <f t="shared" si="16"/>
        <v>31/08/yyyy2</v>
      </c>
      <c r="B534" s="169">
        <f t="shared" si="17"/>
        <v>2</v>
      </c>
      <c r="C534" s="66" t="s">
        <v>2448</v>
      </c>
      <c r="D534" s="67" t="s">
        <v>2543</v>
      </c>
      <c r="E534" s="66">
        <v>7</v>
      </c>
      <c r="F534" s="66" t="s">
        <v>1442</v>
      </c>
      <c r="G534" s="68">
        <v>45169</v>
      </c>
      <c r="H534" s="68" t="s">
        <v>73</v>
      </c>
      <c r="I534" s="68" t="s">
        <v>35</v>
      </c>
      <c r="J534" s="66" t="s">
        <v>1520</v>
      </c>
      <c r="K534" s="66" t="s">
        <v>2088</v>
      </c>
      <c r="L534" s="66" t="s">
        <v>783</v>
      </c>
    </row>
    <row r="535" spans="1:12" ht="30" customHeight="1" x14ac:dyDescent="0.2">
      <c r="A535" s="176" t="str">
        <f t="shared" si="16"/>
        <v>31/08/yyyy3</v>
      </c>
      <c r="B535" s="169">
        <f t="shared" si="17"/>
        <v>3</v>
      </c>
      <c r="C535" s="66" t="s">
        <v>2463</v>
      </c>
      <c r="D535" s="67" t="s">
        <v>2544</v>
      </c>
      <c r="E535" s="66">
        <v>7</v>
      </c>
      <c r="F535" s="66" t="s">
        <v>43</v>
      </c>
      <c r="G535" s="68">
        <v>45169</v>
      </c>
      <c r="H535" s="68" t="s">
        <v>73</v>
      </c>
      <c r="I535" s="68" t="s">
        <v>78</v>
      </c>
      <c r="J535" s="66">
        <f>IFERROR(VLOOKUP(I535,Jueces!$A$1:$B$11,2,FALSE),"")</f>
        <v>8</v>
      </c>
      <c r="K535" s="66" t="s">
        <v>811</v>
      </c>
      <c r="L535" s="66" t="s">
        <v>723</v>
      </c>
    </row>
    <row r="536" spans="1:12" ht="30" customHeight="1" x14ac:dyDescent="0.2">
      <c r="A536" s="176" t="str">
        <f t="shared" si="16"/>
        <v>31/08/yyyy4</v>
      </c>
      <c r="B536" s="169">
        <f t="shared" si="17"/>
        <v>4</v>
      </c>
      <c r="C536" s="66" t="s">
        <v>2437</v>
      </c>
      <c r="D536" s="67" t="s">
        <v>2545</v>
      </c>
      <c r="E536" s="66">
        <v>7</v>
      </c>
      <c r="F536" s="66" t="s">
        <v>1441</v>
      </c>
      <c r="G536" s="68">
        <v>45169</v>
      </c>
      <c r="H536" s="68" t="s">
        <v>1086</v>
      </c>
      <c r="I536" s="68" t="s">
        <v>1225</v>
      </c>
      <c r="J536" s="66">
        <f>IFERROR(VLOOKUP(I536,Jueces!$A$1:$B$11,2,FALSE),"")</f>
        <v>6</v>
      </c>
      <c r="K536" s="66" t="s">
        <v>812</v>
      </c>
      <c r="L536" s="66" t="s">
        <v>725</v>
      </c>
    </row>
    <row r="537" spans="1:12" ht="30" customHeight="1" x14ac:dyDescent="0.2">
      <c r="A537" s="176" t="str">
        <f t="shared" si="16"/>
        <v>31/08/yyyy5</v>
      </c>
      <c r="B537" s="169">
        <f t="shared" si="17"/>
        <v>5</v>
      </c>
      <c r="C537" s="66" t="s">
        <v>2451</v>
      </c>
      <c r="D537" s="67" t="s">
        <v>2546</v>
      </c>
      <c r="E537" s="66">
        <v>6</v>
      </c>
      <c r="F537" s="66" t="s">
        <v>32</v>
      </c>
      <c r="G537" s="68">
        <v>45169</v>
      </c>
      <c r="H537" s="68" t="s">
        <v>1086</v>
      </c>
      <c r="I537" s="68" t="s">
        <v>1224</v>
      </c>
      <c r="J537" s="66" t="s">
        <v>2343</v>
      </c>
      <c r="K537" s="66" t="s">
        <v>789</v>
      </c>
      <c r="L537" s="66" t="s">
        <v>725</v>
      </c>
    </row>
    <row r="538" spans="1:12" ht="30" customHeight="1" x14ac:dyDescent="0.2">
      <c r="A538" s="176" t="str">
        <f t="shared" si="16"/>
        <v>31/08/yyyy6</v>
      </c>
      <c r="B538" s="169">
        <f t="shared" si="17"/>
        <v>6</v>
      </c>
      <c r="C538" s="66" t="s">
        <v>2464</v>
      </c>
      <c r="D538" s="67" t="s">
        <v>2547</v>
      </c>
      <c r="E538" s="66">
        <v>7</v>
      </c>
      <c r="F538" s="66" t="s">
        <v>29</v>
      </c>
      <c r="G538" s="68">
        <v>45169</v>
      </c>
      <c r="H538" s="68" t="s">
        <v>1086</v>
      </c>
      <c r="I538" s="68" t="s">
        <v>1222</v>
      </c>
      <c r="J538" s="66" t="s">
        <v>1925</v>
      </c>
      <c r="K538" s="66" t="s">
        <v>809</v>
      </c>
      <c r="L538" s="66" t="s">
        <v>723</v>
      </c>
    </row>
    <row r="539" spans="1:12" ht="30" customHeight="1" x14ac:dyDescent="0.2">
      <c r="A539" s="176" t="str">
        <f t="shared" si="16"/>
        <v>31/08/yyyy7</v>
      </c>
      <c r="B539" s="169">
        <f t="shared" si="17"/>
        <v>7</v>
      </c>
      <c r="C539" s="66" t="s">
        <v>2466</v>
      </c>
      <c r="D539" s="67" t="s">
        <v>2548</v>
      </c>
      <c r="E539" s="66">
        <v>7</v>
      </c>
      <c r="F539" s="66" t="s">
        <v>568</v>
      </c>
      <c r="G539" s="68">
        <v>45169</v>
      </c>
      <c r="H539" s="68" t="s">
        <v>989</v>
      </c>
      <c r="I539" s="68" t="s">
        <v>31</v>
      </c>
      <c r="J539" s="66" t="s">
        <v>1925</v>
      </c>
      <c r="K539" s="66" t="s">
        <v>811</v>
      </c>
      <c r="L539" s="66" t="s">
        <v>725</v>
      </c>
    </row>
    <row r="540" spans="1:12" ht="30" customHeight="1" x14ac:dyDescent="0.2">
      <c r="A540" s="176" t="str">
        <f t="shared" si="16"/>
        <v>01/09/yyyy1</v>
      </c>
      <c r="B540" s="169">
        <f t="shared" si="17"/>
        <v>1</v>
      </c>
      <c r="C540" s="66" t="s">
        <v>2402</v>
      </c>
      <c r="D540" s="67" t="s">
        <v>2461</v>
      </c>
      <c r="E540" s="66">
        <v>7</v>
      </c>
      <c r="F540" s="66" t="s">
        <v>1441</v>
      </c>
      <c r="G540" s="68">
        <v>45170</v>
      </c>
      <c r="H540" s="68" t="s">
        <v>73</v>
      </c>
      <c r="I540" s="68" t="s">
        <v>31</v>
      </c>
      <c r="J540" s="66">
        <f>IFERROR(VLOOKUP(I540,Jueces!$A$1:$B$11,2,FALSE),"")</f>
        <v>2</v>
      </c>
      <c r="K540" s="66" t="s">
        <v>812</v>
      </c>
      <c r="L540" s="66" t="s">
        <v>2568</v>
      </c>
    </row>
    <row r="541" spans="1:12" ht="30" customHeight="1" x14ac:dyDescent="0.2">
      <c r="A541" s="176" t="str">
        <f t="shared" si="16"/>
        <v>01/09/yyyy2</v>
      </c>
      <c r="B541" s="169">
        <f t="shared" si="17"/>
        <v>2</v>
      </c>
      <c r="C541" s="66" t="s">
        <v>2489</v>
      </c>
      <c r="D541" s="67" t="s">
        <v>2490</v>
      </c>
      <c r="E541" s="66">
        <v>6</v>
      </c>
      <c r="F541" s="66" t="s">
        <v>1443</v>
      </c>
      <c r="G541" s="68">
        <v>45170</v>
      </c>
      <c r="H541" s="68" t="s">
        <v>73</v>
      </c>
      <c r="I541" s="68" t="s">
        <v>1221</v>
      </c>
      <c r="J541" s="66" t="s">
        <v>1346</v>
      </c>
      <c r="K541" s="66" t="s">
        <v>806</v>
      </c>
      <c r="L541" s="66" t="s">
        <v>2219</v>
      </c>
    </row>
    <row r="542" spans="1:12" ht="30" customHeight="1" x14ac:dyDescent="0.2">
      <c r="A542" s="176" t="str">
        <f t="shared" si="16"/>
        <v>01/09/yyyy3</v>
      </c>
      <c r="B542" s="169">
        <f t="shared" si="17"/>
        <v>3</v>
      </c>
      <c r="C542" s="66" t="s">
        <v>2492</v>
      </c>
      <c r="D542" s="67" t="s">
        <v>2493</v>
      </c>
      <c r="E542" s="66">
        <v>6</v>
      </c>
      <c r="F542" s="66" t="s">
        <v>568</v>
      </c>
      <c r="G542" s="68">
        <v>45170</v>
      </c>
      <c r="H542" s="68" t="s">
        <v>73</v>
      </c>
      <c r="I542" s="68" t="s">
        <v>35</v>
      </c>
      <c r="J542" s="66">
        <f>IFERROR(VLOOKUP(I542,Jueces!$A$1:$B$11,2,FALSE),"")</f>
        <v>3</v>
      </c>
      <c r="K542" s="66" t="s">
        <v>798</v>
      </c>
      <c r="L542" s="66" t="s">
        <v>696</v>
      </c>
    </row>
    <row r="543" spans="1:12" ht="30" customHeight="1" x14ac:dyDescent="0.2">
      <c r="A543" s="176" t="str">
        <f t="shared" si="16"/>
        <v>01/09/yyyy4</v>
      </c>
      <c r="B543" s="169">
        <f t="shared" si="17"/>
        <v>4</v>
      </c>
      <c r="C543" s="66" t="s">
        <v>2441</v>
      </c>
      <c r="D543" s="67" t="s">
        <v>2459</v>
      </c>
      <c r="E543" s="66">
        <v>7</v>
      </c>
      <c r="F543" s="66" t="s">
        <v>283</v>
      </c>
      <c r="G543" s="68">
        <v>45170</v>
      </c>
      <c r="H543" s="68" t="s">
        <v>749</v>
      </c>
      <c r="I543" s="68" t="s">
        <v>1225</v>
      </c>
      <c r="J543" s="66">
        <f>IFERROR(VLOOKUP(I543,Jueces!$A$1:$B$11,2,FALSE),"")</f>
        <v>6</v>
      </c>
      <c r="K543" s="66" t="s">
        <v>802</v>
      </c>
      <c r="L543" s="66" t="s">
        <v>723</v>
      </c>
    </row>
    <row r="544" spans="1:12" ht="30" customHeight="1" x14ac:dyDescent="0.2">
      <c r="A544" s="176" t="str">
        <f t="shared" si="16"/>
        <v>01/09/yyyy5</v>
      </c>
      <c r="B544" s="169">
        <f t="shared" si="17"/>
        <v>5</v>
      </c>
      <c r="C544" s="66" t="s">
        <v>2404</v>
      </c>
      <c r="D544" s="67" t="s">
        <v>2458</v>
      </c>
      <c r="E544" s="66">
        <v>7</v>
      </c>
      <c r="F544" s="66" t="s">
        <v>43</v>
      </c>
      <c r="G544" s="68">
        <v>45170</v>
      </c>
      <c r="H544" s="68" t="s">
        <v>1086</v>
      </c>
      <c r="I544" s="68" t="s">
        <v>1222</v>
      </c>
      <c r="J544" s="66" t="s">
        <v>1520</v>
      </c>
      <c r="K544" s="66" t="s">
        <v>791</v>
      </c>
      <c r="L544" s="66" t="s">
        <v>2568</v>
      </c>
    </row>
    <row r="545" spans="1:12" ht="30" customHeight="1" x14ac:dyDescent="0.2">
      <c r="A545" s="176" t="str">
        <f t="shared" si="16"/>
        <v>01/09/yyyy6</v>
      </c>
      <c r="B545" s="169">
        <f t="shared" si="17"/>
        <v>6</v>
      </c>
      <c r="C545" s="66" t="s">
        <v>2445</v>
      </c>
      <c r="D545" s="67" t="s">
        <v>2486</v>
      </c>
      <c r="E545" s="66">
        <v>7</v>
      </c>
      <c r="F545" s="66" t="s">
        <v>1442</v>
      </c>
      <c r="G545" s="68">
        <v>45170</v>
      </c>
      <c r="H545" s="68" t="s">
        <v>1086</v>
      </c>
      <c r="I545" s="68" t="s">
        <v>1224</v>
      </c>
      <c r="J545" s="66" t="s">
        <v>1925</v>
      </c>
      <c r="K545" s="66" t="s">
        <v>809</v>
      </c>
      <c r="L545" s="66" t="s">
        <v>723</v>
      </c>
    </row>
    <row r="546" spans="1:12" ht="30" customHeight="1" x14ac:dyDescent="0.2">
      <c r="A546" s="176" t="str">
        <f t="shared" si="16"/>
        <v>01/09/yyyy7</v>
      </c>
      <c r="B546" s="169">
        <f t="shared" si="17"/>
        <v>7</v>
      </c>
      <c r="C546" s="66" t="s">
        <v>2499</v>
      </c>
      <c r="D546" s="67" t="s">
        <v>2500</v>
      </c>
      <c r="E546" s="66">
        <v>5</v>
      </c>
      <c r="F546" s="66" t="s">
        <v>32</v>
      </c>
      <c r="G546" s="68">
        <v>45170</v>
      </c>
      <c r="H546" s="68" t="s">
        <v>1086</v>
      </c>
      <c r="I546" s="68" t="s">
        <v>35</v>
      </c>
      <c r="J546" s="66">
        <v>4</v>
      </c>
      <c r="K546" s="66" t="s">
        <v>830</v>
      </c>
      <c r="L546" s="66" t="s">
        <v>1875</v>
      </c>
    </row>
    <row r="547" spans="1:12" ht="30" customHeight="1" x14ac:dyDescent="0.2">
      <c r="A547" s="176" t="str">
        <f t="shared" si="16"/>
        <v>04/09/yyyy1</v>
      </c>
      <c r="B547" s="169">
        <f t="shared" si="17"/>
        <v>1</v>
      </c>
      <c r="C547" s="66" t="s">
        <v>2467</v>
      </c>
      <c r="D547" s="67" t="s">
        <v>2618</v>
      </c>
      <c r="E547" s="66">
        <v>7</v>
      </c>
      <c r="F547" s="66" t="s">
        <v>568</v>
      </c>
      <c r="G547" s="68">
        <v>45173</v>
      </c>
      <c r="H547" s="68" t="s">
        <v>73</v>
      </c>
      <c r="I547" s="68" t="s">
        <v>35</v>
      </c>
      <c r="J547" s="66">
        <f>IFERROR(VLOOKUP(I547,Jueces!$A$1:$B$11,2,FALSE),"")</f>
        <v>3</v>
      </c>
      <c r="K547" s="66" t="s">
        <v>809</v>
      </c>
      <c r="L547" s="66" t="s">
        <v>723</v>
      </c>
    </row>
    <row r="548" spans="1:12" ht="30" customHeight="1" x14ac:dyDescent="0.2">
      <c r="A548" s="176" t="str">
        <f t="shared" si="16"/>
        <v>04/09/yyyy2</v>
      </c>
      <c r="B548" s="169">
        <f t="shared" si="17"/>
        <v>2</v>
      </c>
      <c r="C548" s="66" t="s">
        <v>2510</v>
      </c>
      <c r="D548" s="67" t="s">
        <v>2619</v>
      </c>
      <c r="E548" s="66">
        <v>7</v>
      </c>
      <c r="F548" s="66" t="s">
        <v>1442</v>
      </c>
      <c r="G548" s="68">
        <v>45173</v>
      </c>
      <c r="H548" s="68" t="s">
        <v>73</v>
      </c>
      <c r="I548" s="68" t="s">
        <v>1221</v>
      </c>
      <c r="J548" s="66">
        <f>IFERROR(VLOOKUP(I548,Jueces!$A$1:$B$11,2,FALSE),"")</f>
        <v>7</v>
      </c>
      <c r="K548" s="66" t="s">
        <v>569</v>
      </c>
      <c r="L548" s="66" t="s">
        <v>782</v>
      </c>
    </row>
    <row r="549" spans="1:12" ht="30" customHeight="1" x14ac:dyDescent="0.2">
      <c r="A549" s="176" t="str">
        <f t="shared" si="16"/>
        <v>04/09/yyyy3</v>
      </c>
      <c r="B549" s="169">
        <f t="shared" si="17"/>
        <v>3</v>
      </c>
      <c r="C549" s="66" t="s">
        <v>1383</v>
      </c>
      <c r="D549" s="67" t="s">
        <v>2620</v>
      </c>
      <c r="E549" s="66">
        <v>2</v>
      </c>
      <c r="F549" s="66" t="s">
        <v>43</v>
      </c>
      <c r="G549" s="68">
        <v>45173</v>
      </c>
      <c r="H549" s="68" t="s">
        <v>73</v>
      </c>
      <c r="I549" s="68" t="s">
        <v>1220</v>
      </c>
      <c r="J549" s="66" t="s">
        <v>1925</v>
      </c>
      <c r="K549" s="66" t="s">
        <v>791</v>
      </c>
      <c r="L549" s="66" t="s">
        <v>712</v>
      </c>
    </row>
    <row r="550" spans="1:12" ht="30" customHeight="1" x14ac:dyDescent="0.2">
      <c r="A550" s="176" t="str">
        <f t="shared" si="16"/>
        <v>04/09/yyyy4</v>
      </c>
      <c r="B550" s="169">
        <f t="shared" si="17"/>
        <v>4</v>
      </c>
      <c r="C550" s="66" t="s">
        <v>2468</v>
      </c>
      <c r="D550" s="67" t="s">
        <v>2621</v>
      </c>
      <c r="E550" s="66">
        <v>7</v>
      </c>
      <c r="F550" s="66" t="s">
        <v>32</v>
      </c>
      <c r="G550" s="68">
        <v>45173</v>
      </c>
      <c r="H550" s="68" t="s">
        <v>1086</v>
      </c>
      <c r="I550" s="68" t="s">
        <v>1224</v>
      </c>
      <c r="J550" s="66" t="s">
        <v>1520</v>
      </c>
      <c r="K550" s="66" t="s">
        <v>801</v>
      </c>
      <c r="L550" s="66" t="s">
        <v>723</v>
      </c>
    </row>
    <row r="551" spans="1:12" ht="30" customHeight="1" x14ac:dyDescent="0.2">
      <c r="A551" s="176" t="str">
        <f t="shared" si="16"/>
        <v>04/09/yyyy5</v>
      </c>
      <c r="B551" s="169">
        <f t="shared" si="17"/>
        <v>5</v>
      </c>
      <c r="C551" s="66" t="s">
        <v>2519</v>
      </c>
      <c r="D551" s="67" t="s">
        <v>2622</v>
      </c>
      <c r="E551" s="66">
        <v>6</v>
      </c>
      <c r="F551" s="66" t="s">
        <v>283</v>
      </c>
      <c r="G551" s="68">
        <v>45173</v>
      </c>
      <c r="H551" s="68" t="s">
        <v>1086</v>
      </c>
      <c r="I551" s="68" t="s">
        <v>1222</v>
      </c>
      <c r="J551" s="66" t="s">
        <v>1925</v>
      </c>
      <c r="K551" s="66" t="s">
        <v>2088</v>
      </c>
      <c r="L551" s="66" t="s">
        <v>2387</v>
      </c>
    </row>
    <row r="552" spans="1:12" ht="30" customHeight="1" x14ac:dyDescent="0.2">
      <c r="A552" s="176" t="str">
        <f t="shared" si="16"/>
        <v>05/09/yyyy1</v>
      </c>
      <c r="B552" s="169">
        <f t="shared" si="17"/>
        <v>1</v>
      </c>
      <c r="C552" s="66" t="s">
        <v>2465</v>
      </c>
      <c r="D552" s="67" t="s">
        <v>2605</v>
      </c>
      <c r="E552" s="66">
        <v>7</v>
      </c>
      <c r="F552" s="66" t="s">
        <v>32</v>
      </c>
      <c r="G552" s="68">
        <v>45174</v>
      </c>
      <c r="H552" s="68" t="s">
        <v>73</v>
      </c>
      <c r="I552" s="68" t="s">
        <v>33</v>
      </c>
      <c r="J552" s="66">
        <f>IFERROR(VLOOKUP(I552,Jueces!$A$1:$B$11,2,FALSE),"")</f>
        <v>4</v>
      </c>
      <c r="K552" s="66" t="s">
        <v>789</v>
      </c>
      <c r="L552" s="66" t="s">
        <v>723</v>
      </c>
    </row>
    <row r="553" spans="1:12" ht="30" customHeight="1" x14ac:dyDescent="0.2">
      <c r="A553" s="176" t="str">
        <f t="shared" si="16"/>
        <v>05/09/yyyy2</v>
      </c>
      <c r="B553" s="169">
        <f t="shared" si="17"/>
        <v>2</v>
      </c>
      <c r="C553" s="66" t="s">
        <v>2494</v>
      </c>
      <c r="D553" s="67" t="s">
        <v>2627</v>
      </c>
      <c r="E553" s="66">
        <v>6</v>
      </c>
      <c r="F553" s="66" t="s">
        <v>1442</v>
      </c>
      <c r="G553" s="68">
        <v>45174</v>
      </c>
      <c r="H553" s="68" t="s">
        <v>73</v>
      </c>
      <c r="I553" s="68" t="s">
        <v>35</v>
      </c>
      <c r="J553" s="66">
        <f>IFERROR(VLOOKUP(I553,Jueces!$A$1:$B$11,2,FALSE),"")</f>
        <v>3</v>
      </c>
      <c r="K553" s="66" t="s">
        <v>793</v>
      </c>
      <c r="L553" s="66" t="s">
        <v>2219</v>
      </c>
    </row>
    <row r="554" spans="1:12" ht="30" customHeight="1" x14ac:dyDescent="0.2">
      <c r="A554" s="176" t="str">
        <f t="shared" si="16"/>
        <v>05/09/yyyy3</v>
      </c>
      <c r="B554" s="169">
        <f t="shared" si="17"/>
        <v>3</v>
      </c>
      <c r="C554" s="66" t="s">
        <v>2497</v>
      </c>
      <c r="D554" s="67" t="s">
        <v>2623</v>
      </c>
      <c r="E554" s="66">
        <v>7</v>
      </c>
      <c r="F554" s="66" t="s">
        <v>29</v>
      </c>
      <c r="G554" s="68">
        <v>45174</v>
      </c>
      <c r="H554" s="68" t="s">
        <v>73</v>
      </c>
      <c r="I554" s="68" t="s">
        <v>1221</v>
      </c>
      <c r="J554" s="66">
        <f>IFERROR(VLOOKUP(I554,Jueces!$A$1:$B$11,2,FALSE),"")</f>
        <v>7</v>
      </c>
      <c r="K554" s="66" t="s">
        <v>569</v>
      </c>
      <c r="L554" s="66" t="s">
        <v>782</v>
      </c>
    </row>
    <row r="555" spans="1:12" ht="30" customHeight="1" x14ac:dyDescent="0.2">
      <c r="A555" s="176" t="str">
        <f t="shared" si="16"/>
        <v>05/09/yyyy4</v>
      </c>
      <c r="B555" s="169">
        <f t="shared" si="17"/>
        <v>4</v>
      </c>
      <c r="C555" s="66" t="s">
        <v>2520</v>
      </c>
      <c r="D555" s="67" t="s">
        <v>2624</v>
      </c>
      <c r="E555" s="66">
        <v>5</v>
      </c>
      <c r="F555" s="66" t="s">
        <v>568</v>
      </c>
      <c r="G555" s="68">
        <v>45174</v>
      </c>
      <c r="H555" s="68" t="s">
        <v>73</v>
      </c>
      <c r="I555" s="68" t="s">
        <v>1222</v>
      </c>
      <c r="J555" s="66" t="s">
        <v>1520</v>
      </c>
      <c r="K555" s="66" t="s">
        <v>569</v>
      </c>
      <c r="L555" s="66" t="s">
        <v>2125</v>
      </c>
    </row>
    <row r="556" spans="1:12" ht="30" customHeight="1" x14ac:dyDescent="0.2">
      <c r="A556" s="176" t="str">
        <f t="shared" si="16"/>
        <v>05/09/yyyy5</v>
      </c>
      <c r="B556" s="169">
        <f t="shared" si="17"/>
        <v>5</v>
      </c>
      <c r="C556" s="66" t="s">
        <v>2477</v>
      </c>
      <c r="D556" s="67" t="s">
        <v>2625</v>
      </c>
      <c r="E556" s="66">
        <v>7</v>
      </c>
      <c r="F556" s="66" t="s">
        <v>1441</v>
      </c>
      <c r="G556" s="68">
        <v>45174</v>
      </c>
      <c r="H556" s="68" t="s">
        <v>1086</v>
      </c>
      <c r="I556" s="68" t="s">
        <v>1222</v>
      </c>
      <c r="J556" s="66" t="s">
        <v>1520</v>
      </c>
      <c r="K556" s="66" t="s">
        <v>800</v>
      </c>
      <c r="L556" s="66" t="s">
        <v>725</v>
      </c>
    </row>
    <row r="557" spans="1:12" ht="30" customHeight="1" x14ac:dyDescent="0.2">
      <c r="A557" s="176" t="str">
        <f t="shared" si="16"/>
        <v>05/09/yyyy6</v>
      </c>
      <c r="B557" s="169">
        <f t="shared" si="17"/>
        <v>6</v>
      </c>
      <c r="C557" s="66" t="s">
        <v>2496</v>
      </c>
      <c r="D557" s="67" t="s">
        <v>2626</v>
      </c>
      <c r="E557" s="66">
        <v>7</v>
      </c>
      <c r="F557" s="66" t="s">
        <v>1443</v>
      </c>
      <c r="G557" s="68">
        <v>45174</v>
      </c>
      <c r="H557" s="68" t="s">
        <v>1086</v>
      </c>
      <c r="I557" s="68" t="s">
        <v>1225</v>
      </c>
      <c r="J557" s="66">
        <f>IFERROR(VLOOKUP(I557,Jueces!$A$1:$B$11,2,FALSE),"")</f>
        <v>6</v>
      </c>
      <c r="K557" s="66" t="s">
        <v>807</v>
      </c>
      <c r="L557" s="66" t="s">
        <v>723</v>
      </c>
    </row>
    <row r="558" spans="1:12" ht="30" customHeight="1" x14ac:dyDescent="0.2">
      <c r="A558" s="176" t="str">
        <f t="shared" si="16"/>
        <v>06/09/yyyy1</v>
      </c>
      <c r="B558" s="169">
        <f t="shared" si="17"/>
        <v>1</v>
      </c>
      <c r="C558" s="66" t="s">
        <v>2399</v>
      </c>
      <c r="D558" s="67" t="s">
        <v>2628</v>
      </c>
      <c r="E558" s="66">
        <v>6</v>
      </c>
      <c r="F558" s="66" t="s">
        <v>29</v>
      </c>
      <c r="G558" s="68">
        <v>45175</v>
      </c>
      <c r="H558" s="68" t="s">
        <v>73</v>
      </c>
      <c r="I558" s="68" t="s">
        <v>35</v>
      </c>
      <c r="J558" s="66">
        <f>IFERROR(VLOOKUP(I558,Jueces!$A$1:$B$11,2,FALSE),"")</f>
        <v>3</v>
      </c>
      <c r="K558" s="66" t="s">
        <v>1149</v>
      </c>
      <c r="L558" s="66" t="s">
        <v>2485</v>
      </c>
    </row>
    <row r="559" spans="1:12" ht="30" customHeight="1" x14ac:dyDescent="0.2">
      <c r="A559" s="176" t="str">
        <f t="shared" si="16"/>
        <v>06/09/yyyy2</v>
      </c>
      <c r="B559" s="169">
        <f t="shared" si="17"/>
        <v>2</v>
      </c>
      <c r="C559" s="66" t="s">
        <v>2491</v>
      </c>
      <c r="D559" s="67" t="s">
        <v>2630</v>
      </c>
      <c r="E559" s="66">
        <v>4</v>
      </c>
      <c r="F559" s="66" t="s">
        <v>1441</v>
      </c>
      <c r="G559" s="68">
        <v>45175</v>
      </c>
      <c r="H559" s="68" t="s">
        <v>73</v>
      </c>
      <c r="I559" s="68" t="s">
        <v>1221</v>
      </c>
      <c r="J559" s="66">
        <f>IFERROR(VLOOKUP(I559,Jueces!$A$1:$B$11,2,FALSE),"")</f>
        <v>7</v>
      </c>
      <c r="K559" s="66" t="s">
        <v>569</v>
      </c>
      <c r="L559" s="66" t="s">
        <v>2219</v>
      </c>
    </row>
    <row r="560" spans="1:12" ht="30" customHeight="1" x14ac:dyDescent="0.2">
      <c r="A560" s="176" t="str">
        <f t="shared" si="16"/>
        <v>06/09/yyyy3</v>
      </c>
      <c r="B560" s="169">
        <f t="shared" si="17"/>
        <v>3</v>
      </c>
      <c r="C560" s="66" t="s">
        <v>2511</v>
      </c>
      <c r="D560" s="67" t="s">
        <v>2629</v>
      </c>
      <c r="E560" s="66">
        <v>7</v>
      </c>
      <c r="F560" s="66" t="s">
        <v>43</v>
      </c>
      <c r="G560" s="68">
        <v>45175</v>
      </c>
      <c r="H560" s="68" t="s">
        <v>73</v>
      </c>
      <c r="I560" s="68" t="s">
        <v>33</v>
      </c>
      <c r="J560" s="66">
        <f>IFERROR(VLOOKUP(I560,Jueces!$A$1:$B$11,2,FALSE),"")</f>
        <v>4</v>
      </c>
      <c r="K560" s="66" t="s">
        <v>812</v>
      </c>
      <c r="L560" s="66" t="s">
        <v>723</v>
      </c>
    </row>
    <row r="561" spans="1:12" ht="30" customHeight="1" x14ac:dyDescent="0.2">
      <c r="A561" s="176" t="str">
        <f t="shared" si="16"/>
        <v>06/09/yyyy4</v>
      </c>
      <c r="B561" s="169">
        <f t="shared" si="17"/>
        <v>4</v>
      </c>
      <c r="C561" s="66" t="s">
        <v>2509</v>
      </c>
      <c r="D561" s="67" t="s">
        <v>2631</v>
      </c>
      <c r="E561" s="66">
        <v>7</v>
      </c>
      <c r="F561" s="66" t="s">
        <v>283</v>
      </c>
      <c r="G561" s="68">
        <v>45175</v>
      </c>
      <c r="H561" s="68" t="s">
        <v>1086</v>
      </c>
      <c r="I561" s="68" t="s">
        <v>1222</v>
      </c>
      <c r="J561" s="66" t="s">
        <v>1925</v>
      </c>
      <c r="K561" s="66" t="s">
        <v>789</v>
      </c>
      <c r="L561" s="66" t="s">
        <v>723</v>
      </c>
    </row>
    <row r="562" spans="1:12" ht="30" customHeight="1" x14ac:dyDescent="0.2">
      <c r="A562" s="176" t="str">
        <f t="shared" si="16"/>
        <v>06/09/yyyy5</v>
      </c>
      <c r="B562" s="169">
        <f t="shared" si="17"/>
        <v>5</v>
      </c>
      <c r="C562" s="66" t="s">
        <v>2512</v>
      </c>
      <c r="D562" s="67" t="s">
        <v>2632</v>
      </c>
      <c r="E562" s="66">
        <v>6</v>
      </c>
      <c r="F562" s="66" t="s">
        <v>1442</v>
      </c>
      <c r="G562" s="68">
        <v>45175</v>
      </c>
      <c r="H562" s="68" t="s">
        <v>1086</v>
      </c>
      <c r="I562" s="68" t="s">
        <v>1221</v>
      </c>
      <c r="J562" s="66">
        <f>IFERROR(VLOOKUP(I562,Jueces!$A$1:$B$11,2,FALSE),"")</f>
        <v>7</v>
      </c>
      <c r="K562" s="66" t="s">
        <v>807</v>
      </c>
      <c r="L562" s="66" t="s">
        <v>725</v>
      </c>
    </row>
    <row r="563" spans="1:12" ht="30" customHeight="1" x14ac:dyDescent="0.2">
      <c r="A563" s="176" t="str">
        <f t="shared" si="16"/>
        <v>07/09/yyyy1</v>
      </c>
      <c r="B563" s="169">
        <f t="shared" si="17"/>
        <v>1</v>
      </c>
      <c r="C563" s="66" t="s">
        <v>2450</v>
      </c>
      <c r="D563" s="67" t="s">
        <v>2654</v>
      </c>
      <c r="E563" s="66">
        <v>7</v>
      </c>
      <c r="F563" s="66" t="s">
        <v>43</v>
      </c>
      <c r="G563" s="68">
        <v>45176</v>
      </c>
      <c r="H563" s="68" t="s">
        <v>73</v>
      </c>
      <c r="I563" s="68" t="s">
        <v>31</v>
      </c>
      <c r="J563" s="66">
        <f>IFERROR(VLOOKUP(I563,Jueces!$A$1:$B$11,2,FALSE),"")</f>
        <v>2</v>
      </c>
      <c r="K563" s="266" t="s">
        <v>2431</v>
      </c>
      <c r="L563" s="66" t="s">
        <v>723</v>
      </c>
    </row>
    <row r="564" spans="1:12" ht="30" customHeight="1" x14ac:dyDescent="0.2">
      <c r="A564" s="176" t="str">
        <f t="shared" si="16"/>
        <v>07/09/yyyy2</v>
      </c>
      <c r="B564" s="169">
        <f t="shared" si="17"/>
        <v>2</v>
      </c>
      <c r="C564" s="66" t="s">
        <v>2533</v>
      </c>
      <c r="D564" s="67" t="s">
        <v>2655</v>
      </c>
      <c r="E564" s="66">
        <v>6</v>
      </c>
      <c r="F564" s="66" t="s">
        <v>568</v>
      </c>
      <c r="G564" s="68">
        <v>45176</v>
      </c>
      <c r="H564" s="68" t="s">
        <v>73</v>
      </c>
      <c r="I564" s="68" t="s">
        <v>1222</v>
      </c>
      <c r="J564" s="66" t="s">
        <v>1326</v>
      </c>
      <c r="K564" s="66" t="s">
        <v>814</v>
      </c>
      <c r="L564" s="66" t="s">
        <v>725</v>
      </c>
    </row>
    <row r="565" spans="1:12" ht="30" customHeight="1" x14ac:dyDescent="0.2">
      <c r="A565" s="176" t="str">
        <f t="shared" si="16"/>
        <v>07/09/yyyy3</v>
      </c>
      <c r="B565" s="169">
        <f t="shared" si="17"/>
        <v>3</v>
      </c>
      <c r="C565" s="66" t="s">
        <v>2553</v>
      </c>
      <c r="D565" s="67" t="s">
        <v>2656</v>
      </c>
      <c r="E565" s="66">
        <v>7</v>
      </c>
      <c r="F565" s="66" t="s">
        <v>283</v>
      </c>
      <c r="G565" s="68">
        <v>45176</v>
      </c>
      <c r="H565" s="68" t="s">
        <v>73</v>
      </c>
      <c r="I565" s="68" t="s">
        <v>33</v>
      </c>
      <c r="J565" s="66">
        <f>IFERROR(VLOOKUP(I565,Jueces!$A$1:$B$11,2,FALSE),"")</f>
        <v>4</v>
      </c>
      <c r="K565" s="66" t="s">
        <v>806</v>
      </c>
      <c r="L565" s="66" t="s">
        <v>767</v>
      </c>
    </row>
    <row r="566" spans="1:12" ht="30" customHeight="1" x14ac:dyDescent="0.2">
      <c r="A566" s="176" t="str">
        <f t="shared" si="16"/>
        <v>07/09/yyyy4</v>
      </c>
      <c r="B566" s="169">
        <f t="shared" si="17"/>
        <v>4</v>
      </c>
      <c r="C566" s="6" t="s">
        <v>2495</v>
      </c>
      <c r="D566" s="40" t="s">
        <v>2660</v>
      </c>
      <c r="E566" s="6">
        <v>4</v>
      </c>
      <c r="F566" s="6" t="s">
        <v>1442</v>
      </c>
      <c r="G566" s="18">
        <v>45176</v>
      </c>
      <c r="H566" s="18" t="s">
        <v>1086</v>
      </c>
      <c r="I566" s="18" t="s">
        <v>1220</v>
      </c>
      <c r="J566" s="6" t="s">
        <v>1925</v>
      </c>
      <c r="K566" s="6" t="s">
        <v>798</v>
      </c>
      <c r="L566" s="6" t="s">
        <v>695</v>
      </c>
    </row>
    <row r="567" spans="1:12" ht="30" customHeight="1" x14ac:dyDescent="0.2">
      <c r="A567" s="176" t="str">
        <f t="shared" si="16"/>
        <v>07/09/yyyy5</v>
      </c>
      <c r="B567" s="169">
        <f t="shared" si="17"/>
        <v>5</v>
      </c>
      <c r="C567" s="262" t="s">
        <v>2517</v>
      </c>
      <c r="D567" s="263" t="s">
        <v>2657</v>
      </c>
      <c r="E567" s="262">
        <v>6</v>
      </c>
      <c r="F567" s="262" t="s">
        <v>1443</v>
      </c>
      <c r="G567" s="265">
        <v>45176</v>
      </c>
      <c r="H567" s="265" t="s">
        <v>1086</v>
      </c>
      <c r="I567" s="265" t="s">
        <v>1221</v>
      </c>
      <c r="J567" s="262">
        <f>IFERROR(VLOOKUP(I567,Jueces!$A$1:$B$11,2,FALSE),"")</f>
        <v>7</v>
      </c>
      <c r="K567" s="6" t="s">
        <v>800</v>
      </c>
      <c r="L567" s="6" t="s">
        <v>725</v>
      </c>
    </row>
    <row r="568" spans="1:12" ht="30" customHeight="1" x14ac:dyDescent="0.2">
      <c r="A568" s="176" t="str">
        <f t="shared" si="16"/>
        <v>07/09/yyyy6</v>
      </c>
      <c r="B568" s="169">
        <f t="shared" si="17"/>
        <v>6</v>
      </c>
      <c r="C568" s="109" t="s">
        <v>2554</v>
      </c>
      <c r="D568" s="110" t="s">
        <v>2658</v>
      </c>
      <c r="E568" s="109">
        <v>7</v>
      </c>
      <c r="F568" s="109" t="s">
        <v>32</v>
      </c>
      <c r="G568" s="261">
        <v>45176</v>
      </c>
      <c r="H568" s="261" t="s">
        <v>1086</v>
      </c>
      <c r="I568" s="261" t="s">
        <v>35</v>
      </c>
      <c r="J568" s="109" t="s">
        <v>1491</v>
      </c>
      <c r="K568" s="66" t="s">
        <v>809</v>
      </c>
      <c r="L568" s="66" t="s">
        <v>767</v>
      </c>
    </row>
    <row r="569" spans="1:12" ht="30" customHeight="1" x14ac:dyDescent="0.2">
      <c r="A569" s="176" t="str">
        <f t="shared" si="16"/>
        <v>07/09/yyyy7</v>
      </c>
      <c r="B569" s="169">
        <f t="shared" si="17"/>
        <v>7</v>
      </c>
      <c r="C569" s="66" t="s">
        <v>2566</v>
      </c>
      <c r="D569" s="67" t="s">
        <v>2659</v>
      </c>
      <c r="E569" s="66">
        <v>7</v>
      </c>
      <c r="F569" s="68" t="s">
        <v>29</v>
      </c>
      <c r="G569" s="68">
        <v>45176</v>
      </c>
      <c r="H569" s="68" t="s">
        <v>547</v>
      </c>
      <c r="I569" s="66" t="s">
        <v>33</v>
      </c>
      <c r="J569" s="66" t="s">
        <v>2588</v>
      </c>
      <c r="K569" s="66" t="s">
        <v>811</v>
      </c>
      <c r="L569" s="66" t="s">
        <v>725</v>
      </c>
    </row>
    <row r="570" spans="1:12" ht="30" customHeight="1" x14ac:dyDescent="0.2">
      <c r="A570" s="176" t="str">
        <f t="shared" si="16"/>
        <v>08/09/yyyy1</v>
      </c>
      <c r="B570" s="169">
        <f t="shared" si="17"/>
        <v>1</v>
      </c>
      <c r="C570" s="66" t="s">
        <v>2439</v>
      </c>
      <c r="D570" s="67" t="s">
        <v>2440</v>
      </c>
      <c r="E570" s="66">
        <v>5</v>
      </c>
      <c r="F570" s="66" t="s">
        <v>43</v>
      </c>
      <c r="G570" s="68">
        <v>45177</v>
      </c>
      <c r="H570" s="68" t="s">
        <v>73</v>
      </c>
      <c r="I570" s="68" t="s">
        <v>33</v>
      </c>
      <c r="J570" s="66">
        <f>IFERROR(VLOOKUP(I570,Jueces!$A$1:$B$11,2,FALSE),"")</f>
        <v>4</v>
      </c>
      <c r="K570" s="66" t="s">
        <v>2094</v>
      </c>
      <c r="L570" s="66" t="s">
        <v>697</v>
      </c>
    </row>
    <row r="571" spans="1:12" ht="30" customHeight="1" x14ac:dyDescent="0.2">
      <c r="A571" s="176" t="str">
        <f t="shared" si="16"/>
        <v>08/09/yyyy2</v>
      </c>
      <c r="B571" s="169">
        <f t="shared" si="17"/>
        <v>2</v>
      </c>
      <c r="C571" s="66" t="s">
        <v>2528</v>
      </c>
      <c r="D571" s="67" t="s">
        <v>2552</v>
      </c>
      <c r="E571" s="66">
        <v>7</v>
      </c>
      <c r="F571" s="66" t="s">
        <v>29</v>
      </c>
      <c r="G571" s="68">
        <v>45177</v>
      </c>
      <c r="H571" s="68" t="s">
        <v>73</v>
      </c>
      <c r="I571" s="68" t="s">
        <v>1221</v>
      </c>
      <c r="J571" s="66">
        <f>IFERROR(VLOOKUP(I571,Jueces!$A$1:$B$11,2,FALSE),"")</f>
        <v>7</v>
      </c>
      <c r="K571" s="66" t="s">
        <v>806</v>
      </c>
      <c r="L571" s="66" t="s">
        <v>723</v>
      </c>
    </row>
    <row r="572" spans="1:12" ht="30" customHeight="1" x14ac:dyDescent="0.2">
      <c r="A572" s="176" t="str">
        <f t="shared" si="16"/>
        <v>08/09/yyyy3</v>
      </c>
      <c r="B572" s="169">
        <f t="shared" si="17"/>
        <v>3</v>
      </c>
      <c r="C572" s="66" t="s">
        <v>2531</v>
      </c>
      <c r="D572" s="67" t="s">
        <v>2532</v>
      </c>
      <c r="E572" s="66">
        <v>6</v>
      </c>
      <c r="F572" s="66" t="s">
        <v>32</v>
      </c>
      <c r="G572" s="68">
        <v>45177</v>
      </c>
      <c r="H572" s="68" t="s">
        <v>73</v>
      </c>
      <c r="I572" s="68" t="s">
        <v>31</v>
      </c>
      <c r="J572" s="66">
        <v>3</v>
      </c>
      <c r="K572" s="66" t="s">
        <v>799</v>
      </c>
      <c r="L572" s="66" t="s">
        <v>725</v>
      </c>
    </row>
    <row r="573" spans="1:12" ht="30" customHeight="1" x14ac:dyDescent="0.2">
      <c r="A573" s="176" t="str">
        <f t="shared" si="16"/>
        <v>08/09/yyyy4</v>
      </c>
      <c r="B573" s="169">
        <f t="shared" si="17"/>
        <v>4</v>
      </c>
      <c r="C573" s="66" t="s">
        <v>2526</v>
      </c>
      <c r="D573" s="67" t="s">
        <v>2527</v>
      </c>
      <c r="E573" s="66">
        <v>7</v>
      </c>
      <c r="F573" s="66" t="s">
        <v>283</v>
      </c>
      <c r="G573" s="68">
        <v>45177</v>
      </c>
      <c r="H573" s="68" t="s">
        <v>1210</v>
      </c>
      <c r="I573" s="68" t="s">
        <v>1221</v>
      </c>
      <c r="J573" s="66">
        <f>IFERROR(VLOOKUP(I573,Jueces!$A$1:$B$11,2,FALSE),"")</f>
        <v>7</v>
      </c>
      <c r="K573" s="66" t="s">
        <v>809</v>
      </c>
      <c r="L573" s="66" t="s">
        <v>723</v>
      </c>
    </row>
    <row r="574" spans="1:12" ht="30" customHeight="1" x14ac:dyDescent="0.2">
      <c r="A574" s="176" t="str">
        <f t="shared" si="16"/>
        <v>11/09/yyyy1</v>
      </c>
      <c r="B574" s="169">
        <f t="shared" si="17"/>
        <v>1</v>
      </c>
      <c r="C574" s="66" t="s">
        <v>2407</v>
      </c>
      <c r="D574" s="67" t="s">
        <v>2506</v>
      </c>
      <c r="E574" s="66">
        <v>6</v>
      </c>
      <c r="F574" s="66" t="s">
        <v>1443</v>
      </c>
      <c r="G574" s="68">
        <v>45180</v>
      </c>
      <c r="H574" s="68" t="s">
        <v>73</v>
      </c>
      <c r="I574" s="68" t="s">
        <v>33</v>
      </c>
      <c r="J574" s="6">
        <f>IFERROR(VLOOKUP(I574,Jueces!$A$1:$B$11,2,FALSE),"")</f>
        <v>4</v>
      </c>
      <c r="K574" s="66" t="s">
        <v>796</v>
      </c>
      <c r="L574" s="66" t="s">
        <v>783</v>
      </c>
    </row>
    <row r="575" spans="1:12" ht="30" customHeight="1" x14ac:dyDescent="0.2">
      <c r="A575" s="176" t="str">
        <f t="shared" si="16"/>
        <v>11/09/yyyy2</v>
      </c>
      <c r="B575" s="169">
        <f t="shared" si="17"/>
        <v>2</v>
      </c>
      <c r="C575" s="66" t="s">
        <v>2443</v>
      </c>
      <c r="D575" s="67" t="s">
        <v>2444</v>
      </c>
      <c r="E575" s="66">
        <v>7</v>
      </c>
      <c r="F575" s="66" t="s">
        <v>29</v>
      </c>
      <c r="G575" s="68">
        <v>45180</v>
      </c>
      <c r="H575" s="68" t="s">
        <v>73</v>
      </c>
      <c r="I575" s="68" t="s">
        <v>31</v>
      </c>
      <c r="J575" s="66">
        <f>IFERROR(VLOOKUP(I575,Jueces!$A$1:$B$11,2,FALSE),"")</f>
        <v>2</v>
      </c>
      <c r="K575" s="66" t="s">
        <v>2094</v>
      </c>
      <c r="L575" s="66" t="s">
        <v>723</v>
      </c>
    </row>
    <row r="576" spans="1:12" ht="30" customHeight="1" x14ac:dyDescent="0.2">
      <c r="A576" s="176" t="str">
        <f t="shared" si="16"/>
        <v>11/09/yyyy3</v>
      </c>
      <c r="B576" s="169">
        <f t="shared" si="17"/>
        <v>3</v>
      </c>
      <c r="C576" s="66" t="s">
        <v>2523</v>
      </c>
      <c r="D576" s="67" t="s">
        <v>2524</v>
      </c>
      <c r="E576" s="66">
        <v>7</v>
      </c>
      <c r="F576" s="66" t="s">
        <v>1441</v>
      </c>
      <c r="G576" s="68">
        <v>45180</v>
      </c>
      <c r="H576" s="68" t="s">
        <v>73</v>
      </c>
      <c r="I576" s="68" t="s">
        <v>35</v>
      </c>
      <c r="J576" s="66">
        <f>IFERROR(VLOOKUP(I576,Jueces!$A$1:$B$11,2,FALSE),"")</f>
        <v>3</v>
      </c>
      <c r="K576" s="66" t="s">
        <v>582</v>
      </c>
      <c r="L576" s="66" t="s">
        <v>697</v>
      </c>
    </row>
    <row r="577" spans="1:12" ht="30" customHeight="1" x14ac:dyDescent="0.2">
      <c r="A577" s="176" t="str">
        <f t="shared" si="16"/>
        <v>11/09/yyyy4</v>
      </c>
      <c r="B577" s="169">
        <f t="shared" si="17"/>
        <v>4</v>
      </c>
      <c r="C577" s="66" t="s">
        <v>2535</v>
      </c>
      <c r="D577" s="67" t="s">
        <v>2536</v>
      </c>
      <c r="E577" s="66">
        <v>1</v>
      </c>
      <c r="F577" s="66" t="s">
        <v>283</v>
      </c>
      <c r="G577" s="68">
        <v>45180</v>
      </c>
      <c r="H577" s="68" t="s">
        <v>73</v>
      </c>
      <c r="I577" s="68" t="s">
        <v>1220</v>
      </c>
      <c r="J577" s="66" t="s">
        <v>1491</v>
      </c>
      <c r="K577" s="66" t="s">
        <v>791</v>
      </c>
      <c r="L577" s="66" t="s">
        <v>725</v>
      </c>
    </row>
    <row r="578" spans="1:12" ht="30" customHeight="1" x14ac:dyDescent="0.2">
      <c r="A578" s="176" t="str">
        <f t="shared" si="16"/>
        <v>11/09/yyyy5</v>
      </c>
      <c r="B578" s="169">
        <f t="shared" si="17"/>
        <v>5</v>
      </c>
      <c r="C578" s="66" t="s">
        <v>2582</v>
      </c>
      <c r="D578" s="67" t="s">
        <v>2583</v>
      </c>
      <c r="E578" s="66">
        <v>6</v>
      </c>
      <c r="F578" s="66" t="s">
        <v>1442</v>
      </c>
      <c r="G578" s="68">
        <v>45180</v>
      </c>
      <c r="H578" s="68" t="s">
        <v>73</v>
      </c>
      <c r="I578" s="68" t="s">
        <v>1221</v>
      </c>
      <c r="J578" s="66">
        <f>IFERROR(VLOOKUP(I578,Jueces!$A$1:$B$11,2,FALSE),"")</f>
        <v>7</v>
      </c>
      <c r="K578" s="66" t="s">
        <v>1306</v>
      </c>
      <c r="L578" s="66" t="s">
        <v>2125</v>
      </c>
    </row>
    <row r="579" spans="1:12" ht="30" customHeight="1" x14ac:dyDescent="0.2">
      <c r="A579" s="176" t="str">
        <f t="shared" ref="A579:A642" si="18">CONCATENATE(TEXT($G579,"dd/mm/yyyy"),$B579)</f>
        <v>11/09/yyyy6</v>
      </c>
      <c r="B579" s="169">
        <f t="shared" si="17"/>
        <v>6</v>
      </c>
      <c r="C579" s="66" t="s">
        <v>2584</v>
      </c>
      <c r="D579" s="67" t="s">
        <v>2585</v>
      </c>
      <c r="E579" s="66">
        <v>6</v>
      </c>
      <c r="F579" s="66" t="s">
        <v>568</v>
      </c>
      <c r="G579" s="68">
        <v>45180</v>
      </c>
      <c r="H579" s="68" t="s">
        <v>73</v>
      </c>
      <c r="I579" s="68" t="s">
        <v>1222</v>
      </c>
      <c r="J579" s="66" t="s">
        <v>1925</v>
      </c>
      <c r="K579" s="66" t="s">
        <v>2090</v>
      </c>
      <c r="L579" s="66" t="s">
        <v>2598</v>
      </c>
    </row>
    <row r="580" spans="1:12" ht="30" customHeight="1" x14ac:dyDescent="0.2">
      <c r="A580" s="176" t="str">
        <f t="shared" si="18"/>
        <v>11/09/yyyy7</v>
      </c>
      <c r="B580" s="169">
        <f t="shared" ref="B580:B643" si="19">IF($G580=$G579,$B579+1,1)</f>
        <v>7</v>
      </c>
      <c r="C580" s="66" t="s">
        <v>2529</v>
      </c>
      <c r="D580" s="67" t="s">
        <v>2530</v>
      </c>
      <c r="E580" s="66">
        <v>7</v>
      </c>
      <c r="F580" s="66" t="s">
        <v>43</v>
      </c>
      <c r="G580" s="68">
        <v>45180</v>
      </c>
      <c r="H580" s="68" t="s">
        <v>1086</v>
      </c>
      <c r="I580" s="68" t="s">
        <v>33</v>
      </c>
      <c r="J580" s="66">
        <f>IFERROR(VLOOKUP(I580,Jueces!$A$1:$B$11,2,FALSE),"")</f>
        <v>4</v>
      </c>
      <c r="K580" s="66" t="s">
        <v>807</v>
      </c>
      <c r="L580" s="66" t="s">
        <v>767</v>
      </c>
    </row>
    <row r="581" spans="1:12" ht="30" customHeight="1" x14ac:dyDescent="0.2">
      <c r="A581" s="176" t="str">
        <f t="shared" si="18"/>
        <v>12/09/yyyy1</v>
      </c>
      <c r="B581" s="169">
        <f t="shared" si="19"/>
        <v>1</v>
      </c>
      <c r="C581" s="66" t="s">
        <v>2594</v>
      </c>
      <c r="D581" s="67" t="s">
        <v>2727</v>
      </c>
      <c r="E581" s="66">
        <v>8</v>
      </c>
      <c r="F581" s="66" t="s">
        <v>283</v>
      </c>
      <c r="G581" s="68">
        <v>45181</v>
      </c>
      <c r="H581" s="68" t="s">
        <v>73</v>
      </c>
      <c r="I581" s="68" t="s">
        <v>1222</v>
      </c>
      <c r="J581" s="66" t="s">
        <v>1326</v>
      </c>
      <c r="K581" s="66" t="s">
        <v>809</v>
      </c>
      <c r="L581" s="66" t="s">
        <v>767</v>
      </c>
    </row>
    <row r="582" spans="1:12" ht="30" customHeight="1" x14ac:dyDescent="0.2">
      <c r="A582" s="176" t="str">
        <f t="shared" si="18"/>
        <v>12/09/yyyy2</v>
      </c>
      <c r="B582" s="169">
        <f t="shared" si="19"/>
        <v>2</v>
      </c>
      <c r="C582" s="66" t="s">
        <v>2601</v>
      </c>
      <c r="D582" s="67" t="s">
        <v>2602</v>
      </c>
      <c r="E582" s="66">
        <v>7</v>
      </c>
      <c r="F582" s="66" t="s">
        <v>43</v>
      </c>
      <c r="G582" s="68">
        <v>45181</v>
      </c>
      <c r="H582" s="68" t="s">
        <v>73</v>
      </c>
      <c r="I582" s="68" t="s">
        <v>31</v>
      </c>
      <c r="J582" s="66">
        <f>IFERROR(VLOOKUP(I582,Jueces!$A$1:$B$11,2,FALSE),"")</f>
        <v>2</v>
      </c>
      <c r="K582" s="66" t="s">
        <v>796</v>
      </c>
      <c r="L582" s="66" t="s">
        <v>725</v>
      </c>
    </row>
    <row r="583" spans="1:12" ht="30" customHeight="1" x14ac:dyDescent="0.2">
      <c r="A583" s="176" t="str">
        <f t="shared" si="18"/>
        <v>12/09/yyyy3</v>
      </c>
      <c r="B583" s="169">
        <f t="shared" si="19"/>
        <v>3</v>
      </c>
      <c r="C583" s="66" t="s">
        <v>2603</v>
      </c>
      <c r="D583" s="67" t="s">
        <v>2604</v>
      </c>
      <c r="E583" s="66">
        <v>7</v>
      </c>
      <c r="F583" s="66" t="s">
        <v>1443</v>
      </c>
      <c r="G583" s="68">
        <v>45181</v>
      </c>
      <c r="H583" s="68" t="s">
        <v>73</v>
      </c>
      <c r="I583" s="68" t="s">
        <v>1221</v>
      </c>
      <c r="J583" s="66">
        <f>IFERROR(VLOOKUP(I583,Jueces!$A$1:$B$11,2,FALSE),"")</f>
        <v>7</v>
      </c>
      <c r="K583" s="66" t="s">
        <v>2737</v>
      </c>
      <c r="L583" s="66" t="s">
        <v>723</v>
      </c>
    </row>
    <row r="584" spans="1:12" ht="30" customHeight="1" x14ac:dyDescent="0.2">
      <c r="A584" s="176" t="str">
        <f t="shared" si="18"/>
        <v>12/09/yyyy4</v>
      </c>
      <c r="B584" s="169">
        <f t="shared" si="19"/>
        <v>4</v>
      </c>
      <c r="C584" s="66" t="s">
        <v>2599</v>
      </c>
      <c r="D584" s="67" t="s">
        <v>2600</v>
      </c>
      <c r="E584" s="66">
        <v>7</v>
      </c>
      <c r="F584" s="66" t="s">
        <v>568</v>
      </c>
      <c r="G584" s="68">
        <v>45181</v>
      </c>
      <c r="H584" s="68" t="s">
        <v>1086</v>
      </c>
      <c r="I584" s="68" t="s">
        <v>33</v>
      </c>
      <c r="J584" s="66">
        <f>IFERROR(VLOOKUP(I584,Jueces!$A$1:$B$11,2,FALSE),"")</f>
        <v>4</v>
      </c>
      <c r="K584" s="66" t="s">
        <v>801</v>
      </c>
      <c r="L584" s="66" t="s">
        <v>2568</v>
      </c>
    </row>
    <row r="585" spans="1:12" ht="30" customHeight="1" x14ac:dyDescent="0.2">
      <c r="A585" s="176" t="str">
        <f t="shared" si="18"/>
        <v>12/09/yyyy5</v>
      </c>
      <c r="B585" s="169">
        <f t="shared" si="19"/>
        <v>5</v>
      </c>
      <c r="C585" s="66" t="s">
        <v>2609</v>
      </c>
      <c r="D585" s="67" t="s">
        <v>2610</v>
      </c>
      <c r="E585" s="66">
        <v>7</v>
      </c>
      <c r="F585" s="66" t="s">
        <v>1441</v>
      </c>
      <c r="G585" s="68">
        <v>45181</v>
      </c>
      <c r="H585" s="68" t="s">
        <v>1086</v>
      </c>
      <c r="I585" s="68" t="s">
        <v>35</v>
      </c>
      <c r="J585" s="66">
        <f>IFERROR(VLOOKUP(I585,Jueces!$A$1:$B$11,2,FALSE),"")</f>
        <v>3</v>
      </c>
      <c r="K585" s="66" t="s">
        <v>813</v>
      </c>
      <c r="L585" s="66" t="s">
        <v>723</v>
      </c>
    </row>
    <row r="586" spans="1:12" ht="30" customHeight="1" x14ac:dyDescent="0.2">
      <c r="A586" s="176" t="str">
        <f t="shared" si="18"/>
        <v>18/09/yyyy1</v>
      </c>
      <c r="B586" s="169">
        <f t="shared" si="19"/>
        <v>1</v>
      </c>
      <c r="C586" s="66" t="s">
        <v>2564</v>
      </c>
      <c r="D586" s="67" t="s">
        <v>2565</v>
      </c>
      <c r="E586" s="66">
        <v>7</v>
      </c>
      <c r="F586" s="66" t="s">
        <v>1442</v>
      </c>
      <c r="G586" s="68">
        <v>45187</v>
      </c>
      <c r="H586" s="68" t="s">
        <v>73</v>
      </c>
      <c r="I586" s="68" t="s">
        <v>31</v>
      </c>
      <c r="J586" s="66">
        <f>IFERROR(VLOOKUP(I586,Jueces!$A$1:$B$11,2,FALSE),"")</f>
        <v>2</v>
      </c>
      <c r="K586" s="66" t="s">
        <v>814</v>
      </c>
      <c r="L586" s="66" t="s">
        <v>2219</v>
      </c>
    </row>
    <row r="587" spans="1:12" ht="30" customHeight="1" x14ac:dyDescent="0.2">
      <c r="A587" s="176" t="str">
        <f t="shared" si="18"/>
        <v>18/09/yyyy2</v>
      </c>
      <c r="B587" s="169">
        <f t="shared" si="19"/>
        <v>2</v>
      </c>
      <c r="C587" s="66" t="s">
        <v>2596</v>
      </c>
      <c r="D587" s="67" t="s">
        <v>2597</v>
      </c>
      <c r="E587" s="66">
        <v>7</v>
      </c>
      <c r="F587" s="66" t="s">
        <v>29</v>
      </c>
      <c r="G587" s="68">
        <v>45187</v>
      </c>
      <c r="H587" s="68" t="s">
        <v>73</v>
      </c>
      <c r="I587" s="68" t="s">
        <v>33</v>
      </c>
      <c r="J587" s="66">
        <f>IFERROR(VLOOKUP(I587,Jueces!$A$1:$B$11,2,FALSE),"")</f>
        <v>4</v>
      </c>
      <c r="K587" s="66" t="s">
        <v>806</v>
      </c>
      <c r="L587" s="66" t="s">
        <v>723</v>
      </c>
    </row>
    <row r="588" spans="1:12" ht="30" customHeight="1" x14ac:dyDescent="0.2">
      <c r="A588" s="176" t="str">
        <f t="shared" si="18"/>
        <v>18/09/yyyy3</v>
      </c>
      <c r="B588" s="169">
        <f t="shared" si="19"/>
        <v>3</v>
      </c>
      <c r="C588" s="66" t="s">
        <v>2611</v>
      </c>
      <c r="D588" s="67" t="s">
        <v>2635</v>
      </c>
      <c r="E588" s="66">
        <v>7</v>
      </c>
      <c r="F588" s="66" t="s">
        <v>43</v>
      </c>
      <c r="G588" s="68">
        <v>45187</v>
      </c>
      <c r="H588" s="68" t="s">
        <v>73</v>
      </c>
      <c r="I588" s="68" t="s">
        <v>35</v>
      </c>
      <c r="J588" s="66">
        <f>IFERROR(VLOOKUP(I588,Jueces!$A$1:$B$11,2,FALSE),"")</f>
        <v>3</v>
      </c>
      <c r="K588" s="66" t="s">
        <v>811</v>
      </c>
      <c r="L588" s="66" t="s">
        <v>1032</v>
      </c>
    </row>
    <row r="589" spans="1:12" ht="30" customHeight="1" x14ac:dyDescent="0.2">
      <c r="A589" s="176" t="str">
        <f t="shared" si="18"/>
        <v>18/09/yyyy4</v>
      </c>
      <c r="B589" s="169">
        <f t="shared" si="19"/>
        <v>4</v>
      </c>
      <c r="C589" s="66" t="s">
        <v>2647</v>
      </c>
      <c r="D589" s="67" t="s">
        <v>2664</v>
      </c>
      <c r="E589" s="66">
        <v>4</v>
      </c>
      <c r="F589" s="66" t="s">
        <v>1443</v>
      </c>
      <c r="G589" s="68">
        <v>45187</v>
      </c>
      <c r="H589" s="68" t="s">
        <v>73</v>
      </c>
      <c r="I589" s="68" t="s">
        <v>1223</v>
      </c>
      <c r="J589" s="66" t="s">
        <v>1346</v>
      </c>
      <c r="K589" s="66" t="s">
        <v>1834</v>
      </c>
      <c r="L589" s="66" t="s">
        <v>2665</v>
      </c>
    </row>
    <row r="590" spans="1:12" ht="30" customHeight="1" x14ac:dyDescent="0.2">
      <c r="A590" s="176" t="str">
        <f t="shared" si="18"/>
        <v>19/09/yyyy1</v>
      </c>
      <c r="B590" s="169">
        <f t="shared" si="19"/>
        <v>1</v>
      </c>
      <c r="C590" s="66" t="s">
        <v>2525</v>
      </c>
      <c r="D590" s="67" t="s">
        <v>2551</v>
      </c>
      <c r="E590" s="66">
        <v>7</v>
      </c>
      <c r="F590" s="66" t="s">
        <v>568</v>
      </c>
      <c r="G590" s="68">
        <v>45188</v>
      </c>
      <c r="H590" s="68" t="s">
        <v>73</v>
      </c>
      <c r="I590" s="68" t="s">
        <v>1221</v>
      </c>
      <c r="J590" s="66">
        <v>7</v>
      </c>
      <c r="K590" s="66" t="s">
        <v>809</v>
      </c>
      <c r="L590" s="66" t="s">
        <v>723</v>
      </c>
    </row>
    <row r="591" spans="1:12" ht="30" customHeight="1" x14ac:dyDescent="0.2">
      <c r="A591" s="176" t="str">
        <f t="shared" si="18"/>
        <v>19/09/yyyy2</v>
      </c>
      <c r="B591" s="169">
        <f t="shared" si="19"/>
        <v>2</v>
      </c>
      <c r="C591" s="66" t="s">
        <v>2608</v>
      </c>
      <c r="D591" s="67" t="s">
        <v>2633</v>
      </c>
      <c r="E591" s="66">
        <v>8</v>
      </c>
      <c r="F591" s="66" t="s">
        <v>29</v>
      </c>
      <c r="G591" s="68">
        <v>45188</v>
      </c>
      <c r="H591" s="68" t="s">
        <v>73</v>
      </c>
      <c r="I591" s="68" t="s">
        <v>35</v>
      </c>
      <c r="J591" s="66">
        <f>IFERROR(VLOOKUP(I591,Jueces!$A$1:$B$11,2,FALSE),"")</f>
        <v>3</v>
      </c>
      <c r="K591" s="66" t="s">
        <v>569</v>
      </c>
      <c r="L591" s="66" t="s">
        <v>767</v>
      </c>
    </row>
    <row r="592" spans="1:12" ht="30" customHeight="1" x14ac:dyDescent="0.2">
      <c r="A592" s="176" t="str">
        <f t="shared" si="18"/>
        <v>19/09/yyyy3</v>
      </c>
      <c r="B592" s="169">
        <f t="shared" si="19"/>
        <v>3</v>
      </c>
      <c r="C592" s="66" t="s">
        <v>2612</v>
      </c>
      <c r="D592" s="67" t="s">
        <v>2650</v>
      </c>
      <c r="E592" s="66">
        <v>8</v>
      </c>
      <c r="F592" s="66" t="s">
        <v>283</v>
      </c>
      <c r="G592" s="68">
        <v>45188</v>
      </c>
      <c r="H592" s="104" t="s">
        <v>73</v>
      </c>
      <c r="I592" s="68" t="s">
        <v>31</v>
      </c>
      <c r="J592" s="66">
        <f>IFERROR(VLOOKUP(I592,Jueces!$A$1:$B$11,2,FALSE),"")</f>
        <v>2</v>
      </c>
      <c r="K592" s="66" t="s">
        <v>812</v>
      </c>
      <c r="L592" s="66" t="s">
        <v>887</v>
      </c>
    </row>
    <row r="593" spans="1:12" ht="30" customHeight="1" x14ac:dyDescent="0.2">
      <c r="A593" s="176" t="str">
        <f t="shared" si="18"/>
        <v>19/09/yyyy4</v>
      </c>
      <c r="B593" s="169">
        <f t="shared" si="19"/>
        <v>4</v>
      </c>
      <c r="C593" s="66" t="s">
        <v>2576</v>
      </c>
      <c r="D593" s="67" t="s">
        <v>2577</v>
      </c>
      <c r="E593" s="66">
        <v>7</v>
      </c>
      <c r="F593" s="66" t="s">
        <v>1441</v>
      </c>
      <c r="G593" s="68">
        <v>45188</v>
      </c>
      <c r="H593" s="68" t="s">
        <v>1086</v>
      </c>
      <c r="I593" s="68" t="s">
        <v>1225</v>
      </c>
      <c r="J593" s="66">
        <f>IFERROR(VLOOKUP(I593,Jueces!$A$1:$B$11,2,FALSE),"")</f>
        <v>6</v>
      </c>
      <c r="K593" s="66" t="s">
        <v>813</v>
      </c>
      <c r="L593" s="66" t="s">
        <v>767</v>
      </c>
    </row>
    <row r="594" spans="1:12" ht="30" customHeight="1" x14ac:dyDescent="0.2">
      <c r="A594" s="176" t="str">
        <f t="shared" si="18"/>
        <v>19/09/yyyy5</v>
      </c>
      <c r="B594" s="169">
        <f t="shared" si="19"/>
        <v>5</v>
      </c>
      <c r="C594" s="66" t="s">
        <v>2642</v>
      </c>
      <c r="D594" s="67" t="s">
        <v>2643</v>
      </c>
      <c r="E594" s="66">
        <v>7</v>
      </c>
      <c r="F594" s="66" t="s">
        <v>43</v>
      </c>
      <c r="G594" s="68">
        <v>45188</v>
      </c>
      <c r="H594" s="68" t="s">
        <v>1210</v>
      </c>
      <c r="I594" s="68" t="s">
        <v>1224</v>
      </c>
      <c r="J594" s="66" t="s">
        <v>1491</v>
      </c>
      <c r="K594" s="66" t="s">
        <v>811</v>
      </c>
      <c r="L594" s="66" t="s">
        <v>767</v>
      </c>
    </row>
    <row r="595" spans="1:12" ht="30" customHeight="1" x14ac:dyDescent="0.2">
      <c r="A595" s="176" t="str">
        <f t="shared" si="18"/>
        <v>19/09/yyyy6</v>
      </c>
      <c r="B595" s="169">
        <f t="shared" si="19"/>
        <v>6</v>
      </c>
      <c r="C595" s="66" t="s">
        <v>2648</v>
      </c>
      <c r="D595" s="67" t="s">
        <v>2666</v>
      </c>
      <c r="E595" s="66">
        <v>4</v>
      </c>
      <c r="F595" s="66" t="s">
        <v>2775</v>
      </c>
      <c r="G595" s="68">
        <v>45188</v>
      </c>
      <c r="H595" s="68" t="s">
        <v>77</v>
      </c>
      <c r="I595" s="68" t="s">
        <v>1223</v>
      </c>
      <c r="J595" s="66" t="s">
        <v>1520</v>
      </c>
      <c r="K595" s="66" t="s">
        <v>2090</v>
      </c>
      <c r="L595" s="66" t="s">
        <v>2667</v>
      </c>
    </row>
    <row r="596" spans="1:12" ht="30" customHeight="1" x14ac:dyDescent="0.2">
      <c r="A596" s="176" t="str">
        <f t="shared" si="18"/>
        <v>19/09/yyyy7</v>
      </c>
      <c r="B596" s="169">
        <f t="shared" si="19"/>
        <v>7</v>
      </c>
      <c r="C596" s="66" t="s">
        <v>2572</v>
      </c>
      <c r="D596" s="67" t="s">
        <v>2573</v>
      </c>
      <c r="E596" s="66">
        <v>7</v>
      </c>
      <c r="F596" s="66" t="s">
        <v>1443</v>
      </c>
      <c r="G596" s="68">
        <v>45188</v>
      </c>
      <c r="H596" s="68" t="s">
        <v>228</v>
      </c>
      <c r="I596" s="68" t="s">
        <v>1221</v>
      </c>
      <c r="J596" s="66">
        <f>IFERROR(VLOOKUP(I596,Jueces!$A$1:$B$11,2,FALSE),"")</f>
        <v>7</v>
      </c>
      <c r="K596" s="66" t="s">
        <v>812</v>
      </c>
      <c r="L596" s="66" t="s">
        <v>767</v>
      </c>
    </row>
    <row r="597" spans="1:12" ht="30" customHeight="1" x14ac:dyDescent="0.2">
      <c r="A597" s="176" t="str">
        <f t="shared" si="18"/>
        <v>20/09/yyyy1</v>
      </c>
      <c r="B597" s="169">
        <f t="shared" si="19"/>
        <v>1</v>
      </c>
      <c r="C597" s="66" t="s">
        <v>2558</v>
      </c>
      <c r="D597" s="67" t="s">
        <v>2829</v>
      </c>
      <c r="E597" s="66">
        <v>6</v>
      </c>
      <c r="F597" s="66" t="s">
        <v>1443</v>
      </c>
      <c r="G597" s="68">
        <v>45189</v>
      </c>
      <c r="H597" s="68" t="s">
        <v>73</v>
      </c>
      <c r="I597" s="68" t="s">
        <v>33</v>
      </c>
      <c r="J597" s="66" t="s">
        <v>1346</v>
      </c>
      <c r="K597" s="66" t="s">
        <v>796</v>
      </c>
      <c r="L597" s="66" t="s">
        <v>725</v>
      </c>
    </row>
    <row r="598" spans="1:12" ht="30" customHeight="1" x14ac:dyDescent="0.2">
      <c r="A598" s="176" t="str">
        <f t="shared" si="18"/>
        <v>20/09/yyyy2</v>
      </c>
      <c r="B598" s="169">
        <f t="shared" si="19"/>
        <v>2</v>
      </c>
      <c r="C598" s="66" t="s">
        <v>2641</v>
      </c>
      <c r="D598" s="67" t="s">
        <v>2830</v>
      </c>
      <c r="E598" s="66">
        <v>7</v>
      </c>
      <c r="F598" s="66" t="s">
        <v>568</v>
      </c>
      <c r="G598" s="68">
        <v>45189</v>
      </c>
      <c r="H598" s="68" t="s">
        <v>73</v>
      </c>
      <c r="I598" s="68" t="s">
        <v>78</v>
      </c>
      <c r="J598" s="66">
        <f>IFERROR(VLOOKUP(I598,Jueces!$A$1:$B$11,2,FALSE),"")</f>
        <v>8</v>
      </c>
      <c r="K598" s="66" t="s">
        <v>799</v>
      </c>
      <c r="L598" s="66" t="s">
        <v>723</v>
      </c>
    </row>
    <row r="599" spans="1:12" ht="30" customHeight="1" x14ac:dyDescent="0.2">
      <c r="A599" s="176" t="str">
        <f t="shared" si="18"/>
        <v>20/09/yyyy3</v>
      </c>
      <c r="B599" s="169">
        <f t="shared" si="19"/>
        <v>3</v>
      </c>
      <c r="C599" s="66" t="s">
        <v>2651</v>
      </c>
      <c r="D599" s="67" t="s">
        <v>2831</v>
      </c>
      <c r="E599" s="66">
        <v>8</v>
      </c>
      <c r="F599" s="66" t="s">
        <v>2773</v>
      </c>
      <c r="G599" s="68">
        <v>45189</v>
      </c>
      <c r="H599" s="68" t="s">
        <v>73</v>
      </c>
      <c r="I599" s="68" t="s">
        <v>1223</v>
      </c>
      <c r="J599" s="66" t="s">
        <v>1326</v>
      </c>
      <c r="K599" s="66" t="s">
        <v>1414</v>
      </c>
      <c r="L599" s="66" t="s">
        <v>1031</v>
      </c>
    </row>
    <row r="600" spans="1:12" ht="30" customHeight="1" x14ac:dyDescent="0.2">
      <c r="A600" s="176" t="str">
        <f t="shared" si="18"/>
        <v>20/09/yyyy4</v>
      </c>
      <c r="B600" s="169">
        <f t="shared" si="19"/>
        <v>4</v>
      </c>
      <c r="C600" s="66" t="s">
        <v>2697</v>
      </c>
      <c r="D600" s="67" t="s">
        <v>2832</v>
      </c>
      <c r="E600" s="66">
        <v>6</v>
      </c>
      <c r="F600" s="66" t="s">
        <v>1441</v>
      </c>
      <c r="G600" s="68">
        <v>45189</v>
      </c>
      <c r="H600" s="68" t="s">
        <v>73</v>
      </c>
      <c r="I600" s="68" t="s">
        <v>31</v>
      </c>
      <c r="J600" s="66">
        <f>IFERROR(VLOOKUP(I600,Jueces!$A$1:$B$11,2,FALSE),"")</f>
        <v>2</v>
      </c>
      <c r="K600" s="66" t="s">
        <v>1306</v>
      </c>
      <c r="L600" s="66" t="s">
        <v>2701</v>
      </c>
    </row>
    <row r="601" spans="1:12" ht="30" customHeight="1" x14ac:dyDescent="0.2">
      <c r="A601" s="176" t="str">
        <f t="shared" si="18"/>
        <v>20/09/yyyy5</v>
      </c>
      <c r="B601" s="169">
        <f t="shared" si="19"/>
        <v>5</v>
      </c>
      <c r="C601" s="66" t="s">
        <v>2616</v>
      </c>
      <c r="D601" s="67" t="s">
        <v>2833</v>
      </c>
      <c r="E601" s="66">
        <v>7</v>
      </c>
      <c r="F601" s="66" t="s">
        <v>283</v>
      </c>
      <c r="G601" s="68">
        <v>45189</v>
      </c>
      <c r="H601" s="68" t="s">
        <v>749</v>
      </c>
      <c r="I601" s="68" t="s">
        <v>1225</v>
      </c>
      <c r="J601" s="66">
        <f>IFERROR(VLOOKUP(I601,Jueces!$A$1:$B$11,2,FALSE),"")</f>
        <v>6</v>
      </c>
      <c r="K601" s="66" t="s">
        <v>582</v>
      </c>
      <c r="L601" s="66" t="s">
        <v>767</v>
      </c>
    </row>
    <row r="602" spans="1:12" ht="30" customHeight="1" x14ac:dyDescent="0.2">
      <c r="A602" s="176" t="str">
        <f t="shared" si="18"/>
        <v>20/09/yyyy6</v>
      </c>
      <c r="B602" s="169">
        <f t="shared" si="19"/>
        <v>6</v>
      </c>
      <c r="C602" s="66" t="s">
        <v>2638</v>
      </c>
      <c r="D602" s="67" t="s">
        <v>2834</v>
      </c>
      <c r="E602" s="66">
        <v>8</v>
      </c>
      <c r="F602" s="66" t="s">
        <v>1442</v>
      </c>
      <c r="G602" s="68">
        <v>45189</v>
      </c>
      <c r="H602" s="68" t="s">
        <v>1086</v>
      </c>
      <c r="I602" s="68" t="s">
        <v>1223</v>
      </c>
      <c r="J602" s="66" t="s">
        <v>1326</v>
      </c>
      <c r="K602" s="66" t="s">
        <v>809</v>
      </c>
      <c r="L602" s="66" t="s">
        <v>767</v>
      </c>
    </row>
    <row r="603" spans="1:12" ht="30" customHeight="1" x14ac:dyDescent="0.2">
      <c r="A603" s="176" t="str">
        <f t="shared" si="18"/>
        <v>20/09/yyyy7</v>
      </c>
      <c r="B603" s="169">
        <f t="shared" si="19"/>
        <v>7</v>
      </c>
      <c r="C603" s="66" t="s">
        <v>2730</v>
      </c>
      <c r="D603" s="67" t="s">
        <v>2835</v>
      </c>
      <c r="E603" s="66">
        <v>8</v>
      </c>
      <c r="F603" s="66" t="s">
        <v>29</v>
      </c>
      <c r="G603" s="68">
        <v>45189</v>
      </c>
      <c r="H603" s="68" t="s">
        <v>1086</v>
      </c>
      <c r="I603" s="68" t="s">
        <v>1221</v>
      </c>
      <c r="J603" s="66">
        <f>IFERROR(VLOOKUP(I603,Jueces!$A$1:$B$11,2,FALSE),"")</f>
        <v>7</v>
      </c>
      <c r="K603" s="66" t="s">
        <v>791</v>
      </c>
      <c r="L603" s="66" t="s">
        <v>887</v>
      </c>
    </row>
    <row r="604" spans="1:12" ht="30" customHeight="1" x14ac:dyDescent="0.2">
      <c r="A604" s="176" t="str">
        <f t="shared" si="18"/>
        <v>20/09/yyyy8</v>
      </c>
      <c r="B604" s="169">
        <f t="shared" si="19"/>
        <v>8</v>
      </c>
      <c r="C604" s="66" t="s">
        <v>2689</v>
      </c>
      <c r="D604" s="67" t="s">
        <v>2836</v>
      </c>
      <c r="E604" s="66">
        <v>7</v>
      </c>
      <c r="F604" s="66" t="s">
        <v>43</v>
      </c>
      <c r="G604" s="68">
        <v>45189</v>
      </c>
      <c r="H604" s="68" t="s">
        <v>2020</v>
      </c>
      <c r="I604" s="68" t="s">
        <v>33</v>
      </c>
      <c r="J604" s="66" t="s">
        <v>1346</v>
      </c>
      <c r="K604" s="66" t="s">
        <v>813</v>
      </c>
      <c r="L604" s="66" t="s">
        <v>767</v>
      </c>
    </row>
    <row r="605" spans="1:12" ht="30" customHeight="1" x14ac:dyDescent="0.2">
      <c r="A605" s="176" t="str">
        <f t="shared" si="18"/>
        <v>21/09/yyyy1</v>
      </c>
      <c r="B605" s="169">
        <f t="shared" si="19"/>
        <v>1</v>
      </c>
      <c r="C605" s="66" t="s">
        <v>2574</v>
      </c>
      <c r="D605" s="67" t="s">
        <v>2575</v>
      </c>
      <c r="E605" s="66">
        <v>7</v>
      </c>
      <c r="F605" s="66" t="s">
        <v>568</v>
      </c>
      <c r="G605" s="68">
        <v>45190</v>
      </c>
      <c r="H605" s="68" t="s">
        <v>73</v>
      </c>
      <c r="I605" s="68" t="s">
        <v>1223</v>
      </c>
      <c r="J605" s="66" t="s">
        <v>1346</v>
      </c>
      <c r="K605" s="66" t="s">
        <v>802</v>
      </c>
      <c r="L605" s="66" t="s">
        <v>725</v>
      </c>
    </row>
    <row r="606" spans="1:12" ht="30" customHeight="1" x14ac:dyDescent="0.2">
      <c r="A606" s="176" t="str">
        <f t="shared" si="18"/>
        <v>21/09/yyyy2</v>
      </c>
      <c r="B606" s="169">
        <f t="shared" si="19"/>
        <v>2</v>
      </c>
      <c r="C606" s="66" t="s">
        <v>2639</v>
      </c>
      <c r="D606" s="67" t="s">
        <v>2640</v>
      </c>
      <c r="E606" s="66">
        <v>7</v>
      </c>
      <c r="F606" s="66" t="s">
        <v>1441</v>
      </c>
      <c r="G606" s="68">
        <v>45190</v>
      </c>
      <c r="H606" s="68" t="s">
        <v>73</v>
      </c>
      <c r="I606" s="68" t="s">
        <v>35</v>
      </c>
      <c r="J606" s="66">
        <f>IFERROR(VLOOKUP(I606,Jueces!$A$1:$B$11,2,FALSE),"")</f>
        <v>3</v>
      </c>
      <c r="K606" s="66" t="s">
        <v>807</v>
      </c>
      <c r="L606" s="66" t="s">
        <v>723</v>
      </c>
    </row>
    <row r="607" spans="1:12" ht="30" customHeight="1" x14ac:dyDescent="0.2">
      <c r="A607" s="176" t="str">
        <f t="shared" si="18"/>
        <v>21/09/yyyy3</v>
      </c>
      <c r="B607" s="169">
        <f t="shared" si="19"/>
        <v>3</v>
      </c>
      <c r="C607" s="66" t="s">
        <v>2687</v>
      </c>
      <c r="D607" s="67" t="s">
        <v>2800</v>
      </c>
      <c r="E607" s="66">
        <v>8</v>
      </c>
      <c r="F607" s="66" t="s">
        <v>2775</v>
      </c>
      <c r="G607" s="68">
        <v>45190</v>
      </c>
      <c r="H607" s="68" t="s">
        <v>73</v>
      </c>
      <c r="I607" s="68" t="s">
        <v>31</v>
      </c>
      <c r="J607" s="66">
        <f>IFERROR(VLOOKUP(I607,Jueces!$A$1:$B$11,2,FALSE),"")</f>
        <v>2</v>
      </c>
      <c r="K607" s="66" t="s">
        <v>791</v>
      </c>
      <c r="L607" s="66" t="s">
        <v>2694</v>
      </c>
    </row>
    <row r="608" spans="1:12" ht="30" customHeight="1" x14ac:dyDescent="0.2">
      <c r="A608" s="176" t="str">
        <f t="shared" si="18"/>
        <v>21/09/yyyy4</v>
      </c>
      <c r="B608" s="169">
        <f t="shared" si="19"/>
        <v>4</v>
      </c>
      <c r="C608" s="66" t="s">
        <v>2700</v>
      </c>
      <c r="D608" s="67" t="s">
        <v>2843</v>
      </c>
      <c r="E608" s="66">
        <v>6</v>
      </c>
      <c r="F608" s="66" t="s">
        <v>43</v>
      </c>
      <c r="G608" s="68">
        <v>45190</v>
      </c>
      <c r="H608" s="68" t="s">
        <v>73</v>
      </c>
      <c r="I608" s="68" t="s">
        <v>1221</v>
      </c>
      <c r="J608" s="66">
        <f>IFERROR(VLOOKUP(I608,Jueces!$A$1:$B$11,2,FALSE),"")</f>
        <v>7</v>
      </c>
      <c r="K608" s="66" t="s">
        <v>789</v>
      </c>
      <c r="L608" s="66" t="s">
        <v>2702</v>
      </c>
    </row>
    <row r="609" spans="1:12" ht="30" customHeight="1" x14ac:dyDescent="0.2">
      <c r="A609" s="176" t="str">
        <f t="shared" si="18"/>
        <v>21/09/yyyy5</v>
      </c>
      <c r="B609" s="169">
        <f t="shared" si="19"/>
        <v>5</v>
      </c>
      <c r="C609" s="6" t="s">
        <v>2675</v>
      </c>
      <c r="D609" s="40" t="s">
        <v>2869</v>
      </c>
      <c r="E609" s="72">
        <v>8</v>
      </c>
      <c r="F609" s="66" t="s">
        <v>1442</v>
      </c>
      <c r="G609" s="68">
        <v>45190</v>
      </c>
      <c r="H609" s="68" t="s">
        <v>749</v>
      </c>
      <c r="I609" s="68" t="s">
        <v>1225</v>
      </c>
      <c r="J609" s="66">
        <f>IFERROR(VLOOKUP(I609,Jueces!$A$1:$B$11,2,FALSE),"")</f>
        <v>6</v>
      </c>
      <c r="K609" s="66" t="s">
        <v>812</v>
      </c>
      <c r="L609" s="66" t="s">
        <v>887</v>
      </c>
    </row>
    <row r="610" spans="1:12" ht="30" customHeight="1" x14ac:dyDescent="0.2">
      <c r="A610" s="176" t="str">
        <f t="shared" si="18"/>
        <v>21/09/yyyy6</v>
      </c>
      <c r="B610" s="169">
        <f t="shared" si="19"/>
        <v>6</v>
      </c>
      <c r="C610" s="109" t="s">
        <v>2674</v>
      </c>
      <c r="D610" s="110" t="s">
        <v>2728</v>
      </c>
      <c r="E610" s="66">
        <v>7</v>
      </c>
      <c r="F610" s="66" t="s">
        <v>1443</v>
      </c>
      <c r="G610" s="68">
        <v>45190</v>
      </c>
      <c r="H610" s="68" t="s">
        <v>1086</v>
      </c>
      <c r="I610" s="68" t="s">
        <v>33</v>
      </c>
      <c r="J610" s="66">
        <f>IFERROR(VLOOKUP(I610,Jueces!$A$1:$B$11,2,FALSE),"")</f>
        <v>4</v>
      </c>
      <c r="K610" s="66" t="s">
        <v>811</v>
      </c>
      <c r="L610" s="66" t="s">
        <v>725</v>
      </c>
    </row>
    <row r="611" spans="1:12" ht="30" customHeight="1" x14ac:dyDescent="0.2">
      <c r="A611" s="176" t="str">
        <f t="shared" si="18"/>
        <v>21/09/yyyy7</v>
      </c>
      <c r="B611" s="169">
        <f t="shared" si="19"/>
        <v>7</v>
      </c>
      <c r="C611" s="66" t="s">
        <v>2688</v>
      </c>
      <c r="D611" s="67" t="s">
        <v>2870</v>
      </c>
      <c r="E611" s="66">
        <v>7</v>
      </c>
      <c r="F611" s="66" t="s">
        <v>29</v>
      </c>
      <c r="G611" s="68">
        <v>45190</v>
      </c>
      <c r="H611" s="68" t="s">
        <v>1086</v>
      </c>
      <c r="I611" s="68" t="s">
        <v>78</v>
      </c>
      <c r="J611" s="66">
        <f>IFERROR(VLOOKUP(I611,Jueces!$A$1:$B$11,2,FALSE),"")</f>
        <v>8</v>
      </c>
      <c r="K611" s="66" t="s">
        <v>798</v>
      </c>
      <c r="L611" s="66" t="s">
        <v>723</v>
      </c>
    </row>
    <row r="612" spans="1:12" ht="30" customHeight="1" x14ac:dyDescent="0.2">
      <c r="A612" s="176" t="str">
        <f t="shared" si="18"/>
        <v>22/09/yyyy1</v>
      </c>
      <c r="B612" s="169">
        <f t="shared" si="19"/>
        <v>1</v>
      </c>
      <c r="C612" s="66" t="s">
        <v>2676</v>
      </c>
      <c r="D612" s="67" t="s">
        <v>2693</v>
      </c>
      <c r="E612" s="66">
        <v>7</v>
      </c>
      <c r="F612" s="66" t="s">
        <v>2774</v>
      </c>
      <c r="G612" s="68">
        <v>45191</v>
      </c>
      <c r="H612" s="68" t="s">
        <v>73</v>
      </c>
      <c r="I612" s="68" t="s">
        <v>35</v>
      </c>
      <c r="J612" s="66">
        <f>IFERROR(VLOOKUP(I612,Jueces!$A$1:$B$11,2,FALSE),"")</f>
        <v>3</v>
      </c>
      <c r="K612" s="66" t="s">
        <v>793</v>
      </c>
      <c r="L612" s="66" t="s">
        <v>697</v>
      </c>
    </row>
    <row r="613" spans="1:12" ht="30" customHeight="1" x14ac:dyDescent="0.2">
      <c r="A613" s="176" t="str">
        <f t="shared" si="18"/>
        <v>22/09/yyyy2</v>
      </c>
      <c r="B613" s="169">
        <f t="shared" si="19"/>
        <v>2</v>
      </c>
      <c r="C613" s="66" t="s">
        <v>2691</v>
      </c>
      <c r="D613" s="67" t="s">
        <v>2692</v>
      </c>
      <c r="E613" s="66">
        <v>7</v>
      </c>
      <c r="F613" s="66" t="s">
        <v>1443</v>
      </c>
      <c r="G613" s="68">
        <v>45191</v>
      </c>
      <c r="H613" s="68" t="s">
        <v>73</v>
      </c>
      <c r="I613" s="68" t="s">
        <v>1221</v>
      </c>
      <c r="J613" s="66">
        <f>IFERROR(VLOOKUP(I613,Jueces!$A$1:$B$11,2,FALSE),"")</f>
        <v>7</v>
      </c>
      <c r="K613" s="66" t="s">
        <v>806</v>
      </c>
      <c r="L613" s="66" t="s">
        <v>2735</v>
      </c>
    </row>
    <row r="614" spans="1:12" ht="30" customHeight="1" x14ac:dyDescent="0.2">
      <c r="A614" s="176" t="str">
        <f t="shared" si="18"/>
        <v>22/09/yyyy3</v>
      </c>
      <c r="B614" s="169">
        <f t="shared" si="19"/>
        <v>3</v>
      </c>
      <c r="C614" s="6" t="s">
        <v>2698</v>
      </c>
      <c r="D614" s="40" t="s">
        <v>2699</v>
      </c>
      <c r="E614" s="6">
        <v>7</v>
      </c>
      <c r="F614" s="6" t="s">
        <v>2775</v>
      </c>
      <c r="G614" s="18">
        <v>45191</v>
      </c>
      <c r="H614" s="18" t="s">
        <v>73</v>
      </c>
      <c r="I614" s="18" t="s">
        <v>78</v>
      </c>
      <c r="J614" s="6">
        <f>IFERROR(VLOOKUP(I614,Jueces!$A$1:$B$11,2,FALSE),"")</f>
        <v>8</v>
      </c>
      <c r="K614" s="6" t="s">
        <v>809</v>
      </c>
      <c r="L614" s="6" t="s">
        <v>725</v>
      </c>
    </row>
    <row r="615" spans="1:12" ht="30" customHeight="1" x14ac:dyDescent="0.2">
      <c r="A615" s="176" t="str">
        <f t="shared" si="18"/>
        <v>22/09/yyyy4</v>
      </c>
      <c r="B615" s="169">
        <f t="shared" si="19"/>
        <v>4</v>
      </c>
      <c r="C615" s="66" t="s">
        <v>2036</v>
      </c>
      <c r="D615" s="67" t="s">
        <v>2037</v>
      </c>
      <c r="E615" s="66">
        <v>5</v>
      </c>
      <c r="F615" s="66" t="s">
        <v>1442</v>
      </c>
      <c r="G615" s="68">
        <v>45191</v>
      </c>
      <c r="H615" s="68" t="s">
        <v>73</v>
      </c>
      <c r="I615" s="68" t="s">
        <v>31</v>
      </c>
      <c r="J615" s="66">
        <f>IFERROR(VLOOKUP(I615,Jueces!$A$1:$B$11,2,FALSE),"")</f>
        <v>2</v>
      </c>
      <c r="K615" s="66" t="s">
        <v>813</v>
      </c>
      <c r="L615" s="66" t="s">
        <v>1965</v>
      </c>
    </row>
    <row r="616" spans="1:12" ht="30" customHeight="1" x14ac:dyDescent="0.2">
      <c r="A616" s="176" t="str">
        <f t="shared" si="18"/>
        <v>22/09/yyyy5</v>
      </c>
      <c r="B616" s="169">
        <f t="shared" si="19"/>
        <v>5</v>
      </c>
      <c r="C616" s="66" t="s">
        <v>2751</v>
      </c>
      <c r="D616" s="67" t="s">
        <v>2752</v>
      </c>
      <c r="E616" s="66">
        <v>5</v>
      </c>
      <c r="F616" s="66" t="s">
        <v>1441</v>
      </c>
      <c r="G616" s="68">
        <v>45191</v>
      </c>
      <c r="H616" s="68" t="s">
        <v>73</v>
      </c>
      <c r="I616" s="68" t="s">
        <v>33</v>
      </c>
      <c r="J616" s="66">
        <f>IFERROR(VLOOKUP(I616,Jueces!$A$1:$B$11,2,FALSE),"")</f>
        <v>4</v>
      </c>
      <c r="K616" s="66" t="s">
        <v>803</v>
      </c>
      <c r="L616" s="66" t="s">
        <v>700</v>
      </c>
    </row>
    <row r="617" spans="1:12" ht="30" customHeight="1" x14ac:dyDescent="0.2">
      <c r="A617" s="176" t="str">
        <f t="shared" si="18"/>
        <v>22/09/yyyy6</v>
      </c>
      <c r="B617" s="169">
        <f t="shared" si="19"/>
        <v>6</v>
      </c>
      <c r="C617" s="66" t="s">
        <v>2837</v>
      </c>
      <c r="D617" s="67" t="s">
        <v>2613</v>
      </c>
      <c r="E617" s="66">
        <v>4</v>
      </c>
      <c r="F617" s="66" t="s">
        <v>283</v>
      </c>
      <c r="G617" s="68">
        <v>45191</v>
      </c>
      <c r="H617" s="68" t="s">
        <v>1086</v>
      </c>
      <c r="I617" s="68" t="s">
        <v>33</v>
      </c>
      <c r="J617" s="66">
        <f>IFERROR(VLOOKUP(I617,Jueces!$A$1:$B$11,2,FALSE),"")</f>
        <v>4</v>
      </c>
      <c r="K617" s="66" t="s">
        <v>1702</v>
      </c>
      <c r="L617" s="66" t="s">
        <v>2649</v>
      </c>
    </row>
    <row r="618" spans="1:12" ht="30" customHeight="1" x14ac:dyDescent="0.2">
      <c r="A618" s="176" t="str">
        <f t="shared" si="18"/>
        <v>22/09/yyyy7</v>
      </c>
      <c r="B618" s="169">
        <f t="shared" si="19"/>
        <v>7</v>
      </c>
      <c r="C618" s="66" t="s">
        <v>2716</v>
      </c>
      <c r="D618" s="67" t="s">
        <v>2717</v>
      </c>
      <c r="E618" s="66">
        <v>7</v>
      </c>
      <c r="F618" s="66" t="s">
        <v>568</v>
      </c>
      <c r="G618" s="68">
        <v>45191</v>
      </c>
      <c r="H618" s="68" t="s">
        <v>1086</v>
      </c>
      <c r="I618" s="68" t="s">
        <v>31</v>
      </c>
      <c r="J618" s="66" t="s">
        <v>1346</v>
      </c>
      <c r="K618" s="66" t="s">
        <v>688</v>
      </c>
      <c r="L618" s="66" t="s">
        <v>887</v>
      </c>
    </row>
    <row r="619" spans="1:12" ht="30" customHeight="1" x14ac:dyDescent="0.2">
      <c r="A619" s="176" t="str">
        <f t="shared" si="18"/>
        <v>25/09/yyyy1</v>
      </c>
      <c r="B619" s="169">
        <f t="shared" si="19"/>
        <v>1</v>
      </c>
      <c r="C619" s="66" t="s">
        <v>2054</v>
      </c>
      <c r="D619" s="67" t="s">
        <v>2696</v>
      </c>
      <c r="E619" s="66">
        <v>1</v>
      </c>
      <c r="F619" s="66" t="s">
        <v>43</v>
      </c>
      <c r="G619" s="68">
        <v>45194</v>
      </c>
      <c r="H619" s="68" t="s">
        <v>73</v>
      </c>
      <c r="I619" s="68" t="s">
        <v>31</v>
      </c>
      <c r="J619" s="66">
        <f>IFERROR(VLOOKUP(I619,Jueces!$A$1:$B$11,2,FALSE),"")</f>
        <v>2</v>
      </c>
      <c r="K619" s="66" t="s">
        <v>791</v>
      </c>
      <c r="L619" s="66" t="s">
        <v>2703</v>
      </c>
    </row>
    <row r="620" spans="1:12" ht="30" customHeight="1" x14ac:dyDescent="0.2">
      <c r="A620" s="176" t="str">
        <f t="shared" si="18"/>
        <v>25/09/yyyy2</v>
      </c>
      <c r="B620" s="169">
        <f t="shared" si="19"/>
        <v>2</v>
      </c>
      <c r="C620" s="66" t="s">
        <v>2712</v>
      </c>
      <c r="D620" s="67" t="s">
        <v>2713</v>
      </c>
      <c r="E620" s="66">
        <v>7</v>
      </c>
      <c r="F620" s="66" t="s">
        <v>283</v>
      </c>
      <c r="G620" s="68">
        <v>45194</v>
      </c>
      <c r="H620" s="68" t="s">
        <v>73</v>
      </c>
      <c r="I620" s="68" t="s">
        <v>33</v>
      </c>
      <c r="J620" s="66">
        <f>IFERROR(VLOOKUP(I620,Jueces!$A$1:$B$11,2,FALSE),"")</f>
        <v>4</v>
      </c>
      <c r="K620" s="66" t="s">
        <v>809</v>
      </c>
      <c r="L620" s="66" t="s">
        <v>700</v>
      </c>
    </row>
    <row r="621" spans="1:12" ht="30" customHeight="1" x14ac:dyDescent="0.2">
      <c r="A621" s="176" t="str">
        <f t="shared" si="18"/>
        <v>25/09/yyyy3</v>
      </c>
      <c r="B621" s="169">
        <f t="shared" si="19"/>
        <v>3</v>
      </c>
      <c r="C621" s="66" t="s">
        <v>2719</v>
      </c>
      <c r="D621" s="67" t="s">
        <v>2720</v>
      </c>
      <c r="E621" s="66">
        <v>7</v>
      </c>
      <c r="F621" s="66" t="s">
        <v>1441</v>
      </c>
      <c r="G621" s="68">
        <v>45194</v>
      </c>
      <c r="H621" s="68" t="s">
        <v>73</v>
      </c>
      <c r="I621" s="68" t="s">
        <v>35</v>
      </c>
      <c r="J621" s="66">
        <f>IFERROR(VLOOKUP(I621,Jueces!$A$1:$B$11,2,FALSE),"")</f>
        <v>3</v>
      </c>
      <c r="K621" s="66" t="s">
        <v>326</v>
      </c>
      <c r="L621" s="66" t="s">
        <v>723</v>
      </c>
    </row>
    <row r="622" spans="1:12" ht="30" customHeight="1" x14ac:dyDescent="0.2">
      <c r="A622" s="176" t="str">
        <f t="shared" si="18"/>
        <v>25/09/yyyy4</v>
      </c>
      <c r="B622" s="169">
        <f t="shared" si="19"/>
        <v>4</v>
      </c>
      <c r="C622" s="66" t="s">
        <v>2722</v>
      </c>
      <c r="D622" s="67" t="s">
        <v>2723</v>
      </c>
      <c r="E622" s="66">
        <v>5</v>
      </c>
      <c r="F622" s="66" t="s">
        <v>1443</v>
      </c>
      <c r="G622" s="68">
        <v>45194</v>
      </c>
      <c r="H622" s="68" t="s">
        <v>73</v>
      </c>
      <c r="I622" s="68" t="s">
        <v>78</v>
      </c>
      <c r="J622" s="66">
        <f>IFERROR(VLOOKUP(I622,Jueces!$A$1:$B$11,2,FALSE),"")</f>
        <v>8</v>
      </c>
      <c r="K622" s="66" t="s">
        <v>813</v>
      </c>
      <c r="L622" s="66" t="s">
        <v>783</v>
      </c>
    </row>
    <row r="623" spans="1:12" ht="30" customHeight="1" x14ac:dyDescent="0.2">
      <c r="A623" s="176" t="str">
        <f t="shared" si="18"/>
        <v>25/09/yyyy5</v>
      </c>
      <c r="B623" s="169">
        <f t="shared" si="19"/>
        <v>5</v>
      </c>
      <c r="C623" s="66" t="s">
        <v>2731</v>
      </c>
      <c r="D623" s="67" t="s">
        <v>2732</v>
      </c>
      <c r="E623" s="66">
        <v>8</v>
      </c>
      <c r="F623" s="66" t="s">
        <v>2773</v>
      </c>
      <c r="G623" s="68">
        <v>45194</v>
      </c>
      <c r="H623" s="68" t="s">
        <v>73</v>
      </c>
      <c r="I623" s="68" t="s">
        <v>1221</v>
      </c>
      <c r="J623" s="210" t="s">
        <v>1925</v>
      </c>
      <c r="K623" s="66" t="s">
        <v>799</v>
      </c>
      <c r="L623" s="66" t="s">
        <v>887</v>
      </c>
    </row>
    <row r="624" spans="1:12" ht="30" customHeight="1" x14ac:dyDescent="0.2">
      <c r="A624" s="176" t="str">
        <f t="shared" si="18"/>
        <v>25/09/yyyy6</v>
      </c>
      <c r="B624" s="169">
        <f t="shared" si="19"/>
        <v>6</v>
      </c>
      <c r="C624" s="66" t="s">
        <v>2753</v>
      </c>
      <c r="D624" s="67" t="s">
        <v>2754</v>
      </c>
      <c r="E624" s="66">
        <v>8</v>
      </c>
      <c r="F624" s="66" t="s">
        <v>29</v>
      </c>
      <c r="G624" s="68">
        <v>45194</v>
      </c>
      <c r="H624" s="68" t="s">
        <v>1086</v>
      </c>
      <c r="I624" s="68" t="s">
        <v>1221</v>
      </c>
      <c r="J624" s="210" t="s">
        <v>1925</v>
      </c>
      <c r="K624" s="66" t="s">
        <v>812</v>
      </c>
      <c r="L624" s="66" t="s">
        <v>1087</v>
      </c>
    </row>
    <row r="625" spans="1:12" ht="30" customHeight="1" x14ac:dyDescent="0.2">
      <c r="A625" s="176" t="str">
        <f t="shared" si="18"/>
        <v>25/09/yyyy7</v>
      </c>
      <c r="B625" s="169">
        <f t="shared" si="19"/>
        <v>7</v>
      </c>
      <c r="C625" s="66" t="s">
        <v>2769</v>
      </c>
      <c r="D625" s="67" t="s">
        <v>2770</v>
      </c>
      <c r="E625" s="66">
        <v>7</v>
      </c>
      <c r="F625" s="66" t="s">
        <v>2788</v>
      </c>
      <c r="G625" s="68">
        <v>45194</v>
      </c>
      <c r="H625" s="68" t="s">
        <v>1086</v>
      </c>
      <c r="I625" s="68" t="s">
        <v>33</v>
      </c>
      <c r="J625" s="66">
        <f>IFERROR(VLOOKUP(I625,Jueces!$A$1:$B$11,2,FALSE),"")</f>
        <v>4</v>
      </c>
      <c r="K625" s="66" t="s">
        <v>806</v>
      </c>
      <c r="L625" s="66" t="s">
        <v>767</v>
      </c>
    </row>
    <row r="626" spans="1:12" ht="30" customHeight="1" x14ac:dyDescent="0.2">
      <c r="A626" s="176" t="str">
        <f t="shared" si="18"/>
        <v>25/09/yyyy8</v>
      </c>
      <c r="B626" s="169">
        <f t="shared" si="19"/>
        <v>8</v>
      </c>
      <c r="C626" s="66" t="s">
        <v>2369</v>
      </c>
      <c r="D626" s="67" t="s">
        <v>2927</v>
      </c>
      <c r="E626" s="66">
        <v>5</v>
      </c>
      <c r="F626" s="66" t="s">
        <v>2838</v>
      </c>
      <c r="G626" s="68">
        <v>45194</v>
      </c>
      <c r="H626" s="68" t="s">
        <v>1086</v>
      </c>
      <c r="I626" s="68" t="s">
        <v>31</v>
      </c>
      <c r="J626" s="66">
        <f>IFERROR(VLOOKUP(I626,Jueces!$A$1:$B$11,2,FALSE),"")</f>
        <v>2</v>
      </c>
      <c r="K626" s="66" t="s">
        <v>405</v>
      </c>
      <c r="L626" s="66" t="s">
        <v>1965</v>
      </c>
    </row>
    <row r="627" spans="1:12" ht="30" customHeight="1" x14ac:dyDescent="0.2">
      <c r="A627" s="176" t="str">
        <f t="shared" si="18"/>
        <v>26/09/yyyy1</v>
      </c>
      <c r="B627" s="169">
        <f t="shared" si="19"/>
        <v>1</v>
      </c>
      <c r="C627" s="66" t="s">
        <v>2714</v>
      </c>
      <c r="D627" s="67" t="s">
        <v>2715</v>
      </c>
      <c r="E627" s="66">
        <v>7</v>
      </c>
      <c r="F627" s="66" t="s">
        <v>1443</v>
      </c>
      <c r="G627" s="68">
        <v>45195</v>
      </c>
      <c r="H627" s="68" t="s">
        <v>73</v>
      </c>
      <c r="I627" s="68" t="s">
        <v>78</v>
      </c>
      <c r="J627" s="66">
        <f>IFERROR(VLOOKUP(I627,Jueces!$A$1:$B$11,2,FALSE),"")</f>
        <v>8</v>
      </c>
      <c r="K627" s="66" t="s">
        <v>688</v>
      </c>
      <c r="L627" s="66" t="s">
        <v>2777</v>
      </c>
    </row>
    <row r="628" spans="1:12" ht="30" customHeight="1" x14ac:dyDescent="0.2">
      <c r="A628" s="176" t="str">
        <f t="shared" si="18"/>
        <v>26/09/yyyy2</v>
      </c>
      <c r="B628" s="169">
        <f t="shared" si="19"/>
        <v>2</v>
      </c>
      <c r="C628" s="66" t="s">
        <v>2726</v>
      </c>
      <c r="D628" s="67" t="s">
        <v>2917</v>
      </c>
      <c r="E628" s="66">
        <v>7</v>
      </c>
      <c r="F628" s="66" t="s">
        <v>1441</v>
      </c>
      <c r="G628" s="68">
        <v>45195</v>
      </c>
      <c r="H628" s="68" t="s">
        <v>73</v>
      </c>
      <c r="I628" s="68" t="s">
        <v>31</v>
      </c>
      <c r="J628" s="66">
        <f>IFERROR(VLOOKUP(I628,Jueces!$A$1:$B$11,2,FALSE),"")</f>
        <v>2</v>
      </c>
      <c r="K628" s="66" t="s">
        <v>789</v>
      </c>
      <c r="L628" s="66" t="s">
        <v>711</v>
      </c>
    </row>
    <row r="629" spans="1:12" ht="30" customHeight="1" x14ac:dyDescent="0.2">
      <c r="A629" s="176" t="str">
        <f t="shared" si="18"/>
        <v>26/09/yyyy3</v>
      </c>
      <c r="B629" s="169">
        <f t="shared" si="19"/>
        <v>3</v>
      </c>
      <c r="C629" s="66" t="s">
        <v>2739</v>
      </c>
      <c r="D629" s="67" t="s">
        <v>2740</v>
      </c>
      <c r="E629" s="66">
        <v>7</v>
      </c>
      <c r="F629" s="66" t="s">
        <v>29</v>
      </c>
      <c r="G629" s="68">
        <v>45195</v>
      </c>
      <c r="H629" s="68" t="s">
        <v>73</v>
      </c>
      <c r="I629" s="68" t="s">
        <v>33</v>
      </c>
      <c r="J629" s="66">
        <f>IFERROR(VLOOKUP(I629,Jueces!$A$1:$B$11,2,FALSE),"")</f>
        <v>4</v>
      </c>
      <c r="K629" s="66" t="s">
        <v>807</v>
      </c>
      <c r="L629" s="66" t="s">
        <v>767</v>
      </c>
    </row>
    <row r="630" spans="1:12" ht="30" customHeight="1" x14ac:dyDescent="0.2">
      <c r="A630" s="176" t="str">
        <f t="shared" si="18"/>
        <v>26/09/yyyy4</v>
      </c>
      <c r="B630" s="169">
        <f t="shared" si="19"/>
        <v>4</v>
      </c>
      <c r="C630" s="66" t="s">
        <v>2741</v>
      </c>
      <c r="D630" s="67" t="s">
        <v>2742</v>
      </c>
      <c r="E630" s="66">
        <v>5</v>
      </c>
      <c r="F630" s="66" t="s">
        <v>43</v>
      </c>
      <c r="G630" s="68">
        <v>45195</v>
      </c>
      <c r="H630" s="68" t="s">
        <v>73</v>
      </c>
      <c r="I630" s="68" t="s">
        <v>1221</v>
      </c>
      <c r="J630" s="210" t="s">
        <v>1925</v>
      </c>
      <c r="K630" s="66" t="s">
        <v>829</v>
      </c>
      <c r="L630" s="66" t="s">
        <v>2703</v>
      </c>
    </row>
    <row r="631" spans="1:12" ht="30" customHeight="1" x14ac:dyDescent="0.2">
      <c r="A631" s="176" t="str">
        <f t="shared" si="18"/>
        <v>26/09/yyyy5</v>
      </c>
      <c r="B631" s="169">
        <f t="shared" si="19"/>
        <v>5</v>
      </c>
      <c r="C631" s="66" t="s">
        <v>2789</v>
      </c>
      <c r="D631" s="67" t="s">
        <v>2897</v>
      </c>
      <c r="E631" s="66">
        <v>8</v>
      </c>
      <c r="F631" s="66" t="s">
        <v>1442</v>
      </c>
      <c r="G631" s="68">
        <v>45195</v>
      </c>
      <c r="H631" s="68" t="s">
        <v>73</v>
      </c>
      <c r="I631" s="68" t="s">
        <v>35</v>
      </c>
      <c r="J631" s="66">
        <f>IFERROR(VLOOKUP(I631,Jueces!$A$1:$B$11,2,FALSE),"")</f>
        <v>3</v>
      </c>
      <c r="K631" s="66" t="s">
        <v>2088</v>
      </c>
      <c r="L631" s="66" t="s">
        <v>887</v>
      </c>
    </row>
    <row r="632" spans="1:12" ht="30" customHeight="1" x14ac:dyDescent="0.2">
      <c r="A632" s="176" t="str">
        <f t="shared" si="18"/>
        <v>26/09/yyyy6</v>
      </c>
      <c r="B632" s="169">
        <f t="shared" si="19"/>
        <v>6</v>
      </c>
      <c r="C632" s="66" t="s">
        <v>2744</v>
      </c>
      <c r="D632" s="67" t="s">
        <v>2798</v>
      </c>
      <c r="E632" s="66">
        <v>8</v>
      </c>
      <c r="F632" s="66" t="s">
        <v>2775</v>
      </c>
      <c r="G632" s="68">
        <v>45195</v>
      </c>
      <c r="H632" s="68" t="s">
        <v>1086</v>
      </c>
      <c r="I632" s="68" t="s">
        <v>1221</v>
      </c>
      <c r="J632" s="210" t="s">
        <v>1925</v>
      </c>
      <c r="K632" s="66" t="s">
        <v>790</v>
      </c>
      <c r="L632" s="66" t="s">
        <v>1087</v>
      </c>
    </row>
    <row r="633" spans="1:12" ht="30" customHeight="1" x14ac:dyDescent="0.2">
      <c r="A633" s="176" t="str">
        <f t="shared" si="18"/>
        <v>26/09/yyyy7</v>
      </c>
      <c r="B633" s="169">
        <f t="shared" si="19"/>
        <v>7</v>
      </c>
      <c r="C633" s="66" t="s">
        <v>2762</v>
      </c>
      <c r="D633" s="67" t="s">
        <v>2763</v>
      </c>
      <c r="E633" s="66">
        <v>8</v>
      </c>
      <c r="F633" s="66" t="s">
        <v>283</v>
      </c>
      <c r="G633" s="68">
        <v>45195</v>
      </c>
      <c r="H633" s="68" t="s">
        <v>1086</v>
      </c>
      <c r="I633" s="68" t="s">
        <v>33</v>
      </c>
      <c r="J633" s="66">
        <f>IFERROR(VLOOKUP(I633,Jueces!$A$1:$B$11,2,FALSE),"")</f>
        <v>4</v>
      </c>
      <c r="K633" s="66" t="s">
        <v>806</v>
      </c>
      <c r="L633" s="66" t="s">
        <v>887</v>
      </c>
    </row>
    <row r="634" spans="1:12" ht="30" customHeight="1" x14ac:dyDescent="0.2">
      <c r="A634" s="176" t="str">
        <f t="shared" si="18"/>
        <v>26/09/yyyy8</v>
      </c>
      <c r="B634" s="169">
        <f t="shared" si="19"/>
        <v>8</v>
      </c>
      <c r="C634" s="66" t="s">
        <v>2778</v>
      </c>
      <c r="D634" s="67" t="s">
        <v>2779</v>
      </c>
      <c r="E634" s="66">
        <v>7</v>
      </c>
      <c r="F634" s="66" t="s">
        <v>2774</v>
      </c>
      <c r="G634" s="68">
        <v>45195</v>
      </c>
      <c r="H634" s="68" t="s">
        <v>1086</v>
      </c>
      <c r="I634" s="68" t="s">
        <v>31</v>
      </c>
      <c r="J634" s="66">
        <f>IFERROR(VLOOKUP(I634,Jueces!$A$1:$B$11,2,FALSE),"")</f>
        <v>2</v>
      </c>
      <c r="K634" s="66" t="s">
        <v>405</v>
      </c>
      <c r="L634" s="66" t="s">
        <v>725</v>
      </c>
    </row>
    <row r="635" spans="1:12" ht="30" customHeight="1" x14ac:dyDescent="0.2">
      <c r="A635" s="176" t="str">
        <f t="shared" si="18"/>
        <v>27/09/yyyy1</v>
      </c>
      <c r="B635" s="169">
        <f t="shared" si="19"/>
        <v>1</v>
      </c>
      <c r="C635" s="66" t="s">
        <v>2746</v>
      </c>
      <c r="D635" s="67" t="s">
        <v>2759</v>
      </c>
      <c r="E635" s="66">
        <v>7</v>
      </c>
      <c r="F635" s="66" t="s">
        <v>1441</v>
      </c>
      <c r="G635" s="68">
        <v>45196</v>
      </c>
      <c r="H635" s="68" t="s">
        <v>73</v>
      </c>
      <c r="I635" s="68" t="s">
        <v>1221</v>
      </c>
      <c r="J635" s="66" t="s">
        <v>2394</v>
      </c>
      <c r="K635" s="66" t="s">
        <v>688</v>
      </c>
      <c r="L635" s="66" t="s">
        <v>2758</v>
      </c>
    </row>
    <row r="636" spans="1:12" ht="30" customHeight="1" x14ac:dyDescent="0.2">
      <c r="A636" s="176" t="str">
        <f t="shared" si="18"/>
        <v>27/09/yyyy2</v>
      </c>
      <c r="B636" s="169">
        <f t="shared" si="19"/>
        <v>2</v>
      </c>
      <c r="C636" s="66" t="s">
        <v>2781</v>
      </c>
      <c r="D636" s="67" t="s">
        <v>2797</v>
      </c>
      <c r="E636" s="66">
        <v>8</v>
      </c>
      <c r="F636" s="66" t="s">
        <v>2788</v>
      </c>
      <c r="G636" s="68">
        <v>45196</v>
      </c>
      <c r="H636" s="68" t="s">
        <v>73</v>
      </c>
      <c r="I636" s="68" t="s">
        <v>31</v>
      </c>
      <c r="J636" s="66">
        <f>IFERROR(VLOOKUP(I636,Jueces!$A$1:$B$11,2,FALSE),"")</f>
        <v>2</v>
      </c>
      <c r="K636" s="66" t="s">
        <v>3020</v>
      </c>
      <c r="L636" s="66" t="s">
        <v>3019</v>
      </c>
    </row>
    <row r="637" spans="1:12" ht="30" customHeight="1" x14ac:dyDescent="0.2">
      <c r="A637" s="176" t="str">
        <f t="shared" si="18"/>
        <v>27/09/yyyy3</v>
      </c>
      <c r="B637" s="169">
        <f t="shared" si="19"/>
        <v>3</v>
      </c>
      <c r="C637" s="66" t="s">
        <v>2804</v>
      </c>
      <c r="D637" s="67" t="s">
        <v>2805</v>
      </c>
      <c r="E637" s="66">
        <v>7</v>
      </c>
      <c r="F637" s="66" t="s">
        <v>43</v>
      </c>
      <c r="G637" s="68">
        <v>45196</v>
      </c>
      <c r="H637" s="68" t="s">
        <v>73</v>
      </c>
      <c r="I637" s="68" t="s">
        <v>78</v>
      </c>
      <c r="J637" s="66">
        <f>IFERROR(VLOOKUP(I637,Jueces!$A$1:$B$11,2,FALSE),"")</f>
        <v>8</v>
      </c>
      <c r="K637" s="66" t="s">
        <v>807</v>
      </c>
      <c r="L637" s="66" t="s">
        <v>767</v>
      </c>
    </row>
    <row r="638" spans="1:12" ht="30" customHeight="1" x14ac:dyDescent="0.2">
      <c r="A638" s="176" t="str">
        <f t="shared" si="18"/>
        <v>27/09/yyyy4</v>
      </c>
      <c r="B638" s="169">
        <f t="shared" si="19"/>
        <v>4</v>
      </c>
      <c r="C638" s="66" t="s">
        <v>2825</v>
      </c>
      <c r="D638" s="67" t="s">
        <v>2826</v>
      </c>
      <c r="E638" s="66">
        <v>7</v>
      </c>
      <c r="F638" s="66" t="s">
        <v>2775</v>
      </c>
      <c r="G638" s="68">
        <v>45196</v>
      </c>
      <c r="H638" s="68" t="s">
        <v>73</v>
      </c>
      <c r="I638" s="68" t="s">
        <v>2951</v>
      </c>
      <c r="J638" s="66" t="s">
        <v>1925</v>
      </c>
      <c r="K638" s="66" t="s">
        <v>2737</v>
      </c>
      <c r="L638" s="66" t="s">
        <v>1027</v>
      </c>
    </row>
    <row r="639" spans="1:12" ht="30" customHeight="1" x14ac:dyDescent="0.2">
      <c r="A639" s="176" t="str">
        <f t="shared" si="18"/>
        <v>27/09/yyyy5</v>
      </c>
      <c r="B639" s="169">
        <f t="shared" si="19"/>
        <v>5</v>
      </c>
      <c r="C639" s="66" t="s">
        <v>2780</v>
      </c>
      <c r="D639" s="67" t="s">
        <v>2815</v>
      </c>
      <c r="E639" s="66">
        <v>8</v>
      </c>
      <c r="F639" s="66" t="s">
        <v>2773</v>
      </c>
      <c r="G639" s="68">
        <v>45196</v>
      </c>
      <c r="H639" s="68" t="s">
        <v>1086</v>
      </c>
      <c r="I639" s="68" t="s">
        <v>33</v>
      </c>
      <c r="J639" s="66">
        <f>IFERROR(VLOOKUP(I639,Jueces!$A$1:$B$11,2,FALSE),"")</f>
        <v>4</v>
      </c>
      <c r="K639" s="66" t="s">
        <v>809</v>
      </c>
      <c r="L639" s="66" t="s">
        <v>1087</v>
      </c>
    </row>
    <row r="640" spans="1:12" ht="30" customHeight="1" x14ac:dyDescent="0.2">
      <c r="A640" s="176" t="str">
        <f t="shared" si="18"/>
        <v>27/09/yyyy6</v>
      </c>
      <c r="B640" s="169">
        <f t="shared" si="19"/>
        <v>6</v>
      </c>
      <c r="C640" s="66" t="s">
        <v>2784</v>
      </c>
      <c r="D640" s="67" t="s">
        <v>2785</v>
      </c>
      <c r="E640" s="66">
        <v>7</v>
      </c>
      <c r="F640" s="66" t="s">
        <v>568</v>
      </c>
      <c r="G640" s="68">
        <v>45196</v>
      </c>
      <c r="H640" s="68" t="s">
        <v>1086</v>
      </c>
      <c r="I640" s="68" t="s">
        <v>31</v>
      </c>
      <c r="J640" s="66">
        <f>IFERROR(VLOOKUP(I640,Jueces!$A$1:$B$11,2,FALSE),"")</f>
        <v>2</v>
      </c>
      <c r="K640" s="66" t="s">
        <v>806</v>
      </c>
      <c r="L640" s="66" t="s">
        <v>2777</v>
      </c>
    </row>
    <row r="641" spans="1:12" ht="30" customHeight="1" x14ac:dyDescent="0.2">
      <c r="A641" s="176" t="str">
        <f t="shared" si="18"/>
        <v>27/09/yyyy7</v>
      </c>
      <c r="B641" s="169">
        <f t="shared" si="19"/>
        <v>7</v>
      </c>
      <c r="C641" s="66" t="s">
        <v>2823</v>
      </c>
      <c r="D641" s="67" t="s">
        <v>2824</v>
      </c>
      <c r="E641" s="66">
        <v>7</v>
      </c>
      <c r="F641" s="66" t="s">
        <v>2774</v>
      </c>
      <c r="G641" s="68">
        <v>45196</v>
      </c>
      <c r="H641" s="68" t="s">
        <v>1086</v>
      </c>
      <c r="I641" s="68" t="s">
        <v>35</v>
      </c>
      <c r="J641" s="66">
        <f>IFERROR(VLOOKUP(I641,Jueces!$A$1:$B$11,2,FALSE),"")</f>
        <v>3</v>
      </c>
      <c r="K641" s="66" t="s">
        <v>812</v>
      </c>
      <c r="L641" s="66" t="s">
        <v>767</v>
      </c>
    </row>
    <row r="642" spans="1:12" ht="30" customHeight="1" x14ac:dyDescent="0.2">
      <c r="A642" s="176" t="str">
        <f t="shared" si="18"/>
        <v>27/09/yyyy8</v>
      </c>
      <c r="B642" s="169">
        <f t="shared" si="19"/>
        <v>8</v>
      </c>
      <c r="C642" s="66" t="s">
        <v>2766</v>
      </c>
      <c r="D642" s="67" t="s">
        <v>2767</v>
      </c>
      <c r="E642" s="66">
        <v>8</v>
      </c>
      <c r="F642" s="66" t="s">
        <v>29</v>
      </c>
      <c r="G642" s="68">
        <v>45196</v>
      </c>
      <c r="H642" s="68" t="s">
        <v>989</v>
      </c>
      <c r="I642" s="68" t="s">
        <v>1221</v>
      </c>
      <c r="J642" s="66" t="s">
        <v>1925</v>
      </c>
      <c r="K642" s="66" t="s">
        <v>2090</v>
      </c>
      <c r="L642" s="66" t="s">
        <v>1087</v>
      </c>
    </row>
    <row r="643" spans="1:12" ht="30" customHeight="1" x14ac:dyDescent="0.2">
      <c r="A643" s="176" t="str">
        <f t="shared" ref="A643:A706" si="20">CONCATENATE(TEXT($G643,"dd/mm/yyyy"),$B643)</f>
        <v>28/09/yyyy1</v>
      </c>
      <c r="B643" s="169">
        <f t="shared" si="19"/>
        <v>1</v>
      </c>
      <c r="C643" s="66" t="s">
        <v>2783</v>
      </c>
      <c r="D643" s="67" t="s">
        <v>2827</v>
      </c>
      <c r="E643" s="66">
        <v>8</v>
      </c>
      <c r="F643" s="66" t="s">
        <v>2838</v>
      </c>
      <c r="G643" s="68">
        <v>45197</v>
      </c>
      <c r="H643" s="68" t="s">
        <v>73</v>
      </c>
      <c r="I643" s="68" t="s">
        <v>78</v>
      </c>
      <c r="J643" s="66">
        <f>IFERROR(VLOOKUP(I643,Jueces!$A$1:$B$11,2,FALSE),"")</f>
        <v>8</v>
      </c>
      <c r="K643" s="66" t="s">
        <v>812</v>
      </c>
      <c r="L643" s="66" t="s">
        <v>3019</v>
      </c>
    </row>
    <row r="644" spans="1:12" ht="30" customHeight="1" x14ac:dyDescent="0.2">
      <c r="A644" s="176" t="str">
        <f t="shared" si="20"/>
        <v>28/09/yyyy2</v>
      </c>
      <c r="B644" s="169">
        <f t="shared" ref="B644:B707" si="21">IF($G644=$G643,$B643+1,1)</f>
        <v>2</v>
      </c>
      <c r="C644" s="66" t="s">
        <v>2745</v>
      </c>
      <c r="D644" s="67" t="s">
        <v>2790</v>
      </c>
      <c r="E644" s="66">
        <v>8</v>
      </c>
      <c r="F644" s="66" t="s">
        <v>1441</v>
      </c>
      <c r="G644" s="68">
        <v>45197</v>
      </c>
      <c r="H644" s="68" t="s">
        <v>1086</v>
      </c>
      <c r="I644" s="68" t="s">
        <v>1225</v>
      </c>
      <c r="J644" s="66">
        <f>IFERROR(VLOOKUP(I644,Jueces!$A$1:$B$11,2,FALSE),"")</f>
        <v>6</v>
      </c>
      <c r="K644" s="66" t="s">
        <v>813</v>
      </c>
      <c r="L644" s="66" t="s">
        <v>1087</v>
      </c>
    </row>
    <row r="645" spans="1:12" ht="30" customHeight="1" x14ac:dyDescent="0.2">
      <c r="A645" s="176" t="str">
        <f t="shared" si="20"/>
        <v>28/09/yyyy3</v>
      </c>
      <c r="B645" s="169">
        <f t="shared" si="21"/>
        <v>3</v>
      </c>
      <c r="C645" s="66" t="s">
        <v>2914</v>
      </c>
      <c r="D645" s="67" t="s">
        <v>2926</v>
      </c>
      <c r="E645" s="66">
        <v>1</v>
      </c>
      <c r="F645" s="66" t="s">
        <v>43</v>
      </c>
      <c r="G645" s="68">
        <v>45197</v>
      </c>
      <c r="H645" s="68" t="s">
        <v>1086</v>
      </c>
      <c r="I645" s="68" t="s">
        <v>31</v>
      </c>
      <c r="J645" s="66">
        <f>IFERROR(VLOOKUP(I645,Jueces!$A$1:$B$11,2,FALSE),"")</f>
        <v>2</v>
      </c>
      <c r="K645" s="66" t="s">
        <v>2737</v>
      </c>
      <c r="L645" s="66" t="s">
        <v>711</v>
      </c>
    </row>
    <row r="646" spans="1:12" ht="30" customHeight="1" x14ac:dyDescent="0.2">
      <c r="A646" s="176" t="str">
        <f t="shared" si="20"/>
        <v>28/09/yyyy4</v>
      </c>
      <c r="B646" s="169">
        <f t="shared" si="21"/>
        <v>4</v>
      </c>
      <c r="C646" s="66" t="s">
        <v>2807</v>
      </c>
      <c r="D646" s="67" t="s">
        <v>2808</v>
      </c>
      <c r="E646" s="66">
        <v>8</v>
      </c>
      <c r="F646" s="66" t="s">
        <v>283</v>
      </c>
      <c r="G646" s="68">
        <v>45197</v>
      </c>
      <c r="H646" s="68" t="s">
        <v>1210</v>
      </c>
      <c r="I646" s="68" t="s">
        <v>78</v>
      </c>
      <c r="J646" s="66">
        <f>IFERROR(VLOOKUP(I646,Jueces!$A$1:$B$11,2,FALSE),"")</f>
        <v>8</v>
      </c>
      <c r="K646" s="66" t="s">
        <v>813</v>
      </c>
      <c r="L646" s="66" t="s">
        <v>2934</v>
      </c>
    </row>
    <row r="647" spans="1:12" ht="30" customHeight="1" x14ac:dyDescent="0.2">
      <c r="A647" s="176" t="str">
        <f t="shared" si="20"/>
        <v>28/09/yyyy5</v>
      </c>
      <c r="B647" s="169">
        <f t="shared" si="21"/>
        <v>5</v>
      </c>
      <c r="C647" s="66" t="s">
        <v>2801</v>
      </c>
      <c r="D647" s="67" t="s">
        <v>2959</v>
      </c>
      <c r="E647" s="66">
        <v>8</v>
      </c>
      <c r="F647" s="66" t="s">
        <v>1443</v>
      </c>
      <c r="G647" s="68">
        <v>45197</v>
      </c>
      <c r="H647" s="68" t="s">
        <v>989</v>
      </c>
      <c r="I647" s="68" t="s">
        <v>1221</v>
      </c>
      <c r="J647" s="66">
        <f>IFERROR(VLOOKUP(I647,Jueces!$A$1:$B$11,2,FALSE),"")</f>
        <v>7</v>
      </c>
      <c r="K647" s="66" t="s">
        <v>3070</v>
      </c>
      <c r="L647" s="66" t="s">
        <v>1087</v>
      </c>
    </row>
    <row r="648" spans="1:12" ht="30" customHeight="1" x14ac:dyDescent="0.2">
      <c r="A648" s="176" t="str">
        <f t="shared" si="20"/>
        <v>29/09/yyyy1</v>
      </c>
      <c r="B648" s="169">
        <f t="shared" si="21"/>
        <v>1</v>
      </c>
      <c r="C648" s="66" t="s">
        <v>2760</v>
      </c>
      <c r="D648" s="67" t="s">
        <v>2634</v>
      </c>
      <c r="E648" s="66">
        <v>8</v>
      </c>
      <c r="F648" s="66" t="s">
        <v>2773</v>
      </c>
      <c r="G648" s="68">
        <v>45198</v>
      </c>
      <c r="H648" s="68" t="s">
        <v>73</v>
      </c>
      <c r="I648" s="68" t="s">
        <v>33</v>
      </c>
      <c r="J648" s="66">
        <f>IFERROR(VLOOKUP(I648,Jueces!$A$1:$B$11,2,FALSE),"")</f>
        <v>4</v>
      </c>
      <c r="K648" s="66" t="s">
        <v>813</v>
      </c>
      <c r="L648" s="66" t="s">
        <v>1032</v>
      </c>
    </row>
    <row r="649" spans="1:12" ht="30" customHeight="1" x14ac:dyDescent="0.2">
      <c r="A649" s="176" t="str">
        <f t="shared" si="20"/>
        <v>29/09/yyyy2</v>
      </c>
      <c r="B649" s="169">
        <f t="shared" si="21"/>
        <v>2</v>
      </c>
      <c r="C649" s="66" t="s">
        <v>2718</v>
      </c>
      <c r="D649" s="67" t="s">
        <v>2733</v>
      </c>
      <c r="E649" s="66">
        <v>3</v>
      </c>
      <c r="F649" s="66" t="s">
        <v>2788</v>
      </c>
      <c r="G649" s="68">
        <v>45198</v>
      </c>
      <c r="H649" s="68" t="s">
        <v>73</v>
      </c>
      <c r="I649" s="68" t="s">
        <v>35</v>
      </c>
      <c r="J649" s="66">
        <f>IFERROR(VLOOKUP(I649,Jueces!$A$1:$B$11,2,FALSE),"")</f>
        <v>3</v>
      </c>
      <c r="K649" s="66" t="s">
        <v>802</v>
      </c>
      <c r="L649" s="66" t="s">
        <v>2734</v>
      </c>
    </row>
    <row r="650" spans="1:12" ht="30" customHeight="1" x14ac:dyDescent="0.2">
      <c r="A650" s="176" t="str">
        <f t="shared" si="20"/>
        <v>29/09/yyyy3</v>
      </c>
      <c r="B650" s="169">
        <f t="shared" si="21"/>
        <v>3</v>
      </c>
      <c r="C650" s="66" t="s">
        <v>2810</v>
      </c>
      <c r="D650" s="67" t="s">
        <v>2871</v>
      </c>
      <c r="E650" s="66">
        <v>4</v>
      </c>
      <c r="F650" s="66" t="s">
        <v>283</v>
      </c>
      <c r="G650" s="68">
        <v>45198</v>
      </c>
      <c r="H650" s="68" t="s">
        <v>73</v>
      </c>
      <c r="I650" s="68" t="s">
        <v>31</v>
      </c>
      <c r="J650" s="66">
        <f>IFERROR(VLOOKUP(I650,Jueces!$A$1:$B$11,2,FALSE),"")</f>
        <v>2</v>
      </c>
      <c r="K650" s="66" t="s">
        <v>798</v>
      </c>
      <c r="L650" s="66" t="s">
        <v>887</v>
      </c>
    </row>
    <row r="651" spans="1:12" ht="30" customHeight="1" x14ac:dyDescent="0.2">
      <c r="A651" s="176" t="str">
        <f t="shared" si="20"/>
        <v>29/09/yyyy4</v>
      </c>
      <c r="B651" s="169">
        <f t="shared" si="21"/>
        <v>4</v>
      </c>
      <c r="C651" s="66" t="s">
        <v>2847</v>
      </c>
      <c r="D651" s="67" t="s">
        <v>3060</v>
      </c>
      <c r="E651" s="66">
        <v>8</v>
      </c>
      <c r="F651" s="66" t="s">
        <v>29</v>
      </c>
      <c r="G651" s="68">
        <v>45198</v>
      </c>
      <c r="H651" s="68" t="s">
        <v>73</v>
      </c>
      <c r="I651" s="68" t="s">
        <v>78</v>
      </c>
      <c r="J651" s="66">
        <f>IFERROR(VLOOKUP(I651,Jueces!$A$1:$B$11,2,FALSE),"")</f>
        <v>8</v>
      </c>
      <c r="K651" s="66" t="s">
        <v>791</v>
      </c>
      <c r="L651" s="66" t="s">
        <v>1087</v>
      </c>
    </row>
    <row r="652" spans="1:12" ht="30" customHeight="1" x14ac:dyDescent="0.2">
      <c r="A652" s="176" t="str">
        <f t="shared" si="20"/>
        <v>29/09/yyyy5</v>
      </c>
      <c r="B652" s="169">
        <f t="shared" si="21"/>
        <v>5</v>
      </c>
      <c r="C652" s="66" t="s">
        <v>2786</v>
      </c>
      <c r="D652" s="67" t="s">
        <v>2787</v>
      </c>
      <c r="E652" s="66">
        <v>8</v>
      </c>
      <c r="F652" s="66" t="s">
        <v>1443</v>
      </c>
      <c r="G652" s="68">
        <v>45198</v>
      </c>
      <c r="H652" s="68" t="s">
        <v>1086</v>
      </c>
      <c r="I652" s="68" t="s">
        <v>1225</v>
      </c>
      <c r="J652" s="66">
        <f>IFERROR(VLOOKUP(I652,Jueces!$A$1:$B$11,2,FALSE),"")</f>
        <v>6</v>
      </c>
      <c r="K652" s="66" t="s">
        <v>2094</v>
      </c>
      <c r="L652" s="66" t="s">
        <v>2828</v>
      </c>
    </row>
    <row r="653" spans="1:12" ht="30" customHeight="1" x14ac:dyDescent="0.2">
      <c r="A653" s="176" t="str">
        <f t="shared" si="20"/>
        <v>29/09/yyyy6</v>
      </c>
      <c r="B653" s="169">
        <f t="shared" si="21"/>
        <v>6</v>
      </c>
      <c r="C653" s="66" t="s">
        <v>2809</v>
      </c>
      <c r="D653" s="67" t="s">
        <v>2890</v>
      </c>
      <c r="E653" s="66">
        <v>8</v>
      </c>
      <c r="F653" s="66" t="s">
        <v>43</v>
      </c>
      <c r="G653" s="68">
        <v>45198</v>
      </c>
      <c r="H653" s="68" t="s">
        <v>1086</v>
      </c>
      <c r="I653" s="68" t="s">
        <v>2951</v>
      </c>
      <c r="J653" s="66" t="s">
        <v>1520</v>
      </c>
      <c r="K653" s="66" t="s">
        <v>789</v>
      </c>
      <c r="L653" s="66" t="s">
        <v>767</v>
      </c>
    </row>
    <row r="654" spans="1:12" ht="30" customHeight="1" x14ac:dyDescent="0.2">
      <c r="A654" s="176" t="str">
        <f t="shared" si="20"/>
        <v>29/09/yyyy7</v>
      </c>
      <c r="B654" s="169">
        <f t="shared" si="21"/>
        <v>7</v>
      </c>
      <c r="C654" s="66" t="s">
        <v>2851</v>
      </c>
      <c r="D654" s="67" t="s">
        <v>2853</v>
      </c>
      <c r="E654" s="66">
        <v>8</v>
      </c>
      <c r="F654" s="66" t="s">
        <v>2838</v>
      </c>
      <c r="G654" s="68">
        <v>45198</v>
      </c>
      <c r="H654" s="68" t="s">
        <v>1086</v>
      </c>
      <c r="I654" s="68" t="s">
        <v>1732</v>
      </c>
      <c r="J654" s="66" t="s">
        <v>2304</v>
      </c>
      <c r="K654" s="66" t="s">
        <v>2737</v>
      </c>
      <c r="L654" s="66" t="s">
        <v>887</v>
      </c>
    </row>
    <row r="655" spans="1:12" ht="30" customHeight="1" x14ac:dyDescent="0.2">
      <c r="A655" s="176" t="str">
        <f t="shared" si="20"/>
        <v>29/09/yyyy8</v>
      </c>
      <c r="B655" s="169">
        <f t="shared" si="21"/>
        <v>8</v>
      </c>
      <c r="C655" s="66" t="s">
        <v>2817</v>
      </c>
      <c r="D655" s="67" t="s">
        <v>2889</v>
      </c>
      <c r="E655" s="66">
        <v>8</v>
      </c>
      <c r="F655" s="66" t="s">
        <v>1442</v>
      </c>
      <c r="G655" s="68">
        <v>45198</v>
      </c>
      <c r="H655" s="68" t="s">
        <v>989</v>
      </c>
      <c r="I655" s="68" t="s">
        <v>31</v>
      </c>
      <c r="J655" s="66">
        <f>IFERROR(VLOOKUP(I655,Jueces!$A$1:$B$11,2,FALSE),"")</f>
        <v>2</v>
      </c>
      <c r="K655" s="66" t="s">
        <v>807</v>
      </c>
      <c r="L655" s="66" t="s">
        <v>887</v>
      </c>
    </row>
    <row r="656" spans="1:12" ht="30" customHeight="1" x14ac:dyDescent="0.2">
      <c r="A656" s="176" t="str">
        <f t="shared" si="20"/>
        <v>29/09/yyyy9</v>
      </c>
      <c r="B656" s="169">
        <f t="shared" si="21"/>
        <v>9</v>
      </c>
      <c r="C656" s="66" t="s">
        <v>2848</v>
      </c>
      <c r="D656" s="67" t="s">
        <v>2849</v>
      </c>
      <c r="E656" s="66">
        <v>8</v>
      </c>
      <c r="F656" s="66" t="s">
        <v>2775</v>
      </c>
      <c r="G656" s="68">
        <v>45198</v>
      </c>
      <c r="H656" s="68" t="s">
        <v>2020</v>
      </c>
      <c r="I656" s="68" t="s">
        <v>33</v>
      </c>
      <c r="J656" s="66">
        <f>IFERROR(VLOOKUP(I656,Jueces!$A$1:$B$11,2,FALSE),"")</f>
        <v>4</v>
      </c>
      <c r="K656" s="66" t="s">
        <v>800</v>
      </c>
      <c r="L656" s="66" t="s">
        <v>2991</v>
      </c>
    </row>
    <row r="657" spans="1:12" ht="30" customHeight="1" x14ac:dyDescent="0.2">
      <c r="A657" s="176" t="str">
        <f t="shared" si="20"/>
        <v>02/10/yyyy1</v>
      </c>
      <c r="B657" s="169">
        <f t="shared" si="21"/>
        <v>1</v>
      </c>
      <c r="C657" s="81" t="s">
        <v>2724</v>
      </c>
      <c r="D657" s="82" t="s">
        <v>2725</v>
      </c>
      <c r="E657" s="81">
        <v>7</v>
      </c>
      <c r="F657" s="81" t="s">
        <v>2775</v>
      </c>
      <c r="G657" s="83">
        <v>45201</v>
      </c>
      <c r="H657" s="83" t="s">
        <v>73</v>
      </c>
      <c r="I657" s="83" t="s">
        <v>35</v>
      </c>
      <c r="J657" s="81">
        <f>IFERROR(VLOOKUP(I657,Jueces!$A$1:$B$11,2,FALSE),"")</f>
        <v>3</v>
      </c>
      <c r="K657" s="81" t="s">
        <v>810</v>
      </c>
      <c r="L657" s="81" t="s">
        <v>2768</v>
      </c>
    </row>
    <row r="658" spans="1:12" ht="30" customHeight="1" x14ac:dyDescent="0.2">
      <c r="A658" s="176" t="str">
        <f t="shared" si="20"/>
        <v>02/10/yyyy2</v>
      </c>
      <c r="B658" s="169">
        <f t="shared" si="21"/>
        <v>2</v>
      </c>
      <c r="C658" s="81" t="s">
        <v>2846</v>
      </c>
      <c r="D658" s="82" t="s">
        <v>2888</v>
      </c>
      <c r="E658" s="81">
        <v>1</v>
      </c>
      <c r="F658" s="81" t="s">
        <v>2773</v>
      </c>
      <c r="G658" s="83">
        <v>45201</v>
      </c>
      <c r="H658" s="83" t="s">
        <v>73</v>
      </c>
      <c r="I658" s="83" t="s">
        <v>33</v>
      </c>
      <c r="J658" s="81">
        <f>IFERROR(VLOOKUP(I658,Jueces!$A$1:$B$11,2,FALSE),"")</f>
        <v>4</v>
      </c>
      <c r="K658" s="81" t="s">
        <v>809</v>
      </c>
      <c r="L658" s="81" t="s">
        <v>1087</v>
      </c>
    </row>
    <row r="659" spans="1:12" ht="30" customHeight="1" x14ac:dyDescent="0.2">
      <c r="A659" s="176" t="str">
        <f t="shared" si="20"/>
        <v>02/10/yyyy3</v>
      </c>
      <c r="B659" s="169">
        <f t="shared" si="21"/>
        <v>3</v>
      </c>
      <c r="C659" s="81" t="s">
        <v>2882</v>
      </c>
      <c r="D659" s="82" t="s">
        <v>2883</v>
      </c>
      <c r="E659" s="81">
        <v>8</v>
      </c>
      <c r="F659" s="81" t="s">
        <v>29</v>
      </c>
      <c r="G659" s="83">
        <v>45201</v>
      </c>
      <c r="H659" s="83" t="s">
        <v>73</v>
      </c>
      <c r="I659" s="83" t="s">
        <v>1221</v>
      </c>
      <c r="J659" s="81" t="s">
        <v>1925</v>
      </c>
      <c r="K659" s="81" t="s">
        <v>807</v>
      </c>
      <c r="L659" s="81" t="s">
        <v>887</v>
      </c>
    </row>
    <row r="660" spans="1:12" ht="30" customHeight="1" x14ac:dyDescent="0.2">
      <c r="A660" s="176" t="str">
        <f t="shared" si="20"/>
        <v>02/10/yyyy4</v>
      </c>
      <c r="B660" s="169">
        <f t="shared" si="21"/>
        <v>4</v>
      </c>
      <c r="C660" s="81" t="s">
        <v>2929</v>
      </c>
      <c r="D660" s="82" t="s">
        <v>3026</v>
      </c>
      <c r="E660" s="81">
        <v>5</v>
      </c>
      <c r="F660" s="81" t="s">
        <v>1443</v>
      </c>
      <c r="G660" s="83">
        <v>45201</v>
      </c>
      <c r="H660" s="83" t="s">
        <v>73</v>
      </c>
      <c r="I660" s="83" t="s">
        <v>78</v>
      </c>
      <c r="J660" s="81">
        <f>IFERROR(VLOOKUP(I660,Jueces!$A$1:$B$11,2,FALSE),"")</f>
        <v>8</v>
      </c>
      <c r="K660" s="81" t="s">
        <v>789</v>
      </c>
      <c r="L660" s="81" t="s">
        <v>767</v>
      </c>
    </row>
    <row r="661" spans="1:12" ht="30" customHeight="1" x14ac:dyDescent="0.2">
      <c r="A661" s="176" t="str">
        <f t="shared" si="20"/>
        <v>02/10/yyyy5</v>
      </c>
      <c r="B661" s="169">
        <f t="shared" si="21"/>
        <v>5</v>
      </c>
      <c r="C661" s="81" t="s">
        <v>2971</v>
      </c>
      <c r="D661" s="82" t="s">
        <v>3106</v>
      </c>
      <c r="E661" s="81">
        <v>7</v>
      </c>
      <c r="F661" s="81" t="s">
        <v>43</v>
      </c>
      <c r="G661" s="83">
        <v>45201</v>
      </c>
      <c r="H661" s="83" t="s">
        <v>73</v>
      </c>
      <c r="I661" s="83" t="s">
        <v>1732</v>
      </c>
      <c r="J661" s="81" t="s">
        <v>1346</v>
      </c>
      <c r="K661" s="81" t="s">
        <v>791</v>
      </c>
      <c r="L661" s="81" t="s">
        <v>725</v>
      </c>
    </row>
    <row r="662" spans="1:12" ht="30" customHeight="1" x14ac:dyDescent="0.2">
      <c r="A662" s="176" t="str">
        <f t="shared" si="20"/>
        <v>02/10/yyyy6</v>
      </c>
      <c r="B662" s="169">
        <f t="shared" si="21"/>
        <v>6</v>
      </c>
      <c r="C662" s="81" t="s">
        <v>2755</v>
      </c>
      <c r="D662" s="82" t="s">
        <v>2756</v>
      </c>
      <c r="E662" s="81">
        <v>8</v>
      </c>
      <c r="F662" s="81" t="s">
        <v>2788</v>
      </c>
      <c r="G662" s="83">
        <v>45201</v>
      </c>
      <c r="H662" s="83" t="s">
        <v>1086</v>
      </c>
      <c r="I662" s="83" t="s">
        <v>33</v>
      </c>
      <c r="J662" s="81">
        <f>IFERROR(VLOOKUP(I662,Jueces!$A$1:$B$11,2,FALSE),"")</f>
        <v>4</v>
      </c>
      <c r="K662" s="81" t="s">
        <v>800</v>
      </c>
      <c r="L662" s="81" t="s">
        <v>887</v>
      </c>
    </row>
    <row r="663" spans="1:12" ht="30" customHeight="1" x14ac:dyDescent="0.2">
      <c r="A663" s="176" t="str">
        <f t="shared" si="20"/>
        <v>02/10/yyyy7</v>
      </c>
      <c r="B663" s="169">
        <f t="shared" si="21"/>
        <v>7</v>
      </c>
      <c r="C663" s="81" t="s">
        <v>2928</v>
      </c>
      <c r="D663" s="82" t="s">
        <v>2880</v>
      </c>
      <c r="E663" s="81">
        <v>1</v>
      </c>
      <c r="F663" s="81" t="s">
        <v>2838</v>
      </c>
      <c r="G663" s="83">
        <v>45201</v>
      </c>
      <c r="H663" s="83" t="s">
        <v>1086</v>
      </c>
      <c r="I663" s="83" t="s">
        <v>35</v>
      </c>
      <c r="J663" s="81">
        <f>IFERROR(VLOOKUP(I663,Jueces!$A$1:$B$11,2,FALSE),"")</f>
        <v>3</v>
      </c>
      <c r="K663" s="81" t="s">
        <v>326</v>
      </c>
      <c r="L663" s="81" t="s">
        <v>711</v>
      </c>
    </row>
    <row r="664" spans="1:12" ht="30" customHeight="1" x14ac:dyDescent="0.2">
      <c r="A664" s="176" t="str">
        <f t="shared" si="20"/>
        <v>02/10/yyyy8</v>
      </c>
      <c r="B664" s="169">
        <f t="shared" si="21"/>
        <v>8</v>
      </c>
      <c r="C664" s="81" t="s">
        <v>2818</v>
      </c>
      <c r="D664" s="82" t="s">
        <v>2819</v>
      </c>
      <c r="E664" s="81">
        <v>8</v>
      </c>
      <c r="F664" s="81" t="s">
        <v>1441</v>
      </c>
      <c r="G664" s="83">
        <v>45201</v>
      </c>
      <c r="H664" s="83" t="s">
        <v>1086</v>
      </c>
      <c r="I664" s="83" t="s">
        <v>2951</v>
      </c>
      <c r="J664" s="81" t="s">
        <v>2343</v>
      </c>
      <c r="K664" s="81" t="s">
        <v>813</v>
      </c>
      <c r="L664" s="81" t="s">
        <v>1087</v>
      </c>
    </row>
    <row r="665" spans="1:12" ht="30" customHeight="1" x14ac:dyDescent="0.2">
      <c r="A665" s="176" t="str">
        <f t="shared" si="20"/>
        <v>03/10/yyyy1</v>
      </c>
      <c r="B665" s="169">
        <f t="shared" si="21"/>
        <v>1</v>
      </c>
      <c r="C665" s="81" t="s">
        <v>2749</v>
      </c>
      <c r="D665" s="82" t="s">
        <v>2750</v>
      </c>
      <c r="E665" s="81">
        <v>8</v>
      </c>
      <c r="F665" s="81" t="s">
        <v>2838</v>
      </c>
      <c r="G665" s="83">
        <v>45202</v>
      </c>
      <c r="H665" s="83" t="s">
        <v>73</v>
      </c>
      <c r="I665" s="83" t="s">
        <v>1221</v>
      </c>
      <c r="J665" s="81">
        <f>IFERROR(VLOOKUP(I665,Jueces!$A$1:$B$11,2,FALSE),"")</f>
        <v>7</v>
      </c>
      <c r="K665" s="81" t="s">
        <v>813</v>
      </c>
      <c r="L665" s="81" t="s">
        <v>767</v>
      </c>
    </row>
    <row r="666" spans="1:12" ht="30" customHeight="1" x14ac:dyDescent="0.2">
      <c r="A666" s="176" t="str">
        <f t="shared" si="20"/>
        <v>03/10/yyyy2</v>
      </c>
      <c r="B666" s="169">
        <f t="shared" si="21"/>
        <v>2</v>
      </c>
      <c r="C666" s="81" t="s">
        <v>2771</v>
      </c>
      <c r="D666" s="82" t="s">
        <v>2772</v>
      </c>
      <c r="E666" s="81">
        <v>8</v>
      </c>
      <c r="F666" s="81" t="s">
        <v>29</v>
      </c>
      <c r="G666" s="83">
        <v>45202</v>
      </c>
      <c r="H666" s="83" t="s">
        <v>73</v>
      </c>
      <c r="I666" s="83" t="s">
        <v>78</v>
      </c>
      <c r="J666" s="81">
        <f>IFERROR(VLOOKUP(I666,Jueces!$A$1:$B$11,2,FALSE),"")</f>
        <v>8</v>
      </c>
      <c r="K666" s="81" t="s">
        <v>244</v>
      </c>
      <c r="L666" s="81" t="s">
        <v>887</v>
      </c>
    </row>
    <row r="667" spans="1:12" ht="30" customHeight="1" x14ac:dyDescent="0.2">
      <c r="A667" s="176" t="str">
        <f t="shared" si="20"/>
        <v>03/10/yyyy3</v>
      </c>
      <c r="B667" s="169">
        <f t="shared" si="21"/>
        <v>3</v>
      </c>
      <c r="C667" s="81" t="s">
        <v>2901</v>
      </c>
      <c r="D667" s="82" t="s">
        <v>2902</v>
      </c>
      <c r="E667" s="81">
        <v>1</v>
      </c>
      <c r="F667" s="81" t="s">
        <v>2774</v>
      </c>
      <c r="G667" s="83">
        <v>45202</v>
      </c>
      <c r="H667" s="83" t="s">
        <v>73</v>
      </c>
      <c r="I667" s="83" t="s">
        <v>33</v>
      </c>
      <c r="J667" s="81">
        <f>IFERROR(VLOOKUP(I667,Jueces!$A$1:$B$11,2,FALSE),"")</f>
        <v>4</v>
      </c>
      <c r="K667" s="81" t="s">
        <v>803</v>
      </c>
      <c r="L667" s="81" t="s">
        <v>1386</v>
      </c>
    </row>
    <row r="668" spans="1:12" ht="30" customHeight="1" x14ac:dyDescent="0.2">
      <c r="A668" s="176" t="str">
        <f t="shared" si="20"/>
        <v>03/10/yyyy4</v>
      </c>
      <c r="B668" s="169">
        <f t="shared" si="21"/>
        <v>4</v>
      </c>
      <c r="C668" s="81" t="s">
        <v>2937</v>
      </c>
      <c r="D668" s="82" t="s">
        <v>2977</v>
      </c>
      <c r="E668" s="81">
        <v>8</v>
      </c>
      <c r="F668" s="81" t="s">
        <v>283</v>
      </c>
      <c r="G668" s="83">
        <v>45202</v>
      </c>
      <c r="H668" s="83" t="s">
        <v>73</v>
      </c>
      <c r="I668" s="83" t="s">
        <v>1220</v>
      </c>
      <c r="J668" s="81">
        <f>IFERROR(VLOOKUP(I668,Jueces!$A$1:$B$11,2,FALSE),"")</f>
        <v>1</v>
      </c>
      <c r="K668" s="81" t="s">
        <v>798</v>
      </c>
      <c r="L668" s="81" t="s">
        <v>1087</v>
      </c>
    </row>
    <row r="669" spans="1:12" ht="30" customHeight="1" x14ac:dyDescent="0.2">
      <c r="A669" s="176" t="str">
        <f t="shared" si="20"/>
        <v>03/10/yyyy5</v>
      </c>
      <c r="B669" s="169">
        <f t="shared" si="21"/>
        <v>5</v>
      </c>
      <c r="C669" s="81" t="s">
        <v>2840</v>
      </c>
      <c r="D669" s="82" t="s">
        <v>3009</v>
      </c>
      <c r="E669" s="81">
        <v>1</v>
      </c>
      <c r="F669" s="81" t="s">
        <v>1443</v>
      </c>
      <c r="G669" s="83">
        <v>45202</v>
      </c>
      <c r="H669" s="83" t="s">
        <v>73</v>
      </c>
      <c r="I669" s="83" t="s">
        <v>2951</v>
      </c>
      <c r="J669" s="81" t="s">
        <v>1925</v>
      </c>
      <c r="K669" s="81" t="s">
        <v>807</v>
      </c>
      <c r="L669" s="81"/>
    </row>
    <row r="670" spans="1:12" ht="30" customHeight="1" x14ac:dyDescent="0.2">
      <c r="A670" s="176" t="str">
        <f t="shared" si="20"/>
        <v>03/10/yyyy6</v>
      </c>
      <c r="B670" s="169">
        <f t="shared" si="21"/>
        <v>6</v>
      </c>
      <c r="C670" s="81" t="s">
        <v>2802</v>
      </c>
      <c r="D670" s="82" t="s">
        <v>2803</v>
      </c>
      <c r="E670" s="81">
        <v>8</v>
      </c>
      <c r="F670" s="81" t="s">
        <v>2773</v>
      </c>
      <c r="G670" s="83">
        <v>45202</v>
      </c>
      <c r="H670" s="83" t="s">
        <v>1086</v>
      </c>
      <c r="I670" s="83" t="s">
        <v>33</v>
      </c>
      <c r="J670" s="81">
        <f>IFERROR(VLOOKUP(I670,Jueces!$A$1:$B$11,2,FALSE),"")</f>
        <v>4</v>
      </c>
      <c r="K670" s="81" t="s">
        <v>789</v>
      </c>
      <c r="L670" s="81" t="s">
        <v>1087</v>
      </c>
    </row>
    <row r="671" spans="1:12" ht="30" customHeight="1" x14ac:dyDescent="0.2">
      <c r="A671" s="176" t="str">
        <f t="shared" si="20"/>
        <v>03/10/yyyy7</v>
      </c>
      <c r="B671" s="169">
        <f t="shared" si="21"/>
        <v>7</v>
      </c>
      <c r="C671" s="81" t="s">
        <v>2839</v>
      </c>
      <c r="D671" s="82" t="s">
        <v>2925</v>
      </c>
      <c r="E671" s="81">
        <v>1</v>
      </c>
      <c r="F671" s="81" t="s">
        <v>2788</v>
      </c>
      <c r="G671" s="83">
        <v>45202</v>
      </c>
      <c r="H671" s="83" t="s">
        <v>1086</v>
      </c>
      <c r="I671" s="83" t="s">
        <v>35</v>
      </c>
      <c r="J671" s="81">
        <f>IFERROR(VLOOKUP(I671,Jueces!$A$1:$B$11,2,FALSE),"")</f>
        <v>3</v>
      </c>
      <c r="K671" s="81" t="s">
        <v>813</v>
      </c>
      <c r="L671" s="81" t="s">
        <v>711</v>
      </c>
    </row>
    <row r="672" spans="1:12" ht="30" customHeight="1" x14ac:dyDescent="0.2">
      <c r="A672" s="176" t="str">
        <f t="shared" si="20"/>
        <v>03/10/yyyy8</v>
      </c>
      <c r="B672" s="169">
        <f t="shared" si="21"/>
        <v>8</v>
      </c>
      <c r="C672" s="81" t="s">
        <v>2721</v>
      </c>
      <c r="D672" s="82" t="s">
        <v>2816</v>
      </c>
      <c r="E672" s="81">
        <v>8</v>
      </c>
      <c r="F672" s="81" t="s">
        <v>568</v>
      </c>
      <c r="G672" s="83">
        <v>45202</v>
      </c>
      <c r="H672" s="83" t="s">
        <v>1086</v>
      </c>
      <c r="I672" s="83" t="s">
        <v>78</v>
      </c>
      <c r="J672" s="81">
        <f>IFERROR(VLOOKUP(I672,Jueces!$A$1:$B$11,2,FALSE),"")</f>
        <v>8</v>
      </c>
      <c r="K672" s="81" t="s">
        <v>791</v>
      </c>
      <c r="L672" s="81" t="s">
        <v>887</v>
      </c>
    </row>
    <row r="673" spans="1:12" ht="30" customHeight="1" x14ac:dyDescent="0.2">
      <c r="A673" s="176" t="str">
        <f t="shared" si="20"/>
        <v>03/10/yyyy9</v>
      </c>
      <c r="B673" s="169">
        <f t="shared" si="21"/>
        <v>9</v>
      </c>
      <c r="C673" s="81" t="s">
        <v>2916</v>
      </c>
      <c r="D673" s="82" t="s">
        <v>2918</v>
      </c>
      <c r="E673" s="81">
        <v>8</v>
      </c>
      <c r="F673" s="81" t="s">
        <v>1441</v>
      </c>
      <c r="G673" s="83">
        <v>45202</v>
      </c>
      <c r="H673" s="83" t="s">
        <v>989</v>
      </c>
      <c r="I673" s="83" t="s">
        <v>1221</v>
      </c>
      <c r="J673" s="81" t="s">
        <v>1925</v>
      </c>
      <c r="K673" s="81" t="s">
        <v>811</v>
      </c>
      <c r="L673" s="81" t="s">
        <v>1087</v>
      </c>
    </row>
    <row r="674" spans="1:12" ht="30" customHeight="1" x14ac:dyDescent="0.2">
      <c r="A674" s="176" t="str">
        <f t="shared" si="20"/>
        <v>04/10/yyyy1</v>
      </c>
      <c r="B674" s="169">
        <f t="shared" si="21"/>
        <v>1</v>
      </c>
      <c r="C674" s="81" t="s">
        <v>2881</v>
      </c>
      <c r="D674" s="82" t="s">
        <v>2924</v>
      </c>
      <c r="E674" s="81">
        <v>1</v>
      </c>
      <c r="F674" s="81" t="s">
        <v>568</v>
      </c>
      <c r="G674" s="83">
        <v>45203</v>
      </c>
      <c r="H674" s="83" t="s">
        <v>73</v>
      </c>
      <c r="I674" s="83" t="s">
        <v>1221</v>
      </c>
      <c r="J674" s="81" t="s">
        <v>1925</v>
      </c>
      <c r="K674" s="81" t="s">
        <v>813</v>
      </c>
      <c r="L674" s="81" t="s">
        <v>711</v>
      </c>
    </row>
    <row r="675" spans="1:12" ht="30" customHeight="1" x14ac:dyDescent="0.2">
      <c r="A675" s="176" t="str">
        <f t="shared" si="20"/>
        <v>04/10/yyyy2</v>
      </c>
      <c r="B675" s="169">
        <f t="shared" si="21"/>
        <v>2</v>
      </c>
      <c r="C675" s="81" t="s">
        <v>2915</v>
      </c>
      <c r="D675" s="82" t="s">
        <v>2923</v>
      </c>
      <c r="E675" s="81">
        <v>6</v>
      </c>
      <c r="F675" s="81" t="s">
        <v>43</v>
      </c>
      <c r="G675" s="83">
        <v>45203</v>
      </c>
      <c r="H675" s="83" t="s">
        <v>73</v>
      </c>
      <c r="I675" s="83" t="s">
        <v>78</v>
      </c>
      <c r="J675" s="81">
        <f>IFERROR(VLOOKUP(I675,Jueces!$A$1:$B$11,2,FALSE),"")</f>
        <v>8</v>
      </c>
      <c r="K675" s="81" t="s">
        <v>789</v>
      </c>
      <c r="L675" s="81" t="s">
        <v>887</v>
      </c>
    </row>
    <row r="676" spans="1:12" ht="30" customHeight="1" x14ac:dyDescent="0.2">
      <c r="A676" s="176" t="str">
        <f t="shared" si="20"/>
        <v>04/10/yyyy3</v>
      </c>
      <c r="B676" s="169">
        <f t="shared" si="21"/>
        <v>3</v>
      </c>
      <c r="C676" s="81" t="s">
        <v>2974</v>
      </c>
      <c r="D676" s="82" t="s">
        <v>2996</v>
      </c>
      <c r="E676" s="81">
        <v>8</v>
      </c>
      <c r="F676" s="81" t="s">
        <v>2788</v>
      </c>
      <c r="G676" s="83">
        <v>45203</v>
      </c>
      <c r="H676" s="83" t="s">
        <v>73</v>
      </c>
      <c r="I676" s="83" t="s">
        <v>35</v>
      </c>
      <c r="J676" s="81">
        <f>IFERROR(VLOOKUP(I676,Jueces!$A$1:$B$11,2,FALSE),"")</f>
        <v>3</v>
      </c>
      <c r="K676" s="81" t="s">
        <v>796</v>
      </c>
      <c r="L676" s="81" t="s">
        <v>1087</v>
      </c>
    </row>
    <row r="677" spans="1:12" ht="30" customHeight="1" x14ac:dyDescent="0.2">
      <c r="A677" s="176" t="str">
        <f t="shared" si="20"/>
        <v>04/10/yyyy4</v>
      </c>
      <c r="B677" s="169">
        <f t="shared" si="21"/>
        <v>4</v>
      </c>
      <c r="C677" s="81" t="s">
        <v>2885</v>
      </c>
      <c r="D677" s="82" t="s">
        <v>3007</v>
      </c>
      <c r="E677" s="81">
        <v>8</v>
      </c>
      <c r="F677" s="81" t="s">
        <v>283</v>
      </c>
      <c r="G677" s="83">
        <v>45203</v>
      </c>
      <c r="H677" s="83" t="s">
        <v>73</v>
      </c>
      <c r="I677" s="83" t="s">
        <v>2954</v>
      </c>
      <c r="J677" s="81" t="s">
        <v>2304</v>
      </c>
      <c r="K677" s="81" t="s">
        <v>791</v>
      </c>
      <c r="L677" s="81" t="s">
        <v>3008</v>
      </c>
    </row>
    <row r="678" spans="1:12" ht="30" customHeight="1" x14ac:dyDescent="0.2">
      <c r="A678" s="176" t="str">
        <f t="shared" si="20"/>
        <v>04/10/yyyy5</v>
      </c>
      <c r="B678" s="169">
        <f t="shared" si="21"/>
        <v>5</v>
      </c>
      <c r="C678" s="81" t="s">
        <v>2875</v>
      </c>
      <c r="D678" s="82" t="s">
        <v>2876</v>
      </c>
      <c r="E678" s="81">
        <v>8</v>
      </c>
      <c r="F678" s="81" t="s">
        <v>2838</v>
      </c>
      <c r="G678" s="83">
        <v>45203</v>
      </c>
      <c r="H678" s="83" t="s">
        <v>1086</v>
      </c>
      <c r="I678" s="83" t="s">
        <v>33</v>
      </c>
      <c r="J678" s="81">
        <f>IFERROR(VLOOKUP(I678,Jueces!$A$1:$B$11,2,FALSE),"")</f>
        <v>4</v>
      </c>
      <c r="K678" s="81" t="s">
        <v>807</v>
      </c>
      <c r="L678" s="81" t="s">
        <v>887</v>
      </c>
    </row>
    <row r="679" spans="1:12" ht="30" customHeight="1" x14ac:dyDescent="0.2">
      <c r="A679" s="176" t="str">
        <f t="shared" si="20"/>
        <v>04/10/yyyy6</v>
      </c>
      <c r="B679" s="169">
        <f t="shared" si="21"/>
        <v>6</v>
      </c>
      <c r="C679" s="81" t="s">
        <v>2942</v>
      </c>
      <c r="D679" s="82" t="s">
        <v>2943</v>
      </c>
      <c r="E679" s="81">
        <v>8</v>
      </c>
      <c r="F679" s="81" t="s">
        <v>2775</v>
      </c>
      <c r="G679" s="83">
        <v>45203</v>
      </c>
      <c r="H679" s="83" t="s">
        <v>1086</v>
      </c>
      <c r="I679" s="83" t="s">
        <v>2951</v>
      </c>
      <c r="J679" s="81" t="s">
        <v>1925</v>
      </c>
      <c r="K679" s="81" t="s">
        <v>2090</v>
      </c>
      <c r="L679" s="81" t="s">
        <v>1087</v>
      </c>
    </row>
    <row r="680" spans="1:12" ht="30" customHeight="1" x14ac:dyDescent="0.2">
      <c r="A680" s="176" t="str">
        <f t="shared" si="20"/>
        <v>04/10/yyyy7</v>
      </c>
      <c r="B680" s="169">
        <f t="shared" si="21"/>
        <v>7</v>
      </c>
      <c r="C680" s="81" t="s">
        <v>2938</v>
      </c>
      <c r="D680" s="82" t="s">
        <v>2939</v>
      </c>
      <c r="E680" s="81">
        <v>1</v>
      </c>
      <c r="F680" s="81" t="s">
        <v>29</v>
      </c>
      <c r="G680" s="83">
        <v>45203</v>
      </c>
      <c r="H680" s="83" t="s">
        <v>1086</v>
      </c>
      <c r="I680" s="83" t="s">
        <v>35</v>
      </c>
      <c r="J680" s="81">
        <f>IFERROR(VLOOKUP(I680,Jueces!$A$1:$B$11,2,FALSE),"")</f>
        <v>3</v>
      </c>
      <c r="K680" s="81" t="s">
        <v>813</v>
      </c>
      <c r="L680" s="81" t="s">
        <v>711</v>
      </c>
    </row>
    <row r="681" spans="1:12" ht="30" customHeight="1" x14ac:dyDescent="0.2">
      <c r="A681" s="176" t="str">
        <f t="shared" si="20"/>
        <v>04/10/yyyy8</v>
      </c>
      <c r="B681" s="169">
        <f t="shared" si="21"/>
        <v>8</v>
      </c>
      <c r="C681" s="81" t="s">
        <v>2806</v>
      </c>
      <c r="D681" s="82" t="s">
        <v>2970</v>
      </c>
      <c r="E681" s="81">
        <v>8</v>
      </c>
      <c r="F681" s="81" t="s">
        <v>1441</v>
      </c>
      <c r="G681" s="83">
        <v>45203</v>
      </c>
      <c r="H681" s="83" t="s">
        <v>2975</v>
      </c>
      <c r="I681" s="83" t="s">
        <v>1220</v>
      </c>
      <c r="J681" s="81">
        <f>IFERROR(VLOOKUP(I681,Jueces!$A$1:$B$11,2,FALSE),"")</f>
        <v>1</v>
      </c>
      <c r="K681" s="81" t="s">
        <v>1070</v>
      </c>
      <c r="L681" s="81" t="s">
        <v>1087</v>
      </c>
    </row>
    <row r="682" spans="1:12" ht="30" customHeight="1" x14ac:dyDescent="0.2">
      <c r="A682" s="176" t="str">
        <f t="shared" si="20"/>
        <v>05/10/yyyy1</v>
      </c>
      <c r="B682" s="169">
        <f t="shared" si="21"/>
        <v>1</v>
      </c>
      <c r="C682" s="81" t="s">
        <v>3000</v>
      </c>
      <c r="D682" s="82" t="s">
        <v>3001</v>
      </c>
      <c r="E682" s="81">
        <v>8</v>
      </c>
      <c r="F682" s="81" t="s">
        <v>2774</v>
      </c>
      <c r="G682" s="83">
        <v>45204</v>
      </c>
      <c r="H682" s="83" t="s">
        <v>360</v>
      </c>
      <c r="I682" s="83" t="s">
        <v>2954</v>
      </c>
      <c r="J682" s="81" t="s">
        <v>1925</v>
      </c>
      <c r="K682" s="81" t="s">
        <v>807</v>
      </c>
      <c r="L682" s="81" t="s">
        <v>3034</v>
      </c>
    </row>
    <row r="683" spans="1:12" ht="30" customHeight="1" x14ac:dyDescent="0.2">
      <c r="A683" s="176" t="str">
        <f t="shared" si="20"/>
        <v>05/10/yyyy2</v>
      </c>
      <c r="B683" s="169">
        <f t="shared" si="21"/>
        <v>2</v>
      </c>
      <c r="C683" s="211" t="s">
        <v>2558</v>
      </c>
      <c r="D683" s="212" t="s">
        <v>2829</v>
      </c>
      <c r="E683" s="211">
        <v>6</v>
      </c>
      <c r="F683" s="211" t="s">
        <v>1443</v>
      </c>
      <c r="G683" s="317">
        <v>45204</v>
      </c>
      <c r="H683" s="317" t="s">
        <v>73</v>
      </c>
      <c r="I683" s="317" t="s">
        <v>33</v>
      </c>
      <c r="J683" s="211">
        <f>IFERROR(VLOOKUP(I683,Jueces!$A$1:$B$11,2,FALSE),"")</f>
        <v>4</v>
      </c>
      <c r="K683" s="211" t="s">
        <v>796</v>
      </c>
      <c r="L683" s="211" t="s">
        <v>725</v>
      </c>
    </row>
    <row r="684" spans="1:12" ht="30" customHeight="1" x14ac:dyDescent="0.2">
      <c r="A684" s="176" t="str">
        <f t="shared" si="20"/>
        <v>05/10/yyyy3</v>
      </c>
      <c r="B684" s="169">
        <f t="shared" si="21"/>
        <v>3</v>
      </c>
      <c r="C684" s="211" t="s">
        <v>2910</v>
      </c>
      <c r="D684" s="212" t="s">
        <v>2911</v>
      </c>
      <c r="E684" s="211">
        <v>8</v>
      </c>
      <c r="F684" s="211" t="s">
        <v>2773</v>
      </c>
      <c r="G684" s="317">
        <v>45204</v>
      </c>
      <c r="H684" s="317" t="s">
        <v>73</v>
      </c>
      <c r="I684" s="317" t="s">
        <v>2954</v>
      </c>
      <c r="J684" s="211" t="s">
        <v>1925</v>
      </c>
      <c r="K684" s="211" t="s">
        <v>793</v>
      </c>
      <c r="L684" s="211" t="s">
        <v>2121</v>
      </c>
    </row>
    <row r="685" spans="1:12" ht="30" customHeight="1" x14ac:dyDescent="0.2">
      <c r="A685" s="176" t="str">
        <f t="shared" si="20"/>
        <v>05/10/yyyy4</v>
      </c>
      <c r="B685" s="169">
        <f t="shared" si="21"/>
        <v>4</v>
      </c>
      <c r="C685" s="81" t="s">
        <v>2873</v>
      </c>
      <c r="D685" s="82" t="s">
        <v>2874</v>
      </c>
      <c r="E685" s="81">
        <v>7</v>
      </c>
      <c r="F685" s="81" t="s">
        <v>283</v>
      </c>
      <c r="G685" s="83">
        <v>45204</v>
      </c>
      <c r="H685" s="83" t="s">
        <v>73</v>
      </c>
      <c r="I685" s="83" t="s">
        <v>78</v>
      </c>
      <c r="J685" s="81">
        <f>IFERROR(VLOOKUP(I685,Jueces!$A$1:$B$11,2,FALSE),"")</f>
        <v>8</v>
      </c>
      <c r="K685" s="81" t="s">
        <v>814</v>
      </c>
      <c r="L685" s="81" t="s">
        <v>701</v>
      </c>
    </row>
    <row r="686" spans="1:12" ht="30" customHeight="1" x14ac:dyDescent="0.2">
      <c r="A686" s="176" t="str">
        <f t="shared" si="20"/>
        <v>05/10/yyyy5</v>
      </c>
      <c r="B686" s="169">
        <f t="shared" si="21"/>
        <v>5</v>
      </c>
      <c r="C686" s="81" t="s">
        <v>2944</v>
      </c>
      <c r="D686" s="82" t="s">
        <v>3002</v>
      </c>
      <c r="E686" s="81">
        <v>1</v>
      </c>
      <c r="F686" s="81" t="s">
        <v>29</v>
      </c>
      <c r="G686" s="83">
        <v>45204</v>
      </c>
      <c r="H686" s="83" t="s">
        <v>73</v>
      </c>
      <c r="I686" s="83" t="s">
        <v>1221</v>
      </c>
      <c r="J686" s="81" t="s">
        <v>1346</v>
      </c>
      <c r="K686" s="81" t="s">
        <v>807</v>
      </c>
      <c r="L686" s="81" t="s">
        <v>1087</v>
      </c>
    </row>
    <row r="687" spans="1:12" ht="30" customHeight="1" x14ac:dyDescent="0.2">
      <c r="A687" s="176" t="str">
        <f t="shared" si="20"/>
        <v>05/10/yyyy6</v>
      </c>
      <c r="B687" s="169">
        <f t="shared" si="21"/>
        <v>6</v>
      </c>
      <c r="C687" s="81" t="s">
        <v>2782</v>
      </c>
      <c r="D687" s="82" t="s">
        <v>2796</v>
      </c>
      <c r="E687" s="81">
        <v>7</v>
      </c>
      <c r="F687" s="81" t="s">
        <v>568</v>
      </c>
      <c r="G687" s="83">
        <v>45204</v>
      </c>
      <c r="H687" s="83" t="s">
        <v>73</v>
      </c>
      <c r="I687" s="83" t="s">
        <v>35</v>
      </c>
      <c r="J687" s="81">
        <f>IFERROR(VLOOKUP(I687,Jueces!$A$1:$B$11,2,FALSE),"")</f>
        <v>3</v>
      </c>
      <c r="K687" s="81" t="s">
        <v>581</v>
      </c>
      <c r="L687" s="81" t="s">
        <v>783</v>
      </c>
    </row>
    <row r="688" spans="1:12" ht="30" customHeight="1" x14ac:dyDescent="0.2">
      <c r="A688" s="176" t="str">
        <f t="shared" si="20"/>
        <v>05/10/yyyy7</v>
      </c>
      <c r="B688" s="169">
        <f t="shared" si="21"/>
        <v>7</v>
      </c>
      <c r="C688" s="81" t="s">
        <v>2912</v>
      </c>
      <c r="D688" s="82" t="s">
        <v>2913</v>
      </c>
      <c r="E688" s="81">
        <v>8</v>
      </c>
      <c r="F688" s="81" t="s">
        <v>1441</v>
      </c>
      <c r="G688" s="83">
        <v>45204</v>
      </c>
      <c r="H688" s="83" t="s">
        <v>749</v>
      </c>
      <c r="I688" s="83" t="s">
        <v>1225</v>
      </c>
      <c r="J688" s="81">
        <f>IFERROR(VLOOKUP(I688,Jueces!$A$1:$B$11,2,FALSE),"")</f>
        <v>6</v>
      </c>
      <c r="K688" s="81" t="s">
        <v>801</v>
      </c>
      <c r="L688" s="81" t="s">
        <v>887</v>
      </c>
    </row>
    <row r="689" spans="1:12" ht="30" customHeight="1" x14ac:dyDescent="0.2">
      <c r="A689" s="176" t="str">
        <f t="shared" si="20"/>
        <v>05/10/yyyy8</v>
      </c>
      <c r="B689" s="169">
        <f t="shared" si="21"/>
        <v>8</v>
      </c>
      <c r="C689" s="81" t="s">
        <v>2884</v>
      </c>
      <c r="D689" s="82" t="s">
        <v>2976</v>
      </c>
      <c r="E689" s="81">
        <v>8</v>
      </c>
      <c r="F689" s="81" t="s">
        <v>2775</v>
      </c>
      <c r="G689" s="83">
        <v>45204</v>
      </c>
      <c r="H689" s="83" t="s">
        <v>1086</v>
      </c>
      <c r="I689" s="83" t="s">
        <v>33</v>
      </c>
      <c r="J689" s="81">
        <f>IFERROR(VLOOKUP(I689,Jueces!$A$1:$B$11,2,FALSE),"")</f>
        <v>4</v>
      </c>
      <c r="K689" s="81" t="s">
        <v>807</v>
      </c>
      <c r="L689" s="81" t="s">
        <v>887</v>
      </c>
    </row>
    <row r="690" spans="1:12" ht="30" customHeight="1" x14ac:dyDescent="0.2">
      <c r="A690" s="176" t="str">
        <f t="shared" si="20"/>
        <v>05/10/yyyy9</v>
      </c>
      <c r="B690" s="169">
        <f t="shared" si="21"/>
        <v>9</v>
      </c>
      <c r="C690" s="81" t="s">
        <v>2877</v>
      </c>
      <c r="D690" s="82" t="s">
        <v>2878</v>
      </c>
      <c r="E690" s="81">
        <v>8</v>
      </c>
      <c r="F690" s="81" t="s">
        <v>43</v>
      </c>
      <c r="G690" s="83">
        <v>45204</v>
      </c>
      <c r="H690" s="83" t="s">
        <v>1086</v>
      </c>
      <c r="I690" s="83" t="s">
        <v>1220</v>
      </c>
      <c r="J690" s="81">
        <f>IFERROR(VLOOKUP(I690,Jueces!$A$1:$B$11,2,FALSE),"")</f>
        <v>1</v>
      </c>
      <c r="K690" s="81" t="s">
        <v>813</v>
      </c>
      <c r="L690" s="81"/>
    </row>
    <row r="691" spans="1:12" ht="30" customHeight="1" x14ac:dyDescent="0.2">
      <c r="A691" s="176" t="str">
        <f t="shared" si="20"/>
        <v>06/10/yyyy1</v>
      </c>
      <c r="B691" s="169">
        <f t="shared" si="21"/>
        <v>1</v>
      </c>
      <c r="C691" s="81" t="s">
        <v>2841</v>
      </c>
      <c r="D691" s="82" t="s">
        <v>2842</v>
      </c>
      <c r="E691" s="81">
        <v>8</v>
      </c>
      <c r="F691" s="81" t="s">
        <v>568</v>
      </c>
      <c r="G691" s="83">
        <v>45205</v>
      </c>
      <c r="H691" s="83" t="s">
        <v>73</v>
      </c>
      <c r="I691" s="83" t="s">
        <v>33</v>
      </c>
      <c r="J691" s="81">
        <f>IFERROR(VLOOKUP(I691,Jueces!$A$1:$B$11,2,FALSE),"")</f>
        <v>4</v>
      </c>
      <c r="K691" s="81" t="s">
        <v>802</v>
      </c>
      <c r="L691" s="81" t="s">
        <v>887</v>
      </c>
    </row>
    <row r="692" spans="1:12" ht="30" customHeight="1" x14ac:dyDescent="0.2">
      <c r="A692" s="176" t="str">
        <f t="shared" si="20"/>
        <v>06/10/yyyy2</v>
      </c>
      <c r="B692" s="169">
        <f t="shared" si="21"/>
        <v>2</v>
      </c>
      <c r="C692" s="81" t="s">
        <v>2940</v>
      </c>
      <c r="D692" s="82" t="s">
        <v>2941</v>
      </c>
      <c r="E692" s="81">
        <v>3</v>
      </c>
      <c r="F692" s="81" t="s">
        <v>1442</v>
      </c>
      <c r="G692" s="83">
        <v>45205</v>
      </c>
      <c r="H692" s="83" t="s">
        <v>73</v>
      </c>
      <c r="I692" s="83" t="s">
        <v>1732</v>
      </c>
      <c r="J692" s="81" t="s">
        <v>1326</v>
      </c>
      <c r="K692" s="81" t="s">
        <v>192</v>
      </c>
      <c r="L692" s="81" t="s">
        <v>2967</v>
      </c>
    </row>
    <row r="693" spans="1:12" ht="30" customHeight="1" x14ac:dyDescent="0.2">
      <c r="A693" s="176" t="str">
        <f t="shared" si="20"/>
        <v>06/10/yyyy3</v>
      </c>
      <c r="B693" s="169">
        <f t="shared" si="21"/>
        <v>3</v>
      </c>
      <c r="C693" s="81" t="s">
        <v>3039</v>
      </c>
      <c r="D693" s="82" t="s">
        <v>3040</v>
      </c>
      <c r="E693" s="81">
        <v>8</v>
      </c>
      <c r="F693" s="81" t="s">
        <v>2775</v>
      </c>
      <c r="G693" s="83">
        <v>45205</v>
      </c>
      <c r="H693" s="83" t="s">
        <v>73</v>
      </c>
      <c r="I693" s="83" t="s">
        <v>1220</v>
      </c>
      <c r="J693" s="81">
        <f>IFERROR(VLOOKUP(I693,Jueces!$A$1:$B$11,2,FALSE),"")</f>
        <v>1</v>
      </c>
      <c r="K693" s="81" t="s">
        <v>796</v>
      </c>
      <c r="L693" s="81" t="s">
        <v>1087</v>
      </c>
    </row>
    <row r="694" spans="1:12" ht="30" customHeight="1" x14ac:dyDescent="0.2">
      <c r="A694" s="176" t="str">
        <f t="shared" si="20"/>
        <v>06/10/yyyy4</v>
      </c>
      <c r="B694" s="169">
        <f t="shared" si="21"/>
        <v>4</v>
      </c>
      <c r="C694" s="81" t="s">
        <v>2998</v>
      </c>
      <c r="D694" s="82" t="s">
        <v>3030</v>
      </c>
      <c r="E694" s="81">
        <v>1</v>
      </c>
      <c r="F694" s="81" t="s">
        <v>2838</v>
      </c>
      <c r="G694" s="83">
        <v>45205</v>
      </c>
      <c r="H694" s="83" t="s">
        <v>73</v>
      </c>
      <c r="I694" s="83" t="s">
        <v>2954</v>
      </c>
      <c r="J694" s="81" t="s">
        <v>1925</v>
      </c>
      <c r="K694" s="81" t="s">
        <v>812</v>
      </c>
      <c r="L694" s="81" t="s">
        <v>711</v>
      </c>
    </row>
    <row r="695" spans="1:12" ht="30" customHeight="1" x14ac:dyDescent="0.2">
      <c r="A695" s="176" t="str">
        <f t="shared" si="20"/>
        <v>06/10/yyyy5</v>
      </c>
      <c r="B695" s="169">
        <f t="shared" si="21"/>
        <v>5</v>
      </c>
      <c r="C695" s="81" t="s">
        <v>3003</v>
      </c>
      <c r="D695" s="82" t="s">
        <v>3110</v>
      </c>
      <c r="E695" s="81">
        <v>8</v>
      </c>
      <c r="F695" s="81" t="s">
        <v>283</v>
      </c>
      <c r="G695" s="83">
        <v>45205</v>
      </c>
      <c r="H695" s="83" t="s">
        <v>749</v>
      </c>
      <c r="I695" s="83" t="s">
        <v>1225</v>
      </c>
      <c r="J695" s="81">
        <f>IFERROR(VLOOKUP(I695,Jueces!$A$1:$B$11,2,FALSE),"")</f>
        <v>6</v>
      </c>
      <c r="K695" s="81" t="s">
        <v>790</v>
      </c>
      <c r="L695" s="81" t="s">
        <v>767</v>
      </c>
    </row>
    <row r="696" spans="1:12" ht="30" customHeight="1" x14ac:dyDescent="0.2">
      <c r="A696" s="176" t="str">
        <f t="shared" si="20"/>
        <v>06/10/yyyy6</v>
      </c>
      <c r="B696" s="169">
        <f t="shared" si="21"/>
        <v>6</v>
      </c>
      <c r="C696" s="81" t="s">
        <v>2921</v>
      </c>
      <c r="D696" s="82" t="s">
        <v>2968</v>
      </c>
      <c r="E696" s="81">
        <v>8</v>
      </c>
      <c r="F696" s="81" t="s">
        <v>2788</v>
      </c>
      <c r="G696" s="83">
        <v>45205</v>
      </c>
      <c r="H696" s="83" t="s">
        <v>1086</v>
      </c>
      <c r="I696" s="83" t="s">
        <v>1221</v>
      </c>
      <c r="J696" s="81" t="s">
        <v>1925</v>
      </c>
      <c r="K696" s="81" t="s">
        <v>807</v>
      </c>
      <c r="L696" s="81" t="s">
        <v>887</v>
      </c>
    </row>
    <row r="697" spans="1:12" ht="30" customHeight="1" x14ac:dyDescent="0.2">
      <c r="A697" s="176" t="str">
        <f t="shared" si="20"/>
        <v>06/10/yyyy7</v>
      </c>
      <c r="B697" s="169">
        <f t="shared" si="21"/>
        <v>7</v>
      </c>
      <c r="C697" s="81" t="s">
        <v>2935</v>
      </c>
      <c r="D697" s="82" t="s">
        <v>2936</v>
      </c>
      <c r="E697" s="81">
        <v>1</v>
      </c>
      <c r="F697" s="81" t="s">
        <v>1441</v>
      </c>
      <c r="G697" s="83">
        <v>45205</v>
      </c>
      <c r="H697" s="83" t="s">
        <v>1086</v>
      </c>
      <c r="I697" s="83" t="s">
        <v>33</v>
      </c>
      <c r="J697" s="81">
        <f>IFERROR(VLOOKUP(I697,Jueces!$A$1:$B$11,2,FALSE),"")</f>
        <v>4</v>
      </c>
      <c r="K697" s="81" t="s">
        <v>508</v>
      </c>
      <c r="L697" s="81" t="s">
        <v>711</v>
      </c>
    </row>
    <row r="698" spans="1:12" ht="30" customHeight="1" x14ac:dyDescent="0.2">
      <c r="A698" s="176" t="str">
        <f t="shared" si="20"/>
        <v>06/10/yyyy8</v>
      </c>
      <c r="B698" s="169">
        <f t="shared" si="21"/>
        <v>8</v>
      </c>
      <c r="C698" s="81" t="s">
        <v>3067</v>
      </c>
      <c r="D698" s="82" t="s">
        <v>3068</v>
      </c>
      <c r="E698" s="81">
        <v>8</v>
      </c>
      <c r="F698" s="81" t="s">
        <v>43</v>
      </c>
      <c r="G698" s="83">
        <v>45205</v>
      </c>
      <c r="H698" s="83" t="s">
        <v>1086</v>
      </c>
      <c r="I698" s="83" t="s">
        <v>35</v>
      </c>
      <c r="J698" s="81">
        <f>IFERROR(VLOOKUP(I698,Jueces!$A$1:$B$11,2,FALSE),"")</f>
        <v>3</v>
      </c>
      <c r="K698" s="81" t="s">
        <v>811</v>
      </c>
      <c r="L698" s="81" t="s">
        <v>1087</v>
      </c>
    </row>
    <row r="699" spans="1:12" ht="30" customHeight="1" x14ac:dyDescent="0.2">
      <c r="A699" s="176" t="str">
        <f t="shared" si="20"/>
        <v>06/10/yyyy9</v>
      </c>
      <c r="B699" s="169">
        <f t="shared" si="21"/>
        <v>9</v>
      </c>
      <c r="C699" s="81" t="s">
        <v>2922</v>
      </c>
      <c r="D699" s="82" t="s">
        <v>3006</v>
      </c>
      <c r="E699" s="81">
        <v>8</v>
      </c>
      <c r="F699" s="81" t="s">
        <v>2773</v>
      </c>
      <c r="G699" s="83">
        <v>45205</v>
      </c>
      <c r="H699" s="83" t="s">
        <v>228</v>
      </c>
      <c r="I699" s="83" t="s">
        <v>78</v>
      </c>
      <c r="J699" s="81">
        <f>IFERROR(VLOOKUP(I699,Jueces!$A$1:$B$11,2,FALSE),"")</f>
        <v>8</v>
      </c>
      <c r="K699" s="81" t="s">
        <v>801</v>
      </c>
      <c r="L699" s="81" t="s">
        <v>887</v>
      </c>
    </row>
    <row r="700" spans="1:12" ht="30" customHeight="1" x14ac:dyDescent="0.2">
      <c r="A700" s="176" t="str">
        <f t="shared" si="20"/>
        <v>09/10/yyyy1</v>
      </c>
      <c r="B700" s="169">
        <f t="shared" si="21"/>
        <v>1</v>
      </c>
      <c r="C700" s="81" t="s">
        <v>2930</v>
      </c>
      <c r="D700" s="82" t="s">
        <v>2969</v>
      </c>
      <c r="E700" s="81">
        <v>8</v>
      </c>
      <c r="F700" s="81" t="s">
        <v>29</v>
      </c>
      <c r="G700" s="83">
        <v>45208</v>
      </c>
      <c r="H700" s="83" t="s">
        <v>73</v>
      </c>
      <c r="I700" s="83" t="s">
        <v>1221</v>
      </c>
      <c r="J700" s="81" t="s">
        <v>1925</v>
      </c>
      <c r="K700" s="81" t="s">
        <v>807</v>
      </c>
      <c r="L700" s="81" t="s">
        <v>887</v>
      </c>
    </row>
    <row r="701" spans="1:12" ht="30" customHeight="1" x14ac:dyDescent="0.2">
      <c r="A701" s="176" t="str">
        <f t="shared" si="20"/>
        <v>09/10/yyyy2</v>
      </c>
      <c r="B701" s="169">
        <f t="shared" si="21"/>
        <v>2</v>
      </c>
      <c r="C701" s="81" t="s">
        <v>2945</v>
      </c>
      <c r="D701" s="82" t="s">
        <v>2946</v>
      </c>
      <c r="E701" s="81">
        <v>1</v>
      </c>
      <c r="F701" s="81" t="s">
        <v>43</v>
      </c>
      <c r="G701" s="83">
        <v>45208</v>
      </c>
      <c r="H701" s="83" t="s">
        <v>73</v>
      </c>
      <c r="I701" s="83" t="s">
        <v>78</v>
      </c>
      <c r="J701" s="81">
        <f>IFERROR(VLOOKUP(I701,Jueces!$A$1:$B$11,2,FALSE),"")</f>
        <v>8</v>
      </c>
      <c r="K701" s="81" t="s">
        <v>569</v>
      </c>
      <c r="L701" s="81" t="s">
        <v>711</v>
      </c>
    </row>
    <row r="702" spans="1:12" ht="30" customHeight="1" x14ac:dyDescent="0.2">
      <c r="A702" s="176" t="str">
        <f t="shared" si="20"/>
        <v>09/10/yyyy3</v>
      </c>
      <c r="B702" s="169">
        <f t="shared" si="21"/>
        <v>3</v>
      </c>
      <c r="C702" s="81" t="s">
        <v>3044</v>
      </c>
      <c r="D702" s="82" t="s">
        <v>3064</v>
      </c>
      <c r="E702" s="81">
        <v>1</v>
      </c>
      <c r="F702" s="81" t="s">
        <v>283</v>
      </c>
      <c r="G702" s="83">
        <v>45208</v>
      </c>
      <c r="H702" s="83" t="s">
        <v>73</v>
      </c>
      <c r="I702" s="83" t="s">
        <v>33</v>
      </c>
      <c r="J702" s="81">
        <f>IFERROR(VLOOKUP(I702,Jueces!$A$1:$B$11,2,FALSE),"")</f>
        <v>4</v>
      </c>
      <c r="K702" s="81" t="s">
        <v>809</v>
      </c>
      <c r="L702" s="81" t="s">
        <v>712</v>
      </c>
    </row>
    <row r="703" spans="1:12" ht="30" customHeight="1" x14ac:dyDescent="0.2">
      <c r="A703" s="176" t="str">
        <f t="shared" si="20"/>
        <v>09/10/yyyy4</v>
      </c>
      <c r="B703" s="169">
        <f t="shared" si="21"/>
        <v>4</v>
      </c>
      <c r="C703" s="81" t="s">
        <v>2599</v>
      </c>
      <c r="D703" s="82" t="s">
        <v>3066</v>
      </c>
      <c r="E703" s="81">
        <v>7</v>
      </c>
      <c r="F703" s="81" t="s">
        <v>2775</v>
      </c>
      <c r="G703" s="83">
        <v>45208</v>
      </c>
      <c r="H703" s="83" t="s">
        <v>73</v>
      </c>
      <c r="I703" s="83" t="s">
        <v>35</v>
      </c>
      <c r="J703" s="81">
        <f>IFERROR(VLOOKUP(I703,Jueces!$A$1:$B$11,2,FALSE),"")</f>
        <v>3</v>
      </c>
      <c r="K703" s="81" t="s">
        <v>801</v>
      </c>
      <c r="L703" s="81" t="s">
        <v>725</v>
      </c>
    </row>
    <row r="704" spans="1:12" ht="30" customHeight="1" x14ac:dyDescent="0.2">
      <c r="A704" s="176" t="str">
        <f t="shared" si="20"/>
        <v>09/10/yyyy5</v>
      </c>
      <c r="B704" s="169">
        <f t="shared" si="21"/>
        <v>5</v>
      </c>
      <c r="C704" s="81" t="s">
        <v>3088</v>
      </c>
      <c r="D704" s="82" t="s">
        <v>3108</v>
      </c>
      <c r="E704" s="81">
        <v>8</v>
      </c>
      <c r="F704" s="81" t="s">
        <v>1443</v>
      </c>
      <c r="G704" s="83">
        <v>45208</v>
      </c>
      <c r="H704" s="83" t="s">
        <v>73</v>
      </c>
      <c r="I704" s="83" t="s">
        <v>1220</v>
      </c>
      <c r="J704" s="81">
        <f>IFERROR(VLOOKUP(I704,Jueces!$A$1:$B$11,2,FALSE),"")</f>
        <v>1</v>
      </c>
      <c r="K704" s="81" t="s">
        <v>829</v>
      </c>
      <c r="L704" s="81" t="s">
        <v>783</v>
      </c>
    </row>
    <row r="705" spans="1:12" ht="30" customHeight="1" x14ac:dyDescent="0.2">
      <c r="A705" s="176" t="str">
        <f t="shared" si="20"/>
        <v>09/10/yyyy6</v>
      </c>
      <c r="B705" s="169">
        <f t="shared" si="21"/>
        <v>6</v>
      </c>
      <c r="C705" s="81" t="s">
        <v>2992</v>
      </c>
      <c r="D705" s="82" t="s">
        <v>2993</v>
      </c>
      <c r="E705" s="81">
        <v>8</v>
      </c>
      <c r="F705" s="81" t="s">
        <v>2773</v>
      </c>
      <c r="G705" s="83">
        <v>45208</v>
      </c>
      <c r="H705" s="83" t="s">
        <v>749</v>
      </c>
      <c r="I705" s="83" t="s">
        <v>1225</v>
      </c>
      <c r="J705" s="81">
        <f>IFERROR(VLOOKUP(I705,Jueces!$A$1:$B$11,2,FALSE),"")</f>
        <v>6</v>
      </c>
      <c r="K705" s="81" t="s">
        <v>802</v>
      </c>
      <c r="L705" s="81" t="s">
        <v>1087</v>
      </c>
    </row>
    <row r="706" spans="1:12" ht="30" customHeight="1" x14ac:dyDescent="0.2">
      <c r="A706" s="176" t="str">
        <f t="shared" si="20"/>
        <v>09/10/yyyy7</v>
      </c>
      <c r="B706" s="169">
        <f t="shared" si="21"/>
        <v>7</v>
      </c>
      <c r="C706" s="81" t="s">
        <v>2765</v>
      </c>
      <c r="D706" s="82" t="s">
        <v>3036</v>
      </c>
      <c r="E706" s="81">
        <v>4</v>
      </c>
      <c r="F706" s="81" t="s">
        <v>568</v>
      </c>
      <c r="G706" s="83">
        <v>45208</v>
      </c>
      <c r="H706" s="83" t="s">
        <v>1086</v>
      </c>
      <c r="I706" s="83" t="s">
        <v>2951</v>
      </c>
      <c r="J706" s="81" t="s">
        <v>2343</v>
      </c>
      <c r="K706" s="81" t="s">
        <v>800</v>
      </c>
      <c r="L706" s="81" t="s">
        <v>700</v>
      </c>
    </row>
    <row r="707" spans="1:12" ht="30" customHeight="1" x14ac:dyDescent="0.2">
      <c r="A707" s="176" t="str">
        <f t="shared" ref="A707:A770" si="22">CONCATENATE(TEXT($G707,"dd/mm/yyyy"),$B707)</f>
        <v>09/10/yyyy8</v>
      </c>
      <c r="B707" s="169">
        <f t="shared" si="21"/>
        <v>8</v>
      </c>
      <c r="C707" s="81" t="s">
        <v>3012</v>
      </c>
      <c r="D707" s="82" t="s">
        <v>3013</v>
      </c>
      <c r="E707" s="81">
        <v>8</v>
      </c>
      <c r="F707" s="81" t="s">
        <v>2838</v>
      </c>
      <c r="G707" s="83">
        <v>45208</v>
      </c>
      <c r="H707" s="83" t="s">
        <v>1086</v>
      </c>
      <c r="I707" s="83" t="s">
        <v>33</v>
      </c>
      <c r="J707" s="81">
        <f>IFERROR(VLOOKUP(I707,Jueces!$A$1:$B$11,2,FALSE),"")</f>
        <v>4</v>
      </c>
      <c r="K707" s="81" t="s">
        <v>1070</v>
      </c>
      <c r="L707" s="81" t="s">
        <v>1087</v>
      </c>
    </row>
    <row r="708" spans="1:12" ht="30" customHeight="1" x14ac:dyDescent="0.2">
      <c r="A708" s="176" t="str">
        <f t="shared" si="22"/>
        <v>10/10/yyyy1</v>
      </c>
      <c r="B708" s="169">
        <f t="shared" ref="B708:B771" si="23">IF($G708=$G707,$B707+1,1)</f>
        <v>1</v>
      </c>
      <c r="C708" s="81" t="s">
        <v>2844</v>
      </c>
      <c r="D708" s="82" t="s">
        <v>2845</v>
      </c>
      <c r="E708" s="81">
        <v>1</v>
      </c>
      <c r="F708" s="81" t="s">
        <v>2775</v>
      </c>
      <c r="G708" s="83">
        <v>45209</v>
      </c>
      <c r="H708" s="83" t="s">
        <v>999</v>
      </c>
      <c r="I708" s="83" t="s">
        <v>33</v>
      </c>
      <c r="J708" s="81">
        <f>IFERROR(VLOOKUP(I708,Jueces!$A$1:$B$11,2,FALSE),"")</f>
        <v>4</v>
      </c>
      <c r="K708" s="81" t="s">
        <v>811</v>
      </c>
      <c r="L708" s="81" t="s">
        <v>711</v>
      </c>
    </row>
    <row r="709" spans="1:12" ht="30" customHeight="1" x14ac:dyDescent="0.2">
      <c r="A709" s="176" t="str">
        <f t="shared" si="22"/>
        <v>10/10/yyyy2</v>
      </c>
      <c r="B709" s="169">
        <f t="shared" si="23"/>
        <v>2</v>
      </c>
      <c r="C709" s="81" t="s">
        <v>2919</v>
      </c>
      <c r="D709" s="82" t="s">
        <v>2920</v>
      </c>
      <c r="E709" s="81">
        <v>8</v>
      </c>
      <c r="F709" s="81" t="s">
        <v>29</v>
      </c>
      <c r="G709" s="83">
        <v>45209</v>
      </c>
      <c r="H709" s="83" t="s">
        <v>73</v>
      </c>
      <c r="I709" s="83" t="s">
        <v>1221</v>
      </c>
      <c r="J709" s="81" t="s">
        <v>1925</v>
      </c>
      <c r="K709" s="81" t="s">
        <v>802</v>
      </c>
      <c r="L709" s="81" t="s">
        <v>3023</v>
      </c>
    </row>
    <row r="710" spans="1:12" ht="30" customHeight="1" x14ac:dyDescent="0.2">
      <c r="A710" s="176" t="str">
        <f t="shared" si="22"/>
        <v>10/10/yyyy3</v>
      </c>
      <c r="B710" s="169">
        <f t="shared" si="23"/>
        <v>3</v>
      </c>
      <c r="C710" s="81" t="s">
        <v>3093</v>
      </c>
      <c r="D710" s="82" t="s">
        <v>3094</v>
      </c>
      <c r="E710" s="81">
        <v>8</v>
      </c>
      <c r="F710" s="81" t="s">
        <v>1441</v>
      </c>
      <c r="G710" s="83">
        <v>45209</v>
      </c>
      <c r="H710" s="83" t="s">
        <v>73</v>
      </c>
      <c r="I710" s="83" t="s">
        <v>35</v>
      </c>
      <c r="J710" s="81">
        <f>IFERROR(VLOOKUP(I710,Jueces!$A$1:$B$11,2,FALSE),"")</f>
        <v>3</v>
      </c>
      <c r="K710" s="81" t="s">
        <v>809</v>
      </c>
      <c r="L710" s="81" t="s">
        <v>1416</v>
      </c>
    </row>
    <row r="711" spans="1:12" ht="30" customHeight="1" x14ac:dyDescent="0.2">
      <c r="A711" s="176" t="str">
        <f t="shared" si="22"/>
        <v>10/10/yyyy4</v>
      </c>
      <c r="B711" s="169">
        <f t="shared" si="23"/>
        <v>4</v>
      </c>
      <c r="C711" s="81" t="s">
        <v>3037</v>
      </c>
      <c r="D711" s="82" t="s">
        <v>3107</v>
      </c>
      <c r="E711" s="81">
        <v>1</v>
      </c>
      <c r="F711" s="81" t="s">
        <v>43</v>
      </c>
      <c r="G711" s="83">
        <v>45209</v>
      </c>
      <c r="H711" s="83" t="s">
        <v>73</v>
      </c>
      <c r="I711" s="83" t="s">
        <v>2954</v>
      </c>
      <c r="J711" s="81" t="s">
        <v>2343</v>
      </c>
      <c r="K711" s="81" t="s">
        <v>789</v>
      </c>
      <c r="L711" s="81" t="s">
        <v>700</v>
      </c>
    </row>
    <row r="712" spans="1:12" ht="30" customHeight="1" x14ac:dyDescent="0.2">
      <c r="A712" s="176" t="str">
        <f t="shared" si="22"/>
        <v>10/10/yyyy5</v>
      </c>
      <c r="B712" s="169">
        <f t="shared" si="23"/>
        <v>5</v>
      </c>
      <c r="C712" s="81" t="s">
        <v>3076</v>
      </c>
      <c r="D712" s="82" t="s">
        <v>3101</v>
      </c>
      <c r="E712" s="81">
        <v>1</v>
      </c>
      <c r="F712" s="81" t="s">
        <v>2838</v>
      </c>
      <c r="G712" s="83">
        <v>45209</v>
      </c>
      <c r="H712" s="83" t="s">
        <v>73</v>
      </c>
      <c r="I712" s="83" t="s">
        <v>1220</v>
      </c>
      <c r="J712" s="81">
        <f>IFERROR(VLOOKUP(I712,Jueces!$A$1:$B$11,2,FALSE),"")</f>
        <v>1</v>
      </c>
      <c r="K712" s="81" t="s">
        <v>799</v>
      </c>
      <c r="L712" s="81" t="s">
        <v>712</v>
      </c>
    </row>
    <row r="713" spans="1:12" ht="30" customHeight="1" x14ac:dyDescent="0.2">
      <c r="A713" s="176" t="str">
        <f t="shared" si="22"/>
        <v>10/10/yyyy6</v>
      </c>
      <c r="B713" s="169">
        <f t="shared" si="23"/>
        <v>6</v>
      </c>
      <c r="C713" s="81" t="s">
        <v>3089</v>
      </c>
      <c r="D713" s="82" t="s">
        <v>3090</v>
      </c>
      <c r="E713" s="81">
        <v>8</v>
      </c>
      <c r="F713" s="81" t="s">
        <v>283</v>
      </c>
      <c r="G713" s="83">
        <v>45209</v>
      </c>
      <c r="H713" s="83" t="s">
        <v>749</v>
      </c>
      <c r="I713" s="83" t="s">
        <v>1225</v>
      </c>
      <c r="J713" s="81">
        <f>IFERROR(VLOOKUP(I713,Jueces!$A$1:$B$11,2,FALSE),"")</f>
        <v>6</v>
      </c>
      <c r="K713" s="81" t="s">
        <v>799</v>
      </c>
      <c r="L713" s="81" t="s">
        <v>711</v>
      </c>
    </row>
    <row r="714" spans="1:12" ht="30" customHeight="1" x14ac:dyDescent="0.2">
      <c r="A714" s="176" t="str">
        <f t="shared" si="22"/>
        <v>10/10/yyyy7</v>
      </c>
      <c r="B714" s="169">
        <f t="shared" si="23"/>
        <v>7</v>
      </c>
      <c r="C714" s="81" t="s">
        <v>3043</v>
      </c>
      <c r="D714" s="82" t="s">
        <v>3065</v>
      </c>
      <c r="E714" s="81">
        <v>1</v>
      </c>
      <c r="F714" s="81" t="s">
        <v>2773</v>
      </c>
      <c r="G714" s="83">
        <v>45209</v>
      </c>
      <c r="H714" s="83" t="s">
        <v>1086</v>
      </c>
      <c r="I714" s="83" t="s">
        <v>33</v>
      </c>
      <c r="J714" s="81">
        <f>IFERROR(VLOOKUP(I714,Jueces!$A$1:$B$11,2,FALSE),"")</f>
        <v>4</v>
      </c>
      <c r="K714" s="81" t="s">
        <v>791</v>
      </c>
      <c r="L714" s="81" t="s">
        <v>711</v>
      </c>
    </row>
    <row r="715" spans="1:12" ht="30" customHeight="1" x14ac:dyDescent="0.2">
      <c r="A715" s="176" t="str">
        <f t="shared" si="22"/>
        <v>10/10/yyyy8</v>
      </c>
      <c r="B715" s="169">
        <f t="shared" si="23"/>
        <v>8</v>
      </c>
      <c r="C715" s="81" t="s">
        <v>3027</v>
      </c>
      <c r="D715" s="82" t="s">
        <v>3069</v>
      </c>
      <c r="E715" s="81">
        <v>8</v>
      </c>
      <c r="F715" s="81" t="s">
        <v>1443</v>
      </c>
      <c r="G715" s="83">
        <v>45209</v>
      </c>
      <c r="H715" s="83" t="s">
        <v>1086</v>
      </c>
      <c r="I715" s="83" t="s">
        <v>2951</v>
      </c>
      <c r="J715" s="81" t="s">
        <v>1925</v>
      </c>
      <c r="K715" s="81" t="s">
        <v>798</v>
      </c>
      <c r="L715" s="81" t="s">
        <v>1087</v>
      </c>
    </row>
    <row r="716" spans="1:12" ht="30" customHeight="1" x14ac:dyDescent="0.2">
      <c r="A716" s="176" t="str">
        <f t="shared" si="22"/>
        <v>10/10/yyyy9</v>
      </c>
      <c r="B716" s="169">
        <f t="shared" si="23"/>
        <v>9</v>
      </c>
      <c r="C716" s="81" t="s">
        <v>3011</v>
      </c>
      <c r="D716" s="82" t="s">
        <v>3099</v>
      </c>
      <c r="E716" s="81">
        <v>1</v>
      </c>
      <c r="F716" s="81" t="s">
        <v>2788</v>
      </c>
      <c r="G716" s="83">
        <v>45209</v>
      </c>
      <c r="H716" s="83" t="s">
        <v>1086</v>
      </c>
      <c r="I716" s="83" t="s">
        <v>1221</v>
      </c>
      <c r="J716" s="81" t="s">
        <v>2343</v>
      </c>
      <c r="K716" s="81" t="s">
        <v>812</v>
      </c>
      <c r="L716" s="81" t="s">
        <v>712</v>
      </c>
    </row>
    <row r="717" spans="1:12" ht="30" customHeight="1" x14ac:dyDescent="0.2">
      <c r="A717" s="176" t="str">
        <f t="shared" si="22"/>
        <v>11/10/yyyy1</v>
      </c>
      <c r="B717" s="169">
        <f t="shared" si="23"/>
        <v>1</v>
      </c>
      <c r="C717" s="81" t="s">
        <v>3038</v>
      </c>
      <c r="D717" s="82" t="s">
        <v>3103</v>
      </c>
      <c r="E717" s="81">
        <v>8</v>
      </c>
      <c r="F717" s="81" t="s">
        <v>2838</v>
      </c>
      <c r="G717" s="83">
        <v>45210</v>
      </c>
      <c r="H717" s="83" t="s">
        <v>73</v>
      </c>
      <c r="I717" s="83" t="s">
        <v>1732</v>
      </c>
      <c r="J717" s="81" t="s">
        <v>1346</v>
      </c>
      <c r="K717" s="81" t="s">
        <v>809</v>
      </c>
      <c r="L717" s="81" t="s">
        <v>1087</v>
      </c>
    </row>
    <row r="718" spans="1:12" ht="30" customHeight="1" x14ac:dyDescent="0.2">
      <c r="A718" s="176" t="str">
        <f t="shared" si="22"/>
        <v>11/10/yyyy2</v>
      </c>
      <c r="B718" s="169">
        <f t="shared" si="23"/>
        <v>2</v>
      </c>
      <c r="C718" s="81" t="s">
        <v>2978</v>
      </c>
      <c r="D718" s="82" t="s">
        <v>3104</v>
      </c>
      <c r="E718" s="81">
        <v>1</v>
      </c>
      <c r="F718" s="81" t="s">
        <v>2773</v>
      </c>
      <c r="G718" s="83">
        <v>45210</v>
      </c>
      <c r="H718" s="83" t="s">
        <v>73</v>
      </c>
      <c r="I718" s="83" t="s">
        <v>2954</v>
      </c>
      <c r="J718" s="81" t="s">
        <v>2394</v>
      </c>
      <c r="K718" s="81" t="s">
        <v>791</v>
      </c>
      <c r="L718" s="81" t="s">
        <v>711</v>
      </c>
    </row>
    <row r="719" spans="1:12" ht="30" customHeight="1" x14ac:dyDescent="0.2">
      <c r="A719" s="176" t="str">
        <f t="shared" si="22"/>
        <v>11/10/yyyy3</v>
      </c>
      <c r="B719" s="169">
        <f t="shared" si="23"/>
        <v>3</v>
      </c>
      <c r="C719" s="81" t="s">
        <v>3024</v>
      </c>
      <c r="D719" s="82" t="s">
        <v>3025</v>
      </c>
      <c r="E719" s="81">
        <v>1</v>
      </c>
      <c r="F719" s="81" t="s">
        <v>568</v>
      </c>
      <c r="G719" s="83">
        <v>45210</v>
      </c>
      <c r="H719" s="83" t="s">
        <v>73</v>
      </c>
      <c r="I719" s="83" t="s">
        <v>35</v>
      </c>
      <c r="J719" s="81">
        <f>IFERROR(VLOOKUP(I719,Jueces!$A$1:$B$11,2,FALSE),"")</f>
        <v>3</v>
      </c>
      <c r="K719" s="81" t="s">
        <v>2088</v>
      </c>
      <c r="L719" s="81" t="s">
        <v>712</v>
      </c>
    </row>
    <row r="720" spans="1:12" ht="30" customHeight="1" x14ac:dyDescent="0.2">
      <c r="A720" s="176" t="str">
        <f t="shared" si="22"/>
        <v>11/10/yyyy4</v>
      </c>
      <c r="B720" s="169">
        <f t="shared" si="23"/>
        <v>4</v>
      </c>
      <c r="C720" s="81" t="s">
        <v>3074</v>
      </c>
      <c r="D720" s="82" t="s">
        <v>3062</v>
      </c>
      <c r="E720" s="81">
        <v>4</v>
      </c>
      <c r="F720" s="81" t="s">
        <v>2788</v>
      </c>
      <c r="G720" s="83">
        <v>45210</v>
      </c>
      <c r="H720" s="83" t="s">
        <v>1086</v>
      </c>
      <c r="I720" s="83" t="s">
        <v>1220</v>
      </c>
      <c r="J720" s="81">
        <f>IFERROR(VLOOKUP(I720,Jueces!$A$1:$B$11,2,FALSE),"")</f>
        <v>1</v>
      </c>
      <c r="K720" s="81" t="s">
        <v>1070</v>
      </c>
      <c r="L720" s="81" t="s">
        <v>3063</v>
      </c>
    </row>
    <row r="721" spans="1:12" ht="30" customHeight="1" x14ac:dyDescent="0.2">
      <c r="A721" s="176" t="str">
        <f t="shared" si="22"/>
        <v>11/10/yyyy5</v>
      </c>
      <c r="B721" s="169">
        <f t="shared" si="23"/>
        <v>5</v>
      </c>
      <c r="C721" s="81" t="s">
        <v>2972</v>
      </c>
      <c r="D721" s="82" t="s">
        <v>2973</v>
      </c>
      <c r="E721" s="81">
        <v>8</v>
      </c>
      <c r="F721" s="81" t="s">
        <v>2774</v>
      </c>
      <c r="G721" s="83">
        <v>45210</v>
      </c>
      <c r="H721" s="83" t="s">
        <v>1086</v>
      </c>
      <c r="I721" s="83" t="s">
        <v>1221</v>
      </c>
      <c r="J721" s="81">
        <f>IFERROR(VLOOKUP(I721,Jueces!$A$1:$B$11,2,FALSE),"")</f>
        <v>7</v>
      </c>
      <c r="K721" s="81" t="s">
        <v>796</v>
      </c>
      <c r="L721" s="81" t="s">
        <v>3102</v>
      </c>
    </row>
    <row r="722" spans="1:12" ht="30" customHeight="1" x14ac:dyDescent="0.2">
      <c r="A722" s="176" t="str">
        <f t="shared" si="22"/>
        <v>11/10/yyyy6</v>
      </c>
      <c r="B722" s="169">
        <f t="shared" si="23"/>
        <v>6</v>
      </c>
      <c r="C722" s="81" t="s">
        <v>2997</v>
      </c>
      <c r="D722" s="82" t="s">
        <v>3100</v>
      </c>
      <c r="E722" s="81">
        <v>1</v>
      </c>
      <c r="F722" s="81" t="s">
        <v>1442</v>
      </c>
      <c r="G722" s="83">
        <v>45210</v>
      </c>
      <c r="H722" s="83" t="s">
        <v>1086</v>
      </c>
      <c r="I722" s="83" t="s">
        <v>2951</v>
      </c>
      <c r="J722" s="81" t="s">
        <v>1925</v>
      </c>
      <c r="K722" s="81" t="s">
        <v>789</v>
      </c>
      <c r="L722" s="81" t="s">
        <v>712</v>
      </c>
    </row>
    <row r="723" spans="1:12" ht="30" customHeight="1" x14ac:dyDescent="0.2">
      <c r="A723" s="176" t="str">
        <f t="shared" si="22"/>
        <v>11/10/yyyy7</v>
      </c>
      <c r="B723" s="169">
        <f t="shared" si="23"/>
        <v>7</v>
      </c>
      <c r="C723" s="81" t="s">
        <v>3105</v>
      </c>
      <c r="D723" s="82" t="s">
        <v>3112</v>
      </c>
      <c r="E723" s="81">
        <v>1</v>
      </c>
      <c r="F723" s="81" t="s">
        <v>1441</v>
      </c>
      <c r="G723" s="83">
        <v>45210</v>
      </c>
      <c r="H723" s="83" t="s">
        <v>1086</v>
      </c>
      <c r="I723" s="83" t="s">
        <v>1225</v>
      </c>
      <c r="J723" s="81">
        <f>IFERROR(VLOOKUP(I723,Jueces!$A$1:$B$11,2,FALSE),"")</f>
        <v>6</v>
      </c>
      <c r="K723" s="81" t="s">
        <v>799</v>
      </c>
      <c r="L723" s="81" t="s">
        <v>711</v>
      </c>
    </row>
    <row r="724" spans="1:12" ht="30" customHeight="1" x14ac:dyDescent="0.2">
      <c r="A724" s="176" t="str">
        <f t="shared" si="22"/>
        <v>11/10/yyyy8</v>
      </c>
      <c r="B724" s="169">
        <f t="shared" si="23"/>
        <v>8</v>
      </c>
      <c r="C724" s="81" t="s">
        <v>2999</v>
      </c>
      <c r="D724" s="82" t="s">
        <v>3111</v>
      </c>
      <c r="E724" s="81">
        <v>1</v>
      </c>
      <c r="F724" s="81" t="s">
        <v>283</v>
      </c>
      <c r="G724" s="83">
        <v>45210</v>
      </c>
      <c r="H724" s="83" t="s">
        <v>547</v>
      </c>
      <c r="I724" s="83" t="s">
        <v>33</v>
      </c>
      <c r="J724" s="81">
        <f>IFERROR(VLOOKUP(I724,Jueces!$A$1:$B$11,2,FALSE),"")</f>
        <v>4</v>
      </c>
      <c r="K724" s="81" t="s">
        <v>812</v>
      </c>
      <c r="L724" s="81" t="s">
        <v>711</v>
      </c>
    </row>
    <row r="725" spans="1:12" ht="30" customHeight="1" x14ac:dyDescent="0.2">
      <c r="A725" s="176" t="str">
        <f t="shared" si="22"/>
        <v>12/10/yyyy1</v>
      </c>
      <c r="B725" s="169">
        <f t="shared" si="23"/>
        <v>1</v>
      </c>
      <c r="C725" s="81" t="s">
        <v>3091</v>
      </c>
      <c r="D725" s="82" t="s">
        <v>3092</v>
      </c>
      <c r="E725" s="81">
        <v>8</v>
      </c>
      <c r="F725" s="81" t="s">
        <v>43</v>
      </c>
      <c r="G725" s="83">
        <v>45211</v>
      </c>
      <c r="H725" s="83" t="s">
        <v>73</v>
      </c>
      <c r="I725" s="83" t="s">
        <v>1220</v>
      </c>
      <c r="J725" s="81">
        <f>IFERROR(VLOOKUP(I725,Jueces!$A$1:$B$11,2,FALSE),"")</f>
        <v>1</v>
      </c>
      <c r="K725" s="81" t="s">
        <v>811</v>
      </c>
      <c r="L725" s="81" t="s">
        <v>1087</v>
      </c>
    </row>
    <row r="726" spans="1:12" ht="30" customHeight="1" x14ac:dyDescent="0.2">
      <c r="A726" s="176" t="str">
        <f t="shared" si="22"/>
        <v>12/10/yyyy2</v>
      </c>
      <c r="B726" s="169">
        <f t="shared" si="23"/>
        <v>2</v>
      </c>
      <c r="C726" s="81" t="s">
        <v>3004</v>
      </c>
      <c r="D726" s="82" t="s">
        <v>3005</v>
      </c>
      <c r="E726" s="81">
        <v>1</v>
      </c>
      <c r="F726" s="81" t="s">
        <v>29</v>
      </c>
      <c r="G726" s="83">
        <v>45211</v>
      </c>
      <c r="H726" s="83" t="s">
        <v>73</v>
      </c>
      <c r="I726" s="83" t="s">
        <v>33</v>
      </c>
      <c r="J726" s="81">
        <f>IFERROR(VLOOKUP(I726,Jueces!$A$1:$B$11,2,FALSE),"")</f>
        <v>4</v>
      </c>
      <c r="K726" s="81" t="s">
        <v>793</v>
      </c>
      <c r="L726" s="81" t="s">
        <v>711</v>
      </c>
    </row>
    <row r="727" spans="1:12" ht="30" customHeight="1" x14ac:dyDescent="0.2">
      <c r="A727" s="176" t="str">
        <f t="shared" si="22"/>
        <v>00/01/yyyy1</v>
      </c>
      <c r="B727" s="169">
        <f t="shared" si="23"/>
        <v>1</v>
      </c>
      <c r="C727" s="240" t="s">
        <v>2529</v>
      </c>
      <c r="D727" s="243" t="s">
        <v>2578</v>
      </c>
      <c r="E727" s="240">
        <v>7</v>
      </c>
      <c r="F727" s="240"/>
      <c r="G727" s="324"/>
      <c r="H727" s="324"/>
      <c r="I727" s="324"/>
      <c r="J727" s="240" t="str">
        <f>IFERROR(VLOOKUP(I727,Jueces!$A$1:$B$11,2,FALSE),"")</f>
        <v/>
      </c>
      <c r="K727" s="240" t="s">
        <v>807</v>
      </c>
      <c r="L727" s="240" t="s">
        <v>767</v>
      </c>
    </row>
    <row r="728" spans="1:12" ht="30" customHeight="1" x14ac:dyDescent="0.2">
      <c r="A728" s="176" t="str">
        <f t="shared" si="22"/>
        <v>00/01/yyyy2</v>
      </c>
      <c r="B728" s="169">
        <f t="shared" si="23"/>
        <v>2</v>
      </c>
      <c r="C728" s="170" t="s">
        <v>2614</v>
      </c>
      <c r="D728" s="171" t="s">
        <v>2615</v>
      </c>
      <c r="E728" s="170">
        <v>7</v>
      </c>
      <c r="F728" s="170"/>
      <c r="G728" s="326"/>
      <c r="H728" s="326"/>
      <c r="I728" s="326"/>
      <c r="J728" s="170" t="str">
        <f>IFERROR(VLOOKUP(I728,Jueces!$A$1:$B$11,2,FALSE),"")</f>
        <v/>
      </c>
      <c r="K728" s="170" t="s">
        <v>812</v>
      </c>
      <c r="L728" s="170" t="s">
        <v>767</v>
      </c>
    </row>
    <row r="729" spans="1:12" ht="30" customHeight="1" x14ac:dyDescent="0.2">
      <c r="A729" s="176" t="str">
        <f t="shared" si="22"/>
        <v>00/01/yyyy3</v>
      </c>
      <c r="B729" s="169">
        <f t="shared" si="23"/>
        <v>3</v>
      </c>
      <c r="C729" s="240" t="s">
        <v>2850</v>
      </c>
      <c r="D729" s="243" t="s">
        <v>2887</v>
      </c>
      <c r="E729" s="240">
        <v>7</v>
      </c>
      <c r="F729" s="240"/>
      <c r="G729" s="324"/>
      <c r="H729" s="324"/>
      <c r="I729" s="324"/>
      <c r="J729" s="240" t="str">
        <f>IFERROR(VLOOKUP(I729,Jueces!$A$1:$B$11,2,FALSE),"")</f>
        <v/>
      </c>
      <c r="K729" s="240" t="s">
        <v>1070</v>
      </c>
      <c r="L729" s="240" t="s">
        <v>2886</v>
      </c>
    </row>
    <row r="730" spans="1:12" ht="30" customHeight="1" x14ac:dyDescent="0.2">
      <c r="A730" s="176" t="str">
        <f t="shared" si="22"/>
        <v>00/01/yyyy4</v>
      </c>
      <c r="B730" s="169">
        <f t="shared" si="23"/>
        <v>4</v>
      </c>
      <c r="C730" s="170" t="s">
        <v>1839</v>
      </c>
      <c r="D730" s="171" t="s">
        <v>2879</v>
      </c>
      <c r="E730" s="170">
        <v>4</v>
      </c>
      <c r="F730" s="170"/>
      <c r="G730" s="326"/>
      <c r="H730" s="326"/>
      <c r="I730" s="326"/>
      <c r="J730" s="170" t="str">
        <f>IFERROR(VLOOKUP(I730,Jueces!$A$1:$B$11,2,FALSE),"")</f>
        <v/>
      </c>
      <c r="K730" s="170" t="s">
        <v>812</v>
      </c>
      <c r="L730" s="170"/>
    </row>
    <row r="731" spans="1:12" ht="30" customHeight="1" x14ac:dyDescent="0.2">
      <c r="A731" s="176" t="str">
        <f t="shared" si="22"/>
        <v>00/01/yyyy5</v>
      </c>
      <c r="B731" s="169">
        <f t="shared" si="23"/>
        <v>5</v>
      </c>
      <c r="C731" s="170" t="s">
        <v>2994</v>
      </c>
      <c r="D731" s="171" t="s">
        <v>2995</v>
      </c>
      <c r="E731" s="170">
        <v>8</v>
      </c>
      <c r="F731" s="170"/>
      <c r="G731" s="326"/>
      <c r="H731" s="326"/>
      <c r="I731" s="326"/>
      <c r="J731" s="170" t="str">
        <f>IFERROR(VLOOKUP(I731,Jueces!$A$1:$B$11,2,FALSE),"")</f>
        <v/>
      </c>
      <c r="K731" s="170" t="s">
        <v>796</v>
      </c>
      <c r="L731" s="170"/>
    </row>
    <row r="732" spans="1:12" ht="30" customHeight="1" x14ac:dyDescent="0.2">
      <c r="A732" s="176" t="str">
        <f t="shared" si="22"/>
        <v>00/01/yyyy6</v>
      </c>
      <c r="B732" s="169">
        <f t="shared" si="23"/>
        <v>6</v>
      </c>
      <c r="C732" s="170" t="s">
        <v>3028</v>
      </c>
      <c r="D732" s="171" t="s">
        <v>3029</v>
      </c>
      <c r="E732" s="170">
        <v>1</v>
      </c>
      <c r="F732" s="170"/>
      <c r="G732" s="326"/>
      <c r="H732" s="326"/>
      <c r="I732" s="326"/>
      <c r="J732" s="170" t="str">
        <f>IFERROR(VLOOKUP(I732,Jueces!$A$1:$B$11,2,FALSE),"")</f>
        <v/>
      </c>
      <c r="K732" s="170" t="s">
        <v>811</v>
      </c>
      <c r="L732" s="170"/>
    </row>
    <row r="733" spans="1:12" ht="30" customHeight="1" x14ac:dyDescent="0.2">
      <c r="A733" s="176" t="str">
        <f t="shared" si="22"/>
        <v>00/01/yyyy7</v>
      </c>
      <c r="B733" s="169">
        <f t="shared" si="23"/>
        <v>7</v>
      </c>
      <c r="C733" s="240" t="s">
        <v>3042</v>
      </c>
      <c r="D733" s="243" t="s">
        <v>3109</v>
      </c>
      <c r="E733" s="240">
        <v>4</v>
      </c>
      <c r="F733" s="240"/>
      <c r="G733" s="324"/>
      <c r="H733" s="324"/>
      <c r="I733" s="324"/>
      <c r="J733" s="240" t="str">
        <f>IFERROR(VLOOKUP(I733,Jueces!$A$1:$B$11,2,FALSE),"")</f>
        <v/>
      </c>
      <c r="K733" s="240" t="s">
        <v>806</v>
      </c>
      <c r="L733" s="240" t="s">
        <v>711</v>
      </c>
    </row>
    <row r="734" spans="1:12" ht="30" customHeight="1" x14ac:dyDescent="0.2">
      <c r="A734" s="176" t="str">
        <f t="shared" si="22"/>
        <v>00/01/yyyy8</v>
      </c>
      <c r="B734" s="169">
        <f t="shared" si="23"/>
        <v>8</v>
      </c>
      <c r="C734" s="240" t="s">
        <v>3075</v>
      </c>
      <c r="D734" s="243" t="s">
        <v>3098</v>
      </c>
      <c r="E734" s="240">
        <v>1</v>
      </c>
      <c r="F734" s="240"/>
      <c r="G734" s="324"/>
      <c r="H734" s="324"/>
      <c r="I734" s="324"/>
      <c r="J734" s="240" t="str">
        <f>IFERROR(VLOOKUP(I734,Jueces!$A$1:$B$11,2,FALSE),"")</f>
        <v/>
      </c>
      <c r="K734" s="240" t="s">
        <v>813</v>
      </c>
      <c r="L734" s="240" t="s">
        <v>711</v>
      </c>
    </row>
    <row r="735" spans="1:12" ht="30" customHeight="1" x14ac:dyDescent="0.2">
      <c r="A735" s="176" t="str">
        <f t="shared" si="22"/>
        <v>00/01/yyyy9</v>
      </c>
      <c r="B735" s="169">
        <f t="shared" si="23"/>
        <v>9</v>
      </c>
    </row>
    <row r="736" spans="1:12" ht="30" customHeight="1" x14ac:dyDescent="0.2">
      <c r="A736" s="176" t="str">
        <f t="shared" si="22"/>
        <v>00/01/yyyy10</v>
      </c>
      <c r="B736" s="169">
        <f t="shared" si="23"/>
        <v>10</v>
      </c>
    </row>
    <row r="737" spans="1:2" ht="30" customHeight="1" x14ac:dyDescent="0.2">
      <c r="A737" s="176" t="str">
        <f t="shared" si="22"/>
        <v>00/01/yyyy11</v>
      </c>
      <c r="B737" s="169">
        <f t="shared" si="23"/>
        <v>11</v>
      </c>
    </row>
    <row r="738" spans="1:2" ht="30" customHeight="1" x14ac:dyDescent="0.2">
      <c r="A738" s="176" t="str">
        <f t="shared" si="22"/>
        <v>00/01/yyyy12</v>
      </c>
      <c r="B738" s="169">
        <f t="shared" si="23"/>
        <v>12</v>
      </c>
    </row>
    <row r="739" spans="1:2" ht="30" customHeight="1" x14ac:dyDescent="0.2">
      <c r="A739" s="176" t="str">
        <f t="shared" si="22"/>
        <v>00/01/yyyy13</v>
      </c>
      <c r="B739" s="169">
        <f t="shared" si="23"/>
        <v>13</v>
      </c>
    </row>
    <row r="740" spans="1:2" ht="30" customHeight="1" x14ac:dyDescent="0.2">
      <c r="A740" s="176" t="str">
        <f t="shared" si="22"/>
        <v>00/01/yyyy14</v>
      </c>
      <c r="B740" s="169">
        <f t="shared" si="23"/>
        <v>14</v>
      </c>
    </row>
    <row r="741" spans="1:2" ht="30" customHeight="1" x14ac:dyDescent="0.2">
      <c r="A741" s="176" t="str">
        <f t="shared" si="22"/>
        <v>00/01/yyyy15</v>
      </c>
      <c r="B741" s="169">
        <f t="shared" si="23"/>
        <v>15</v>
      </c>
    </row>
    <row r="742" spans="1:2" ht="30" customHeight="1" x14ac:dyDescent="0.2">
      <c r="A742" s="176" t="str">
        <f t="shared" si="22"/>
        <v>00/01/yyyy16</v>
      </c>
      <c r="B742" s="169">
        <f t="shared" si="23"/>
        <v>16</v>
      </c>
    </row>
    <row r="743" spans="1:2" ht="30" customHeight="1" x14ac:dyDescent="0.2">
      <c r="A743" s="176" t="str">
        <f t="shared" si="22"/>
        <v>00/01/yyyy17</v>
      </c>
      <c r="B743" s="169">
        <f t="shared" si="23"/>
        <v>17</v>
      </c>
    </row>
    <row r="744" spans="1:2" ht="30" customHeight="1" x14ac:dyDescent="0.2">
      <c r="A744" s="176" t="str">
        <f t="shared" si="22"/>
        <v>00/01/yyyy18</v>
      </c>
      <c r="B744" s="169">
        <f t="shared" si="23"/>
        <v>18</v>
      </c>
    </row>
    <row r="745" spans="1:2" ht="30" customHeight="1" x14ac:dyDescent="0.2">
      <c r="A745" s="176" t="str">
        <f t="shared" si="22"/>
        <v>00/01/yyyy19</v>
      </c>
      <c r="B745" s="169">
        <f t="shared" si="23"/>
        <v>19</v>
      </c>
    </row>
    <row r="746" spans="1:2" ht="30" customHeight="1" x14ac:dyDescent="0.2">
      <c r="A746" s="176" t="str">
        <f t="shared" si="22"/>
        <v>00/01/yyyy20</v>
      </c>
      <c r="B746" s="169">
        <f t="shared" si="23"/>
        <v>20</v>
      </c>
    </row>
    <row r="747" spans="1:2" ht="30" customHeight="1" x14ac:dyDescent="0.2">
      <c r="A747" s="176" t="str">
        <f t="shared" si="22"/>
        <v>00/01/yyyy21</v>
      </c>
      <c r="B747" s="169">
        <f t="shared" si="23"/>
        <v>21</v>
      </c>
    </row>
    <row r="748" spans="1:2" ht="30" customHeight="1" x14ac:dyDescent="0.2">
      <c r="A748" s="176" t="str">
        <f t="shared" si="22"/>
        <v>00/01/yyyy22</v>
      </c>
      <c r="B748" s="169">
        <f t="shared" si="23"/>
        <v>22</v>
      </c>
    </row>
    <row r="749" spans="1:2" ht="30" customHeight="1" x14ac:dyDescent="0.2">
      <c r="A749" s="176" t="str">
        <f t="shared" si="22"/>
        <v>00/01/yyyy23</v>
      </c>
      <c r="B749" s="169">
        <f t="shared" si="23"/>
        <v>23</v>
      </c>
    </row>
    <row r="750" spans="1:2" ht="30" customHeight="1" x14ac:dyDescent="0.2">
      <c r="A750" s="176" t="str">
        <f t="shared" si="22"/>
        <v>00/01/yyyy24</v>
      </c>
      <c r="B750" s="169">
        <f t="shared" si="23"/>
        <v>24</v>
      </c>
    </row>
    <row r="751" spans="1:2" ht="30" customHeight="1" x14ac:dyDescent="0.2">
      <c r="A751" s="176" t="str">
        <f t="shared" si="22"/>
        <v>00/01/yyyy25</v>
      </c>
      <c r="B751" s="169">
        <f t="shared" si="23"/>
        <v>25</v>
      </c>
    </row>
    <row r="752" spans="1:2" ht="30" customHeight="1" x14ac:dyDescent="0.2">
      <c r="A752" s="176" t="str">
        <f t="shared" si="22"/>
        <v>00/01/yyyy26</v>
      </c>
      <c r="B752" s="169">
        <f t="shared" si="23"/>
        <v>26</v>
      </c>
    </row>
    <row r="753" spans="1:2" ht="30" customHeight="1" x14ac:dyDescent="0.2">
      <c r="A753" s="176" t="str">
        <f t="shared" si="22"/>
        <v>00/01/yyyy27</v>
      </c>
      <c r="B753" s="169">
        <f t="shared" si="23"/>
        <v>27</v>
      </c>
    </row>
    <row r="754" spans="1:2" ht="30" customHeight="1" x14ac:dyDescent="0.2">
      <c r="A754" s="176" t="str">
        <f t="shared" si="22"/>
        <v>00/01/yyyy28</v>
      </c>
      <c r="B754" s="169">
        <f t="shared" si="23"/>
        <v>28</v>
      </c>
    </row>
    <row r="755" spans="1:2" ht="30" customHeight="1" x14ac:dyDescent="0.2">
      <c r="A755" s="176" t="str">
        <f t="shared" si="22"/>
        <v>00/01/yyyy29</v>
      </c>
      <c r="B755" s="169">
        <f t="shared" si="23"/>
        <v>29</v>
      </c>
    </row>
    <row r="756" spans="1:2" ht="30" customHeight="1" x14ac:dyDescent="0.2">
      <c r="A756" s="176" t="str">
        <f t="shared" si="22"/>
        <v>00/01/yyyy30</v>
      </c>
      <c r="B756" s="169">
        <f t="shared" si="23"/>
        <v>30</v>
      </c>
    </row>
    <row r="757" spans="1:2" ht="30" customHeight="1" x14ac:dyDescent="0.2">
      <c r="A757" s="176" t="str">
        <f t="shared" si="22"/>
        <v>00/01/yyyy31</v>
      </c>
      <c r="B757" s="169">
        <f t="shared" si="23"/>
        <v>31</v>
      </c>
    </row>
    <row r="758" spans="1:2" ht="30" customHeight="1" x14ac:dyDescent="0.2">
      <c r="A758" s="176" t="str">
        <f t="shared" si="22"/>
        <v>00/01/yyyy32</v>
      </c>
      <c r="B758" s="169">
        <f t="shared" si="23"/>
        <v>32</v>
      </c>
    </row>
    <row r="759" spans="1:2" ht="30" customHeight="1" x14ac:dyDescent="0.2">
      <c r="A759" s="176" t="str">
        <f t="shared" si="22"/>
        <v>00/01/yyyy33</v>
      </c>
      <c r="B759" s="169">
        <f t="shared" si="23"/>
        <v>33</v>
      </c>
    </row>
    <row r="760" spans="1:2" ht="30" customHeight="1" x14ac:dyDescent="0.2">
      <c r="A760" s="176" t="str">
        <f t="shared" si="22"/>
        <v>00/01/yyyy34</v>
      </c>
      <c r="B760" s="169">
        <f t="shared" si="23"/>
        <v>34</v>
      </c>
    </row>
    <row r="761" spans="1:2" ht="30" customHeight="1" x14ac:dyDescent="0.2">
      <c r="A761" s="176" t="str">
        <f t="shared" si="22"/>
        <v>00/01/yyyy35</v>
      </c>
      <c r="B761" s="169">
        <f t="shared" si="23"/>
        <v>35</v>
      </c>
    </row>
    <row r="762" spans="1:2" ht="30" customHeight="1" x14ac:dyDescent="0.2">
      <c r="A762" s="176" t="str">
        <f t="shared" si="22"/>
        <v>00/01/yyyy36</v>
      </c>
      <c r="B762" s="169">
        <f t="shared" si="23"/>
        <v>36</v>
      </c>
    </row>
    <row r="763" spans="1:2" ht="30" customHeight="1" x14ac:dyDescent="0.2">
      <c r="A763" s="176" t="str">
        <f t="shared" si="22"/>
        <v>00/01/yyyy37</v>
      </c>
      <c r="B763" s="169">
        <f t="shared" si="23"/>
        <v>37</v>
      </c>
    </row>
    <row r="764" spans="1:2" ht="30" customHeight="1" x14ac:dyDescent="0.2">
      <c r="A764" s="176" t="str">
        <f t="shared" si="22"/>
        <v>00/01/yyyy38</v>
      </c>
      <c r="B764" s="169">
        <f t="shared" si="23"/>
        <v>38</v>
      </c>
    </row>
    <row r="765" spans="1:2" ht="30" customHeight="1" x14ac:dyDescent="0.2">
      <c r="A765" s="176" t="str">
        <f t="shared" si="22"/>
        <v>00/01/yyyy39</v>
      </c>
      <c r="B765" s="169">
        <f t="shared" si="23"/>
        <v>39</v>
      </c>
    </row>
    <row r="766" spans="1:2" ht="30" customHeight="1" x14ac:dyDescent="0.2">
      <c r="A766" s="176" t="str">
        <f t="shared" si="22"/>
        <v>00/01/yyyy40</v>
      </c>
      <c r="B766" s="169">
        <f t="shared" si="23"/>
        <v>40</v>
      </c>
    </row>
    <row r="767" spans="1:2" ht="30" customHeight="1" x14ac:dyDescent="0.2">
      <c r="A767" s="176" t="str">
        <f t="shared" si="22"/>
        <v>00/01/yyyy41</v>
      </c>
      <c r="B767" s="169">
        <f t="shared" si="23"/>
        <v>41</v>
      </c>
    </row>
    <row r="768" spans="1:2" ht="30" customHeight="1" x14ac:dyDescent="0.2">
      <c r="A768" s="176" t="str">
        <f t="shared" si="22"/>
        <v>00/01/yyyy42</v>
      </c>
      <c r="B768" s="169">
        <f t="shared" si="23"/>
        <v>42</v>
      </c>
    </row>
    <row r="769" spans="1:2" ht="30" customHeight="1" x14ac:dyDescent="0.2">
      <c r="A769" s="176" t="str">
        <f t="shared" si="22"/>
        <v>00/01/yyyy43</v>
      </c>
      <c r="B769" s="169">
        <f t="shared" si="23"/>
        <v>43</v>
      </c>
    </row>
    <row r="770" spans="1:2" ht="30" customHeight="1" x14ac:dyDescent="0.2">
      <c r="A770" s="176" t="str">
        <f t="shared" si="22"/>
        <v>00/01/yyyy44</v>
      </c>
      <c r="B770" s="169">
        <f t="shared" si="23"/>
        <v>44</v>
      </c>
    </row>
    <row r="771" spans="1:2" ht="30" customHeight="1" x14ac:dyDescent="0.2">
      <c r="A771" s="176" t="str">
        <f t="shared" ref="A771:A834" si="24">CONCATENATE(TEXT($G771,"dd/mm/yyyy"),$B771)</f>
        <v>00/01/yyyy45</v>
      </c>
      <c r="B771" s="169">
        <f t="shared" si="23"/>
        <v>45</v>
      </c>
    </row>
    <row r="772" spans="1:2" ht="30" customHeight="1" x14ac:dyDescent="0.2">
      <c r="A772" s="176" t="str">
        <f t="shared" si="24"/>
        <v>00/01/yyyy46</v>
      </c>
      <c r="B772" s="169">
        <f t="shared" ref="B772:B835" si="25">IF($G772=$G771,$B771+1,1)</f>
        <v>46</v>
      </c>
    </row>
    <row r="773" spans="1:2" ht="30" customHeight="1" x14ac:dyDescent="0.2">
      <c r="A773" s="176" t="str">
        <f t="shared" si="24"/>
        <v>00/01/yyyy47</v>
      </c>
      <c r="B773" s="169">
        <f t="shared" si="25"/>
        <v>47</v>
      </c>
    </row>
    <row r="774" spans="1:2" ht="30" customHeight="1" x14ac:dyDescent="0.2">
      <c r="A774" s="176" t="str">
        <f t="shared" si="24"/>
        <v>00/01/yyyy48</v>
      </c>
      <c r="B774" s="169">
        <f t="shared" si="25"/>
        <v>48</v>
      </c>
    </row>
    <row r="775" spans="1:2" ht="30" customHeight="1" x14ac:dyDescent="0.2">
      <c r="A775" s="176" t="str">
        <f t="shared" si="24"/>
        <v>00/01/yyyy49</v>
      </c>
      <c r="B775" s="169">
        <f t="shared" si="25"/>
        <v>49</v>
      </c>
    </row>
    <row r="776" spans="1:2" ht="30" customHeight="1" x14ac:dyDescent="0.2">
      <c r="A776" s="176" t="str">
        <f t="shared" si="24"/>
        <v>00/01/yyyy50</v>
      </c>
      <c r="B776" s="169">
        <f t="shared" si="25"/>
        <v>50</v>
      </c>
    </row>
    <row r="777" spans="1:2" ht="30" customHeight="1" x14ac:dyDescent="0.2">
      <c r="A777" s="176" t="str">
        <f t="shared" si="24"/>
        <v>00/01/yyyy51</v>
      </c>
      <c r="B777" s="169">
        <f t="shared" si="25"/>
        <v>51</v>
      </c>
    </row>
    <row r="778" spans="1:2" ht="30" customHeight="1" x14ac:dyDescent="0.2">
      <c r="A778" s="176" t="str">
        <f t="shared" si="24"/>
        <v>00/01/yyyy52</v>
      </c>
      <c r="B778" s="169">
        <f t="shared" si="25"/>
        <v>52</v>
      </c>
    </row>
    <row r="779" spans="1:2" ht="30" customHeight="1" x14ac:dyDescent="0.2">
      <c r="A779" s="176" t="str">
        <f t="shared" si="24"/>
        <v>00/01/yyyy53</v>
      </c>
      <c r="B779" s="169">
        <f t="shared" si="25"/>
        <v>53</v>
      </c>
    </row>
    <row r="780" spans="1:2" ht="30" customHeight="1" x14ac:dyDescent="0.2">
      <c r="A780" s="176" t="str">
        <f t="shared" si="24"/>
        <v>00/01/yyyy54</v>
      </c>
      <c r="B780" s="169">
        <f t="shared" si="25"/>
        <v>54</v>
      </c>
    </row>
    <row r="781" spans="1:2" ht="30" customHeight="1" x14ac:dyDescent="0.2">
      <c r="A781" s="176" t="str">
        <f t="shared" si="24"/>
        <v>00/01/yyyy55</v>
      </c>
      <c r="B781" s="169">
        <f t="shared" si="25"/>
        <v>55</v>
      </c>
    </row>
    <row r="782" spans="1:2" ht="30" customHeight="1" x14ac:dyDescent="0.2">
      <c r="A782" s="176" t="str">
        <f t="shared" si="24"/>
        <v>00/01/yyyy56</v>
      </c>
      <c r="B782" s="169">
        <f t="shared" si="25"/>
        <v>56</v>
      </c>
    </row>
    <row r="783" spans="1:2" ht="30" customHeight="1" x14ac:dyDescent="0.2">
      <c r="A783" s="176" t="str">
        <f t="shared" si="24"/>
        <v>00/01/yyyy57</v>
      </c>
      <c r="B783" s="169">
        <f t="shared" si="25"/>
        <v>57</v>
      </c>
    </row>
    <row r="784" spans="1:2" ht="30" customHeight="1" x14ac:dyDescent="0.2">
      <c r="A784" s="176" t="str">
        <f t="shared" si="24"/>
        <v>00/01/yyyy58</v>
      </c>
      <c r="B784" s="169">
        <f t="shared" si="25"/>
        <v>58</v>
      </c>
    </row>
    <row r="785" spans="1:2" ht="30" customHeight="1" x14ac:dyDescent="0.2">
      <c r="A785" s="176" t="str">
        <f t="shared" si="24"/>
        <v>00/01/yyyy59</v>
      </c>
      <c r="B785" s="169">
        <f t="shared" si="25"/>
        <v>59</v>
      </c>
    </row>
    <row r="786" spans="1:2" ht="30" customHeight="1" x14ac:dyDescent="0.2">
      <c r="A786" s="176" t="str">
        <f t="shared" si="24"/>
        <v>00/01/yyyy60</v>
      </c>
      <c r="B786" s="169">
        <f t="shared" si="25"/>
        <v>60</v>
      </c>
    </row>
    <row r="787" spans="1:2" ht="30" customHeight="1" x14ac:dyDescent="0.2">
      <c r="A787" s="176" t="str">
        <f t="shared" si="24"/>
        <v>00/01/yyyy61</v>
      </c>
      <c r="B787" s="169">
        <f t="shared" si="25"/>
        <v>61</v>
      </c>
    </row>
    <row r="788" spans="1:2" ht="30" customHeight="1" x14ac:dyDescent="0.2">
      <c r="A788" s="176" t="str">
        <f t="shared" si="24"/>
        <v>00/01/yyyy62</v>
      </c>
      <c r="B788" s="169">
        <f t="shared" si="25"/>
        <v>62</v>
      </c>
    </row>
    <row r="789" spans="1:2" ht="30" customHeight="1" x14ac:dyDescent="0.2">
      <c r="A789" s="176" t="str">
        <f t="shared" si="24"/>
        <v>00/01/yyyy63</v>
      </c>
      <c r="B789" s="169">
        <f t="shared" si="25"/>
        <v>63</v>
      </c>
    </row>
    <row r="790" spans="1:2" ht="30" customHeight="1" x14ac:dyDescent="0.2">
      <c r="A790" s="176" t="str">
        <f t="shared" si="24"/>
        <v>00/01/yyyy64</v>
      </c>
      <c r="B790" s="169">
        <f t="shared" si="25"/>
        <v>64</v>
      </c>
    </row>
    <row r="791" spans="1:2" ht="30" customHeight="1" x14ac:dyDescent="0.2">
      <c r="A791" s="176" t="str">
        <f t="shared" si="24"/>
        <v>00/01/yyyy65</v>
      </c>
      <c r="B791" s="169">
        <f t="shared" si="25"/>
        <v>65</v>
      </c>
    </row>
    <row r="792" spans="1:2" ht="30" customHeight="1" x14ac:dyDescent="0.2">
      <c r="A792" s="176" t="str">
        <f t="shared" si="24"/>
        <v>00/01/yyyy66</v>
      </c>
      <c r="B792" s="169">
        <f t="shared" si="25"/>
        <v>66</v>
      </c>
    </row>
    <row r="793" spans="1:2" ht="30" customHeight="1" x14ac:dyDescent="0.2">
      <c r="A793" s="176" t="str">
        <f t="shared" si="24"/>
        <v>00/01/yyyy67</v>
      </c>
      <c r="B793" s="169">
        <f t="shared" si="25"/>
        <v>67</v>
      </c>
    </row>
    <row r="794" spans="1:2" ht="30" customHeight="1" x14ac:dyDescent="0.2">
      <c r="A794" s="176" t="str">
        <f t="shared" si="24"/>
        <v>00/01/yyyy68</v>
      </c>
      <c r="B794" s="169">
        <f t="shared" si="25"/>
        <v>68</v>
      </c>
    </row>
    <row r="795" spans="1:2" ht="30" customHeight="1" x14ac:dyDescent="0.2">
      <c r="A795" s="176" t="str">
        <f t="shared" si="24"/>
        <v>00/01/yyyy69</v>
      </c>
      <c r="B795" s="169">
        <f t="shared" si="25"/>
        <v>69</v>
      </c>
    </row>
    <row r="796" spans="1:2" ht="30" customHeight="1" x14ac:dyDescent="0.2">
      <c r="A796" s="176" t="str">
        <f t="shared" si="24"/>
        <v>00/01/yyyy70</v>
      </c>
      <c r="B796" s="169">
        <f t="shared" si="25"/>
        <v>70</v>
      </c>
    </row>
    <row r="797" spans="1:2" ht="30" customHeight="1" x14ac:dyDescent="0.2">
      <c r="A797" s="176" t="str">
        <f t="shared" si="24"/>
        <v>00/01/yyyy71</v>
      </c>
      <c r="B797" s="169">
        <f t="shared" si="25"/>
        <v>71</v>
      </c>
    </row>
    <row r="798" spans="1:2" ht="30" customHeight="1" x14ac:dyDescent="0.2">
      <c r="A798" s="176" t="str">
        <f t="shared" si="24"/>
        <v>00/01/yyyy72</v>
      </c>
      <c r="B798" s="169">
        <f t="shared" si="25"/>
        <v>72</v>
      </c>
    </row>
    <row r="799" spans="1:2" ht="30" customHeight="1" x14ac:dyDescent="0.2">
      <c r="A799" s="176" t="str">
        <f t="shared" si="24"/>
        <v>00/01/yyyy73</v>
      </c>
      <c r="B799" s="169">
        <f t="shared" si="25"/>
        <v>73</v>
      </c>
    </row>
    <row r="800" spans="1:2" ht="30" customHeight="1" x14ac:dyDescent="0.2">
      <c r="A800" s="176" t="str">
        <f t="shared" si="24"/>
        <v>00/01/yyyy74</v>
      </c>
      <c r="B800" s="169">
        <f t="shared" si="25"/>
        <v>74</v>
      </c>
    </row>
    <row r="801" spans="1:2" ht="30" customHeight="1" x14ac:dyDescent="0.2">
      <c r="A801" s="176" t="str">
        <f t="shared" si="24"/>
        <v>00/01/yyyy75</v>
      </c>
      <c r="B801" s="169">
        <f t="shared" si="25"/>
        <v>75</v>
      </c>
    </row>
    <row r="802" spans="1:2" ht="30" customHeight="1" x14ac:dyDescent="0.2">
      <c r="A802" s="176" t="str">
        <f t="shared" si="24"/>
        <v>00/01/yyyy76</v>
      </c>
      <c r="B802" s="169">
        <f t="shared" si="25"/>
        <v>76</v>
      </c>
    </row>
    <row r="803" spans="1:2" ht="30" customHeight="1" x14ac:dyDescent="0.2">
      <c r="A803" s="176" t="str">
        <f t="shared" si="24"/>
        <v>00/01/yyyy77</v>
      </c>
      <c r="B803" s="169">
        <f t="shared" si="25"/>
        <v>77</v>
      </c>
    </row>
    <row r="804" spans="1:2" ht="30" customHeight="1" x14ac:dyDescent="0.2">
      <c r="A804" s="176" t="str">
        <f t="shared" si="24"/>
        <v>00/01/yyyy78</v>
      </c>
      <c r="B804" s="169">
        <f t="shared" si="25"/>
        <v>78</v>
      </c>
    </row>
    <row r="805" spans="1:2" ht="30" customHeight="1" x14ac:dyDescent="0.2">
      <c r="A805" s="176" t="str">
        <f t="shared" si="24"/>
        <v>00/01/yyyy79</v>
      </c>
      <c r="B805" s="169">
        <f t="shared" si="25"/>
        <v>79</v>
      </c>
    </row>
    <row r="806" spans="1:2" ht="30" customHeight="1" x14ac:dyDescent="0.2">
      <c r="A806" s="176" t="str">
        <f t="shared" si="24"/>
        <v>00/01/yyyy80</v>
      </c>
      <c r="B806" s="169">
        <f t="shared" si="25"/>
        <v>80</v>
      </c>
    </row>
    <row r="807" spans="1:2" ht="30" customHeight="1" x14ac:dyDescent="0.2">
      <c r="A807" s="176" t="str">
        <f t="shared" si="24"/>
        <v>00/01/yyyy81</v>
      </c>
      <c r="B807" s="169">
        <f t="shared" si="25"/>
        <v>81</v>
      </c>
    </row>
    <row r="808" spans="1:2" ht="30" customHeight="1" x14ac:dyDescent="0.2">
      <c r="A808" s="176" t="str">
        <f t="shared" si="24"/>
        <v>00/01/yyyy82</v>
      </c>
      <c r="B808" s="169">
        <f t="shared" si="25"/>
        <v>82</v>
      </c>
    </row>
    <row r="809" spans="1:2" ht="30" customHeight="1" x14ac:dyDescent="0.2">
      <c r="A809" s="176" t="str">
        <f t="shared" si="24"/>
        <v>00/01/yyyy83</v>
      </c>
      <c r="B809" s="169">
        <f t="shared" si="25"/>
        <v>83</v>
      </c>
    </row>
    <row r="810" spans="1:2" ht="30" customHeight="1" x14ac:dyDescent="0.2">
      <c r="A810" s="176" t="str">
        <f t="shared" si="24"/>
        <v>00/01/yyyy84</v>
      </c>
      <c r="B810" s="169">
        <f t="shared" si="25"/>
        <v>84</v>
      </c>
    </row>
    <row r="811" spans="1:2" ht="30" customHeight="1" x14ac:dyDescent="0.2">
      <c r="A811" s="176" t="str">
        <f t="shared" si="24"/>
        <v>00/01/yyyy85</v>
      </c>
      <c r="B811" s="169">
        <f t="shared" si="25"/>
        <v>85</v>
      </c>
    </row>
    <row r="812" spans="1:2" ht="30" customHeight="1" x14ac:dyDescent="0.2">
      <c r="A812" s="176" t="str">
        <f t="shared" si="24"/>
        <v>00/01/yyyy86</v>
      </c>
      <c r="B812" s="169">
        <f t="shared" si="25"/>
        <v>86</v>
      </c>
    </row>
    <row r="813" spans="1:2" ht="30" customHeight="1" x14ac:dyDescent="0.2">
      <c r="A813" s="176" t="str">
        <f t="shared" si="24"/>
        <v>00/01/yyyy87</v>
      </c>
      <c r="B813" s="169">
        <f t="shared" si="25"/>
        <v>87</v>
      </c>
    </row>
    <row r="814" spans="1:2" ht="30" customHeight="1" x14ac:dyDescent="0.2">
      <c r="A814" s="176" t="str">
        <f t="shared" si="24"/>
        <v>00/01/yyyy88</v>
      </c>
      <c r="B814" s="169">
        <f t="shared" si="25"/>
        <v>88</v>
      </c>
    </row>
    <row r="815" spans="1:2" ht="30" customHeight="1" x14ac:dyDescent="0.2">
      <c r="A815" s="176" t="str">
        <f t="shared" si="24"/>
        <v>00/01/yyyy89</v>
      </c>
      <c r="B815" s="169">
        <f t="shared" si="25"/>
        <v>89</v>
      </c>
    </row>
    <row r="816" spans="1:2" ht="30" customHeight="1" x14ac:dyDescent="0.2">
      <c r="A816" s="176" t="str">
        <f t="shared" si="24"/>
        <v>00/01/yyyy90</v>
      </c>
      <c r="B816" s="169">
        <f t="shared" si="25"/>
        <v>90</v>
      </c>
    </row>
    <row r="817" spans="1:2" ht="30" customHeight="1" x14ac:dyDescent="0.2">
      <c r="A817" s="176" t="str">
        <f t="shared" si="24"/>
        <v>00/01/yyyy91</v>
      </c>
      <c r="B817" s="169">
        <f t="shared" si="25"/>
        <v>91</v>
      </c>
    </row>
    <row r="818" spans="1:2" ht="30" customHeight="1" x14ac:dyDescent="0.2">
      <c r="A818" s="176" t="str">
        <f t="shared" si="24"/>
        <v>00/01/yyyy92</v>
      </c>
      <c r="B818" s="169">
        <f t="shared" si="25"/>
        <v>92</v>
      </c>
    </row>
    <row r="819" spans="1:2" ht="30" customHeight="1" x14ac:dyDescent="0.2">
      <c r="A819" s="176" t="str">
        <f t="shared" si="24"/>
        <v>00/01/yyyy93</v>
      </c>
      <c r="B819" s="169">
        <f t="shared" si="25"/>
        <v>93</v>
      </c>
    </row>
    <row r="820" spans="1:2" ht="30" customHeight="1" x14ac:dyDescent="0.2">
      <c r="A820" s="176" t="str">
        <f t="shared" si="24"/>
        <v>00/01/yyyy94</v>
      </c>
      <c r="B820" s="169">
        <f t="shared" si="25"/>
        <v>94</v>
      </c>
    </row>
    <row r="821" spans="1:2" ht="30" customHeight="1" x14ac:dyDescent="0.2">
      <c r="A821" s="176" t="str">
        <f t="shared" si="24"/>
        <v>00/01/yyyy95</v>
      </c>
      <c r="B821" s="169">
        <f t="shared" si="25"/>
        <v>95</v>
      </c>
    </row>
    <row r="822" spans="1:2" ht="30" customHeight="1" x14ac:dyDescent="0.2">
      <c r="A822" s="176" t="str">
        <f t="shared" si="24"/>
        <v>00/01/yyyy96</v>
      </c>
      <c r="B822" s="169">
        <f t="shared" si="25"/>
        <v>96</v>
      </c>
    </row>
    <row r="823" spans="1:2" ht="30" customHeight="1" x14ac:dyDescent="0.2">
      <c r="A823" s="176" t="str">
        <f t="shared" si="24"/>
        <v>00/01/yyyy97</v>
      </c>
      <c r="B823" s="169">
        <f t="shared" si="25"/>
        <v>97</v>
      </c>
    </row>
    <row r="824" spans="1:2" ht="30" customHeight="1" x14ac:dyDescent="0.2">
      <c r="A824" s="176" t="str">
        <f t="shared" si="24"/>
        <v>00/01/yyyy98</v>
      </c>
      <c r="B824" s="169">
        <f t="shared" si="25"/>
        <v>98</v>
      </c>
    </row>
    <row r="825" spans="1:2" ht="30" customHeight="1" x14ac:dyDescent="0.2">
      <c r="A825" s="176" t="str">
        <f t="shared" si="24"/>
        <v>00/01/yyyy99</v>
      </c>
      <c r="B825" s="169">
        <f t="shared" si="25"/>
        <v>99</v>
      </c>
    </row>
    <row r="826" spans="1:2" ht="30" customHeight="1" x14ac:dyDescent="0.2">
      <c r="A826" s="176" t="str">
        <f t="shared" si="24"/>
        <v>00/01/yyyy100</v>
      </c>
      <c r="B826" s="169">
        <f t="shared" si="25"/>
        <v>100</v>
      </c>
    </row>
    <row r="827" spans="1:2" ht="30" customHeight="1" x14ac:dyDescent="0.2">
      <c r="A827" s="176" t="str">
        <f t="shared" si="24"/>
        <v>00/01/yyyy101</v>
      </c>
      <c r="B827" s="169">
        <f t="shared" si="25"/>
        <v>101</v>
      </c>
    </row>
    <row r="828" spans="1:2" ht="30" customHeight="1" x14ac:dyDescent="0.2">
      <c r="A828" s="176" t="str">
        <f t="shared" si="24"/>
        <v>00/01/yyyy102</v>
      </c>
      <c r="B828" s="169">
        <f t="shared" si="25"/>
        <v>102</v>
      </c>
    </row>
    <row r="829" spans="1:2" ht="30" customHeight="1" x14ac:dyDescent="0.2">
      <c r="A829" s="176" t="str">
        <f t="shared" si="24"/>
        <v>00/01/yyyy103</v>
      </c>
      <c r="B829" s="169">
        <f t="shared" si="25"/>
        <v>103</v>
      </c>
    </row>
    <row r="830" spans="1:2" ht="30" customHeight="1" x14ac:dyDescent="0.2">
      <c r="A830" s="176" t="str">
        <f t="shared" si="24"/>
        <v>00/01/yyyy104</v>
      </c>
      <c r="B830" s="169">
        <f t="shared" si="25"/>
        <v>104</v>
      </c>
    </row>
    <row r="831" spans="1:2" ht="30" customHeight="1" x14ac:dyDescent="0.2">
      <c r="A831" s="176" t="str">
        <f t="shared" si="24"/>
        <v>00/01/yyyy105</v>
      </c>
      <c r="B831" s="169">
        <f t="shared" si="25"/>
        <v>105</v>
      </c>
    </row>
    <row r="832" spans="1:2" ht="30" customHeight="1" x14ac:dyDescent="0.2">
      <c r="A832" s="176" t="str">
        <f t="shared" si="24"/>
        <v>00/01/yyyy106</v>
      </c>
      <c r="B832" s="169">
        <f t="shared" si="25"/>
        <v>106</v>
      </c>
    </row>
    <row r="833" spans="1:2" ht="30" customHeight="1" x14ac:dyDescent="0.2">
      <c r="A833" s="176" t="str">
        <f t="shared" si="24"/>
        <v>00/01/yyyy107</v>
      </c>
      <c r="B833" s="169">
        <f t="shared" si="25"/>
        <v>107</v>
      </c>
    </row>
    <row r="834" spans="1:2" ht="30" customHeight="1" x14ac:dyDescent="0.2">
      <c r="A834" s="176" t="str">
        <f t="shared" si="24"/>
        <v>00/01/yyyy108</v>
      </c>
      <c r="B834" s="169">
        <f t="shared" si="25"/>
        <v>108</v>
      </c>
    </row>
    <row r="835" spans="1:2" ht="30" customHeight="1" x14ac:dyDescent="0.2">
      <c r="A835" s="176" t="str">
        <f t="shared" ref="A835:A898" si="26">CONCATENATE(TEXT($G835,"dd/mm/yyyy"),$B835)</f>
        <v>00/01/yyyy109</v>
      </c>
      <c r="B835" s="169">
        <f t="shared" si="25"/>
        <v>109</v>
      </c>
    </row>
    <row r="836" spans="1:2" ht="30" customHeight="1" x14ac:dyDescent="0.2">
      <c r="A836" s="176" t="str">
        <f t="shared" si="26"/>
        <v>00/01/yyyy110</v>
      </c>
      <c r="B836" s="169">
        <f t="shared" ref="B836:B899" si="27">IF($G836=$G835,$B835+1,1)</f>
        <v>110</v>
      </c>
    </row>
    <row r="837" spans="1:2" ht="30" customHeight="1" x14ac:dyDescent="0.2">
      <c r="A837" s="176" t="str">
        <f t="shared" si="26"/>
        <v>00/01/yyyy111</v>
      </c>
      <c r="B837" s="169">
        <f t="shared" si="27"/>
        <v>111</v>
      </c>
    </row>
    <row r="838" spans="1:2" ht="30" customHeight="1" x14ac:dyDescent="0.2">
      <c r="A838" s="176" t="str">
        <f t="shared" si="26"/>
        <v>00/01/yyyy112</v>
      </c>
      <c r="B838" s="169">
        <f t="shared" si="27"/>
        <v>112</v>
      </c>
    </row>
    <row r="839" spans="1:2" ht="30" customHeight="1" x14ac:dyDescent="0.2">
      <c r="A839" s="176" t="str">
        <f t="shared" si="26"/>
        <v>00/01/yyyy113</v>
      </c>
      <c r="B839" s="169">
        <f t="shared" si="27"/>
        <v>113</v>
      </c>
    </row>
    <row r="840" spans="1:2" ht="30" customHeight="1" x14ac:dyDescent="0.2">
      <c r="A840" s="176" t="str">
        <f t="shared" si="26"/>
        <v>00/01/yyyy114</v>
      </c>
      <c r="B840" s="169">
        <f t="shared" si="27"/>
        <v>114</v>
      </c>
    </row>
    <row r="841" spans="1:2" ht="30" customHeight="1" x14ac:dyDescent="0.2">
      <c r="A841" s="176" t="str">
        <f t="shared" si="26"/>
        <v>00/01/yyyy115</v>
      </c>
      <c r="B841" s="169">
        <f t="shared" si="27"/>
        <v>115</v>
      </c>
    </row>
    <row r="842" spans="1:2" ht="30" customHeight="1" x14ac:dyDescent="0.2">
      <c r="A842" s="176" t="str">
        <f t="shared" si="26"/>
        <v>00/01/yyyy116</v>
      </c>
      <c r="B842" s="169">
        <f t="shared" si="27"/>
        <v>116</v>
      </c>
    </row>
    <row r="843" spans="1:2" ht="30" customHeight="1" x14ac:dyDescent="0.2">
      <c r="A843" s="176" t="str">
        <f t="shared" si="26"/>
        <v>00/01/yyyy117</v>
      </c>
      <c r="B843" s="169">
        <f t="shared" si="27"/>
        <v>117</v>
      </c>
    </row>
    <row r="844" spans="1:2" ht="30" customHeight="1" x14ac:dyDescent="0.2">
      <c r="A844" s="176" t="str">
        <f t="shared" si="26"/>
        <v>00/01/yyyy118</v>
      </c>
      <c r="B844" s="169">
        <f t="shared" si="27"/>
        <v>118</v>
      </c>
    </row>
    <row r="845" spans="1:2" ht="30" customHeight="1" x14ac:dyDescent="0.2">
      <c r="A845" s="176" t="str">
        <f t="shared" si="26"/>
        <v>00/01/yyyy119</v>
      </c>
      <c r="B845" s="169">
        <f t="shared" si="27"/>
        <v>119</v>
      </c>
    </row>
    <row r="846" spans="1:2" ht="30" customHeight="1" x14ac:dyDescent="0.2">
      <c r="A846" s="176" t="str">
        <f t="shared" si="26"/>
        <v>00/01/yyyy120</v>
      </c>
      <c r="B846" s="169">
        <f t="shared" si="27"/>
        <v>120</v>
      </c>
    </row>
    <row r="847" spans="1:2" ht="30" customHeight="1" x14ac:dyDescent="0.2">
      <c r="A847" s="176" t="str">
        <f t="shared" si="26"/>
        <v>00/01/yyyy121</v>
      </c>
      <c r="B847" s="169">
        <f t="shared" si="27"/>
        <v>121</v>
      </c>
    </row>
    <row r="848" spans="1:2" ht="30" customHeight="1" x14ac:dyDescent="0.2">
      <c r="A848" s="176" t="str">
        <f t="shared" si="26"/>
        <v>00/01/yyyy122</v>
      </c>
      <c r="B848" s="169">
        <f t="shared" si="27"/>
        <v>122</v>
      </c>
    </row>
    <row r="849" spans="1:2" ht="30" customHeight="1" x14ac:dyDescent="0.2">
      <c r="A849" s="176" t="str">
        <f t="shared" si="26"/>
        <v>00/01/yyyy123</v>
      </c>
      <c r="B849" s="169">
        <f t="shared" si="27"/>
        <v>123</v>
      </c>
    </row>
    <row r="850" spans="1:2" ht="30" customHeight="1" x14ac:dyDescent="0.2">
      <c r="A850" s="176" t="str">
        <f t="shared" si="26"/>
        <v>00/01/yyyy124</v>
      </c>
      <c r="B850" s="169">
        <f t="shared" si="27"/>
        <v>124</v>
      </c>
    </row>
    <row r="851" spans="1:2" ht="30" customHeight="1" x14ac:dyDescent="0.2">
      <c r="A851" s="176" t="str">
        <f t="shared" si="26"/>
        <v>00/01/yyyy125</v>
      </c>
      <c r="B851" s="169">
        <f t="shared" si="27"/>
        <v>125</v>
      </c>
    </row>
    <row r="852" spans="1:2" ht="30" customHeight="1" x14ac:dyDescent="0.2">
      <c r="A852" s="176" t="str">
        <f t="shared" si="26"/>
        <v>00/01/yyyy126</v>
      </c>
      <c r="B852" s="169">
        <f t="shared" si="27"/>
        <v>126</v>
      </c>
    </row>
    <row r="853" spans="1:2" ht="30" customHeight="1" x14ac:dyDescent="0.2">
      <c r="A853" s="176" t="str">
        <f t="shared" si="26"/>
        <v>00/01/yyyy127</v>
      </c>
      <c r="B853" s="169">
        <f t="shared" si="27"/>
        <v>127</v>
      </c>
    </row>
    <row r="854" spans="1:2" ht="30" customHeight="1" x14ac:dyDescent="0.2">
      <c r="A854" s="176" t="str">
        <f t="shared" si="26"/>
        <v>00/01/yyyy128</v>
      </c>
      <c r="B854" s="169">
        <f t="shared" si="27"/>
        <v>128</v>
      </c>
    </row>
    <row r="855" spans="1:2" ht="30" customHeight="1" x14ac:dyDescent="0.2">
      <c r="A855" s="176" t="str">
        <f t="shared" si="26"/>
        <v>00/01/yyyy129</v>
      </c>
      <c r="B855" s="169">
        <f t="shared" si="27"/>
        <v>129</v>
      </c>
    </row>
    <row r="856" spans="1:2" ht="30" customHeight="1" x14ac:dyDescent="0.2">
      <c r="A856" s="176" t="str">
        <f t="shared" si="26"/>
        <v>00/01/yyyy130</v>
      </c>
      <c r="B856" s="169">
        <f t="shared" si="27"/>
        <v>130</v>
      </c>
    </row>
    <row r="857" spans="1:2" ht="30" customHeight="1" x14ac:dyDescent="0.2">
      <c r="A857" s="176" t="str">
        <f t="shared" si="26"/>
        <v>00/01/yyyy131</v>
      </c>
      <c r="B857" s="169">
        <f t="shared" si="27"/>
        <v>131</v>
      </c>
    </row>
    <row r="858" spans="1:2" ht="30" customHeight="1" x14ac:dyDescent="0.2">
      <c r="A858" s="176" t="str">
        <f t="shared" si="26"/>
        <v>00/01/yyyy132</v>
      </c>
      <c r="B858" s="169">
        <f t="shared" si="27"/>
        <v>132</v>
      </c>
    </row>
    <row r="859" spans="1:2" ht="30" customHeight="1" x14ac:dyDescent="0.2">
      <c r="A859" s="176" t="str">
        <f t="shared" si="26"/>
        <v>00/01/yyyy133</v>
      </c>
      <c r="B859" s="169">
        <f t="shared" si="27"/>
        <v>133</v>
      </c>
    </row>
    <row r="860" spans="1:2" ht="30" customHeight="1" x14ac:dyDescent="0.2">
      <c r="A860" s="176" t="str">
        <f t="shared" si="26"/>
        <v>00/01/yyyy134</v>
      </c>
      <c r="B860" s="169">
        <f t="shared" si="27"/>
        <v>134</v>
      </c>
    </row>
    <row r="861" spans="1:2" ht="30" customHeight="1" x14ac:dyDescent="0.2">
      <c r="A861" s="176" t="str">
        <f t="shared" si="26"/>
        <v>00/01/yyyy135</v>
      </c>
      <c r="B861" s="169">
        <f t="shared" si="27"/>
        <v>135</v>
      </c>
    </row>
    <row r="862" spans="1:2" ht="30" customHeight="1" x14ac:dyDescent="0.2">
      <c r="A862" s="176" t="str">
        <f t="shared" si="26"/>
        <v>00/01/yyyy136</v>
      </c>
      <c r="B862" s="169">
        <f t="shared" si="27"/>
        <v>136</v>
      </c>
    </row>
    <row r="863" spans="1:2" ht="30" customHeight="1" x14ac:dyDescent="0.2">
      <c r="A863" s="176" t="str">
        <f t="shared" si="26"/>
        <v>00/01/yyyy137</v>
      </c>
      <c r="B863" s="169">
        <f t="shared" si="27"/>
        <v>137</v>
      </c>
    </row>
    <row r="864" spans="1:2" ht="30" customHeight="1" x14ac:dyDescent="0.2">
      <c r="A864" s="176" t="str">
        <f t="shared" si="26"/>
        <v>00/01/yyyy138</v>
      </c>
      <c r="B864" s="169">
        <f t="shared" si="27"/>
        <v>138</v>
      </c>
    </row>
    <row r="865" spans="1:2" ht="30" customHeight="1" x14ac:dyDescent="0.2">
      <c r="A865" s="176" t="str">
        <f t="shared" si="26"/>
        <v>00/01/yyyy139</v>
      </c>
      <c r="B865" s="169">
        <f t="shared" si="27"/>
        <v>139</v>
      </c>
    </row>
    <row r="866" spans="1:2" ht="30" customHeight="1" x14ac:dyDescent="0.2">
      <c r="A866" s="176" t="str">
        <f t="shared" si="26"/>
        <v>00/01/yyyy140</v>
      </c>
      <c r="B866" s="169">
        <f t="shared" si="27"/>
        <v>140</v>
      </c>
    </row>
    <row r="867" spans="1:2" ht="30" customHeight="1" x14ac:dyDescent="0.2">
      <c r="A867" s="176" t="str">
        <f t="shared" si="26"/>
        <v>00/01/yyyy141</v>
      </c>
      <c r="B867" s="169">
        <f t="shared" si="27"/>
        <v>141</v>
      </c>
    </row>
    <row r="868" spans="1:2" ht="30" customHeight="1" x14ac:dyDescent="0.2">
      <c r="A868" s="176" t="str">
        <f t="shared" si="26"/>
        <v>00/01/yyyy142</v>
      </c>
      <c r="B868" s="169">
        <f t="shared" si="27"/>
        <v>142</v>
      </c>
    </row>
    <row r="869" spans="1:2" ht="30" customHeight="1" x14ac:dyDescent="0.2">
      <c r="A869" s="176" t="str">
        <f t="shared" si="26"/>
        <v>00/01/yyyy143</v>
      </c>
      <c r="B869" s="169">
        <f t="shared" si="27"/>
        <v>143</v>
      </c>
    </row>
    <row r="870" spans="1:2" ht="30" customHeight="1" x14ac:dyDescent="0.2">
      <c r="A870" s="176" t="str">
        <f t="shared" si="26"/>
        <v>00/01/yyyy144</v>
      </c>
      <c r="B870" s="169">
        <f t="shared" si="27"/>
        <v>144</v>
      </c>
    </row>
    <row r="871" spans="1:2" ht="30" customHeight="1" x14ac:dyDescent="0.2">
      <c r="A871" s="176" t="str">
        <f t="shared" si="26"/>
        <v>00/01/yyyy145</v>
      </c>
      <c r="B871" s="169">
        <f t="shared" si="27"/>
        <v>145</v>
      </c>
    </row>
    <row r="872" spans="1:2" ht="30" customHeight="1" x14ac:dyDescent="0.2">
      <c r="A872" s="176" t="str">
        <f t="shared" si="26"/>
        <v>00/01/yyyy146</v>
      </c>
      <c r="B872" s="169">
        <f t="shared" si="27"/>
        <v>146</v>
      </c>
    </row>
    <row r="873" spans="1:2" ht="30" customHeight="1" x14ac:dyDescent="0.2">
      <c r="A873" s="176" t="str">
        <f t="shared" si="26"/>
        <v>00/01/yyyy147</v>
      </c>
      <c r="B873" s="169">
        <f t="shared" si="27"/>
        <v>147</v>
      </c>
    </row>
    <row r="874" spans="1:2" ht="30" customHeight="1" x14ac:dyDescent="0.2">
      <c r="A874" s="176" t="str">
        <f t="shared" si="26"/>
        <v>00/01/yyyy148</v>
      </c>
      <c r="B874" s="169">
        <f t="shared" si="27"/>
        <v>148</v>
      </c>
    </row>
    <row r="875" spans="1:2" ht="30" customHeight="1" x14ac:dyDescent="0.2">
      <c r="A875" s="176" t="str">
        <f t="shared" si="26"/>
        <v>00/01/yyyy149</v>
      </c>
      <c r="B875" s="169">
        <f t="shared" si="27"/>
        <v>149</v>
      </c>
    </row>
    <row r="876" spans="1:2" ht="30" customHeight="1" x14ac:dyDescent="0.2">
      <c r="A876" s="176" t="str">
        <f t="shared" si="26"/>
        <v>00/01/yyyy150</v>
      </c>
      <c r="B876" s="169">
        <f t="shared" si="27"/>
        <v>150</v>
      </c>
    </row>
    <row r="877" spans="1:2" ht="30" customHeight="1" x14ac:dyDescent="0.2">
      <c r="A877" s="176" t="str">
        <f t="shared" si="26"/>
        <v>00/01/yyyy151</v>
      </c>
      <c r="B877" s="169">
        <f t="shared" si="27"/>
        <v>151</v>
      </c>
    </row>
    <row r="878" spans="1:2" ht="30" customHeight="1" x14ac:dyDescent="0.2">
      <c r="A878" s="176" t="str">
        <f t="shared" si="26"/>
        <v>00/01/yyyy152</v>
      </c>
      <c r="B878" s="169">
        <f t="shared" si="27"/>
        <v>152</v>
      </c>
    </row>
    <row r="879" spans="1:2" ht="30" customHeight="1" x14ac:dyDescent="0.2">
      <c r="A879" s="176" t="str">
        <f t="shared" si="26"/>
        <v>00/01/yyyy153</v>
      </c>
      <c r="B879" s="169">
        <f t="shared" si="27"/>
        <v>153</v>
      </c>
    </row>
    <row r="880" spans="1:2" ht="30" customHeight="1" x14ac:dyDescent="0.2">
      <c r="A880" s="176" t="str">
        <f t="shared" si="26"/>
        <v>00/01/yyyy154</v>
      </c>
      <c r="B880" s="169">
        <f t="shared" si="27"/>
        <v>154</v>
      </c>
    </row>
    <row r="881" spans="1:2" ht="30" customHeight="1" x14ac:dyDescent="0.2">
      <c r="A881" s="176" t="str">
        <f t="shared" si="26"/>
        <v>00/01/yyyy155</v>
      </c>
      <c r="B881" s="169">
        <f t="shared" si="27"/>
        <v>155</v>
      </c>
    </row>
    <row r="882" spans="1:2" ht="30" customHeight="1" x14ac:dyDescent="0.2">
      <c r="A882" s="176" t="str">
        <f t="shared" si="26"/>
        <v>00/01/yyyy156</v>
      </c>
      <c r="B882" s="169">
        <f t="shared" si="27"/>
        <v>156</v>
      </c>
    </row>
    <row r="883" spans="1:2" ht="30" customHeight="1" x14ac:dyDescent="0.2">
      <c r="A883" s="176" t="str">
        <f t="shared" si="26"/>
        <v>00/01/yyyy157</v>
      </c>
      <c r="B883" s="169">
        <f t="shared" si="27"/>
        <v>157</v>
      </c>
    </row>
    <row r="884" spans="1:2" ht="30" customHeight="1" x14ac:dyDescent="0.2">
      <c r="A884" s="176" t="str">
        <f t="shared" si="26"/>
        <v>00/01/yyyy158</v>
      </c>
      <c r="B884" s="169">
        <f t="shared" si="27"/>
        <v>158</v>
      </c>
    </row>
    <row r="885" spans="1:2" ht="30" customHeight="1" x14ac:dyDescent="0.2">
      <c r="A885" s="176" t="str">
        <f t="shared" si="26"/>
        <v>00/01/yyyy159</v>
      </c>
      <c r="B885" s="169">
        <f t="shared" si="27"/>
        <v>159</v>
      </c>
    </row>
    <row r="886" spans="1:2" ht="30" customHeight="1" x14ac:dyDescent="0.2">
      <c r="A886" s="176" t="str">
        <f t="shared" si="26"/>
        <v>00/01/yyyy160</v>
      </c>
      <c r="B886" s="169">
        <f t="shared" si="27"/>
        <v>160</v>
      </c>
    </row>
    <row r="887" spans="1:2" ht="30" customHeight="1" x14ac:dyDescent="0.2">
      <c r="A887" s="176" t="str">
        <f t="shared" si="26"/>
        <v>00/01/yyyy161</v>
      </c>
      <c r="B887" s="169">
        <f t="shared" si="27"/>
        <v>161</v>
      </c>
    </row>
    <row r="888" spans="1:2" ht="30" customHeight="1" x14ac:dyDescent="0.2">
      <c r="A888" s="176" t="str">
        <f t="shared" si="26"/>
        <v>00/01/yyyy162</v>
      </c>
      <c r="B888" s="169">
        <f t="shared" si="27"/>
        <v>162</v>
      </c>
    </row>
    <row r="889" spans="1:2" ht="30" customHeight="1" x14ac:dyDescent="0.2">
      <c r="A889" s="176" t="str">
        <f t="shared" si="26"/>
        <v>00/01/yyyy163</v>
      </c>
      <c r="B889" s="169">
        <f t="shared" si="27"/>
        <v>163</v>
      </c>
    </row>
    <row r="890" spans="1:2" ht="30" customHeight="1" x14ac:dyDescent="0.2">
      <c r="A890" s="176" t="str">
        <f t="shared" si="26"/>
        <v>00/01/yyyy164</v>
      </c>
      <c r="B890" s="169">
        <f t="shared" si="27"/>
        <v>164</v>
      </c>
    </row>
    <row r="891" spans="1:2" ht="30" customHeight="1" x14ac:dyDescent="0.2">
      <c r="A891" s="176" t="str">
        <f t="shared" si="26"/>
        <v>00/01/yyyy165</v>
      </c>
      <c r="B891" s="169">
        <f t="shared" si="27"/>
        <v>165</v>
      </c>
    </row>
    <row r="892" spans="1:2" ht="30" customHeight="1" x14ac:dyDescent="0.2">
      <c r="A892" s="176" t="str">
        <f t="shared" si="26"/>
        <v>00/01/yyyy166</v>
      </c>
      <c r="B892" s="169">
        <f t="shared" si="27"/>
        <v>166</v>
      </c>
    </row>
    <row r="893" spans="1:2" ht="30" customHeight="1" x14ac:dyDescent="0.2">
      <c r="A893" s="176" t="str">
        <f t="shared" si="26"/>
        <v>00/01/yyyy167</v>
      </c>
      <c r="B893" s="169">
        <f t="shared" si="27"/>
        <v>167</v>
      </c>
    </row>
    <row r="894" spans="1:2" ht="30" customHeight="1" x14ac:dyDescent="0.2">
      <c r="A894" s="176" t="str">
        <f t="shared" si="26"/>
        <v>00/01/yyyy168</v>
      </c>
      <c r="B894" s="169">
        <f t="shared" si="27"/>
        <v>168</v>
      </c>
    </row>
    <row r="895" spans="1:2" ht="30" customHeight="1" x14ac:dyDescent="0.2">
      <c r="A895" s="176" t="str">
        <f t="shared" si="26"/>
        <v>00/01/yyyy169</v>
      </c>
      <c r="B895" s="169">
        <f t="shared" si="27"/>
        <v>169</v>
      </c>
    </row>
    <row r="896" spans="1:2" ht="30" customHeight="1" x14ac:dyDescent="0.2">
      <c r="A896" s="176" t="str">
        <f t="shared" si="26"/>
        <v>00/01/yyyy170</v>
      </c>
      <c r="B896" s="169">
        <f t="shared" si="27"/>
        <v>170</v>
      </c>
    </row>
    <row r="897" spans="1:2" ht="30" customHeight="1" x14ac:dyDescent="0.2">
      <c r="A897" s="176" t="str">
        <f t="shared" si="26"/>
        <v>00/01/yyyy171</v>
      </c>
      <c r="B897" s="169">
        <f t="shared" si="27"/>
        <v>171</v>
      </c>
    </row>
    <row r="898" spans="1:2" ht="30" customHeight="1" x14ac:dyDescent="0.2">
      <c r="A898" s="176" t="str">
        <f t="shared" si="26"/>
        <v>00/01/yyyy172</v>
      </c>
      <c r="B898" s="169">
        <f t="shared" si="27"/>
        <v>172</v>
      </c>
    </row>
    <row r="899" spans="1:2" ht="30" customHeight="1" x14ac:dyDescent="0.2">
      <c r="A899" s="176" t="str">
        <f t="shared" ref="A899:A962" si="28">CONCATENATE(TEXT($G899,"dd/mm/yyyy"),$B899)</f>
        <v>00/01/yyyy173</v>
      </c>
      <c r="B899" s="169">
        <f t="shared" si="27"/>
        <v>173</v>
      </c>
    </row>
    <row r="900" spans="1:2" ht="30" customHeight="1" x14ac:dyDescent="0.2">
      <c r="A900" s="176" t="str">
        <f t="shared" si="28"/>
        <v>00/01/yyyy174</v>
      </c>
      <c r="B900" s="169">
        <f t="shared" ref="B900:B963" si="29">IF($G900=$G899,$B899+1,1)</f>
        <v>174</v>
      </c>
    </row>
    <row r="901" spans="1:2" ht="30" customHeight="1" x14ac:dyDescent="0.2">
      <c r="A901" s="176" t="str">
        <f t="shared" si="28"/>
        <v>00/01/yyyy175</v>
      </c>
      <c r="B901" s="169">
        <f t="shared" si="29"/>
        <v>175</v>
      </c>
    </row>
    <row r="902" spans="1:2" ht="30" customHeight="1" x14ac:dyDescent="0.2">
      <c r="A902" s="176" t="str">
        <f t="shared" si="28"/>
        <v>00/01/yyyy176</v>
      </c>
      <c r="B902" s="169">
        <f t="shared" si="29"/>
        <v>176</v>
      </c>
    </row>
    <row r="903" spans="1:2" ht="30" customHeight="1" x14ac:dyDescent="0.2">
      <c r="A903" s="176" t="str">
        <f t="shared" si="28"/>
        <v>00/01/yyyy177</v>
      </c>
      <c r="B903" s="169">
        <f t="shared" si="29"/>
        <v>177</v>
      </c>
    </row>
    <row r="904" spans="1:2" ht="30" customHeight="1" x14ac:dyDescent="0.2">
      <c r="A904" s="176" t="str">
        <f t="shared" si="28"/>
        <v>00/01/yyyy178</v>
      </c>
      <c r="B904" s="169">
        <f t="shared" si="29"/>
        <v>178</v>
      </c>
    </row>
    <row r="905" spans="1:2" ht="30" customHeight="1" x14ac:dyDescent="0.2">
      <c r="A905" s="176" t="str">
        <f t="shared" si="28"/>
        <v>00/01/yyyy179</v>
      </c>
      <c r="B905" s="169">
        <f t="shared" si="29"/>
        <v>179</v>
      </c>
    </row>
    <row r="906" spans="1:2" ht="30" customHeight="1" x14ac:dyDescent="0.2">
      <c r="A906" s="176" t="str">
        <f t="shared" si="28"/>
        <v>00/01/yyyy180</v>
      </c>
      <c r="B906" s="169">
        <f t="shared" si="29"/>
        <v>180</v>
      </c>
    </row>
    <row r="907" spans="1:2" ht="30" customHeight="1" x14ac:dyDescent="0.2">
      <c r="A907" s="176" t="str">
        <f t="shared" si="28"/>
        <v>00/01/yyyy181</v>
      </c>
      <c r="B907" s="169">
        <f t="shared" si="29"/>
        <v>181</v>
      </c>
    </row>
    <row r="908" spans="1:2" ht="30" customHeight="1" x14ac:dyDescent="0.2">
      <c r="A908" s="176" t="str">
        <f t="shared" si="28"/>
        <v>00/01/yyyy182</v>
      </c>
      <c r="B908" s="169">
        <f t="shared" si="29"/>
        <v>182</v>
      </c>
    </row>
    <row r="909" spans="1:2" ht="30" customHeight="1" x14ac:dyDescent="0.2">
      <c r="A909" s="176" t="str">
        <f t="shared" si="28"/>
        <v>00/01/yyyy183</v>
      </c>
      <c r="B909" s="169">
        <f t="shared" si="29"/>
        <v>183</v>
      </c>
    </row>
    <row r="910" spans="1:2" ht="30" customHeight="1" x14ac:dyDescent="0.2">
      <c r="A910" s="176" t="str">
        <f t="shared" si="28"/>
        <v>00/01/yyyy184</v>
      </c>
      <c r="B910" s="169">
        <f t="shared" si="29"/>
        <v>184</v>
      </c>
    </row>
    <row r="911" spans="1:2" ht="30" customHeight="1" x14ac:dyDescent="0.2">
      <c r="A911" s="176" t="str">
        <f t="shared" si="28"/>
        <v>00/01/yyyy185</v>
      </c>
      <c r="B911" s="169">
        <f t="shared" si="29"/>
        <v>185</v>
      </c>
    </row>
    <row r="912" spans="1:2" ht="30" customHeight="1" x14ac:dyDescent="0.2">
      <c r="A912" s="176" t="str">
        <f t="shared" si="28"/>
        <v>00/01/yyyy186</v>
      </c>
      <c r="B912" s="169">
        <f t="shared" si="29"/>
        <v>186</v>
      </c>
    </row>
    <row r="913" spans="1:2" ht="30" customHeight="1" x14ac:dyDescent="0.2">
      <c r="A913" s="176" t="str">
        <f t="shared" si="28"/>
        <v>00/01/yyyy187</v>
      </c>
      <c r="B913" s="169">
        <f t="shared" si="29"/>
        <v>187</v>
      </c>
    </row>
    <row r="914" spans="1:2" ht="30" customHeight="1" x14ac:dyDescent="0.2">
      <c r="A914" s="176" t="str">
        <f t="shared" si="28"/>
        <v>00/01/yyyy188</v>
      </c>
      <c r="B914" s="169">
        <f t="shared" si="29"/>
        <v>188</v>
      </c>
    </row>
    <row r="915" spans="1:2" ht="30" customHeight="1" x14ac:dyDescent="0.2">
      <c r="A915" s="176" t="str">
        <f t="shared" si="28"/>
        <v>00/01/yyyy189</v>
      </c>
      <c r="B915" s="169">
        <f t="shared" si="29"/>
        <v>189</v>
      </c>
    </row>
    <row r="916" spans="1:2" ht="30" customHeight="1" x14ac:dyDescent="0.2">
      <c r="A916" s="176" t="str">
        <f t="shared" si="28"/>
        <v>00/01/yyyy190</v>
      </c>
      <c r="B916" s="169">
        <f t="shared" si="29"/>
        <v>190</v>
      </c>
    </row>
    <row r="917" spans="1:2" ht="30" customHeight="1" x14ac:dyDescent="0.2">
      <c r="A917" s="176" t="str">
        <f t="shared" si="28"/>
        <v>00/01/yyyy191</v>
      </c>
      <c r="B917" s="169">
        <f t="shared" si="29"/>
        <v>191</v>
      </c>
    </row>
    <row r="918" spans="1:2" ht="30" customHeight="1" x14ac:dyDescent="0.2">
      <c r="A918" s="176" t="str">
        <f t="shared" si="28"/>
        <v>00/01/yyyy192</v>
      </c>
      <c r="B918" s="169">
        <f t="shared" si="29"/>
        <v>192</v>
      </c>
    </row>
    <row r="919" spans="1:2" ht="30" customHeight="1" x14ac:dyDescent="0.2">
      <c r="A919" s="176" t="str">
        <f t="shared" si="28"/>
        <v>00/01/yyyy193</v>
      </c>
      <c r="B919" s="169">
        <f t="shared" si="29"/>
        <v>193</v>
      </c>
    </row>
    <row r="920" spans="1:2" ht="30" customHeight="1" x14ac:dyDescent="0.2">
      <c r="A920" s="176" t="str">
        <f t="shared" si="28"/>
        <v>00/01/yyyy194</v>
      </c>
      <c r="B920" s="169">
        <f t="shared" si="29"/>
        <v>194</v>
      </c>
    </row>
    <row r="921" spans="1:2" ht="30" customHeight="1" x14ac:dyDescent="0.2">
      <c r="A921" s="176" t="str">
        <f t="shared" si="28"/>
        <v>00/01/yyyy195</v>
      </c>
      <c r="B921" s="169">
        <f t="shared" si="29"/>
        <v>195</v>
      </c>
    </row>
    <row r="922" spans="1:2" ht="30" customHeight="1" x14ac:dyDescent="0.2">
      <c r="A922" s="176" t="str">
        <f t="shared" si="28"/>
        <v>00/01/yyyy196</v>
      </c>
      <c r="B922" s="169">
        <f t="shared" si="29"/>
        <v>196</v>
      </c>
    </row>
    <row r="923" spans="1:2" ht="30" customHeight="1" x14ac:dyDescent="0.2">
      <c r="A923" s="176" t="str">
        <f t="shared" si="28"/>
        <v>00/01/yyyy197</v>
      </c>
      <c r="B923" s="169">
        <f t="shared" si="29"/>
        <v>197</v>
      </c>
    </row>
    <row r="924" spans="1:2" ht="30" customHeight="1" x14ac:dyDescent="0.2">
      <c r="A924" s="176" t="str">
        <f t="shared" si="28"/>
        <v>00/01/yyyy198</v>
      </c>
      <c r="B924" s="169">
        <f t="shared" si="29"/>
        <v>198</v>
      </c>
    </row>
    <row r="925" spans="1:2" ht="30" customHeight="1" x14ac:dyDescent="0.2">
      <c r="A925" s="176" t="str">
        <f t="shared" si="28"/>
        <v>00/01/yyyy199</v>
      </c>
      <c r="B925" s="169">
        <f t="shared" si="29"/>
        <v>199</v>
      </c>
    </row>
    <row r="926" spans="1:2" ht="30" customHeight="1" x14ac:dyDescent="0.2">
      <c r="A926" s="176" t="str">
        <f t="shared" si="28"/>
        <v>00/01/yyyy200</v>
      </c>
      <c r="B926" s="169">
        <f t="shared" si="29"/>
        <v>200</v>
      </c>
    </row>
    <row r="927" spans="1:2" ht="30" customHeight="1" x14ac:dyDescent="0.2">
      <c r="A927" s="176" t="str">
        <f t="shared" si="28"/>
        <v>00/01/yyyy201</v>
      </c>
      <c r="B927" s="169">
        <f t="shared" si="29"/>
        <v>201</v>
      </c>
    </row>
    <row r="928" spans="1:2" ht="30" customHeight="1" x14ac:dyDescent="0.2">
      <c r="A928" s="176" t="str">
        <f t="shared" si="28"/>
        <v>00/01/yyyy202</v>
      </c>
      <c r="B928" s="169">
        <f t="shared" si="29"/>
        <v>202</v>
      </c>
    </row>
    <row r="929" spans="1:2" ht="30" customHeight="1" x14ac:dyDescent="0.2">
      <c r="A929" s="176" t="str">
        <f t="shared" si="28"/>
        <v>00/01/yyyy203</v>
      </c>
      <c r="B929" s="169">
        <f t="shared" si="29"/>
        <v>203</v>
      </c>
    </row>
    <row r="930" spans="1:2" ht="30" customHeight="1" x14ac:dyDescent="0.2">
      <c r="A930" s="176" t="str">
        <f t="shared" si="28"/>
        <v>00/01/yyyy204</v>
      </c>
      <c r="B930" s="169">
        <f t="shared" si="29"/>
        <v>204</v>
      </c>
    </row>
    <row r="931" spans="1:2" ht="30" customHeight="1" x14ac:dyDescent="0.2">
      <c r="A931" s="176" t="str">
        <f t="shared" si="28"/>
        <v>00/01/yyyy205</v>
      </c>
      <c r="B931" s="169">
        <f t="shared" si="29"/>
        <v>205</v>
      </c>
    </row>
    <row r="932" spans="1:2" ht="30" customHeight="1" x14ac:dyDescent="0.2">
      <c r="A932" s="176" t="str">
        <f t="shared" si="28"/>
        <v>00/01/yyyy206</v>
      </c>
      <c r="B932" s="169">
        <f t="shared" si="29"/>
        <v>206</v>
      </c>
    </row>
    <row r="933" spans="1:2" ht="30" customHeight="1" x14ac:dyDescent="0.2">
      <c r="A933" s="176" t="str">
        <f t="shared" si="28"/>
        <v>00/01/yyyy207</v>
      </c>
      <c r="B933" s="169">
        <f t="shared" si="29"/>
        <v>207</v>
      </c>
    </row>
    <row r="934" spans="1:2" ht="30" customHeight="1" x14ac:dyDescent="0.2">
      <c r="A934" s="176" t="str">
        <f t="shared" si="28"/>
        <v>00/01/yyyy208</v>
      </c>
      <c r="B934" s="169">
        <f t="shared" si="29"/>
        <v>208</v>
      </c>
    </row>
    <row r="935" spans="1:2" ht="30" customHeight="1" x14ac:dyDescent="0.2">
      <c r="A935" s="176" t="str">
        <f t="shared" si="28"/>
        <v>00/01/yyyy209</v>
      </c>
      <c r="B935" s="169">
        <f t="shared" si="29"/>
        <v>209</v>
      </c>
    </row>
    <row r="936" spans="1:2" ht="30" customHeight="1" x14ac:dyDescent="0.2">
      <c r="A936" s="176" t="str">
        <f t="shared" si="28"/>
        <v>00/01/yyyy210</v>
      </c>
      <c r="B936" s="169">
        <f t="shared" si="29"/>
        <v>210</v>
      </c>
    </row>
    <row r="937" spans="1:2" ht="30" customHeight="1" x14ac:dyDescent="0.2">
      <c r="A937" s="176" t="str">
        <f t="shared" si="28"/>
        <v>00/01/yyyy211</v>
      </c>
      <c r="B937" s="169">
        <f t="shared" si="29"/>
        <v>211</v>
      </c>
    </row>
    <row r="938" spans="1:2" ht="30" customHeight="1" x14ac:dyDescent="0.2">
      <c r="A938" s="176" t="str">
        <f t="shared" si="28"/>
        <v>00/01/yyyy212</v>
      </c>
      <c r="B938" s="169">
        <f t="shared" si="29"/>
        <v>212</v>
      </c>
    </row>
    <row r="939" spans="1:2" ht="30" customHeight="1" x14ac:dyDescent="0.2">
      <c r="A939" s="176" t="str">
        <f t="shared" si="28"/>
        <v>00/01/yyyy213</v>
      </c>
      <c r="B939" s="169">
        <f t="shared" si="29"/>
        <v>213</v>
      </c>
    </row>
    <row r="940" spans="1:2" ht="30" customHeight="1" x14ac:dyDescent="0.2">
      <c r="A940" s="176" t="str">
        <f t="shared" si="28"/>
        <v>00/01/yyyy214</v>
      </c>
      <c r="B940" s="169">
        <f t="shared" si="29"/>
        <v>214</v>
      </c>
    </row>
    <row r="941" spans="1:2" ht="30" customHeight="1" x14ac:dyDescent="0.2">
      <c r="A941" s="176" t="str">
        <f t="shared" si="28"/>
        <v>00/01/yyyy215</v>
      </c>
      <c r="B941" s="169">
        <f t="shared" si="29"/>
        <v>215</v>
      </c>
    </row>
    <row r="942" spans="1:2" ht="30" customHeight="1" x14ac:dyDescent="0.2">
      <c r="A942" s="176" t="str">
        <f t="shared" si="28"/>
        <v>00/01/yyyy216</v>
      </c>
      <c r="B942" s="169">
        <f t="shared" si="29"/>
        <v>216</v>
      </c>
    </row>
    <row r="943" spans="1:2" ht="30" customHeight="1" x14ac:dyDescent="0.2">
      <c r="A943" s="176" t="str">
        <f t="shared" si="28"/>
        <v>00/01/yyyy217</v>
      </c>
      <c r="B943" s="169">
        <f t="shared" si="29"/>
        <v>217</v>
      </c>
    </row>
    <row r="944" spans="1:2" ht="30" customHeight="1" x14ac:dyDescent="0.2">
      <c r="A944" s="176" t="str">
        <f t="shared" si="28"/>
        <v>00/01/yyyy218</v>
      </c>
      <c r="B944" s="169">
        <f t="shared" si="29"/>
        <v>218</v>
      </c>
    </row>
    <row r="945" spans="1:2" ht="30" customHeight="1" x14ac:dyDescent="0.2">
      <c r="A945" s="176" t="str">
        <f t="shared" si="28"/>
        <v>00/01/yyyy219</v>
      </c>
      <c r="B945" s="169">
        <f t="shared" si="29"/>
        <v>219</v>
      </c>
    </row>
    <row r="946" spans="1:2" ht="30" customHeight="1" x14ac:dyDescent="0.2">
      <c r="A946" s="176" t="str">
        <f t="shared" si="28"/>
        <v>00/01/yyyy220</v>
      </c>
      <c r="B946" s="169">
        <f t="shared" si="29"/>
        <v>220</v>
      </c>
    </row>
    <row r="947" spans="1:2" ht="30" customHeight="1" x14ac:dyDescent="0.2">
      <c r="A947" s="176" t="str">
        <f t="shared" si="28"/>
        <v>00/01/yyyy221</v>
      </c>
      <c r="B947" s="169">
        <f t="shared" si="29"/>
        <v>221</v>
      </c>
    </row>
    <row r="948" spans="1:2" ht="30" customHeight="1" x14ac:dyDescent="0.2">
      <c r="A948" s="176" t="str">
        <f t="shared" si="28"/>
        <v>00/01/yyyy222</v>
      </c>
      <c r="B948" s="169">
        <f t="shared" si="29"/>
        <v>222</v>
      </c>
    </row>
    <row r="949" spans="1:2" ht="30" customHeight="1" x14ac:dyDescent="0.2">
      <c r="A949" s="176" t="str">
        <f t="shared" si="28"/>
        <v>00/01/yyyy223</v>
      </c>
      <c r="B949" s="169">
        <f t="shared" si="29"/>
        <v>223</v>
      </c>
    </row>
    <row r="950" spans="1:2" ht="30" customHeight="1" x14ac:dyDescent="0.2">
      <c r="A950" s="176" t="str">
        <f t="shared" si="28"/>
        <v>00/01/yyyy224</v>
      </c>
      <c r="B950" s="169">
        <f t="shared" si="29"/>
        <v>224</v>
      </c>
    </row>
    <row r="951" spans="1:2" ht="30" customHeight="1" x14ac:dyDescent="0.2">
      <c r="A951" s="176" t="str">
        <f t="shared" si="28"/>
        <v>00/01/yyyy225</v>
      </c>
      <c r="B951" s="169">
        <f t="shared" si="29"/>
        <v>225</v>
      </c>
    </row>
    <row r="952" spans="1:2" ht="30" customHeight="1" x14ac:dyDescent="0.2">
      <c r="A952" s="176" t="str">
        <f t="shared" si="28"/>
        <v>00/01/yyyy226</v>
      </c>
      <c r="B952" s="169">
        <f t="shared" si="29"/>
        <v>226</v>
      </c>
    </row>
    <row r="953" spans="1:2" ht="30" customHeight="1" x14ac:dyDescent="0.2">
      <c r="A953" s="176" t="str">
        <f t="shared" si="28"/>
        <v>00/01/yyyy227</v>
      </c>
      <c r="B953" s="169">
        <f t="shared" si="29"/>
        <v>227</v>
      </c>
    </row>
    <row r="954" spans="1:2" ht="30" customHeight="1" x14ac:dyDescent="0.2">
      <c r="A954" s="176" t="str">
        <f t="shared" si="28"/>
        <v>00/01/yyyy228</v>
      </c>
      <c r="B954" s="169">
        <f t="shared" si="29"/>
        <v>228</v>
      </c>
    </row>
    <row r="955" spans="1:2" ht="30" customHeight="1" x14ac:dyDescent="0.2">
      <c r="A955" s="176" t="str">
        <f t="shared" si="28"/>
        <v>00/01/yyyy229</v>
      </c>
      <c r="B955" s="169">
        <f t="shared" si="29"/>
        <v>229</v>
      </c>
    </row>
    <row r="956" spans="1:2" ht="30" customHeight="1" x14ac:dyDescent="0.2">
      <c r="A956" s="176" t="str">
        <f t="shared" si="28"/>
        <v>00/01/yyyy230</v>
      </c>
      <c r="B956" s="169">
        <f t="shared" si="29"/>
        <v>230</v>
      </c>
    </row>
    <row r="957" spans="1:2" ht="30" customHeight="1" x14ac:dyDescent="0.2">
      <c r="A957" s="176" t="str">
        <f t="shared" si="28"/>
        <v>00/01/yyyy231</v>
      </c>
      <c r="B957" s="169">
        <f t="shared" si="29"/>
        <v>231</v>
      </c>
    </row>
    <row r="958" spans="1:2" ht="30" customHeight="1" x14ac:dyDescent="0.2">
      <c r="A958" s="176" t="str">
        <f t="shared" si="28"/>
        <v>00/01/yyyy232</v>
      </c>
      <c r="B958" s="169">
        <f t="shared" si="29"/>
        <v>232</v>
      </c>
    </row>
    <row r="959" spans="1:2" ht="30" customHeight="1" x14ac:dyDescent="0.2">
      <c r="A959" s="176" t="str">
        <f t="shared" si="28"/>
        <v>00/01/yyyy233</v>
      </c>
      <c r="B959" s="169">
        <f t="shared" si="29"/>
        <v>233</v>
      </c>
    </row>
    <row r="960" spans="1:2" ht="30" customHeight="1" x14ac:dyDescent="0.2">
      <c r="A960" s="176" t="str">
        <f t="shared" si="28"/>
        <v>00/01/yyyy234</v>
      </c>
      <c r="B960" s="169">
        <f t="shared" si="29"/>
        <v>234</v>
      </c>
    </row>
    <row r="961" spans="1:2" ht="30" customHeight="1" x14ac:dyDescent="0.2">
      <c r="A961" s="176" t="str">
        <f t="shared" si="28"/>
        <v>00/01/yyyy235</v>
      </c>
      <c r="B961" s="169">
        <f t="shared" si="29"/>
        <v>235</v>
      </c>
    </row>
    <row r="962" spans="1:2" ht="30" customHeight="1" x14ac:dyDescent="0.2">
      <c r="A962" s="176" t="str">
        <f t="shared" si="28"/>
        <v>00/01/yyyy236</v>
      </c>
      <c r="B962" s="169">
        <f t="shared" si="29"/>
        <v>236</v>
      </c>
    </row>
    <row r="963" spans="1:2" ht="30" customHeight="1" x14ac:dyDescent="0.2">
      <c r="A963" s="176" t="str">
        <f t="shared" ref="A963:A1026" si="30">CONCATENATE(TEXT($G963,"dd/mm/yyyy"),$B963)</f>
        <v>00/01/yyyy237</v>
      </c>
      <c r="B963" s="169">
        <f t="shared" si="29"/>
        <v>237</v>
      </c>
    </row>
    <row r="964" spans="1:2" ht="30" customHeight="1" x14ac:dyDescent="0.2">
      <c r="A964" s="176" t="str">
        <f t="shared" si="30"/>
        <v>00/01/yyyy238</v>
      </c>
      <c r="B964" s="169">
        <f t="shared" ref="B964:B1027" si="31">IF($G964=$G963,$B963+1,1)</f>
        <v>238</v>
      </c>
    </row>
    <row r="965" spans="1:2" ht="30" customHeight="1" x14ac:dyDescent="0.2">
      <c r="A965" s="176" t="str">
        <f t="shared" si="30"/>
        <v>00/01/yyyy239</v>
      </c>
      <c r="B965" s="169">
        <f t="shared" si="31"/>
        <v>239</v>
      </c>
    </row>
    <row r="966" spans="1:2" ht="30" customHeight="1" x14ac:dyDescent="0.2">
      <c r="A966" s="176" t="str">
        <f t="shared" si="30"/>
        <v>00/01/yyyy240</v>
      </c>
      <c r="B966" s="169">
        <f t="shared" si="31"/>
        <v>240</v>
      </c>
    </row>
    <row r="967" spans="1:2" ht="30" customHeight="1" x14ac:dyDescent="0.2">
      <c r="A967" s="176" t="str">
        <f t="shared" si="30"/>
        <v>00/01/yyyy241</v>
      </c>
      <c r="B967" s="169">
        <f t="shared" si="31"/>
        <v>241</v>
      </c>
    </row>
    <row r="968" spans="1:2" ht="30" customHeight="1" x14ac:dyDescent="0.2">
      <c r="A968" s="176" t="str">
        <f t="shared" si="30"/>
        <v>00/01/yyyy242</v>
      </c>
      <c r="B968" s="169">
        <f t="shared" si="31"/>
        <v>242</v>
      </c>
    </row>
    <row r="969" spans="1:2" ht="30" customHeight="1" x14ac:dyDescent="0.2">
      <c r="A969" s="176" t="str">
        <f t="shared" si="30"/>
        <v>00/01/yyyy243</v>
      </c>
      <c r="B969" s="169">
        <f t="shared" si="31"/>
        <v>243</v>
      </c>
    </row>
    <row r="970" spans="1:2" ht="30" customHeight="1" x14ac:dyDescent="0.2">
      <c r="A970" s="176" t="str">
        <f t="shared" si="30"/>
        <v>00/01/yyyy244</v>
      </c>
      <c r="B970" s="169">
        <f t="shared" si="31"/>
        <v>244</v>
      </c>
    </row>
    <row r="971" spans="1:2" ht="30" customHeight="1" x14ac:dyDescent="0.2">
      <c r="A971" s="176" t="str">
        <f t="shared" si="30"/>
        <v>00/01/yyyy245</v>
      </c>
      <c r="B971" s="169">
        <f t="shared" si="31"/>
        <v>245</v>
      </c>
    </row>
    <row r="972" spans="1:2" ht="30" customHeight="1" x14ac:dyDescent="0.2">
      <c r="A972" s="176" t="str">
        <f t="shared" si="30"/>
        <v>00/01/yyyy246</v>
      </c>
      <c r="B972" s="169">
        <f t="shared" si="31"/>
        <v>246</v>
      </c>
    </row>
    <row r="973" spans="1:2" ht="30" customHeight="1" x14ac:dyDescent="0.2">
      <c r="A973" s="176" t="str">
        <f t="shared" si="30"/>
        <v>00/01/yyyy247</v>
      </c>
      <c r="B973" s="169">
        <f t="shared" si="31"/>
        <v>247</v>
      </c>
    </row>
    <row r="974" spans="1:2" ht="30" customHeight="1" x14ac:dyDescent="0.2">
      <c r="A974" s="176" t="str">
        <f t="shared" si="30"/>
        <v>00/01/yyyy248</v>
      </c>
      <c r="B974" s="169">
        <f t="shared" si="31"/>
        <v>248</v>
      </c>
    </row>
    <row r="975" spans="1:2" ht="30" customHeight="1" x14ac:dyDescent="0.2">
      <c r="A975" s="176" t="str">
        <f t="shared" si="30"/>
        <v>00/01/yyyy249</v>
      </c>
      <c r="B975" s="169">
        <f t="shared" si="31"/>
        <v>249</v>
      </c>
    </row>
    <row r="976" spans="1:2" ht="30" customHeight="1" x14ac:dyDescent="0.2">
      <c r="A976" s="176" t="str">
        <f t="shared" si="30"/>
        <v>00/01/yyyy250</v>
      </c>
      <c r="B976" s="169">
        <f t="shared" si="31"/>
        <v>250</v>
      </c>
    </row>
    <row r="977" spans="1:2" ht="30" customHeight="1" x14ac:dyDescent="0.2">
      <c r="A977" s="176" t="str">
        <f t="shared" si="30"/>
        <v>00/01/yyyy251</v>
      </c>
      <c r="B977" s="169">
        <f t="shared" si="31"/>
        <v>251</v>
      </c>
    </row>
    <row r="978" spans="1:2" ht="30" customHeight="1" x14ac:dyDescent="0.2">
      <c r="A978" s="176" t="str">
        <f t="shared" si="30"/>
        <v>00/01/yyyy252</v>
      </c>
      <c r="B978" s="169">
        <f t="shared" si="31"/>
        <v>252</v>
      </c>
    </row>
    <row r="979" spans="1:2" ht="30" customHeight="1" x14ac:dyDescent="0.2">
      <c r="A979" s="176" t="str">
        <f t="shared" si="30"/>
        <v>00/01/yyyy253</v>
      </c>
      <c r="B979" s="169">
        <f t="shared" si="31"/>
        <v>253</v>
      </c>
    </row>
    <row r="980" spans="1:2" ht="30" customHeight="1" x14ac:dyDescent="0.2">
      <c r="A980" s="176" t="str">
        <f t="shared" si="30"/>
        <v>00/01/yyyy254</v>
      </c>
      <c r="B980" s="169">
        <f t="shared" si="31"/>
        <v>254</v>
      </c>
    </row>
    <row r="981" spans="1:2" ht="30" customHeight="1" x14ac:dyDescent="0.2">
      <c r="A981" s="176" t="str">
        <f t="shared" si="30"/>
        <v>00/01/yyyy255</v>
      </c>
      <c r="B981" s="169">
        <f t="shared" si="31"/>
        <v>255</v>
      </c>
    </row>
    <row r="982" spans="1:2" ht="30" customHeight="1" x14ac:dyDescent="0.2">
      <c r="A982" s="176" t="str">
        <f t="shared" si="30"/>
        <v>00/01/yyyy256</v>
      </c>
      <c r="B982" s="169">
        <f t="shared" si="31"/>
        <v>256</v>
      </c>
    </row>
    <row r="983" spans="1:2" ht="30" customHeight="1" x14ac:dyDescent="0.2">
      <c r="A983" s="176" t="str">
        <f t="shared" si="30"/>
        <v>00/01/yyyy257</v>
      </c>
      <c r="B983" s="169">
        <f t="shared" si="31"/>
        <v>257</v>
      </c>
    </row>
    <row r="984" spans="1:2" ht="30" customHeight="1" x14ac:dyDescent="0.2">
      <c r="A984" s="176" t="str">
        <f t="shared" si="30"/>
        <v>00/01/yyyy258</v>
      </c>
      <c r="B984" s="169">
        <f t="shared" si="31"/>
        <v>258</v>
      </c>
    </row>
    <row r="985" spans="1:2" ht="30" customHeight="1" x14ac:dyDescent="0.2">
      <c r="A985" s="176" t="str">
        <f t="shared" si="30"/>
        <v>00/01/yyyy259</v>
      </c>
      <c r="B985" s="169">
        <f t="shared" si="31"/>
        <v>259</v>
      </c>
    </row>
    <row r="986" spans="1:2" ht="30" customHeight="1" x14ac:dyDescent="0.2">
      <c r="A986" s="176" t="str">
        <f t="shared" si="30"/>
        <v>00/01/yyyy260</v>
      </c>
      <c r="B986" s="169">
        <f t="shared" si="31"/>
        <v>260</v>
      </c>
    </row>
    <row r="987" spans="1:2" ht="30" customHeight="1" x14ac:dyDescent="0.2">
      <c r="A987" s="176" t="str">
        <f t="shared" si="30"/>
        <v>00/01/yyyy261</v>
      </c>
      <c r="B987" s="169">
        <f t="shared" si="31"/>
        <v>261</v>
      </c>
    </row>
    <row r="988" spans="1:2" ht="30" customHeight="1" x14ac:dyDescent="0.2">
      <c r="A988" s="176" t="str">
        <f t="shared" si="30"/>
        <v>00/01/yyyy262</v>
      </c>
      <c r="B988" s="169">
        <f t="shared" si="31"/>
        <v>262</v>
      </c>
    </row>
    <row r="989" spans="1:2" ht="30" customHeight="1" x14ac:dyDescent="0.2">
      <c r="A989" s="176" t="str">
        <f t="shared" si="30"/>
        <v>00/01/yyyy263</v>
      </c>
      <c r="B989" s="169">
        <f t="shared" si="31"/>
        <v>263</v>
      </c>
    </row>
    <row r="990" spans="1:2" ht="30" customHeight="1" x14ac:dyDescent="0.2">
      <c r="A990" s="176" t="str">
        <f t="shared" si="30"/>
        <v>00/01/yyyy264</v>
      </c>
      <c r="B990" s="169">
        <f t="shared" si="31"/>
        <v>264</v>
      </c>
    </row>
    <row r="991" spans="1:2" ht="30" customHeight="1" x14ac:dyDescent="0.2">
      <c r="A991" s="176" t="str">
        <f t="shared" si="30"/>
        <v>00/01/yyyy265</v>
      </c>
      <c r="B991" s="169">
        <f t="shared" si="31"/>
        <v>265</v>
      </c>
    </row>
    <row r="992" spans="1:2" ht="30" customHeight="1" x14ac:dyDescent="0.2">
      <c r="A992" s="176" t="str">
        <f t="shared" si="30"/>
        <v>00/01/yyyy266</v>
      </c>
      <c r="B992" s="169">
        <f t="shared" si="31"/>
        <v>266</v>
      </c>
    </row>
    <row r="993" spans="1:2" ht="30" customHeight="1" x14ac:dyDescent="0.2">
      <c r="A993" s="176" t="str">
        <f t="shared" si="30"/>
        <v>00/01/yyyy267</v>
      </c>
      <c r="B993" s="169">
        <f t="shared" si="31"/>
        <v>267</v>
      </c>
    </row>
    <row r="994" spans="1:2" ht="30" customHeight="1" x14ac:dyDescent="0.2">
      <c r="A994" s="176" t="str">
        <f t="shared" si="30"/>
        <v>00/01/yyyy268</v>
      </c>
      <c r="B994" s="169">
        <f t="shared" si="31"/>
        <v>268</v>
      </c>
    </row>
    <row r="995" spans="1:2" ht="30" customHeight="1" x14ac:dyDescent="0.2">
      <c r="A995" s="176" t="str">
        <f t="shared" si="30"/>
        <v>00/01/yyyy269</v>
      </c>
      <c r="B995" s="169">
        <f t="shared" si="31"/>
        <v>269</v>
      </c>
    </row>
    <row r="996" spans="1:2" ht="30" customHeight="1" x14ac:dyDescent="0.2">
      <c r="A996" s="176" t="str">
        <f t="shared" si="30"/>
        <v>00/01/yyyy270</v>
      </c>
      <c r="B996" s="169">
        <f t="shared" si="31"/>
        <v>270</v>
      </c>
    </row>
    <row r="997" spans="1:2" ht="30" customHeight="1" x14ac:dyDescent="0.2">
      <c r="A997" s="176" t="str">
        <f t="shared" si="30"/>
        <v>00/01/yyyy271</v>
      </c>
      <c r="B997" s="169">
        <f t="shared" si="31"/>
        <v>271</v>
      </c>
    </row>
    <row r="998" spans="1:2" ht="30" customHeight="1" x14ac:dyDescent="0.2">
      <c r="A998" s="176" t="str">
        <f t="shared" si="30"/>
        <v>00/01/yyyy272</v>
      </c>
      <c r="B998" s="169">
        <f t="shared" si="31"/>
        <v>272</v>
      </c>
    </row>
    <row r="999" spans="1:2" ht="30" customHeight="1" x14ac:dyDescent="0.2">
      <c r="A999" s="176" t="str">
        <f t="shared" si="30"/>
        <v>00/01/yyyy273</v>
      </c>
      <c r="B999" s="169">
        <f t="shared" si="31"/>
        <v>273</v>
      </c>
    </row>
    <row r="1000" spans="1:2" ht="30" customHeight="1" x14ac:dyDescent="0.2">
      <c r="A1000" s="176" t="str">
        <f t="shared" si="30"/>
        <v>00/01/yyyy274</v>
      </c>
      <c r="B1000" s="169">
        <f t="shared" si="31"/>
        <v>274</v>
      </c>
    </row>
    <row r="1001" spans="1:2" ht="30" customHeight="1" x14ac:dyDescent="0.2">
      <c r="A1001" s="176" t="str">
        <f t="shared" si="30"/>
        <v>00/01/yyyy275</v>
      </c>
      <c r="B1001" s="169">
        <f t="shared" si="31"/>
        <v>275</v>
      </c>
    </row>
    <row r="1002" spans="1:2" ht="30" customHeight="1" x14ac:dyDescent="0.2">
      <c r="A1002" s="176" t="str">
        <f t="shared" si="30"/>
        <v>00/01/yyyy276</v>
      </c>
      <c r="B1002" s="169">
        <f t="shared" si="31"/>
        <v>276</v>
      </c>
    </row>
    <row r="1003" spans="1:2" ht="30" customHeight="1" x14ac:dyDescent="0.2">
      <c r="A1003" s="176" t="str">
        <f t="shared" si="30"/>
        <v>00/01/yyyy277</v>
      </c>
      <c r="B1003" s="169">
        <f t="shared" si="31"/>
        <v>277</v>
      </c>
    </row>
    <row r="1004" spans="1:2" ht="30" customHeight="1" x14ac:dyDescent="0.2">
      <c r="A1004" s="176" t="str">
        <f t="shared" si="30"/>
        <v>00/01/yyyy278</v>
      </c>
      <c r="B1004" s="169">
        <f t="shared" si="31"/>
        <v>278</v>
      </c>
    </row>
    <row r="1005" spans="1:2" ht="30" customHeight="1" x14ac:dyDescent="0.2">
      <c r="A1005" s="176" t="str">
        <f t="shared" si="30"/>
        <v>00/01/yyyy279</v>
      </c>
      <c r="B1005" s="169">
        <f t="shared" si="31"/>
        <v>279</v>
      </c>
    </row>
    <row r="1006" spans="1:2" ht="30" customHeight="1" x14ac:dyDescent="0.2">
      <c r="A1006" s="176" t="str">
        <f t="shared" si="30"/>
        <v>00/01/yyyy280</v>
      </c>
      <c r="B1006" s="169">
        <f t="shared" si="31"/>
        <v>280</v>
      </c>
    </row>
    <row r="1007" spans="1:2" ht="30" customHeight="1" x14ac:dyDescent="0.2">
      <c r="A1007" s="176" t="str">
        <f t="shared" si="30"/>
        <v>00/01/yyyy281</v>
      </c>
      <c r="B1007" s="169">
        <f t="shared" si="31"/>
        <v>281</v>
      </c>
    </row>
    <row r="1008" spans="1:2" ht="30" customHeight="1" x14ac:dyDescent="0.2">
      <c r="A1008" s="176" t="str">
        <f t="shared" si="30"/>
        <v>00/01/yyyy282</v>
      </c>
      <c r="B1008" s="169">
        <f t="shared" si="31"/>
        <v>282</v>
      </c>
    </row>
    <row r="1009" spans="1:2" ht="30" customHeight="1" x14ac:dyDescent="0.2">
      <c r="A1009" s="176" t="str">
        <f t="shared" si="30"/>
        <v>00/01/yyyy283</v>
      </c>
      <c r="B1009" s="169">
        <f t="shared" si="31"/>
        <v>283</v>
      </c>
    </row>
    <row r="1010" spans="1:2" ht="30" customHeight="1" x14ac:dyDescent="0.2">
      <c r="A1010" s="176" t="str">
        <f t="shared" si="30"/>
        <v>00/01/yyyy284</v>
      </c>
      <c r="B1010" s="169">
        <f t="shared" si="31"/>
        <v>284</v>
      </c>
    </row>
    <row r="1011" spans="1:2" ht="30" customHeight="1" x14ac:dyDescent="0.2">
      <c r="A1011" s="176" t="str">
        <f t="shared" si="30"/>
        <v>00/01/yyyy285</v>
      </c>
      <c r="B1011" s="169">
        <f t="shared" si="31"/>
        <v>285</v>
      </c>
    </row>
    <row r="1012" spans="1:2" ht="30" customHeight="1" x14ac:dyDescent="0.2">
      <c r="A1012" s="176" t="str">
        <f t="shared" si="30"/>
        <v>00/01/yyyy286</v>
      </c>
      <c r="B1012" s="169">
        <f t="shared" si="31"/>
        <v>286</v>
      </c>
    </row>
    <row r="1013" spans="1:2" ht="30" customHeight="1" x14ac:dyDescent="0.2">
      <c r="A1013" s="176" t="str">
        <f t="shared" si="30"/>
        <v>00/01/yyyy287</v>
      </c>
      <c r="B1013" s="169">
        <f t="shared" si="31"/>
        <v>287</v>
      </c>
    </row>
    <row r="1014" spans="1:2" ht="30" customHeight="1" x14ac:dyDescent="0.2">
      <c r="A1014" s="176" t="str">
        <f t="shared" si="30"/>
        <v>00/01/yyyy288</v>
      </c>
      <c r="B1014" s="169">
        <f t="shared" si="31"/>
        <v>288</v>
      </c>
    </row>
    <row r="1015" spans="1:2" ht="30" customHeight="1" x14ac:dyDescent="0.2">
      <c r="A1015" s="176" t="str">
        <f t="shared" si="30"/>
        <v>00/01/yyyy289</v>
      </c>
      <c r="B1015" s="169">
        <f t="shared" si="31"/>
        <v>289</v>
      </c>
    </row>
    <row r="1016" spans="1:2" ht="30" customHeight="1" x14ac:dyDescent="0.2">
      <c r="A1016" s="176" t="str">
        <f t="shared" si="30"/>
        <v>00/01/yyyy290</v>
      </c>
      <c r="B1016" s="169">
        <f t="shared" si="31"/>
        <v>290</v>
      </c>
    </row>
    <row r="1017" spans="1:2" ht="30" customHeight="1" x14ac:dyDescent="0.2">
      <c r="A1017" s="176" t="str">
        <f t="shared" si="30"/>
        <v>00/01/yyyy291</v>
      </c>
      <c r="B1017" s="169">
        <f t="shared" si="31"/>
        <v>291</v>
      </c>
    </row>
    <row r="1018" spans="1:2" ht="30" customHeight="1" x14ac:dyDescent="0.2">
      <c r="A1018" s="176" t="str">
        <f t="shared" si="30"/>
        <v>00/01/yyyy292</v>
      </c>
      <c r="B1018" s="169">
        <f t="shared" si="31"/>
        <v>292</v>
      </c>
    </row>
    <row r="1019" spans="1:2" ht="30" customHeight="1" x14ac:dyDescent="0.2">
      <c r="A1019" s="176" t="str">
        <f t="shared" si="30"/>
        <v>00/01/yyyy293</v>
      </c>
      <c r="B1019" s="169">
        <f t="shared" si="31"/>
        <v>293</v>
      </c>
    </row>
    <row r="1020" spans="1:2" ht="30" customHeight="1" x14ac:dyDescent="0.2">
      <c r="A1020" s="176" t="str">
        <f t="shared" si="30"/>
        <v>00/01/yyyy294</v>
      </c>
      <c r="B1020" s="169">
        <f t="shared" si="31"/>
        <v>294</v>
      </c>
    </row>
    <row r="1021" spans="1:2" ht="30" customHeight="1" x14ac:dyDescent="0.2">
      <c r="A1021" s="176" t="str">
        <f t="shared" si="30"/>
        <v>00/01/yyyy295</v>
      </c>
      <c r="B1021" s="169">
        <f t="shared" si="31"/>
        <v>295</v>
      </c>
    </row>
    <row r="1022" spans="1:2" ht="30" customHeight="1" x14ac:dyDescent="0.2">
      <c r="A1022" s="176" t="str">
        <f t="shared" si="30"/>
        <v>00/01/yyyy296</v>
      </c>
      <c r="B1022" s="169">
        <f t="shared" si="31"/>
        <v>296</v>
      </c>
    </row>
    <row r="1023" spans="1:2" ht="30" customHeight="1" x14ac:dyDescent="0.2">
      <c r="A1023" s="176" t="str">
        <f t="shared" si="30"/>
        <v>00/01/yyyy297</v>
      </c>
      <c r="B1023" s="169">
        <f t="shared" si="31"/>
        <v>297</v>
      </c>
    </row>
    <row r="1024" spans="1:2" ht="30" customHeight="1" x14ac:dyDescent="0.2">
      <c r="A1024" s="176" t="str">
        <f t="shared" si="30"/>
        <v>00/01/yyyy298</v>
      </c>
      <c r="B1024" s="169">
        <f t="shared" si="31"/>
        <v>298</v>
      </c>
    </row>
    <row r="1025" spans="1:2" ht="30" customHeight="1" x14ac:dyDescent="0.2">
      <c r="A1025" s="176" t="str">
        <f t="shared" si="30"/>
        <v>00/01/yyyy299</v>
      </c>
      <c r="B1025" s="169">
        <f t="shared" si="31"/>
        <v>299</v>
      </c>
    </row>
    <row r="1026" spans="1:2" ht="30" customHeight="1" x14ac:dyDescent="0.2">
      <c r="A1026" s="176" t="str">
        <f t="shared" si="30"/>
        <v>00/01/yyyy300</v>
      </c>
      <c r="B1026" s="169">
        <f t="shared" si="31"/>
        <v>300</v>
      </c>
    </row>
    <row r="1027" spans="1:2" ht="30" customHeight="1" x14ac:dyDescent="0.2">
      <c r="A1027" s="176" t="str">
        <f t="shared" ref="A1027:A1090" si="32">CONCATENATE(TEXT($G1027,"dd/mm/yyyy"),$B1027)</f>
        <v>00/01/yyyy301</v>
      </c>
      <c r="B1027" s="169">
        <f t="shared" si="31"/>
        <v>301</v>
      </c>
    </row>
    <row r="1028" spans="1:2" ht="30" customHeight="1" x14ac:dyDescent="0.2">
      <c r="A1028" s="176" t="str">
        <f t="shared" si="32"/>
        <v>00/01/yyyy302</v>
      </c>
      <c r="B1028" s="169">
        <f t="shared" ref="B1028:B1091" si="33">IF($G1028=$G1027,$B1027+1,1)</f>
        <v>302</v>
      </c>
    </row>
    <row r="1029" spans="1:2" ht="30" customHeight="1" x14ac:dyDescent="0.2">
      <c r="A1029" s="176" t="str">
        <f t="shared" si="32"/>
        <v>00/01/yyyy303</v>
      </c>
      <c r="B1029" s="169">
        <f t="shared" si="33"/>
        <v>303</v>
      </c>
    </row>
    <row r="1030" spans="1:2" ht="30" customHeight="1" x14ac:dyDescent="0.2">
      <c r="A1030" s="176" t="str">
        <f t="shared" si="32"/>
        <v>00/01/yyyy304</v>
      </c>
      <c r="B1030" s="169">
        <f t="shared" si="33"/>
        <v>304</v>
      </c>
    </row>
    <row r="1031" spans="1:2" ht="30" customHeight="1" x14ac:dyDescent="0.2">
      <c r="A1031" s="176" t="str">
        <f t="shared" si="32"/>
        <v>00/01/yyyy305</v>
      </c>
      <c r="B1031" s="169">
        <f t="shared" si="33"/>
        <v>305</v>
      </c>
    </row>
    <row r="1032" spans="1:2" ht="30" customHeight="1" x14ac:dyDescent="0.2">
      <c r="A1032" s="176" t="str">
        <f t="shared" si="32"/>
        <v>00/01/yyyy306</v>
      </c>
      <c r="B1032" s="169">
        <f t="shared" si="33"/>
        <v>306</v>
      </c>
    </row>
    <row r="1033" spans="1:2" ht="30" customHeight="1" x14ac:dyDescent="0.2">
      <c r="A1033" s="176" t="str">
        <f t="shared" si="32"/>
        <v>00/01/yyyy307</v>
      </c>
      <c r="B1033" s="169">
        <f t="shared" si="33"/>
        <v>307</v>
      </c>
    </row>
    <row r="1034" spans="1:2" ht="30" customHeight="1" x14ac:dyDescent="0.2">
      <c r="A1034" s="176" t="str">
        <f t="shared" si="32"/>
        <v>00/01/yyyy308</v>
      </c>
      <c r="B1034" s="169">
        <f t="shared" si="33"/>
        <v>308</v>
      </c>
    </row>
    <row r="1035" spans="1:2" ht="30" customHeight="1" x14ac:dyDescent="0.2">
      <c r="A1035" s="176" t="str">
        <f t="shared" si="32"/>
        <v>00/01/yyyy309</v>
      </c>
      <c r="B1035" s="169">
        <f t="shared" si="33"/>
        <v>309</v>
      </c>
    </row>
    <row r="1036" spans="1:2" ht="30" customHeight="1" x14ac:dyDescent="0.2">
      <c r="A1036" s="176" t="str">
        <f t="shared" si="32"/>
        <v>00/01/yyyy310</v>
      </c>
      <c r="B1036" s="169">
        <f t="shared" si="33"/>
        <v>310</v>
      </c>
    </row>
    <row r="1037" spans="1:2" ht="30" customHeight="1" x14ac:dyDescent="0.2">
      <c r="A1037" s="176" t="str">
        <f t="shared" si="32"/>
        <v>00/01/yyyy311</v>
      </c>
      <c r="B1037" s="169">
        <f t="shared" si="33"/>
        <v>311</v>
      </c>
    </row>
    <row r="1038" spans="1:2" ht="30" customHeight="1" x14ac:dyDescent="0.2">
      <c r="A1038" s="176" t="str">
        <f t="shared" si="32"/>
        <v>00/01/yyyy312</v>
      </c>
      <c r="B1038" s="169">
        <f t="shared" si="33"/>
        <v>312</v>
      </c>
    </row>
    <row r="1039" spans="1:2" ht="30" customHeight="1" x14ac:dyDescent="0.2">
      <c r="A1039" s="176" t="str">
        <f t="shared" si="32"/>
        <v>00/01/yyyy313</v>
      </c>
      <c r="B1039" s="169">
        <f t="shared" si="33"/>
        <v>313</v>
      </c>
    </row>
    <row r="1040" spans="1:2" ht="30" customHeight="1" x14ac:dyDescent="0.2">
      <c r="A1040" s="176" t="str">
        <f t="shared" si="32"/>
        <v>00/01/yyyy314</v>
      </c>
      <c r="B1040" s="169">
        <f t="shared" si="33"/>
        <v>314</v>
      </c>
    </row>
    <row r="1041" spans="1:2" ht="30" customHeight="1" x14ac:dyDescent="0.2">
      <c r="A1041" s="176" t="str">
        <f t="shared" si="32"/>
        <v>00/01/yyyy315</v>
      </c>
      <c r="B1041" s="169">
        <f t="shared" si="33"/>
        <v>315</v>
      </c>
    </row>
    <row r="1042" spans="1:2" ht="30" customHeight="1" x14ac:dyDescent="0.2">
      <c r="A1042" s="176" t="str">
        <f t="shared" si="32"/>
        <v>00/01/yyyy316</v>
      </c>
      <c r="B1042" s="169">
        <f t="shared" si="33"/>
        <v>316</v>
      </c>
    </row>
    <row r="1043" spans="1:2" ht="30" customHeight="1" x14ac:dyDescent="0.2">
      <c r="A1043" s="176" t="str">
        <f t="shared" si="32"/>
        <v>00/01/yyyy317</v>
      </c>
      <c r="B1043" s="169">
        <f t="shared" si="33"/>
        <v>317</v>
      </c>
    </row>
    <row r="1044" spans="1:2" ht="30" customHeight="1" x14ac:dyDescent="0.2">
      <c r="A1044" s="176" t="str">
        <f t="shared" si="32"/>
        <v>00/01/yyyy318</v>
      </c>
      <c r="B1044" s="169">
        <f t="shared" si="33"/>
        <v>318</v>
      </c>
    </row>
    <row r="1045" spans="1:2" ht="30" customHeight="1" x14ac:dyDescent="0.2">
      <c r="A1045" s="176" t="str">
        <f t="shared" si="32"/>
        <v>00/01/yyyy319</v>
      </c>
      <c r="B1045" s="169">
        <f t="shared" si="33"/>
        <v>319</v>
      </c>
    </row>
    <row r="1046" spans="1:2" ht="30" customHeight="1" x14ac:dyDescent="0.2">
      <c r="A1046" s="176" t="str">
        <f t="shared" si="32"/>
        <v>00/01/yyyy320</v>
      </c>
      <c r="B1046" s="169">
        <f t="shared" si="33"/>
        <v>320</v>
      </c>
    </row>
    <row r="1047" spans="1:2" ht="30" customHeight="1" x14ac:dyDescent="0.2">
      <c r="A1047" s="176" t="str">
        <f t="shared" si="32"/>
        <v>00/01/yyyy321</v>
      </c>
      <c r="B1047" s="169">
        <f t="shared" si="33"/>
        <v>321</v>
      </c>
    </row>
    <row r="1048" spans="1:2" ht="30" customHeight="1" x14ac:dyDescent="0.2">
      <c r="A1048" s="176" t="str">
        <f t="shared" si="32"/>
        <v>00/01/yyyy322</v>
      </c>
      <c r="B1048" s="169">
        <f t="shared" si="33"/>
        <v>322</v>
      </c>
    </row>
    <row r="1049" spans="1:2" ht="30" customHeight="1" x14ac:dyDescent="0.2">
      <c r="A1049" s="176" t="str">
        <f t="shared" si="32"/>
        <v>00/01/yyyy323</v>
      </c>
      <c r="B1049" s="169">
        <f t="shared" si="33"/>
        <v>323</v>
      </c>
    </row>
    <row r="1050" spans="1:2" ht="30" customHeight="1" x14ac:dyDescent="0.2">
      <c r="A1050" s="176" t="str">
        <f t="shared" si="32"/>
        <v>00/01/yyyy324</v>
      </c>
      <c r="B1050" s="169">
        <f t="shared" si="33"/>
        <v>324</v>
      </c>
    </row>
    <row r="1051" spans="1:2" ht="30" customHeight="1" x14ac:dyDescent="0.2">
      <c r="A1051" s="176" t="str">
        <f t="shared" si="32"/>
        <v>00/01/yyyy325</v>
      </c>
      <c r="B1051" s="169">
        <f t="shared" si="33"/>
        <v>325</v>
      </c>
    </row>
    <row r="1052" spans="1:2" ht="30" customHeight="1" x14ac:dyDescent="0.2">
      <c r="A1052" s="176" t="str">
        <f t="shared" si="32"/>
        <v>00/01/yyyy326</v>
      </c>
      <c r="B1052" s="169">
        <f t="shared" si="33"/>
        <v>326</v>
      </c>
    </row>
    <row r="1053" spans="1:2" ht="30" customHeight="1" x14ac:dyDescent="0.2">
      <c r="A1053" s="176" t="str">
        <f t="shared" si="32"/>
        <v>00/01/yyyy327</v>
      </c>
      <c r="B1053" s="169">
        <f t="shared" si="33"/>
        <v>327</v>
      </c>
    </row>
    <row r="1054" spans="1:2" ht="30" customHeight="1" x14ac:dyDescent="0.2">
      <c r="A1054" s="176" t="str">
        <f t="shared" si="32"/>
        <v>00/01/yyyy328</v>
      </c>
      <c r="B1054" s="169">
        <f t="shared" si="33"/>
        <v>328</v>
      </c>
    </row>
    <row r="1055" spans="1:2" ht="30" customHeight="1" x14ac:dyDescent="0.2">
      <c r="A1055" s="176" t="str">
        <f t="shared" si="32"/>
        <v>00/01/yyyy329</v>
      </c>
      <c r="B1055" s="169">
        <f t="shared" si="33"/>
        <v>329</v>
      </c>
    </row>
    <row r="1056" spans="1:2" ht="30" customHeight="1" x14ac:dyDescent="0.2">
      <c r="A1056" s="176" t="str">
        <f t="shared" si="32"/>
        <v>00/01/yyyy330</v>
      </c>
      <c r="B1056" s="169">
        <f t="shared" si="33"/>
        <v>330</v>
      </c>
    </row>
    <row r="1057" spans="1:2" ht="30" customHeight="1" x14ac:dyDescent="0.2">
      <c r="A1057" s="176" t="str">
        <f t="shared" si="32"/>
        <v>00/01/yyyy331</v>
      </c>
      <c r="B1057" s="169">
        <f t="shared" si="33"/>
        <v>331</v>
      </c>
    </row>
    <row r="1058" spans="1:2" ht="30" customHeight="1" x14ac:dyDescent="0.2">
      <c r="A1058" s="176" t="str">
        <f t="shared" si="32"/>
        <v>00/01/yyyy332</v>
      </c>
      <c r="B1058" s="169">
        <f t="shared" si="33"/>
        <v>332</v>
      </c>
    </row>
    <row r="1059" spans="1:2" ht="30" customHeight="1" x14ac:dyDescent="0.2">
      <c r="A1059" s="176" t="str">
        <f t="shared" si="32"/>
        <v>00/01/yyyy333</v>
      </c>
      <c r="B1059" s="169">
        <f t="shared" si="33"/>
        <v>333</v>
      </c>
    </row>
    <row r="1060" spans="1:2" ht="30" customHeight="1" x14ac:dyDescent="0.2">
      <c r="A1060" s="176" t="str">
        <f t="shared" si="32"/>
        <v>00/01/yyyy334</v>
      </c>
      <c r="B1060" s="169">
        <f t="shared" si="33"/>
        <v>334</v>
      </c>
    </row>
    <row r="1061" spans="1:2" ht="30" customHeight="1" x14ac:dyDescent="0.2">
      <c r="A1061" s="176" t="str">
        <f t="shared" si="32"/>
        <v>00/01/yyyy335</v>
      </c>
      <c r="B1061" s="169">
        <f t="shared" si="33"/>
        <v>335</v>
      </c>
    </row>
    <row r="1062" spans="1:2" ht="30" customHeight="1" x14ac:dyDescent="0.2">
      <c r="A1062" s="176" t="str">
        <f t="shared" si="32"/>
        <v>00/01/yyyy336</v>
      </c>
      <c r="B1062" s="169">
        <f t="shared" si="33"/>
        <v>336</v>
      </c>
    </row>
    <row r="1063" spans="1:2" ht="30" customHeight="1" x14ac:dyDescent="0.2">
      <c r="A1063" s="176" t="str">
        <f t="shared" si="32"/>
        <v>00/01/yyyy337</v>
      </c>
      <c r="B1063" s="169">
        <f t="shared" si="33"/>
        <v>337</v>
      </c>
    </row>
    <row r="1064" spans="1:2" ht="30" customHeight="1" x14ac:dyDescent="0.2">
      <c r="A1064" s="176" t="str">
        <f t="shared" si="32"/>
        <v>00/01/yyyy338</v>
      </c>
      <c r="B1064" s="169">
        <f t="shared" si="33"/>
        <v>338</v>
      </c>
    </row>
    <row r="1065" spans="1:2" ht="30" customHeight="1" x14ac:dyDescent="0.2">
      <c r="A1065" s="176" t="str">
        <f t="shared" si="32"/>
        <v>00/01/yyyy339</v>
      </c>
      <c r="B1065" s="169">
        <f t="shared" si="33"/>
        <v>339</v>
      </c>
    </row>
    <row r="1066" spans="1:2" ht="30" customHeight="1" x14ac:dyDescent="0.2">
      <c r="A1066" s="176" t="str">
        <f t="shared" si="32"/>
        <v>00/01/yyyy340</v>
      </c>
      <c r="B1066" s="169">
        <f t="shared" si="33"/>
        <v>340</v>
      </c>
    </row>
    <row r="1067" spans="1:2" ht="30" customHeight="1" x14ac:dyDescent="0.2">
      <c r="A1067" s="176" t="str">
        <f t="shared" si="32"/>
        <v>00/01/yyyy341</v>
      </c>
      <c r="B1067" s="169">
        <f t="shared" si="33"/>
        <v>341</v>
      </c>
    </row>
    <row r="1068" spans="1:2" ht="30" customHeight="1" x14ac:dyDescent="0.2">
      <c r="A1068" s="176" t="str">
        <f t="shared" si="32"/>
        <v>00/01/yyyy342</v>
      </c>
      <c r="B1068" s="169">
        <f t="shared" si="33"/>
        <v>342</v>
      </c>
    </row>
    <row r="1069" spans="1:2" ht="30" customHeight="1" x14ac:dyDescent="0.2">
      <c r="A1069" s="176" t="str">
        <f t="shared" si="32"/>
        <v>00/01/yyyy343</v>
      </c>
      <c r="B1069" s="169">
        <f t="shared" si="33"/>
        <v>343</v>
      </c>
    </row>
    <row r="1070" spans="1:2" ht="30" customHeight="1" x14ac:dyDescent="0.2">
      <c r="A1070" s="176" t="str">
        <f t="shared" si="32"/>
        <v>00/01/yyyy344</v>
      </c>
      <c r="B1070" s="169">
        <f t="shared" si="33"/>
        <v>344</v>
      </c>
    </row>
    <row r="1071" spans="1:2" ht="30" customHeight="1" x14ac:dyDescent="0.2">
      <c r="A1071" s="176" t="str">
        <f t="shared" si="32"/>
        <v>00/01/yyyy345</v>
      </c>
      <c r="B1071" s="169">
        <f t="shared" si="33"/>
        <v>345</v>
      </c>
    </row>
    <row r="1072" spans="1:2" ht="30" customHeight="1" x14ac:dyDescent="0.2">
      <c r="A1072" s="176" t="str">
        <f t="shared" si="32"/>
        <v>00/01/yyyy346</v>
      </c>
      <c r="B1072" s="169">
        <f t="shared" si="33"/>
        <v>346</v>
      </c>
    </row>
    <row r="1073" spans="1:2" ht="30" customHeight="1" x14ac:dyDescent="0.2">
      <c r="A1073" s="176" t="str">
        <f t="shared" si="32"/>
        <v>00/01/yyyy347</v>
      </c>
      <c r="B1073" s="169">
        <f t="shared" si="33"/>
        <v>347</v>
      </c>
    </row>
    <row r="1074" spans="1:2" ht="30" customHeight="1" x14ac:dyDescent="0.2">
      <c r="A1074" s="176" t="str">
        <f t="shared" si="32"/>
        <v>00/01/yyyy348</v>
      </c>
      <c r="B1074" s="169">
        <f t="shared" si="33"/>
        <v>348</v>
      </c>
    </row>
    <row r="1075" spans="1:2" ht="30" customHeight="1" x14ac:dyDescent="0.2">
      <c r="A1075" s="176" t="str">
        <f t="shared" si="32"/>
        <v>00/01/yyyy349</v>
      </c>
      <c r="B1075" s="169">
        <f t="shared" si="33"/>
        <v>349</v>
      </c>
    </row>
    <row r="1076" spans="1:2" ht="30" customHeight="1" x14ac:dyDescent="0.2">
      <c r="A1076" s="176" t="str">
        <f t="shared" si="32"/>
        <v>00/01/yyyy350</v>
      </c>
      <c r="B1076" s="169">
        <f t="shared" si="33"/>
        <v>350</v>
      </c>
    </row>
    <row r="1077" spans="1:2" ht="30" customHeight="1" x14ac:dyDescent="0.2">
      <c r="A1077" s="176" t="str">
        <f t="shared" si="32"/>
        <v>00/01/yyyy351</v>
      </c>
      <c r="B1077" s="169">
        <f t="shared" si="33"/>
        <v>351</v>
      </c>
    </row>
    <row r="1078" spans="1:2" ht="30" customHeight="1" x14ac:dyDescent="0.2">
      <c r="A1078" s="176" t="str">
        <f t="shared" si="32"/>
        <v>00/01/yyyy352</v>
      </c>
      <c r="B1078" s="169">
        <f t="shared" si="33"/>
        <v>352</v>
      </c>
    </row>
    <row r="1079" spans="1:2" ht="30" customHeight="1" x14ac:dyDescent="0.2">
      <c r="A1079" s="176" t="str">
        <f t="shared" si="32"/>
        <v>00/01/yyyy353</v>
      </c>
      <c r="B1079" s="169">
        <f t="shared" si="33"/>
        <v>353</v>
      </c>
    </row>
    <row r="1080" spans="1:2" ht="30" customHeight="1" x14ac:dyDescent="0.2">
      <c r="A1080" s="176" t="str">
        <f t="shared" si="32"/>
        <v>00/01/yyyy354</v>
      </c>
      <c r="B1080" s="169">
        <f t="shared" si="33"/>
        <v>354</v>
      </c>
    </row>
    <row r="1081" spans="1:2" ht="30" customHeight="1" x14ac:dyDescent="0.2">
      <c r="A1081" s="176" t="str">
        <f t="shared" si="32"/>
        <v>00/01/yyyy355</v>
      </c>
      <c r="B1081" s="169">
        <f t="shared" si="33"/>
        <v>355</v>
      </c>
    </row>
    <row r="1082" spans="1:2" ht="30" customHeight="1" x14ac:dyDescent="0.2">
      <c r="A1082" s="176" t="str">
        <f t="shared" si="32"/>
        <v>00/01/yyyy356</v>
      </c>
      <c r="B1082" s="169">
        <f t="shared" si="33"/>
        <v>356</v>
      </c>
    </row>
    <row r="1083" spans="1:2" ht="30" customHeight="1" x14ac:dyDescent="0.2">
      <c r="A1083" s="176" t="str">
        <f t="shared" si="32"/>
        <v>00/01/yyyy357</v>
      </c>
      <c r="B1083" s="169">
        <f t="shared" si="33"/>
        <v>357</v>
      </c>
    </row>
    <row r="1084" spans="1:2" ht="30" customHeight="1" x14ac:dyDescent="0.2">
      <c r="A1084" s="176" t="str">
        <f t="shared" si="32"/>
        <v>00/01/yyyy358</v>
      </c>
      <c r="B1084" s="169">
        <f t="shared" si="33"/>
        <v>358</v>
      </c>
    </row>
    <row r="1085" spans="1:2" ht="30" customHeight="1" x14ac:dyDescent="0.2">
      <c r="A1085" s="176" t="str">
        <f t="shared" si="32"/>
        <v>00/01/yyyy359</v>
      </c>
      <c r="B1085" s="169">
        <f t="shared" si="33"/>
        <v>359</v>
      </c>
    </row>
    <row r="1086" spans="1:2" ht="30" customHeight="1" x14ac:dyDescent="0.2">
      <c r="A1086" s="176" t="str">
        <f t="shared" si="32"/>
        <v>00/01/yyyy360</v>
      </c>
      <c r="B1086" s="169">
        <f t="shared" si="33"/>
        <v>360</v>
      </c>
    </row>
    <row r="1087" spans="1:2" ht="30" customHeight="1" x14ac:dyDescent="0.2">
      <c r="A1087" s="176" t="str">
        <f t="shared" si="32"/>
        <v>00/01/yyyy361</v>
      </c>
      <c r="B1087" s="169">
        <f t="shared" si="33"/>
        <v>361</v>
      </c>
    </row>
    <row r="1088" spans="1:2" ht="30" customHeight="1" x14ac:dyDescent="0.2">
      <c r="A1088" s="176" t="str">
        <f t="shared" si="32"/>
        <v>00/01/yyyy362</v>
      </c>
      <c r="B1088" s="169">
        <f t="shared" si="33"/>
        <v>362</v>
      </c>
    </row>
    <row r="1089" spans="1:2" ht="30" customHeight="1" x14ac:dyDescent="0.2">
      <c r="A1089" s="176" t="str">
        <f t="shared" si="32"/>
        <v>00/01/yyyy363</v>
      </c>
      <c r="B1089" s="169">
        <f t="shared" si="33"/>
        <v>363</v>
      </c>
    </row>
    <row r="1090" spans="1:2" ht="30" customHeight="1" x14ac:dyDescent="0.2">
      <c r="A1090" s="176" t="str">
        <f t="shared" si="32"/>
        <v>00/01/yyyy364</v>
      </c>
      <c r="B1090" s="169">
        <f t="shared" si="33"/>
        <v>364</v>
      </c>
    </row>
    <row r="1091" spans="1:2" ht="30" customHeight="1" x14ac:dyDescent="0.2">
      <c r="A1091" s="176" t="str">
        <f t="shared" ref="A1091:A1154" si="34">CONCATENATE(TEXT($G1091,"dd/mm/yyyy"),$B1091)</f>
        <v>00/01/yyyy365</v>
      </c>
      <c r="B1091" s="169">
        <f t="shared" si="33"/>
        <v>365</v>
      </c>
    </row>
    <row r="1092" spans="1:2" ht="30" customHeight="1" x14ac:dyDescent="0.2">
      <c r="A1092" s="176" t="str">
        <f t="shared" si="34"/>
        <v>00/01/yyyy366</v>
      </c>
      <c r="B1092" s="169">
        <f t="shared" ref="B1092:B1155" si="35">IF($G1092=$G1091,$B1091+1,1)</f>
        <v>366</v>
      </c>
    </row>
    <row r="1093" spans="1:2" ht="30" customHeight="1" x14ac:dyDescent="0.2">
      <c r="A1093" s="176" t="str">
        <f t="shared" si="34"/>
        <v>00/01/yyyy367</v>
      </c>
      <c r="B1093" s="169">
        <f t="shared" si="35"/>
        <v>367</v>
      </c>
    </row>
    <row r="1094" spans="1:2" ht="30" customHeight="1" x14ac:dyDescent="0.2">
      <c r="A1094" s="176" t="str">
        <f t="shared" si="34"/>
        <v>00/01/yyyy368</v>
      </c>
      <c r="B1094" s="169">
        <f t="shared" si="35"/>
        <v>368</v>
      </c>
    </row>
    <row r="1095" spans="1:2" ht="30" customHeight="1" x14ac:dyDescent="0.2">
      <c r="A1095" s="176" t="str">
        <f t="shared" si="34"/>
        <v>00/01/yyyy369</v>
      </c>
      <c r="B1095" s="169">
        <f t="shared" si="35"/>
        <v>369</v>
      </c>
    </row>
    <row r="1096" spans="1:2" ht="30" customHeight="1" x14ac:dyDescent="0.2">
      <c r="A1096" s="176" t="str">
        <f t="shared" si="34"/>
        <v>00/01/yyyy370</v>
      </c>
      <c r="B1096" s="169">
        <f t="shared" si="35"/>
        <v>370</v>
      </c>
    </row>
    <row r="1097" spans="1:2" ht="30" customHeight="1" x14ac:dyDescent="0.2">
      <c r="A1097" s="176" t="str">
        <f t="shared" si="34"/>
        <v>00/01/yyyy371</v>
      </c>
      <c r="B1097" s="169">
        <f t="shared" si="35"/>
        <v>371</v>
      </c>
    </row>
    <row r="1098" spans="1:2" ht="30" customHeight="1" x14ac:dyDescent="0.2">
      <c r="A1098" s="176" t="str">
        <f t="shared" si="34"/>
        <v>00/01/yyyy372</v>
      </c>
      <c r="B1098" s="169">
        <f t="shared" si="35"/>
        <v>372</v>
      </c>
    </row>
    <row r="1099" spans="1:2" ht="30" customHeight="1" x14ac:dyDescent="0.2">
      <c r="A1099" s="176" t="str">
        <f t="shared" si="34"/>
        <v>00/01/yyyy373</v>
      </c>
      <c r="B1099" s="169">
        <f t="shared" si="35"/>
        <v>373</v>
      </c>
    </row>
    <row r="1100" spans="1:2" ht="30" customHeight="1" x14ac:dyDescent="0.2">
      <c r="A1100" s="176" t="str">
        <f t="shared" si="34"/>
        <v>00/01/yyyy374</v>
      </c>
      <c r="B1100" s="169">
        <f t="shared" si="35"/>
        <v>374</v>
      </c>
    </row>
    <row r="1101" spans="1:2" ht="30" customHeight="1" x14ac:dyDescent="0.2">
      <c r="A1101" s="176" t="str">
        <f t="shared" si="34"/>
        <v>00/01/yyyy375</v>
      </c>
      <c r="B1101" s="169">
        <f t="shared" si="35"/>
        <v>375</v>
      </c>
    </row>
    <row r="1102" spans="1:2" ht="30" customHeight="1" x14ac:dyDescent="0.2">
      <c r="A1102" s="176" t="str">
        <f t="shared" si="34"/>
        <v>00/01/yyyy376</v>
      </c>
      <c r="B1102" s="169">
        <f t="shared" si="35"/>
        <v>376</v>
      </c>
    </row>
    <row r="1103" spans="1:2" ht="30" customHeight="1" x14ac:dyDescent="0.2">
      <c r="A1103" s="176" t="str">
        <f t="shared" si="34"/>
        <v>00/01/yyyy377</v>
      </c>
      <c r="B1103" s="169">
        <f t="shared" si="35"/>
        <v>377</v>
      </c>
    </row>
    <row r="1104" spans="1:2" ht="30" customHeight="1" x14ac:dyDescent="0.2">
      <c r="A1104" s="176" t="str">
        <f t="shared" si="34"/>
        <v>00/01/yyyy378</v>
      </c>
      <c r="B1104" s="169">
        <f t="shared" si="35"/>
        <v>378</v>
      </c>
    </row>
    <row r="1105" spans="1:2" ht="30" customHeight="1" x14ac:dyDescent="0.2">
      <c r="A1105" s="176" t="str">
        <f t="shared" si="34"/>
        <v>00/01/yyyy379</v>
      </c>
      <c r="B1105" s="169">
        <f t="shared" si="35"/>
        <v>379</v>
      </c>
    </row>
    <row r="1106" spans="1:2" ht="30" customHeight="1" x14ac:dyDescent="0.2">
      <c r="A1106" s="176" t="str">
        <f t="shared" si="34"/>
        <v>00/01/yyyy380</v>
      </c>
      <c r="B1106" s="169">
        <f t="shared" si="35"/>
        <v>380</v>
      </c>
    </row>
    <row r="1107" spans="1:2" ht="30" customHeight="1" x14ac:dyDescent="0.2">
      <c r="A1107" s="176" t="str">
        <f t="shared" si="34"/>
        <v>00/01/yyyy381</v>
      </c>
      <c r="B1107" s="169">
        <f t="shared" si="35"/>
        <v>381</v>
      </c>
    </row>
    <row r="1108" spans="1:2" ht="30" customHeight="1" x14ac:dyDescent="0.2">
      <c r="A1108" s="176" t="str">
        <f t="shared" si="34"/>
        <v>00/01/yyyy382</v>
      </c>
      <c r="B1108" s="169">
        <f t="shared" si="35"/>
        <v>382</v>
      </c>
    </row>
    <row r="1109" spans="1:2" ht="30" customHeight="1" x14ac:dyDescent="0.2">
      <c r="A1109" s="176" t="str">
        <f t="shared" si="34"/>
        <v>00/01/yyyy383</v>
      </c>
      <c r="B1109" s="169">
        <f t="shared" si="35"/>
        <v>383</v>
      </c>
    </row>
    <row r="1110" spans="1:2" ht="30" customHeight="1" x14ac:dyDescent="0.2">
      <c r="A1110" s="176" t="str">
        <f t="shared" si="34"/>
        <v>00/01/yyyy384</v>
      </c>
      <c r="B1110" s="169">
        <f t="shared" si="35"/>
        <v>384</v>
      </c>
    </row>
    <row r="1111" spans="1:2" ht="30" customHeight="1" x14ac:dyDescent="0.2">
      <c r="A1111" s="176" t="str">
        <f t="shared" si="34"/>
        <v>00/01/yyyy385</v>
      </c>
      <c r="B1111" s="169">
        <f t="shared" si="35"/>
        <v>385</v>
      </c>
    </row>
    <row r="1112" spans="1:2" ht="30" customHeight="1" x14ac:dyDescent="0.2">
      <c r="A1112" s="176" t="str">
        <f t="shared" si="34"/>
        <v>00/01/yyyy386</v>
      </c>
      <c r="B1112" s="169">
        <f t="shared" si="35"/>
        <v>386</v>
      </c>
    </row>
    <row r="1113" spans="1:2" ht="30" customHeight="1" x14ac:dyDescent="0.2">
      <c r="A1113" s="176" t="str">
        <f t="shared" si="34"/>
        <v>00/01/yyyy387</v>
      </c>
      <c r="B1113" s="169">
        <f t="shared" si="35"/>
        <v>387</v>
      </c>
    </row>
    <row r="1114" spans="1:2" ht="30" customHeight="1" x14ac:dyDescent="0.2">
      <c r="A1114" s="176" t="str">
        <f t="shared" si="34"/>
        <v>00/01/yyyy388</v>
      </c>
      <c r="B1114" s="169">
        <f t="shared" si="35"/>
        <v>388</v>
      </c>
    </row>
    <row r="1115" spans="1:2" ht="30" customHeight="1" x14ac:dyDescent="0.2">
      <c r="A1115" s="176" t="str">
        <f t="shared" si="34"/>
        <v>00/01/yyyy389</v>
      </c>
      <c r="B1115" s="169">
        <f t="shared" si="35"/>
        <v>389</v>
      </c>
    </row>
    <row r="1116" spans="1:2" ht="30" customHeight="1" x14ac:dyDescent="0.2">
      <c r="A1116" s="176" t="str">
        <f t="shared" si="34"/>
        <v>00/01/yyyy390</v>
      </c>
      <c r="B1116" s="169">
        <f t="shared" si="35"/>
        <v>390</v>
      </c>
    </row>
    <row r="1117" spans="1:2" ht="30" customHeight="1" x14ac:dyDescent="0.2">
      <c r="A1117" s="176" t="str">
        <f t="shared" si="34"/>
        <v>00/01/yyyy391</v>
      </c>
      <c r="B1117" s="169">
        <f t="shared" si="35"/>
        <v>391</v>
      </c>
    </row>
    <row r="1118" spans="1:2" ht="30" customHeight="1" x14ac:dyDescent="0.2">
      <c r="A1118" s="176" t="str">
        <f t="shared" si="34"/>
        <v>00/01/yyyy392</v>
      </c>
      <c r="B1118" s="169">
        <f t="shared" si="35"/>
        <v>392</v>
      </c>
    </row>
    <row r="1119" spans="1:2" ht="30" customHeight="1" x14ac:dyDescent="0.2">
      <c r="A1119" s="176" t="str">
        <f t="shared" si="34"/>
        <v>00/01/yyyy393</v>
      </c>
      <c r="B1119" s="169">
        <f t="shared" si="35"/>
        <v>393</v>
      </c>
    </row>
    <row r="1120" spans="1:2" ht="30" customHeight="1" x14ac:dyDescent="0.2">
      <c r="A1120" s="176" t="str">
        <f t="shared" si="34"/>
        <v>00/01/yyyy394</v>
      </c>
      <c r="B1120" s="169">
        <f t="shared" si="35"/>
        <v>394</v>
      </c>
    </row>
    <row r="1121" spans="1:2" ht="30" customHeight="1" x14ac:dyDescent="0.2">
      <c r="A1121" s="176" t="str">
        <f t="shared" si="34"/>
        <v>00/01/yyyy395</v>
      </c>
      <c r="B1121" s="169">
        <f t="shared" si="35"/>
        <v>395</v>
      </c>
    </row>
    <row r="1122" spans="1:2" ht="30" customHeight="1" x14ac:dyDescent="0.2">
      <c r="A1122" s="176" t="str">
        <f t="shared" si="34"/>
        <v>00/01/yyyy396</v>
      </c>
      <c r="B1122" s="169">
        <f t="shared" si="35"/>
        <v>396</v>
      </c>
    </row>
    <row r="1123" spans="1:2" ht="30" customHeight="1" x14ac:dyDescent="0.2">
      <c r="A1123" s="176" t="str">
        <f t="shared" si="34"/>
        <v>00/01/yyyy397</v>
      </c>
      <c r="B1123" s="169">
        <f t="shared" si="35"/>
        <v>397</v>
      </c>
    </row>
    <row r="1124" spans="1:2" ht="30" customHeight="1" x14ac:dyDescent="0.2">
      <c r="A1124" s="176" t="str">
        <f t="shared" si="34"/>
        <v>00/01/yyyy398</v>
      </c>
      <c r="B1124" s="169">
        <f t="shared" si="35"/>
        <v>398</v>
      </c>
    </row>
    <row r="1125" spans="1:2" ht="30" customHeight="1" x14ac:dyDescent="0.2">
      <c r="A1125" s="176" t="str">
        <f t="shared" si="34"/>
        <v>00/01/yyyy399</v>
      </c>
      <c r="B1125" s="169">
        <f t="shared" si="35"/>
        <v>399</v>
      </c>
    </row>
    <row r="1126" spans="1:2" ht="30" customHeight="1" x14ac:dyDescent="0.2">
      <c r="A1126" s="176" t="str">
        <f t="shared" si="34"/>
        <v>00/01/yyyy400</v>
      </c>
      <c r="B1126" s="169">
        <f t="shared" si="35"/>
        <v>400</v>
      </c>
    </row>
    <row r="1127" spans="1:2" ht="30" customHeight="1" x14ac:dyDescent="0.2">
      <c r="A1127" s="176" t="str">
        <f t="shared" si="34"/>
        <v>00/01/yyyy401</v>
      </c>
      <c r="B1127" s="169">
        <f t="shared" si="35"/>
        <v>401</v>
      </c>
    </row>
    <row r="1128" spans="1:2" ht="30" customHeight="1" x14ac:dyDescent="0.2">
      <c r="A1128" s="176" t="str">
        <f t="shared" si="34"/>
        <v>00/01/yyyy402</v>
      </c>
      <c r="B1128" s="169">
        <f t="shared" si="35"/>
        <v>402</v>
      </c>
    </row>
    <row r="1129" spans="1:2" ht="30" customHeight="1" x14ac:dyDescent="0.2">
      <c r="A1129" s="176" t="str">
        <f t="shared" si="34"/>
        <v>00/01/yyyy403</v>
      </c>
      <c r="B1129" s="169">
        <f t="shared" si="35"/>
        <v>403</v>
      </c>
    </row>
    <row r="1130" spans="1:2" ht="30" customHeight="1" x14ac:dyDescent="0.2">
      <c r="A1130" s="176" t="str">
        <f t="shared" si="34"/>
        <v>00/01/yyyy404</v>
      </c>
      <c r="B1130" s="169">
        <f t="shared" si="35"/>
        <v>404</v>
      </c>
    </row>
    <row r="1131" spans="1:2" ht="30" customHeight="1" x14ac:dyDescent="0.2">
      <c r="A1131" s="176" t="str">
        <f t="shared" si="34"/>
        <v>00/01/yyyy405</v>
      </c>
      <c r="B1131" s="169">
        <f t="shared" si="35"/>
        <v>405</v>
      </c>
    </row>
    <row r="1132" spans="1:2" ht="30" customHeight="1" x14ac:dyDescent="0.2">
      <c r="A1132" s="176" t="str">
        <f t="shared" si="34"/>
        <v>00/01/yyyy406</v>
      </c>
      <c r="B1132" s="169">
        <f t="shared" si="35"/>
        <v>406</v>
      </c>
    </row>
    <row r="1133" spans="1:2" ht="30" customHeight="1" x14ac:dyDescent="0.2">
      <c r="A1133" s="176" t="str">
        <f t="shared" si="34"/>
        <v>00/01/yyyy407</v>
      </c>
      <c r="B1133" s="169">
        <f t="shared" si="35"/>
        <v>407</v>
      </c>
    </row>
    <row r="1134" spans="1:2" ht="30" customHeight="1" x14ac:dyDescent="0.2">
      <c r="A1134" s="176" t="str">
        <f t="shared" si="34"/>
        <v>00/01/yyyy408</v>
      </c>
      <c r="B1134" s="169">
        <f t="shared" si="35"/>
        <v>408</v>
      </c>
    </row>
    <row r="1135" spans="1:2" ht="30" customHeight="1" x14ac:dyDescent="0.2">
      <c r="A1135" s="176" t="str">
        <f t="shared" si="34"/>
        <v>00/01/yyyy409</v>
      </c>
      <c r="B1135" s="169">
        <f t="shared" si="35"/>
        <v>409</v>
      </c>
    </row>
    <row r="1136" spans="1:2" ht="30" customHeight="1" x14ac:dyDescent="0.2">
      <c r="A1136" s="176" t="str">
        <f t="shared" si="34"/>
        <v>00/01/yyyy410</v>
      </c>
      <c r="B1136" s="169">
        <f t="shared" si="35"/>
        <v>410</v>
      </c>
    </row>
    <row r="1137" spans="1:2" ht="30" customHeight="1" x14ac:dyDescent="0.2">
      <c r="A1137" s="176" t="str">
        <f t="shared" si="34"/>
        <v>00/01/yyyy411</v>
      </c>
      <c r="B1137" s="169">
        <f t="shared" si="35"/>
        <v>411</v>
      </c>
    </row>
    <row r="1138" spans="1:2" ht="30" customHeight="1" x14ac:dyDescent="0.2">
      <c r="A1138" s="176" t="str">
        <f t="shared" si="34"/>
        <v>00/01/yyyy412</v>
      </c>
      <c r="B1138" s="169">
        <f t="shared" si="35"/>
        <v>412</v>
      </c>
    </row>
    <row r="1139" spans="1:2" ht="30" customHeight="1" x14ac:dyDescent="0.2">
      <c r="A1139" s="176" t="str">
        <f t="shared" si="34"/>
        <v>00/01/yyyy413</v>
      </c>
      <c r="B1139" s="169">
        <f t="shared" si="35"/>
        <v>413</v>
      </c>
    </row>
    <row r="1140" spans="1:2" ht="30" customHeight="1" x14ac:dyDescent="0.2">
      <c r="A1140" s="176" t="str">
        <f t="shared" si="34"/>
        <v>00/01/yyyy414</v>
      </c>
      <c r="B1140" s="169">
        <f t="shared" si="35"/>
        <v>414</v>
      </c>
    </row>
    <row r="1141" spans="1:2" ht="30" customHeight="1" x14ac:dyDescent="0.2">
      <c r="A1141" s="176" t="str">
        <f t="shared" si="34"/>
        <v>00/01/yyyy415</v>
      </c>
      <c r="B1141" s="169">
        <f t="shared" si="35"/>
        <v>415</v>
      </c>
    </row>
    <row r="1142" spans="1:2" ht="30" customHeight="1" x14ac:dyDescent="0.2">
      <c r="A1142" s="176" t="str">
        <f t="shared" si="34"/>
        <v>00/01/yyyy416</v>
      </c>
      <c r="B1142" s="169">
        <f t="shared" si="35"/>
        <v>416</v>
      </c>
    </row>
    <row r="1143" spans="1:2" ht="30" customHeight="1" x14ac:dyDescent="0.2">
      <c r="A1143" s="176" t="str">
        <f t="shared" si="34"/>
        <v>00/01/yyyy417</v>
      </c>
      <c r="B1143" s="169">
        <f t="shared" si="35"/>
        <v>417</v>
      </c>
    </row>
    <row r="1144" spans="1:2" ht="30" customHeight="1" x14ac:dyDescent="0.2">
      <c r="A1144" s="176" t="str">
        <f t="shared" si="34"/>
        <v>00/01/yyyy418</v>
      </c>
      <c r="B1144" s="169">
        <f t="shared" si="35"/>
        <v>418</v>
      </c>
    </row>
    <row r="1145" spans="1:2" ht="30" customHeight="1" x14ac:dyDescent="0.2">
      <c r="A1145" s="176" t="str">
        <f t="shared" si="34"/>
        <v>00/01/yyyy419</v>
      </c>
      <c r="B1145" s="169">
        <f t="shared" si="35"/>
        <v>419</v>
      </c>
    </row>
    <row r="1146" spans="1:2" ht="30" customHeight="1" x14ac:dyDescent="0.2">
      <c r="A1146" s="176" t="str">
        <f t="shared" si="34"/>
        <v>00/01/yyyy420</v>
      </c>
      <c r="B1146" s="169">
        <f t="shared" si="35"/>
        <v>420</v>
      </c>
    </row>
    <row r="1147" spans="1:2" ht="30" customHeight="1" x14ac:dyDescent="0.2">
      <c r="A1147" s="176" t="str">
        <f t="shared" si="34"/>
        <v>00/01/yyyy421</v>
      </c>
      <c r="B1147" s="169">
        <f t="shared" si="35"/>
        <v>421</v>
      </c>
    </row>
    <row r="1148" spans="1:2" ht="30" customHeight="1" x14ac:dyDescent="0.2">
      <c r="A1148" s="176" t="str">
        <f t="shared" si="34"/>
        <v>00/01/yyyy422</v>
      </c>
      <c r="B1148" s="169">
        <f t="shared" si="35"/>
        <v>422</v>
      </c>
    </row>
    <row r="1149" spans="1:2" ht="30" customHeight="1" x14ac:dyDescent="0.2">
      <c r="A1149" s="176" t="str">
        <f t="shared" si="34"/>
        <v>00/01/yyyy423</v>
      </c>
      <c r="B1149" s="169">
        <f t="shared" si="35"/>
        <v>423</v>
      </c>
    </row>
    <row r="1150" spans="1:2" ht="30" customHeight="1" x14ac:dyDescent="0.2">
      <c r="A1150" s="176" t="str">
        <f t="shared" si="34"/>
        <v>00/01/yyyy424</v>
      </c>
      <c r="B1150" s="169">
        <f t="shared" si="35"/>
        <v>424</v>
      </c>
    </row>
    <row r="1151" spans="1:2" ht="30" customHeight="1" x14ac:dyDescent="0.2">
      <c r="A1151" s="176" t="str">
        <f t="shared" si="34"/>
        <v>00/01/yyyy425</v>
      </c>
      <c r="B1151" s="169">
        <f t="shared" si="35"/>
        <v>425</v>
      </c>
    </row>
    <row r="1152" spans="1:2" ht="30" customHeight="1" x14ac:dyDescent="0.2">
      <c r="A1152" s="176" t="str">
        <f t="shared" si="34"/>
        <v>00/01/yyyy426</v>
      </c>
      <c r="B1152" s="169">
        <f t="shared" si="35"/>
        <v>426</v>
      </c>
    </row>
    <row r="1153" spans="1:2" ht="30" customHeight="1" x14ac:dyDescent="0.2">
      <c r="A1153" s="176" t="str">
        <f t="shared" si="34"/>
        <v>00/01/yyyy427</v>
      </c>
      <c r="B1153" s="169">
        <f t="shared" si="35"/>
        <v>427</v>
      </c>
    </row>
    <row r="1154" spans="1:2" ht="30" customHeight="1" x14ac:dyDescent="0.2">
      <c r="A1154" s="176" t="str">
        <f t="shared" si="34"/>
        <v>00/01/yyyy428</v>
      </c>
      <c r="B1154" s="169">
        <f t="shared" si="35"/>
        <v>428</v>
      </c>
    </row>
    <row r="1155" spans="1:2" ht="30" customHeight="1" x14ac:dyDescent="0.2">
      <c r="A1155" s="176" t="str">
        <f t="shared" ref="A1155:A1218" si="36">CONCATENATE(TEXT($G1155,"dd/mm/yyyy"),$B1155)</f>
        <v>00/01/yyyy429</v>
      </c>
      <c r="B1155" s="169">
        <f t="shared" si="35"/>
        <v>429</v>
      </c>
    </row>
    <row r="1156" spans="1:2" ht="30" customHeight="1" x14ac:dyDescent="0.2">
      <c r="A1156" s="176" t="str">
        <f t="shared" si="36"/>
        <v>00/01/yyyy430</v>
      </c>
      <c r="B1156" s="169">
        <f t="shared" ref="B1156:B1219" si="37">IF($G1156=$G1155,$B1155+1,1)</f>
        <v>430</v>
      </c>
    </row>
    <row r="1157" spans="1:2" ht="30" customHeight="1" x14ac:dyDescent="0.2">
      <c r="A1157" s="176" t="str">
        <f t="shared" si="36"/>
        <v>00/01/yyyy431</v>
      </c>
      <c r="B1157" s="169">
        <f t="shared" si="37"/>
        <v>431</v>
      </c>
    </row>
    <row r="1158" spans="1:2" ht="30" customHeight="1" x14ac:dyDescent="0.2">
      <c r="A1158" s="176" t="str">
        <f t="shared" si="36"/>
        <v>00/01/yyyy432</v>
      </c>
      <c r="B1158" s="169">
        <f t="shared" si="37"/>
        <v>432</v>
      </c>
    </row>
    <row r="1159" spans="1:2" ht="30" customHeight="1" x14ac:dyDescent="0.2">
      <c r="A1159" s="176" t="str">
        <f t="shared" si="36"/>
        <v>00/01/yyyy433</v>
      </c>
      <c r="B1159" s="169">
        <f t="shared" si="37"/>
        <v>433</v>
      </c>
    </row>
    <row r="1160" spans="1:2" ht="30" customHeight="1" x14ac:dyDescent="0.2">
      <c r="A1160" s="176" t="str">
        <f t="shared" si="36"/>
        <v>00/01/yyyy434</v>
      </c>
      <c r="B1160" s="169">
        <f t="shared" si="37"/>
        <v>434</v>
      </c>
    </row>
    <row r="1161" spans="1:2" ht="30" customHeight="1" x14ac:dyDescent="0.2">
      <c r="A1161" s="176" t="str">
        <f t="shared" si="36"/>
        <v>00/01/yyyy435</v>
      </c>
      <c r="B1161" s="169">
        <f t="shared" si="37"/>
        <v>435</v>
      </c>
    </row>
    <row r="1162" spans="1:2" ht="30" customHeight="1" x14ac:dyDescent="0.2">
      <c r="A1162" s="176" t="str">
        <f t="shared" si="36"/>
        <v>00/01/yyyy436</v>
      </c>
      <c r="B1162" s="169">
        <f t="shared" si="37"/>
        <v>436</v>
      </c>
    </row>
    <row r="1163" spans="1:2" ht="30" customHeight="1" x14ac:dyDescent="0.2">
      <c r="A1163" s="176" t="str">
        <f t="shared" si="36"/>
        <v>00/01/yyyy437</v>
      </c>
      <c r="B1163" s="169">
        <f t="shared" si="37"/>
        <v>437</v>
      </c>
    </row>
    <row r="1164" spans="1:2" ht="30" customHeight="1" x14ac:dyDescent="0.2">
      <c r="A1164" s="176" t="str">
        <f t="shared" si="36"/>
        <v>00/01/yyyy438</v>
      </c>
      <c r="B1164" s="169">
        <f t="shared" si="37"/>
        <v>438</v>
      </c>
    </row>
    <row r="1165" spans="1:2" ht="30" customHeight="1" x14ac:dyDescent="0.2">
      <c r="A1165" s="176" t="str">
        <f t="shared" si="36"/>
        <v>00/01/yyyy439</v>
      </c>
      <c r="B1165" s="169">
        <f t="shared" si="37"/>
        <v>439</v>
      </c>
    </row>
    <row r="1166" spans="1:2" ht="30" customHeight="1" x14ac:dyDescent="0.2">
      <c r="A1166" s="176" t="str">
        <f t="shared" si="36"/>
        <v>00/01/yyyy440</v>
      </c>
      <c r="B1166" s="169">
        <f t="shared" si="37"/>
        <v>440</v>
      </c>
    </row>
    <row r="1167" spans="1:2" ht="30" customHeight="1" x14ac:dyDescent="0.2">
      <c r="A1167" s="176" t="str">
        <f t="shared" si="36"/>
        <v>00/01/yyyy441</v>
      </c>
      <c r="B1167" s="169">
        <f t="shared" si="37"/>
        <v>441</v>
      </c>
    </row>
    <row r="1168" spans="1:2" ht="30" customHeight="1" x14ac:dyDescent="0.2">
      <c r="A1168" s="176" t="str">
        <f t="shared" si="36"/>
        <v>00/01/yyyy442</v>
      </c>
      <c r="B1168" s="169">
        <f t="shared" si="37"/>
        <v>442</v>
      </c>
    </row>
    <row r="1169" spans="1:2" ht="30" customHeight="1" x14ac:dyDescent="0.2">
      <c r="A1169" s="176" t="str">
        <f t="shared" si="36"/>
        <v>00/01/yyyy443</v>
      </c>
      <c r="B1169" s="169">
        <f t="shared" si="37"/>
        <v>443</v>
      </c>
    </row>
    <row r="1170" spans="1:2" ht="30" customHeight="1" x14ac:dyDescent="0.2">
      <c r="A1170" s="176" t="str">
        <f t="shared" si="36"/>
        <v>00/01/yyyy444</v>
      </c>
      <c r="B1170" s="169">
        <f t="shared" si="37"/>
        <v>444</v>
      </c>
    </row>
    <row r="1171" spans="1:2" ht="30" customHeight="1" x14ac:dyDescent="0.2">
      <c r="A1171" s="176" t="str">
        <f t="shared" si="36"/>
        <v>00/01/yyyy445</v>
      </c>
      <c r="B1171" s="169">
        <f t="shared" si="37"/>
        <v>445</v>
      </c>
    </row>
    <row r="1172" spans="1:2" ht="30" customHeight="1" x14ac:dyDescent="0.2">
      <c r="A1172" s="176" t="str">
        <f t="shared" si="36"/>
        <v>00/01/yyyy446</v>
      </c>
      <c r="B1172" s="169">
        <f t="shared" si="37"/>
        <v>446</v>
      </c>
    </row>
    <row r="1173" spans="1:2" ht="30" customHeight="1" x14ac:dyDescent="0.2">
      <c r="A1173" s="176" t="str">
        <f t="shared" si="36"/>
        <v>00/01/yyyy447</v>
      </c>
      <c r="B1173" s="169">
        <f t="shared" si="37"/>
        <v>447</v>
      </c>
    </row>
    <row r="1174" spans="1:2" ht="30" customHeight="1" x14ac:dyDescent="0.2">
      <c r="A1174" s="176" t="str">
        <f t="shared" si="36"/>
        <v>00/01/yyyy448</v>
      </c>
      <c r="B1174" s="169">
        <f t="shared" si="37"/>
        <v>448</v>
      </c>
    </row>
    <row r="1175" spans="1:2" ht="30" customHeight="1" x14ac:dyDescent="0.2">
      <c r="A1175" s="176" t="str">
        <f t="shared" si="36"/>
        <v>00/01/yyyy449</v>
      </c>
      <c r="B1175" s="169">
        <f t="shared" si="37"/>
        <v>449</v>
      </c>
    </row>
    <row r="1176" spans="1:2" ht="30" customHeight="1" x14ac:dyDescent="0.2">
      <c r="A1176" s="176" t="str">
        <f t="shared" si="36"/>
        <v>00/01/yyyy450</v>
      </c>
      <c r="B1176" s="169">
        <f t="shared" si="37"/>
        <v>450</v>
      </c>
    </row>
    <row r="1177" spans="1:2" ht="30" customHeight="1" x14ac:dyDescent="0.2">
      <c r="A1177" s="176" t="str">
        <f t="shared" si="36"/>
        <v>00/01/yyyy451</v>
      </c>
      <c r="B1177" s="169">
        <f t="shared" si="37"/>
        <v>451</v>
      </c>
    </row>
    <row r="1178" spans="1:2" ht="30" customHeight="1" x14ac:dyDescent="0.2">
      <c r="A1178" s="176" t="str">
        <f t="shared" si="36"/>
        <v>00/01/yyyy452</v>
      </c>
      <c r="B1178" s="169">
        <f t="shared" si="37"/>
        <v>452</v>
      </c>
    </row>
    <row r="1179" spans="1:2" ht="30" customHeight="1" x14ac:dyDescent="0.2">
      <c r="A1179" s="176" t="str">
        <f t="shared" si="36"/>
        <v>00/01/yyyy453</v>
      </c>
      <c r="B1179" s="169">
        <f t="shared" si="37"/>
        <v>453</v>
      </c>
    </row>
    <row r="1180" spans="1:2" ht="30" customHeight="1" x14ac:dyDescent="0.2">
      <c r="A1180" s="176" t="str">
        <f t="shared" si="36"/>
        <v>00/01/yyyy454</v>
      </c>
      <c r="B1180" s="169">
        <f t="shared" si="37"/>
        <v>454</v>
      </c>
    </row>
    <row r="1181" spans="1:2" ht="30" customHeight="1" x14ac:dyDescent="0.2">
      <c r="A1181" s="176" t="str">
        <f t="shared" si="36"/>
        <v>00/01/yyyy455</v>
      </c>
      <c r="B1181" s="169">
        <f t="shared" si="37"/>
        <v>455</v>
      </c>
    </row>
    <row r="1182" spans="1:2" ht="30" customHeight="1" x14ac:dyDescent="0.2">
      <c r="A1182" s="176" t="str">
        <f t="shared" si="36"/>
        <v>00/01/yyyy456</v>
      </c>
      <c r="B1182" s="169">
        <f t="shared" si="37"/>
        <v>456</v>
      </c>
    </row>
    <row r="1183" spans="1:2" ht="30" customHeight="1" x14ac:dyDescent="0.2">
      <c r="A1183" s="176" t="str">
        <f t="shared" si="36"/>
        <v>00/01/yyyy457</v>
      </c>
      <c r="B1183" s="169">
        <f t="shared" si="37"/>
        <v>457</v>
      </c>
    </row>
    <row r="1184" spans="1:2" ht="30" customHeight="1" x14ac:dyDescent="0.2">
      <c r="A1184" s="176" t="str">
        <f t="shared" si="36"/>
        <v>00/01/yyyy458</v>
      </c>
      <c r="B1184" s="169">
        <f t="shared" si="37"/>
        <v>458</v>
      </c>
    </row>
    <row r="1185" spans="1:2" ht="30" customHeight="1" x14ac:dyDescent="0.2">
      <c r="A1185" s="176" t="str">
        <f t="shared" si="36"/>
        <v>00/01/yyyy459</v>
      </c>
      <c r="B1185" s="169">
        <f t="shared" si="37"/>
        <v>459</v>
      </c>
    </row>
    <row r="1186" spans="1:2" ht="30" customHeight="1" x14ac:dyDescent="0.2">
      <c r="A1186" s="176" t="str">
        <f t="shared" si="36"/>
        <v>00/01/yyyy460</v>
      </c>
      <c r="B1186" s="169">
        <f t="shared" si="37"/>
        <v>460</v>
      </c>
    </row>
    <row r="1187" spans="1:2" ht="30" customHeight="1" x14ac:dyDescent="0.2">
      <c r="A1187" s="176" t="str">
        <f t="shared" si="36"/>
        <v>00/01/yyyy461</v>
      </c>
      <c r="B1187" s="169">
        <f t="shared" si="37"/>
        <v>461</v>
      </c>
    </row>
    <row r="1188" spans="1:2" ht="30" customHeight="1" x14ac:dyDescent="0.2">
      <c r="A1188" s="176" t="str">
        <f t="shared" si="36"/>
        <v>00/01/yyyy462</v>
      </c>
      <c r="B1188" s="169">
        <f t="shared" si="37"/>
        <v>462</v>
      </c>
    </row>
    <row r="1189" spans="1:2" ht="30" customHeight="1" x14ac:dyDescent="0.2">
      <c r="A1189" s="176" t="str">
        <f t="shared" si="36"/>
        <v>00/01/yyyy463</v>
      </c>
      <c r="B1189" s="169">
        <f t="shared" si="37"/>
        <v>463</v>
      </c>
    </row>
    <row r="1190" spans="1:2" ht="30" customHeight="1" x14ac:dyDescent="0.2">
      <c r="A1190" s="176" t="str">
        <f t="shared" si="36"/>
        <v>00/01/yyyy464</v>
      </c>
      <c r="B1190" s="169">
        <f t="shared" si="37"/>
        <v>464</v>
      </c>
    </row>
    <row r="1191" spans="1:2" ht="30" customHeight="1" x14ac:dyDescent="0.2">
      <c r="A1191" s="176" t="str">
        <f t="shared" si="36"/>
        <v>00/01/yyyy465</v>
      </c>
      <c r="B1191" s="169">
        <f t="shared" si="37"/>
        <v>465</v>
      </c>
    </row>
    <row r="1192" spans="1:2" ht="30" customHeight="1" x14ac:dyDescent="0.2">
      <c r="A1192" s="176" t="str">
        <f t="shared" si="36"/>
        <v>00/01/yyyy466</v>
      </c>
      <c r="B1192" s="169">
        <f t="shared" si="37"/>
        <v>466</v>
      </c>
    </row>
    <row r="1193" spans="1:2" ht="30" customHeight="1" x14ac:dyDescent="0.2">
      <c r="A1193" s="176" t="str">
        <f t="shared" si="36"/>
        <v>00/01/yyyy467</v>
      </c>
      <c r="B1193" s="169">
        <f t="shared" si="37"/>
        <v>467</v>
      </c>
    </row>
    <row r="1194" spans="1:2" ht="30" customHeight="1" x14ac:dyDescent="0.2">
      <c r="A1194" s="176" t="str">
        <f t="shared" si="36"/>
        <v>00/01/yyyy468</v>
      </c>
      <c r="B1194" s="169">
        <f t="shared" si="37"/>
        <v>468</v>
      </c>
    </row>
    <row r="1195" spans="1:2" ht="30" customHeight="1" x14ac:dyDescent="0.2">
      <c r="A1195" s="176" t="str">
        <f t="shared" si="36"/>
        <v>00/01/yyyy469</v>
      </c>
      <c r="B1195" s="169">
        <f t="shared" si="37"/>
        <v>469</v>
      </c>
    </row>
    <row r="1196" spans="1:2" ht="30" customHeight="1" x14ac:dyDescent="0.2">
      <c r="A1196" s="176" t="str">
        <f t="shared" si="36"/>
        <v>00/01/yyyy470</v>
      </c>
      <c r="B1196" s="169">
        <f t="shared" si="37"/>
        <v>470</v>
      </c>
    </row>
    <row r="1197" spans="1:2" ht="30" customHeight="1" x14ac:dyDescent="0.2">
      <c r="A1197" s="176" t="str">
        <f t="shared" si="36"/>
        <v>00/01/yyyy471</v>
      </c>
      <c r="B1197" s="169">
        <f t="shared" si="37"/>
        <v>471</v>
      </c>
    </row>
    <row r="1198" spans="1:2" ht="30" customHeight="1" x14ac:dyDescent="0.2">
      <c r="A1198" s="176" t="str">
        <f t="shared" si="36"/>
        <v>00/01/yyyy472</v>
      </c>
      <c r="B1198" s="169">
        <f t="shared" si="37"/>
        <v>472</v>
      </c>
    </row>
    <row r="1199" spans="1:2" ht="30" customHeight="1" x14ac:dyDescent="0.2">
      <c r="A1199" s="176" t="str">
        <f t="shared" si="36"/>
        <v>00/01/yyyy473</v>
      </c>
      <c r="B1199" s="169">
        <f t="shared" si="37"/>
        <v>473</v>
      </c>
    </row>
    <row r="1200" spans="1:2" ht="30" customHeight="1" x14ac:dyDescent="0.2">
      <c r="A1200" s="176" t="str">
        <f t="shared" si="36"/>
        <v>00/01/yyyy474</v>
      </c>
      <c r="B1200" s="169">
        <f t="shared" si="37"/>
        <v>474</v>
      </c>
    </row>
    <row r="1201" spans="1:2" ht="30" customHeight="1" x14ac:dyDescent="0.2">
      <c r="A1201" s="176" t="str">
        <f t="shared" si="36"/>
        <v>00/01/yyyy475</v>
      </c>
      <c r="B1201" s="169">
        <f t="shared" si="37"/>
        <v>475</v>
      </c>
    </row>
    <row r="1202" spans="1:2" ht="30" customHeight="1" x14ac:dyDescent="0.2">
      <c r="A1202" s="176" t="str">
        <f t="shared" si="36"/>
        <v>00/01/yyyy476</v>
      </c>
      <c r="B1202" s="169">
        <f t="shared" si="37"/>
        <v>476</v>
      </c>
    </row>
    <row r="1203" spans="1:2" ht="30" customHeight="1" x14ac:dyDescent="0.2">
      <c r="A1203" s="176" t="str">
        <f t="shared" si="36"/>
        <v>00/01/yyyy477</v>
      </c>
      <c r="B1203" s="169">
        <f t="shared" si="37"/>
        <v>477</v>
      </c>
    </row>
    <row r="1204" spans="1:2" ht="30" customHeight="1" x14ac:dyDescent="0.2">
      <c r="A1204" s="176" t="str">
        <f t="shared" si="36"/>
        <v>00/01/yyyy478</v>
      </c>
      <c r="B1204" s="169">
        <f t="shared" si="37"/>
        <v>478</v>
      </c>
    </row>
    <row r="1205" spans="1:2" ht="30" customHeight="1" x14ac:dyDescent="0.2">
      <c r="A1205" s="176" t="str">
        <f t="shared" si="36"/>
        <v>00/01/yyyy479</v>
      </c>
      <c r="B1205" s="169">
        <f t="shared" si="37"/>
        <v>479</v>
      </c>
    </row>
    <row r="1206" spans="1:2" ht="30" customHeight="1" x14ac:dyDescent="0.2">
      <c r="A1206" s="176" t="str">
        <f t="shared" si="36"/>
        <v>00/01/yyyy480</v>
      </c>
      <c r="B1206" s="169">
        <f t="shared" si="37"/>
        <v>480</v>
      </c>
    </row>
    <row r="1207" spans="1:2" ht="30" customHeight="1" x14ac:dyDescent="0.2">
      <c r="A1207" s="176" t="str">
        <f t="shared" si="36"/>
        <v>00/01/yyyy481</v>
      </c>
      <c r="B1207" s="169">
        <f t="shared" si="37"/>
        <v>481</v>
      </c>
    </row>
    <row r="1208" spans="1:2" ht="30" customHeight="1" x14ac:dyDescent="0.2">
      <c r="A1208" s="176" t="str">
        <f t="shared" si="36"/>
        <v>00/01/yyyy482</v>
      </c>
      <c r="B1208" s="169">
        <f t="shared" si="37"/>
        <v>482</v>
      </c>
    </row>
    <row r="1209" spans="1:2" ht="30" customHeight="1" x14ac:dyDescent="0.2">
      <c r="A1209" s="176" t="str">
        <f t="shared" si="36"/>
        <v>00/01/yyyy483</v>
      </c>
      <c r="B1209" s="169">
        <f t="shared" si="37"/>
        <v>483</v>
      </c>
    </row>
    <row r="1210" spans="1:2" ht="30" customHeight="1" x14ac:dyDescent="0.2">
      <c r="A1210" s="176" t="str">
        <f t="shared" si="36"/>
        <v>00/01/yyyy484</v>
      </c>
      <c r="B1210" s="169">
        <f t="shared" si="37"/>
        <v>484</v>
      </c>
    </row>
    <row r="1211" spans="1:2" ht="30" customHeight="1" x14ac:dyDescent="0.2">
      <c r="A1211" s="176" t="str">
        <f t="shared" si="36"/>
        <v>00/01/yyyy485</v>
      </c>
      <c r="B1211" s="169">
        <f t="shared" si="37"/>
        <v>485</v>
      </c>
    </row>
    <row r="1212" spans="1:2" ht="30" customHeight="1" x14ac:dyDescent="0.2">
      <c r="A1212" s="176" t="str">
        <f t="shared" si="36"/>
        <v>00/01/yyyy486</v>
      </c>
      <c r="B1212" s="169">
        <f t="shared" si="37"/>
        <v>486</v>
      </c>
    </row>
    <row r="1213" spans="1:2" ht="30" customHeight="1" x14ac:dyDescent="0.2">
      <c r="A1213" s="176" t="str">
        <f t="shared" si="36"/>
        <v>00/01/yyyy487</v>
      </c>
      <c r="B1213" s="169">
        <f t="shared" si="37"/>
        <v>487</v>
      </c>
    </row>
    <row r="1214" spans="1:2" ht="30" customHeight="1" x14ac:dyDescent="0.2">
      <c r="A1214" s="176" t="str">
        <f t="shared" si="36"/>
        <v>00/01/yyyy488</v>
      </c>
      <c r="B1214" s="169">
        <f t="shared" si="37"/>
        <v>488</v>
      </c>
    </row>
    <row r="1215" spans="1:2" ht="30" customHeight="1" x14ac:dyDescent="0.2">
      <c r="A1215" s="176" t="str">
        <f t="shared" si="36"/>
        <v>00/01/yyyy489</v>
      </c>
      <c r="B1215" s="169">
        <f t="shared" si="37"/>
        <v>489</v>
      </c>
    </row>
    <row r="1216" spans="1:2" ht="30" customHeight="1" x14ac:dyDescent="0.2">
      <c r="A1216" s="176" t="str">
        <f t="shared" si="36"/>
        <v>00/01/yyyy490</v>
      </c>
      <c r="B1216" s="169">
        <f t="shared" si="37"/>
        <v>490</v>
      </c>
    </row>
    <row r="1217" spans="1:2" ht="30" customHeight="1" x14ac:dyDescent="0.2">
      <c r="A1217" s="176" t="str">
        <f t="shared" si="36"/>
        <v>00/01/yyyy491</v>
      </c>
      <c r="B1217" s="169">
        <f t="shared" si="37"/>
        <v>491</v>
      </c>
    </row>
    <row r="1218" spans="1:2" ht="30" customHeight="1" x14ac:dyDescent="0.2">
      <c r="A1218" s="176" t="str">
        <f t="shared" si="36"/>
        <v>00/01/yyyy492</v>
      </c>
      <c r="B1218" s="169">
        <f t="shared" si="37"/>
        <v>492</v>
      </c>
    </row>
    <row r="1219" spans="1:2" ht="30" customHeight="1" x14ac:dyDescent="0.2">
      <c r="A1219" s="176" t="str">
        <f t="shared" ref="A1219:A1282" si="38">CONCATENATE(TEXT($G1219,"dd/mm/yyyy"),$B1219)</f>
        <v>00/01/yyyy493</v>
      </c>
      <c r="B1219" s="169">
        <f t="shared" si="37"/>
        <v>493</v>
      </c>
    </row>
    <row r="1220" spans="1:2" ht="30" customHeight="1" x14ac:dyDescent="0.2">
      <c r="A1220" s="176" t="str">
        <f t="shared" si="38"/>
        <v>00/01/yyyy494</v>
      </c>
      <c r="B1220" s="169">
        <f t="shared" ref="B1220:B1283" si="39">IF($G1220=$G1219,$B1219+1,1)</f>
        <v>494</v>
      </c>
    </row>
    <row r="1221" spans="1:2" ht="30" customHeight="1" x14ac:dyDescent="0.2">
      <c r="A1221" s="176" t="str">
        <f t="shared" si="38"/>
        <v>00/01/yyyy495</v>
      </c>
      <c r="B1221" s="169">
        <f t="shared" si="39"/>
        <v>495</v>
      </c>
    </row>
    <row r="1222" spans="1:2" ht="30" customHeight="1" x14ac:dyDescent="0.2">
      <c r="A1222" s="176" t="str">
        <f t="shared" si="38"/>
        <v>00/01/yyyy496</v>
      </c>
      <c r="B1222" s="169">
        <f t="shared" si="39"/>
        <v>496</v>
      </c>
    </row>
    <row r="1223" spans="1:2" ht="30" customHeight="1" x14ac:dyDescent="0.2">
      <c r="A1223" s="176" t="str">
        <f t="shared" si="38"/>
        <v>00/01/yyyy497</v>
      </c>
      <c r="B1223" s="169">
        <f t="shared" si="39"/>
        <v>497</v>
      </c>
    </row>
    <row r="1224" spans="1:2" ht="30" customHeight="1" x14ac:dyDescent="0.2">
      <c r="A1224" s="176" t="str">
        <f t="shared" si="38"/>
        <v>00/01/yyyy498</v>
      </c>
      <c r="B1224" s="169">
        <f t="shared" si="39"/>
        <v>498</v>
      </c>
    </row>
    <row r="1225" spans="1:2" ht="30" customHeight="1" x14ac:dyDescent="0.2">
      <c r="A1225" s="176" t="str">
        <f t="shared" si="38"/>
        <v>00/01/yyyy499</v>
      </c>
      <c r="B1225" s="169">
        <f t="shared" si="39"/>
        <v>499</v>
      </c>
    </row>
    <row r="1226" spans="1:2" ht="30" customHeight="1" x14ac:dyDescent="0.2">
      <c r="A1226" s="176" t="str">
        <f t="shared" si="38"/>
        <v>00/01/yyyy500</v>
      </c>
      <c r="B1226" s="169">
        <f t="shared" si="39"/>
        <v>500</v>
      </c>
    </row>
    <row r="1227" spans="1:2" ht="30" customHeight="1" x14ac:dyDescent="0.2">
      <c r="A1227" s="176" t="str">
        <f t="shared" si="38"/>
        <v>00/01/yyyy501</v>
      </c>
      <c r="B1227" s="169">
        <f t="shared" si="39"/>
        <v>501</v>
      </c>
    </row>
    <row r="1228" spans="1:2" ht="30" customHeight="1" x14ac:dyDescent="0.2">
      <c r="A1228" s="176" t="str">
        <f t="shared" si="38"/>
        <v>00/01/yyyy502</v>
      </c>
      <c r="B1228" s="169">
        <f t="shared" si="39"/>
        <v>502</v>
      </c>
    </row>
    <row r="1229" spans="1:2" ht="30" customHeight="1" x14ac:dyDescent="0.2">
      <c r="A1229" s="176" t="str">
        <f t="shared" si="38"/>
        <v>00/01/yyyy503</v>
      </c>
      <c r="B1229" s="169">
        <f t="shared" si="39"/>
        <v>503</v>
      </c>
    </row>
    <row r="1230" spans="1:2" ht="30" customHeight="1" x14ac:dyDescent="0.2">
      <c r="A1230" s="176" t="str">
        <f t="shared" si="38"/>
        <v>00/01/yyyy504</v>
      </c>
      <c r="B1230" s="169">
        <f t="shared" si="39"/>
        <v>504</v>
      </c>
    </row>
    <row r="1231" spans="1:2" ht="30" customHeight="1" x14ac:dyDescent="0.2">
      <c r="A1231" s="176" t="str">
        <f t="shared" si="38"/>
        <v>00/01/yyyy505</v>
      </c>
      <c r="B1231" s="169">
        <f t="shared" si="39"/>
        <v>505</v>
      </c>
    </row>
    <row r="1232" spans="1:2" ht="30" customHeight="1" x14ac:dyDescent="0.2">
      <c r="A1232" s="176" t="str">
        <f t="shared" si="38"/>
        <v>00/01/yyyy506</v>
      </c>
      <c r="B1232" s="169">
        <f t="shared" si="39"/>
        <v>506</v>
      </c>
    </row>
    <row r="1233" spans="1:2" ht="30" customHeight="1" x14ac:dyDescent="0.2">
      <c r="A1233" s="176" t="str">
        <f t="shared" si="38"/>
        <v>00/01/yyyy507</v>
      </c>
      <c r="B1233" s="169">
        <f t="shared" si="39"/>
        <v>507</v>
      </c>
    </row>
    <row r="1234" spans="1:2" ht="30" customHeight="1" x14ac:dyDescent="0.2">
      <c r="A1234" s="176" t="str">
        <f t="shared" si="38"/>
        <v>00/01/yyyy508</v>
      </c>
      <c r="B1234" s="169">
        <f t="shared" si="39"/>
        <v>508</v>
      </c>
    </row>
    <row r="1235" spans="1:2" ht="30" customHeight="1" x14ac:dyDescent="0.2">
      <c r="A1235" s="176" t="str">
        <f t="shared" si="38"/>
        <v>00/01/yyyy509</v>
      </c>
      <c r="B1235" s="169">
        <f t="shared" si="39"/>
        <v>509</v>
      </c>
    </row>
    <row r="1236" spans="1:2" ht="30" customHeight="1" x14ac:dyDescent="0.2">
      <c r="A1236" s="176" t="str">
        <f t="shared" si="38"/>
        <v>00/01/yyyy510</v>
      </c>
      <c r="B1236" s="169">
        <f t="shared" si="39"/>
        <v>510</v>
      </c>
    </row>
    <row r="1237" spans="1:2" ht="30" customHeight="1" x14ac:dyDescent="0.2">
      <c r="A1237" s="176" t="str">
        <f t="shared" si="38"/>
        <v>00/01/yyyy511</v>
      </c>
      <c r="B1237" s="169">
        <f t="shared" si="39"/>
        <v>511</v>
      </c>
    </row>
    <row r="1238" spans="1:2" ht="30" customHeight="1" x14ac:dyDescent="0.2">
      <c r="A1238" s="176" t="str">
        <f t="shared" si="38"/>
        <v>00/01/yyyy512</v>
      </c>
      <c r="B1238" s="169">
        <f t="shared" si="39"/>
        <v>512</v>
      </c>
    </row>
    <row r="1239" spans="1:2" ht="30" customHeight="1" x14ac:dyDescent="0.2">
      <c r="A1239" s="176" t="str">
        <f t="shared" si="38"/>
        <v>00/01/yyyy513</v>
      </c>
      <c r="B1239" s="169">
        <f t="shared" si="39"/>
        <v>513</v>
      </c>
    </row>
    <row r="1240" spans="1:2" ht="30" customHeight="1" x14ac:dyDescent="0.2">
      <c r="A1240" s="176" t="str">
        <f t="shared" si="38"/>
        <v>00/01/yyyy514</v>
      </c>
      <c r="B1240" s="169">
        <f t="shared" si="39"/>
        <v>514</v>
      </c>
    </row>
    <row r="1241" spans="1:2" ht="30" customHeight="1" x14ac:dyDescent="0.2">
      <c r="A1241" s="176" t="str">
        <f t="shared" si="38"/>
        <v>00/01/yyyy515</v>
      </c>
      <c r="B1241" s="169">
        <f t="shared" si="39"/>
        <v>515</v>
      </c>
    </row>
    <row r="1242" spans="1:2" ht="30" customHeight="1" x14ac:dyDescent="0.2">
      <c r="A1242" s="176" t="str">
        <f t="shared" si="38"/>
        <v>00/01/yyyy516</v>
      </c>
      <c r="B1242" s="169">
        <f t="shared" si="39"/>
        <v>516</v>
      </c>
    </row>
    <row r="1243" spans="1:2" ht="30" customHeight="1" x14ac:dyDescent="0.2">
      <c r="A1243" s="176" t="str">
        <f t="shared" si="38"/>
        <v>00/01/yyyy517</v>
      </c>
      <c r="B1243" s="169">
        <f t="shared" si="39"/>
        <v>517</v>
      </c>
    </row>
    <row r="1244" spans="1:2" ht="30" customHeight="1" x14ac:dyDescent="0.2">
      <c r="A1244" s="176" t="str">
        <f t="shared" si="38"/>
        <v>00/01/yyyy518</v>
      </c>
      <c r="B1244" s="169">
        <f t="shared" si="39"/>
        <v>518</v>
      </c>
    </row>
    <row r="1245" spans="1:2" ht="30" customHeight="1" x14ac:dyDescent="0.2">
      <c r="A1245" s="176" t="str">
        <f t="shared" si="38"/>
        <v>00/01/yyyy519</v>
      </c>
      <c r="B1245" s="169">
        <f t="shared" si="39"/>
        <v>519</v>
      </c>
    </row>
    <row r="1246" spans="1:2" ht="30" customHeight="1" x14ac:dyDescent="0.2">
      <c r="A1246" s="176" t="str">
        <f t="shared" si="38"/>
        <v>00/01/yyyy520</v>
      </c>
      <c r="B1246" s="169">
        <f t="shared" si="39"/>
        <v>520</v>
      </c>
    </row>
    <row r="1247" spans="1:2" ht="30" customHeight="1" x14ac:dyDescent="0.2">
      <c r="A1247" s="176" t="str">
        <f t="shared" si="38"/>
        <v>00/01/yyyy521</v>
      </c>
      <c r="B1247" s="169">
        <f t="shared" si="39"/>
        <v>521</v>
      </c>
    </row>
    <row r="1248" spans="1:2" ht="30" customHeight="1" x14ac:dyDescent="0.2">
      <c r="A1248" s="176" t="str">
        <f t="shared" si="38"/>
        <v>00/01/yyyy522</v>
      </c>
      <c r="B1248" s="169">
        <f t="shared" si="39"/>
        <v>522</v>
      </c>
    </row>
    <row r="1249" spans="1:2" ht="30" customHeight="1" x14ac:dyDescent="0.2">
      <c r="A1249" s="176" t="str">
        <f t="shared" si="38"/>
        <v>00/01/yyyy523</v>
      </c>
      <c r="B1249" s="169">
        <f t="shared" si="39"/>
        <v>523</v>
      </c>
    </row>
    <row r="1250" spans="1:2" ht="30" customHeight="1" x14ac:dyDescent="0.2">
      <c r="A1250" s="176" t="str">
        <f t="shared" si="38"/>
        <v>00/01/yyyy524</v>
      </c>
      <c r="B1250" s="169">
        <f t="shared" si="39"/>
        <v>524</v>
      </c>
    </row>
    <row r="1251" spans="1:2" ht="30" customHeight="1" x14ac:dyDescent="0.2">
      <c r="A1251" s="176" t="str">
        <f t="shared" si="38"/>
        <v>00/01/yyyy525</v>
      </c>
      <c r="B1251" s="169">
        <f t="shared" si="39"/>
        <v>525</v>
      </c>
    </row>
    <row r="1252" spans="1:2" ht="30" customHeight="1" x14ac:dyDescent="0.2">
      <c r="A1252" s="176" t="str">
        <f t="shared" si="38"/>
        <v>00/01/yyyy526</v>
      </c>
      <c r="B1252" s="169">
        <f t="shared" si="39"/>
        <v>526</v>
      </c>
    </row>
    <row r="1253" spans="1:2" ht="30" customHeight="1" x14ac:dyDescent="0.2">
      <c r="A1253" s="176" t="str">
        <f t="shared" si="38"/>
        <v>00/01/yyyy527</v>
      </c>
      <c r="B1253" s="169">
        <f t="shared" si="39"/>
        <v>527</v>
      </c>
    </row>
    <row r="1254" spans="1:2" ht="30" customHeight="1" x14ac:dyDescent="0.2">
      <c r="A1254" s="176" t="str">
        <f t="shared" si="38"/>
        <v>00/01/yyyy528</v>
      </c>
      <c r="B1254" s="169">
        <f t="shared" si="39"/>
        <v>528</v>
      </c>
    </row>
    <row r="1255" spans="1:2" ht="30" customHeight="1" x14ac:dyDescent="0.2">
      <c r="A1255" s="176" t="str">
        <f t="shared" si="38"/>
        <v>00/01/yyyy529</v>
      </c>
      <c r="B1255" s="169">
        <f t="shared" si="39"/>
        <v>529</v>
      </c>
    </row>
    <row r="1256" spans="1:2" ht="30" customHeight="1" x14ac:dyDescent="0.2">
      <c r="A1256" s="176" t="str">
        <f t="shared" si="38"/>
        <v>00/01/yyyy530</v>
      </c>
      <c r="B1256" s="169">
        <f t="shared" si="39"/>
        <v>530</v>
      </c>
    </row>
    <row r="1257" spans="1:2" ht="30" customHeight="1" x14ac:dyDescent="0.2">
      <c r="A1257" s="176" t="str">
        <f t="shared" si="38"/>
        <v>00/01/yyyy531</v>
      </c>
      <c r="B1257" s="169">
        <f t="shared" si="39"/>
        <v>531</v>
      </c>
    </row>
    <row r="1258" spans="1:2" ht="30" customHeight="1" x14ac:dyDescent="0.2">
      <c r="A1258" s="176" t="str">
        <f t="shared" si="38"/>
        <v>00/01/yyyy532</v>
      </c>
      <c r="B1258" s="169">
        <f t="shared" si="39"/>
        <v>532</v>
      </c>
    </row>
    <row r="1259" spans="1:2" ht="30" customHeight="1" x14ac:dyDescent="0.2">
      <c r="A1259" s="176" t="str">
        <f t="shared" si="38"/>
        <v>00/01/yyyy533</v>
      </c>
      <c r="B1259" s="169">
        <f t="shared" si="39"/>
        <v>533</v>
      </c>
    </row>
    <row r="1260" spans="1:2" ht="30" customHeight="1" x14ac:dyDescent="0.2">
      <c r="A1260" s="176" t="str">
        <f t="shared" si="38"/>
        <v>00/01/yyyy534</v>
      </c>
      <c r="B1260" s="169">
        <f t="shared" si="39"/>
        <v>534</v>
      </c>
    </row>
    <row r="1261" spans="1:2" ht="30" customHeight="1" x14ac:dyDescent="0.2">
      <c r="A1261" s="176" t="str">
        <f t="shared" si="38"/>
        <v>00/01/yyyy535</v>
      </c>
      <c r="B1261" s="169">
        <f t="shared" si="39"/>
        <v>535</v>
      </c>
    </row>
    <row r="1262" spans="1:2" ht="30" customHeight="1" x14ac:dyDescent="0.2">
      <c r="A1262" s="176" t="str">
        <f t="shared" si="38"/>
        <v>00/01/yyyy536</v>
      </c>
      <c r="B1262" s="169">
        <f t="shared" si="39"/>
        <v>536</v>
      </c>
    </row>
    <row r="1263" spans="1:2" ht="30" customHeight="1" x14ac:dyDescent="0.2">
      <c r="A1263" s="176" t="str">
        <f t="shared" si="38"/>
        <v>00/01/yyyy537</v>
      </c>
      <c r="B1263" s="169">
        <f t="shared" si="39"/>
        <v>537</v>
      </c>
    </row>
    <row r="1264" spans="1:2" ht="30" customHeight="1" x14ac:dyDescent="0.2">
      <c r="A1264" s="176" t="str">
        <f t="shared" si="38"/>
        <v>00/01/yyyy538</v>
      </c>
      <c r="B1264" s="169">
        <f t="shared" si="39"/>
        <v>538</v>
      </c>
    </row>
    <row r="1265" spans="1:2" ht="30" customHeight="1" x14ac:dyDescent="0.2">
      <c r="A1265" s="176" t="str">
        <f t="shared" si="38"/>
        <v>00/01/yyyy539</v>
      </c>
      <c r="B1265" s="169">
        <f t="shared" si="39"/>
        <v>539</v>
      </c>
    </row>
    <row r="1266" spans="1:2" ht="30" customHeight="1" x14ac:dyDescent="0.2">
      <c r="A1266" s="176" t="str">
        <f t="shared" si="38"/>
        <v>00/01/yyyy540</v>
      </c>
      <c r="B1266" s="169">
        <f t="shared" si="39"/>
        <v>540</v>
      </c>
    </row>
    <row r="1267" spans="1:2" ht="30" customHeight="1" x14ac:dyDescent="0.2">
      <c r="A1267" s="176" t="str">
        <f t="shared" si="38"/>
        <v>00/01/yyyy541</v>
      </c>
      <c r="B1267" s="169">
        <f t="shared" si="39"/>
        <v>541</v>
      </c>
    </row>
    <row r="1268" spans="1:2" ht="30" customHeight="1" x14ac:dyDescent="0.2">
      <c r="A1268" s="176" t="str">
        <f t="shared" si="38"/>
        <v>00/01/yyyy542</v>
      </c>
      <c r="B1268" s="169">
        <f t="shared" si="39"/>
        <v>542</v>
      </c>
    </row>
    <row r="1269" spans="1:2" ht="30" customHeight="1" x14ac:dyDescent="0.2">
      <c r="A1269" s="176" t="str">
        <f t="shared" si="38"/>
        <v>00/01/yyyy543</v>
      </c>
      <c r="B1269" s="169">
        <f t="shared" si="39"/>
        <v>543</v>
      </c>
    </row>
    <row r="1270" spans="1:2" ht="30" customHeight="1" x14ac:dyDescent="0.2">
      <c r="A1270" s="176" t="str">
        <f t="shared" si="38"/>
        <v>00/01/yyyy544</v>
      </c>
      <c r="B1270" s="169">
        <f t="shared" si="39"/>
        <v>544</v>
      </c>
    </row>
    <row r="1271" spans="1:2" ht="30" customHeight="1" x14ac:dyDescent="0.2">
      <c r="A1271" s="176" t="str">
        <f t="shared" si="38"/>
        <v>00/01/yyyy545</v>
      </c>
      <c r="B1271" s="169">
        <f t="shared" si="39"/>
        <v>545</v>
      </c>
    </row>
    <row r="1272" spans="1:2" ht="30" customHeight="1" x14ac:dyDescent="0.2">
      <c r="A1272" s="176" t="str">
        <f t="shared" si="38"/>
        <v>00/01/yyyy546</v>
      </c>
      <c r="B1272" s="169">
        <f t="shared" si="39"/>
        <v>546</v>
      </c>
    </row>
    <row r="1273" spans="1:2" ht="30" customHeight="1" x14ac:dyDescent="0.2">
      <c r="A1273" s="176" t="str">
        <f t="shared" si="38"/>
        <v>00/01/yyyy547</v>
      </c>
      <c r="B1273" s="169">
        <f t="shared" si="39"/>
        <v>547</v>
      </c>
    </row>
    <row r="1274" spans="1:2" ht="30" customHeight="1" x14ac:dyDescent="0.2">
      <c r="A1274" s="176" t="str">
        <f t="shared" si="38"/>
        <v>00/01/yyyy548</v>
      </c>
      <c r="B1274" s="169">
        <f t="shared" si="39"/>
        <v>548</v>
      </c>
    </row>
    <row r="1275" spans="1:2" ht="30" customHeight="1" x14ac:dyDescent="0.2">
      <c r="A1275" s="176" t="str">
        <f t="shared" si="38"/>
        <v>00/01/yyyy549</v>
      </c>
      <c r="B1275" s="169">
        <f t="shared" si="39"/>
        <v>549</v>
      </c>
    </row>
    <row r="1276" spans="1:2" ht="30" customHeight="1" x14ac:dyDescent="0.2">
      <c r="A1276" s="176" t="str">
        <f t="shared" si="38"/>
        <v>00/01/yyyy550</v>
      </c>
      <c r="B1276" s="169">
        <f t="shared" si="39"/>
        <v>550</v>
      </c>
    </row>
    <row r="1277" spans="1:2" ht="30" customHeight="1" x14ac:dyDescent="0.2">
      <c r="A1277" s="176" t="str">
        <f t="shared" si="38"/>
        <v>00/01/yyyy551</v>
      </c>
      <c r="B1277" s="169">
        <f t="shared" si="39"/>
        <v>551</v>
      </c>
    </row>
    <row r="1278" spans="1:2" ht="30" customHeight="1" x14ac:dyDescent="0.2">
      <c r="A1278" s="176" t="str">
        <f t="shared" si="38"/>
        <v>00/01/yyyy552</v>
      </c>
      <c r="B1278" s="169">
        <f t="shared" si="39"/>
        <v>552</v>
      </c>
    </row>
    <row r="1279" spans="1:2" ht="30" customHeight="1" x14ac:dyDescent="0.2">
      <c r="A1279" s="176" t="str">
        <f t="shared" si="38"/>
        <v>00/01/yyyy553</v>
      </c>
      <c r="B1279" s="169">
        <f t="shared" si="39"/>
        <v>553</v>
      </c>
    </row>
    <row r="1280" spans="1:2" ht="30" customHeight="1" x14ac:dyDescent="0.2">
      <c r="A1280" s="176" t="str">
        <f t="shared" si="38"/>
        <v>00/01/yyyy554</v>
      </c>
      <c r="B1280" s="169">
        <f t="shared" si="39"/>
        <v>554</v>
      </c>
    </row>
    <row r="1281" spans="1:2" ht="30" customHeight="1" x14ac:dyDescent="0.2">
      <c r="A1281" s="176" t="str">
        <f t="shared" si="38"/>
        <v>00/01/yyyy555</v>
      </c>
      <c r="B1281" s="169">
        <f t="shared" si="39"/>
        <v>555</v>
      </c>
    </row>
    <row r="1282" spans="1:2" ht="30" customHeight="1" x14ac:dyDescent="0.2">
      <c r="A1282" s="176" t="str">
        <f t="shared" si="38"/>
        <v>00/01/yyyy556</v>
      </c>
      <c r="B1282" s="169">
        <f t="shared" si="39"/>
        <v>556</v>
      </c>
    </row>
    <row r="1283" spans="1:2" ht="30" customHeight="1" x14ac:dyDescent="0.2">
      <c r="A1283" s="176" t="str">
        <f t="shared" ref="A1283:A1346" si="40">CONCATENATE(TEXT($G1283,"dd/mm/yyyy"),$B1283)</f>
        <v>00/01/yyyy557</v>
      </c>
      <c r="B1283" s="169">
        <f t="shared" si="39"/>
        <v>557</v>
      </c>
    </row>
    <row r="1284" spans="1:2" ht="30" customHeight="1" x14ac:dyDescent="0.2">
      <c r="A1284" s="176" t="str">
        <f t="shared" si="40"/>
        <v>00/01/yyyy558</v>
      </c>
      <c r="B1284" s="169">
        <f t="shared" ref="B1284:B1347" si="41">IF($G1284=$G1283,$B1283+1,1)</f>
        <v>558</v>
      </c>
    </row>
    <row r="1285" spans="1:2" ht="30" customHeight="1" x14ac:dyDescent="0.2">
      <c r="A1285" s="176" t="str">
        <f t="shared" si="40"/>
        <v>00/01/yyyy559</v>
      </c>
      <c r="B1285" s="169">
        <f t="shared" si="41"/>
        <v>559</v>
      </c>
    </row>
    <row r="1286" spans="1:2" ht="30" customHeight="1" x14ac:dyDescent="0.2">
      <c r="A1286" s="176" t="str">
        <f t="shared" si="40"/>
        <v>00/01/yyyy560</v>
      </c>
      <c r="B1286" s="169">
        <f t="shared" si="41"/>
        <v>560</v>
      </c>
    </row>
    <row r="1287" spans="1:2" ht="30" customHeight="1" x14ac:dyDescent="0.2">
      <c r="A1287" s="176" t="str">
        <f t="shared" si="40"/>
        <v>00/01/yyyy561</v>
      </c>
      <c r="B1287" s="169">
        <f t="shared" si="41"/>
        <v>561</v>
      </c>
    </row>
    <row r="1288" spans="1:2" ht="30" customHeight="1" x14ac:dyDescent="0.2">
      <c r="A1288" s="176" t="str">
        <f t="shared" si="40"/>
        <v>00/01/yyyy562</v>
      </c>
      <c r="B1288" s="169">
        <f t="shared" si="41"/>
        <v>562</v>
      </c>
    </row>
    <row r="1289" spans="1:2" ht="30" customHeight="1" x14ac:dyDescent="0.2">
      <c r="A1289" s="176" t="str">
        <f t="shared" si="40"/>
        <v>00/01/yyyy563</v>
      </c>
      <c r="B1289" s="169">
        <f t="shared" si="41"/>
        <v>563</v>
      </c>
    </row>
    <row r="1290" spans="1:2" ht="30" customHeight="1" x14ac:dyDescent="0.2">
      <c r="A1290" s="176" t="str">
        <f t="shared" si="40"/>
        <v>00/01/yyyy564</v>
      </c>
      <c r="B1290" s="169">
        <f t="shared" si="41"/>
        <v>564</v>
      </c>
    </row>
    <row r="1291" spans="1:2" ht="30" customHeight="1" x14ac:dyDescent="0.2">
      <c r="A1291" s="176" t="str">
        <f t="shared" si="40"/>
        <v>00/01/yyyy565</v>
      </c>
      <c r="B1291" s="169">
        <f t="shared" si="41"/>
        <v>565</v>
      </c>
    </row>
    <row r="1292" spans="1:2" ht="30" customHeight="1" x14ac:dyDescent="0.2">
      <c r="A1292" s="176" t="str">
        <f t="shared" si="40"/>
        <v>00/01/yyyy566</v>
      </c>
      <c r="B1292" s="169">
        <f t="shared" si="41"/>
        <v>566</v>
      </c>
    </row>
    <row r="1293" spans="1:2" ht="30" customHeight="1" x14ac:dyDescent="0.2">
      <c r="A1293" s="176" t="str">
        <f t="shared" si="40"/>
        <v>00/01/yyyy567</v>
      </c>
      <c r="B1293" s="169">
        <f t="shared" si="41"/>
        <v>567</v>
      </c>
    </row>
    <row r="1294" spans="1:2" ht="30" customHeight="1" x14ac:dyDescent="0.2">
      <c r="A1294" s="176" t="str">
        <f t="shared" si="40"/>
        <v>00/01/yyyy568</v>
      </c>
      <c r="B1294" s="169">
        <f t="shared" si="41"/>
        <v>568</v>
      </c>
    </row>
    <row r="1295" spans="1:2" ht="30" customHeight="1" x14ac:dyDescent="0.2">
      <c r="A1295" s="176" t="str">
        <f t="shared" si="40"/>
        <v>00/01/yyyy569</v>
      </c>
      <c r="B1295" s="169">
        <f t="shared" si="41"/>
        <v>569</v>
      </c>
    </row>
    <row r="1296" spans="1:2" ht="30" customHeight="1" x14ac:dyDescent="0.2">
      <c r="A1296" s="176" t="str">
        <f t="shared" si="40"/>
        <v>00/01/yyyy570</v>
      </c>
      <c r="B1296" s="169">
        <f t="shared" si="41"/>
        <v>570</v>
      </c>
    </row>
    <row r="1297" spans="1:2" ht="30" customHeight="1" x14ac:dyDescent="0.2">
      <c r="A1297" s="176" t="str">
        <f t="shared" si="40"/>
        <v>00/01/yyyy571</v>
      </c>
      <c r="B1297" s="169">
        <f t="shared" si="41"/>
        <v>571</v>
      </c>
    </row>
    <row r="1298" spans="1:2" ht="30" customHeight="1" x14ac:dyDescent="0.2">
      <c r="A1298" s="176" t="str">
        <f t="shared" si="40"/>
        <v>00/01/yyyy572</v>
      </c>
      <c r="B1298" s="169">
        <f t="shared" si="41"/>
        <v>572</v>
      </c>
    </row>
    <row r="1299" spans="1:2" ht="30" customHeight="1" x14ac:dyDescent="0.2">
      <c r="A1299" s="176" t="str">
        <f t="shared" si="40"/>
        <v>00/01/yyyy573</v>
      </c>
      <c r="B1299" s="169">
        <f t="shared" si="41"/>
        <v>573</v>
      </c>
    </row>
    <row r="1300" spans="1:2" ht="30" customHeight="1" x14ac:dyDescent="0.2">
      <c r="A1300" s="176" t="str">
        <f t="shared" si="40"/>
        <v>00/01/yyyy574</v>
      </c>
      <c r="B1300" s="169">
        <f t="shared" si="41"/>
        <v>574</v>
      </c>
    </row>
    <row r="1301" spans="1:2" ht="30" customHeight="1" x14ac:dyDescent="0.2">
      <c r="A1301" s="176" t="str">
        <f t="shared" si="40"/>
        <v>00/01/yyyy575</v>
      </c>
      <c r="B1301" s="169">
        <f t="shared" si="41"/>
        <v>575</v>
      </c>
    </row>
    <row r="1302" spans="1:2" ht="30" customHeight="1" x14ac:dyDescent="0.2">
      <c r="A1302" s="176" t="str">
        <f t="shared" si="40"/>
        <v>00/01/yyyy576</v>
      </c>
      <c r="B1302" s="169">
        <f t="shared" si="41"/>
        <v>576</v>
      </c>
    </row>
    <row r="1303" spans="1:2" ht="30" customHeight="1" x14ac:dyDescent="0.2">
      <c r="A1303" s="176" t="str">
        <f t="shared" si="40"/>
        <v>00/01/yyyy577</v>
      </c>
      <c r="B1303" s="169">
        <f t="shared" si="41"/>
        <v>577</v>
      </c>
    </row>
    <row r="1304" spans="1:2" ht="30" customHeight="1" x14ac:dyDescent="0.2">
      <c r="A1304" s="176" t="str">
        <f t="shared" si="40"/>
        <v>00/01/yyyy578</v>
      </c>
      <c r="B1304" s="169">
        <f t="shared" si="41"/>
        <v>578</v>
      </c>
    </row>
    <row r="1305" spans="1:2" ht="30" customHeight="1" x14ac:dyDescent="0.2">
      <c r="A1305" s="176" t="str">
        <f t="shared" si="40"/>
        <v>00/01/yyyy579</v>
      </c>
      <c r="B1305" s="169">
        <f t="shared" si="41"/>
        <v>579</v>
      </c>
    </row>
    <row r="1306" spans="1:2" ht="30" customHeight="1" x14ac:dyDescent="0.2">
      <c r="A1306" s="176" t="str">
        <f t="shared" si="40"/>
        <v>00/01/yyyy580</v>
      </c>
      <c r="B1306" s="169">
        <f t="shared" si="41"/>
        <v>580</v>
      </c>
    </row>
    <row r="1307" spans="1:2" ht="30" customHeight="1" x14ac:dyDescent="0.2">
      <c r="A1307" s="176" t="str">
        <f t="shared" si="40"/>
        <v>00/01/yyyy581</v>
      </c>
      <c r="B1307" s="169">
        <f t="shared" si="41"/>
        <v>581</v>
      </c>
    </row>
    <row r="1308" spans="1:2" ht="30" customHeight="1" x14ac:dyDescent="0.2">
      <c r="A1308" s="176" t="str">
        <f t="shared" si="40"/>
        <v>00/01/yyyy582</v>
      </c>
      <c r="B1308" s="169">
        <f t="shared" si="41"/>
        <v>582</v>
      </c>
    </row>
    <row r="1309" spans="1:2" ht="30" customHeight="1" x14ac:dyDescent="0.2">
      <c r="A1309" s="176" t="str">
        <f t="shared" si="40"/>
        <v>00/01/yyyy583</v>
      </c>
      <c r="B1309" s="169">
        <f t="shared" si="41"/>
        <v>583</v>
      </c>
    </row>
    <row r="1310" spans="1:2" ht="30" customHeight="1" x14ac:dyDescent="0.2">
      <c r="A1310" s="176" t="str">
        <f t="shared" si="40"/>
        <v>00/01/yyyy584</v>
      </c>
      <c r="B1310" s="169">
        <f t="shared" si="41"/>
        <v>584</v>
      </c>
    </row>
    <row r="1311" spans="1:2" ht="30" customHeight="1" x14ac:dyDescent="0.2">
      <c r="A1311" s="176" t="str">
        <f t="shared" si="40"/>
        <v>00/01/yyyy585</v>
      </c>
      <c r="B1311" s="169">
        <f t="shared" si="41"/>
        <v>585</v>
      </c>
    </row>
    <row r="1312" spans="1:2" ht="30" customHeight="1" x14ac:dyDescent="0.2">
      <c r="A1312" s="176" t="str">
        <f t="shared" si="40"/>
        <v>00/01/yyyy586</v>
      </c>
      <c r="B1312" s="169">
        <f t="shared" si="41"/>
        <v>586</v>
      </c>
    </row>
    <row r="1313" spans="1:2" ht="30" customHeight="1" x14ac:dyDescent="0.2">
      <c r="A1313" s="176" t="str">
        <f t="shared" si="40"/>
        <v>00/01/yyyy587</v>
      </c>
      <c r="B1313" s="169">
        <f t="shared" si="41"/>
        <v>587</v>
      </c>
    </row>
    <row r="1314" spans="1:2" ht="30" customHeight="1" x14ac:dyDescent="0.2">
      <c r="A1314" s="176" t="str">
        <f t="shared" si="40"/>
        <v>00/01/yyyy588</v>
      </c>
      <c r="B1314" s="169">
        <f t="shared" si="41"/>
        <v>588</v>
      </c>
    </row>
    <row r="1315" spans="1:2" ht="30" customHeight="1" x14ac:dyDescent="0.2">
      <c r="A1315" s="176" t="str">
        <f t="shared" si="40"/>
        <v>00/01/yyyy589</v>
      </c>
      <c r="B1315" s="169">
        <f t="shared" si="41"/>
        <v>589</v>
      </c>
    </row>
    <row r="1316" spans="1:2" ht="30" customHeight="1" x14ac:dyDescent="0.2">
      <c r="A1316" s="176" t="str">
        <f t="shared" si="40"/>
        <v>00/01/yyyy590</v>
      </c>
      <c r="B1316" s="169">
        <f t="shared" si="41"/>
        <v>590</v>
      </c>
    </row>
    <row r="1317" spans="1:2" ht="30" customHeight="1" x14ac:dyDescent="0.2">
      <c r="A1317" s="176" t="str">
        <f t="shared" si="40"/>
        <v>00/01/yyyy591</v>
      </c>
      <c r="B1317" s="169">
        <f t="shared" si="41"/>
        <v>591</v>
      </c>
    </row>
    <row r="1318" spans="1:2" ht="30" customHeight="1" x14ac:dyDescent="0.2">
      <c r="A1318" s="176" t="str">
        <f t="shared" si="40"/>
        <v>00/01/yyyy592</v>
      </c>
      <c r="B1318" s="169">
        <f t="shared" si="41"/>
        <v>592</v>
      </c>
    </row>
    <row r="1319" spans="1:2" ht="30" customHeight="1" x14ac:dyDescent="0.2">
      <c r="A1319" s="176" t="str">
        <f t="shared" si="40"/>
        <v>00/01/yyyy593</v>
      </c>
      <c r="B1319" s="169">
        <f t="shared" si="41"/>
        <v>593</v>
      </c>
    </row>
    <row r="1320" spans="1:2" ht="30" customHeight="1" x14ac:dyDescent="0.2">
      <c r="A1320" s="176" t="str">
        <f t="shared" si="40"/>
        <v>00/01/yyyy594</v>
      </c>
      <c r="B1320" s="169">
        <f t="shared" si="41"/>
        <v>594</v>
      </c>
    </row>
    <row r="1321" spans="1:2" ht="30" customHeight="1" x14ac:dyDescent="0.2">
      <c r="A1321" s="176" t="str">
        <f t="shared" si="40"/>
        <v>00/01/yyyy595</v>
      </c>
      <c r="B1321" s="169">
        <f t="shared" si="41"/>
        <v>595</v>
      </c>
    </row>
    <row r="1322" spans="1:2" ht="30" customHeight="1" x14ac:dyDescent="0.2">
      <c r="A1322" s="176" t="str">
        <f t="shared" si="40"/>
        <v>00/01/yyyy596</v>
      </c>
      <c r="B1322" s="169">
        <f t="shared" si="41"/>
        <v>596</v>
      </c>
    </row>
    <row r="1323" spans="1:2" ht="30" customHeight="1" x14ac:dyDescent="0.2">
      <c r="A1323" s="176" t="str">
        <f t="shared" si="40"/>
        <v>00/01/yyyy597</v>
      </c>
      <c r="B1323" s="169">
        <f t="shared" si="41"/>
        <v>597</v>
      </c>
    </row>
    <row r="1324" spans="1:2" ht="30" customHeight="1" x14ac:dyDescent="0.2">
      <c r="A1324" s="176" t="str">
        <f t="shared" si="40"/>
        <v>00/01/yyyy598</v>
      </c>
      <c r="B1324" s="169">
        <f t="shared" si="41"/>
        <v>598</v>
      </c>
    </row>
    <row r="1325" spans="1:2" ht="30" customHeight="1" x14ac:dyDescent="0.2">
      <c r="A1325" s="176" t="str">
        <f t="shared" si="40"/>
        <v>00/01/yyyy599</v>
      </c>
      <c r="B1325" s="169">
        <f t="shared" si="41"/>
        <v>599</v>
      </c>
    </row>
    <row r="1326" spans="1:2" ht="30" customHeight="1" x14ac:dyDescent="0.2">
      <c r="A1326" s="176" t="str">
        <f t="shared" si="40"/>
        <v>00/01/yyyy600</v>
      </c>
      <c r="B1326" s="169">
        <f t="shared" si="41"/>
        <v>600</v>
      </c>
    </row>
    <row r="1327" spans="1:2" ht="30" customHeight="1" x14ac:dyDescent="0.2">
      <c r="A1327" s="176" t="str">
        <f t="shared" si="40"/>
        <v>00/01/yyyy601</v>
      </c>
      <c r="B1327" s="169">
        <f t="shared" si="41"/>
        <v>601</v>
      </c>
    </row>
    <row r="1328" spans="1:2" ht="30" customHeight="1" x14ac:dyDescent="0.2">
      <c r="A1328" s="176" t="str">
        <f t="shared" si="40"/>
        <v>00/01/yyyy602</v>
      </c>
      <c r="B1328" s="169">
        <f t="shared" si="41"/>
        <v>602</v>
      </c>
    </row>
    <row r="1329" spans="1:2" ht="30" customHeight="1" x14ac:dyDescent="0.2">
      <c r="A1329" s="176" t="str">
        <f t="shared" si="40"/>
        <v>00/01/yyyy603</v>
      </c>
      <c r="B1329" s="169">
        <f t="shared" si="41"/>
        <v>603</v>
      </c>
    </row>
    <row r="1330" spans="1:2" ht="30" customHeight="1" x14ac:dyDescent="0.2">
      <c r="A1330" s="176" t="str">
        <f t="shared" si="40"/>
        <v>00/01/yyyy604</v>
      </c>
      <c r="B1330" s="169">
        <f t="shared" si="41"/>
        <v>604</v>
      </c>
    </row>
    <row r="1331" spans="1:2" ht="30" customHeight="1" x14ac:dyDescent="0.2">
      <c r="A1331" s="176" t="str">
        <f t="shared" si="40"/>
        <v>00/01/yyyy605</v>
      </c>
      <c r="B1331" s="169">
        <f t="shared" si="41"/>
        <v>605</v>
      </c>
    </row>
    <row r="1332" spans="1:2" ht="30" customHeight="1" x14ac:dyDescent="0.2">
      <c r="A1332" s="176" t="str">
        <f t="shared" si="40"/>
        <v>00/01/yyyy606</v>
      </c>
      <c r="B1332" s="169">
        <f t="shared" si="41"/>
        <v>606</v>
      </c>
    </row>
    <row r="1333" spans="1:2" ht="30" customHeight="1" x14ac:dyDescent="0.2">
      <c r="A1333" s="176" t="str">
        <f t="shared" si="40"/>
        <v>00/01/yyyy607</v>
      </c>
      <c r="B1333" s="169">
        <f t="shared" si="41"/>
        <v>607</v>
      </c>
    </row>
    <row r="1334" spans="1:2" ht="30" customHeight="1" x14ac:dyDescent="0.2">
      <c r="A1334" s="176" t="str">
        <f t="shared" si="40"/>
        <v>00/01/yyyy608</v>
      </c>
      <c r="B1334" s="169">
        <f t="shared" si="41"/>
        <v>608</v>
      </c>
    </row>
    <row r="1335" spans="1:2" ht="30" customHeight="1" x14ac:dyDescent="0.2">
      <c r="A1335" s="176" t="str">
        <f t="shared" si="40"/>
        <v>00/01/yyyy609</v>
      </c>
      <c r="B1335" s="169">
        <f t="shared" si="41"/>
        <v>609</v>
      </c>
    </row>
    <row r="1336" spans="1:2" ht="30" customHeight="1" x14ac:dyDescent="0.2">
      <c r="A1336" s="176" t="str">
        <f t="shared" si="40"/>
        <v>00/01/yyyy610</v>
      </c>
      <c r="B1336" s="169">
        <f t="shared" si="41"/>
        <v>610</v>
      </c>
    </row>
    <row r="1337" spans="1:2" ht="30" customHeight="1" x14ac:dyDescent="0.2">
      <c r="A1337" s="176" t="str">
        <f t="shared" si="40"/>
        <v>00/01/yyyy611</v>
      </c>
      <c r="B1337" s="169">
        <f t="shared" si="41"/>
        <v>611</v>
      </c>
    </row>
    <row r="1338" spans="1:2" ht="30" customHeight="1" x14ac:dyDescent="0.2">
      <c r="A1338" s="176" t="str">
        <f t="shared" si="40"/>
        <v>00/01/yyyy612</v>
      </c>
      <c r="B1338" s="169">
        <f t="shared" si="41"/>
        <v>612</v>
      </c>
    </row>
    <row r="1339" spans="1:2" ht="30" customHeight="1" x14ac:dyDescent="0.2">
      <c r="A1339" s="176" t="str">
        <f t="shared" si="40"/>
        <v>00/01/yyyy613</v>
      </c>
      <c r="B1339" s="169">
        <f t="shared" si="41"/>
        <v>613</v>
      </c>
    </row>
    <row r="1340" spans="1:2" ht="30" customHeight="1" x14ac:dyDescent="0.2">
      <c r="A1340" s="176" t="str">
        <f t="shared" si="40"/>
        <v>00/01/yyyy614</v>
      </c>
      <c r="B1340" s="169">
        <f t="shared" si="41"/>
        <v>614</v>
      </c>
    </row>
    <row r="1341" spans="1:2" ht="30" customHeight="1" x14ac:dyDescent="0.2">
      <c r="A1341" s="176" t="str">
        <f t="shared" si="40"/>
        <v>00/01/yyyy615</v>
      </c>
      <c r="B1341" s="169">
        <f t="shared" si="41"/>
        <v>615</v>
      </c>
    </row>
    <row r="1342" spans="1:2" ht="30" customHeight="1" x14ac:dyDescent="0.2">
      <c r="A1342" s="176" t="str">
        <f t="shared" si="40"/>
        <v>00/01/yyyy616</v>
      </c>
      <c r="B1342" s="169">
        <f t="shared" si="41"/>
        <v>616</v>
      </c>
    </row>
    <row r="1343" spans="1:2" ht="30" customHeight="1" x14ac:dyDescent="0.2">
      <c r="A1343" s="176" t="str">
        <f t="shared" si="40"/>
        <v>00/01/yyyy617</v>
      </c>
      <c r="B1343" s="169">
        <f t="shared" si="41"/>
        <v>617</v>
      </c>
    </row>
    <row r="1344" spans="1:2" ht="30" customHeight="1" x14ac:dyDescent="0.2">
      <c r="A1344" s="176" t="str">
        <f t="shared" si="40"/>
        <v>00/01/yyyy618</v>
      </c>
      <c r="B1344" s="169">
        <f t="shared" si="41"/>
        <v>618</v>
      </c>
    </row>
    <row r="1345" spans="1:2" ht="30" customHeight="1" x14ac:dyDescent="0.2">
      <c r="A1345" s="176" t="str">
        <f t="shared" si="40"/>
        <v>00/01/yyyy619</v>
      </c>
      <c r="B1345" s="169">
        <f t="shared" si="41"/>
        <v>619</v>
      </c>
    </row>
    <row r="1346" spans="1:2" ht="30" customHeight="1" x14ac:dyDescent="0.2">
      <c r="A1346" s="176" t="str">
        <f t="shared" si="40"/>
        <v>00/01/yyyy620</v>
      </c>
      <c r="B1346" s="169">
        <f t="shared" si="41"/>
        <v>620</v>
      </c>
    </row>
    <row r="1347" spans="1:2" ht="30" customHeight="1" x14ac:dyDescent="0.2">
      <c r="A1347" s="176" t="str">
        <f t="shared" ref="A1347:A1410" si="42">CONCATENATE(TEXT($G1347,"dd/mm/yyyy"),$B1347)</f>
        <v>00/01/yyyy621</v>
      </c>
      <c r="B1347" s="169">
        <f t="shared" si="41"/>
        <v>621</v>
      </c>
    </row>
    <row r="1348" spans="1:2" ht="30" customHeight="1" x14ac:dyDescent="0.2">
      <c r="A1348" s="176" t="str">
        <f t="shared" si="42"/>
        <v>00/01/yyyy622</v>
      </c>
      <c r="B1348" s="169">
        <f t="shared" ref="B1348:B1411" si="43">IF($G1348=$G1347,$B1347+1,1)</f>
        <v>622</v>
      </c>
    </row>
    <row r="1349" spans="1:2" ht="30" customHeight="1" x14ac:dyDescent="0.2">
      <c r="A1349" s="176" t="str">
        <f t="shared" si="42"/>
        <v>00/01/yyyy623</v>
      </c>
      <c r="B1349" s="169">
        <f t="shared" si="43"/>
        <v>623</v>
      </c>
    </row>
    <row r="1350" spans="1:2" ht="30" customHeight="1" x14ac:dyDescent="0.2">
      <c r="A1350" s="176" t="str">
        <f t="shared" si="42"/>
        <v>00/01/yyyy624</v>
      </c>
      <c r="B1350" s="169">
        <f t="shared" si="43"/>
        <v>624</v>
      </c>
    </row>
    <row r="1351" spans="1:2" ht="30" customHeight="1" x14ac:dyDescent="0.2">
      <c r="A1351" s="176" t="str">
        <f t="shared" si="42"/>
        <v>00/01/yyyy625</v>
      </c>
      <c r="B1351" s="169">
        <f t="shared" si="43"/>
        <v>625</v>
      </c>
    </row>
    <row r="1352" spans="1:2" ht="30" customHeight="1" x14ac:dyDescent="0.2">
      <c r="A1352" s="176" t="str">
        <f t="shared" si="42"/>
        <v>00/01/yyyy626</v>
      </c>
      <c r="B1352" s="169">
        <f t="shared" si="43"/>
        <v>626</v>
      </c>
    </row>
    <row r="1353" spans="1:2" ht="30" customHeight="1" x14ac:dyDescent="0.2">
      <c r="A1353" s="176" t="str">
        <f t="shared" si="42"/>
        <v>00/01/yyyy627</v>
      </c>
      <c r="B1353" s="169">
        <f t="shared" si="43"/>
        <v>627</v>
      </c>
    </row>
    <row r="1354" spans="1:2" ht="30" customHeight="1" x14ac:dyDescent="0.2">
      <c r="A1354" s="176" t="str">
        <f t="shared" si="42"/>
        <v>00/01/yyyy628</v>
      </c>
      <c r="B1354" s="169">
        <f t="shared" si="43"/>
        <v>628</v>
      </c>
    </row>
    <row r="1355" spans="1:2" ht="30" customHeight="1" x14ac:dyDescent="0.2">
      <c r="A1355" s="176" t="str">
        <f t="shared" si="42"/>
        <v>00/01/yyyy629</v>
      </c>
      <c r="B1355" s="169">
        <f t="shared" si="43"/>
        <v>629</v>
      </c>
    </row>
    <row r="1356" spans="1:2" ht="30" customHeight="1" x14ac:dyDescent="0.2">
      <c r="A1356" s="176" t="str">
        <f t="shared" si="42"/>
        <v>00/01/yyyy630</v>
      </c>
      <c r="B1356" s="169">
        <f t="shared" si="43"/>
        <v>630</v>
      </c>
    </row>
    <row r="1357" spans="1:2" ht="30" customHeight="1" x14ac:dyDescent="0.2">
      <c r="A1357" s="176" t="str">
        <f t="shared" si="42"/>
        <v>00/01/yyyy631</v>
      </c>
      <c r="B1357" s="169">
        <f t="shared" si="43"/>
        <v>631</v>
      </c>
    </row>
    <row r="1358" spans="1:2" ht="30" customHeight="1" x14ac:dyDescent="0.2">
      <c r="A1358" s="176" t="str">
        <f t="shared" si="42"/>
        <v>00/01/yyyy632</v>
      </c>
      <c r="B1358" s="169">
        <f t="shared" si="43"/>
        <v>632</v>
      </c>
    </row>
    <row r="1359" spans="1:2" ht="30" customHeight="1" x14ac:dyDescent="0.2">
      <c r="A1359" s="176" t="str">
        <f t="shared" si="42"/>
        <v>00/01/yyyy633</v>
      </c>
      <c r="B1359" s="169">
        <f t="shared" si="43"/>
        <v>633</v>
      </c>
    </row>
    <row r="1360" spans="1:2" ht="30" customHeight="1" x14ac:dyDescent="0.2">
      <c r="A1360" s="176" t="str">
        <f t="shared" si="42"/>
        <v>00/01/yyyy634</v>
      </c>
      <c r="B1360" s="169">
        <f t="shared" si="43"/>
        <v>634</v>
      </c>
    </row>
    <row r="1361" spans="1:2" ht="30" customHeight="1" x14ac:dyDescent="0.2">
      <c r="A1361" s="176" t="str">
        <f t="shared" si="42"/>
        <v>00/01/yyyy635</v>
      </c>
      <c r="B1361" s="169">
        <f t="shared" si="43"/>
        <v>635</v>
      </c>
    </row>
    <row r="1362" spans="1:2" ht="30" customHeight="1" x14ac:dyDescent="0.2">
      <c r="A1362" s="176" t="str">
        <f t="shared" si="42"/>
        <v>00/01/yyyy636</v>
      </c>
      <c r="B1362" s="169">
        <f t="shared" si="43"/>
        <v>636</v>
      </c>
    </row>
    <row r="1363" spans="1:2" ht="30" customHeight="1" x14ac:dyDescent="0.2">
      <c r="A1363" s="176" t="str">
        <f t="shared" si="42"/>
        <v>00/01/yyyy637</v>
      </c>
      <c r="B1363" s="169">
        <f t="shared" si="43"/>
        <v>637</v>
      </c>
    </row>
    <row r="1364" spans="1:2" ht="30" customHeight="1" x14ac:dyDescent="0.2">
      <c r="A1364" s="176" t="str">
        <f t="shared" si="42"/>
        <v>00/01/yyyy638</v>
      </c>
      <c r="B1364" s="169">
        <f t="shared" si="43"/>
        <v>638</v>
      </c>
    </row>
    <row r="1365" spans="1:2" ht="30" customHeight="1" x14ac:dyDescent="0.2">
      <c r="A1365" s="176" t="str">
        <f t="shared" si="42"/>
        <v>00/01/yyyy639</v>
      </c>
      <c r="B1365" s="169">
        <f t="shared" si="43"/>
        <v>639</v>
      </c>
    </row>
    <row r="1366" spans="1:2" ht="30" customHeight="1" x14ac:dyDescent="0.2">
      <c r="A1366" s="176" t="str">
        <f t="shared" si="42"/>
        <v>00/01/yyyy640</v>
      </c>
      <c r="B1366" s="169">
        <f t="shared" si="43"/>
        <v>640</v>
      </c>
    </row>
    <row r="1367" spans="1:2" ht="30" customHeight="1" x14ac:dyDescent="0.2">
      <c r="A1367" s="176" t="str">
        <f t="shared" si="42"/>
        <v>00/01/yyyy641</v>
      </c>
      <c r="B1367" s="169">
        <f t="shared" si="43"/>
        <v>641</v>
      </c>
    </row>
    <row r="1368" spans="1:2" ht="30" customHeight="1" x14ac:dyDescent="0.2">
      <c r="A1368" s="176" t="str">
        <f t="shared" si="42"/>
        <v>00/01/yyyy642</v>
      </c>
      <c r="B1368" s="169">
        <f t="shared" si="43"/>
        <v>642</v>
      </c>
    </row>
    <row r="1369" spans="1:2" ht="30" customHeight="1" x14ac:dyDescent="0.2">
      <c r="A1369" s="176" t="str">
        <f t="shared" si="42"/>
        <v>00/01/yyyy643</v>
      </c>
      <c r="B1369" s="169">
        <f t="shared" si="43"/>
        <v>643</v>
      </c>
    </row>
    <row r="1370" spans="1:2" ht="30" customHeight="1" x14ac:dyDescent="0.2">
      <c r="A1370" s="176" t="str">
        <f t="shared" si="42"/>
        <v>00/01/yyyy644</v>
      </c>
      <c r="B1370" s="169">
        <f t="shared" si="43"/>
        <v>644</v>
      </c>
    </row>
    <row r="1371" spans="1:2" ht="30" customHeight="1" x14ac:dyDescent="0.2">
      <c r="A1371" s="176" t="str">
        <f t="shared" si="42"/>
        <v>00/01/yyyy645</v>
      </c>
      <c r="B1371" s="169">
        <f t="shared" si="43"/>
        <v>645</v>
      </c>
    </row>
    <row r="1372" spans="1:2" ht="30" customHeight="1" x14ac:dyDescent="0.2">
      <c r="A1372" s="176" t="str">
        <f t="shared" si="42"/>
        <v>00/01/yyyy646</v>
      </c>
      <c r="B1372" s="169">
        <f t="shared" si="43"/>
        <v>646</v>
      </c>
    </row>
    <row r="1373" spans="1:2" ht="30" customHeight="1" x14ac:dyDescent="0.2">
      <c r="A1373" s="176" t="str">
        <f t="shared" si="42"/>
        <v>00/01/yyyy647</v>
      </c>
      <c r="B1373" s="169">
        <f t="shared" si="43"/>
        <v>647</v>
      </c>
    </row>
    <row r="1374" spans="1:2" ht="30" customHeight="1" x14ac:dyDescent="0.2">
      <c r="A1374" s="176" t="str">
        <f t="shared" si="42"/>
        <v>00/01/yyyy648</v>
      </c>
      <c r="B1374" s="169">
        <f t="shared" si="43"/>
        <v>648</v>
      </c>
    </row>
    <row r="1375" spans="1:2" ht="30" customHeight="1" x14ac:dyDescent="0.2">
      <c r="A1375" s="176" t="str">
        <f t="shared" si="42"/>
        <v>00/01/yyyy649</v>
      </c>
      <c r="B1375" s="169">
        <f t="shared" si="43"/>
        <v>649</v>
      </c>
    </row>
    <row r="1376" spans="1:2" ht="30" customHeight="1" x14ac:dyDescent="0.2">
      <c r="A1376" s="176" t="str">
        <f t="shared" si="42"/>
        <v>00/01/yyyy650</v>
      </c>
      <c r="B1376" s="169">
        <f t="shared" si="43"/>
        <v>650</v>
      </c>
    </row>
    <row r="1377" spans="1:2" ht="30" customHeight="1" x14ac:dyDescent="0.2">
      <c r="A1377" s="176" t="str">
        <f t="shared" si="42"/>
        <v>00/01/yyyy651</v>
      </c>
      <c r="B1377" s="169">
        <f t="shared" si="43"/>
        <v>651</v>
      </c>
    </row>
    <row r="1378" spans="1:2" ht="30" customHeight="1" x14ac:dyDescent="0.2">
      <c r="A1378" s="176" t="str">
        <f t="shared" si="42"/>
        <v>00/01/yyyy652</v>
      </c>
      <c r="B1378" s="169">
        <f t="shared" si="43"/>
        <v>652</v>
      </c>
    </row>
    <row r="1379" spans="1:2" ht="30" customHeight="1" x14ac:dyDescent="0.2">
      <c r="A1379" s="176" t="str">
        <f t="shared" si="42"/>
        <v>00/01/yyyy653</v>
      </c>
      <c r="B1379" s="169">
        <f t="shared" si="43"/>
        <v>653</v>
      </c>
    </row>
    <row r="1380" spans="1:2" ht="30" customHeight="1" x14ac:dyDescent="0.2">
      <c r="A1380" s="176" t="str">
        <f t="shared" si="42"/>
        <v>00/01/yyyy654</v>
      </c>
      <c r="B1380" s="169">
        <f t="shared" si="43"/>
        <v>654</v>
      </c>
    </row>
    <row r="1381" spans="1:2" ht="30" customHeight="1" x14ac:dyDescent="0.2">
      <c r="A1381" s="176" t="str">
        <f t="shared" si="42"/>
        <v>00/01/yyyy655</v>
      </c>
      <c r="B1381" s="169">
        <f t="shared" si="43"/>
        <v>655</v>
      </c>
    </row>
    <row r="1382" spans="1:2" ht="30" customHeight="1" x14ac:dyDescent="0.2">
      <c r="A1382" s="176" t="str">
        <f t="shared" si="42"/>
        <v>00/01/yyyy656</v>
      </c>
      <c r="B1382" s="169">
        <f t="shared" si="43"/>
        <v>656</v>
      </c>
    </row>
    <row r="1383" spans="1:2" ht="30" customHeight="1" x14ac:dyDescent="0.2">
      <c r="A1383" s="176" t="str">
        <f t="shared" si="42"/>
        <v>00/01/yyyy657</v>
      </c>
      <c r="B1383" s="169">
        <f t="shared" si="43"/>
        <v>657</v>
      </c>
    </row>
    <row r="1384" spans="1:2" ht="30" customHeight="1" x14ac:dyDescent="0.2">
      <c r="A1384" s="176" t="str">
        <f t="shared" si="42"/>
        <v>00/01/yyyy658</v>
      </c>
      <c r="B1384" s="169">
        <f t="shared" si="43"/>
        <v>658</v>
      </c>
    </row>
    <row r="1385" spans="1:2" ht="30" customHeight="1" x14ac:dyDescent="0.2">
      <c r="A1385" s="176" t="str">
        <f t="shared" si="42"/>
        <v>00/01/yyyy659</v>
      </c>
      <c r="B1385" s="169">
        <f t="shared" si="43"/>
        <v>659</v>
      </c>
    </row>
    <row r="1386" spans="1:2" ht="30" customHeight="1" x14ac:dyDescent="0.2">
      <c r="A1386" s="176" t="str">
        <f t="shared" si="42"/>
        <v>00/01/yyyy660</v>
      </c>
      <c r="B1386" s="169">
        <f t="shared" si="43"/>
        <v>660</v>
      </c>
    </row>
    <row r="1387" spans="1:2" ht="30" customHeight="1" x14ac:dyDescent="0.2">
      <c r="A1387" s="176" t="str">
        <f t="shared" si="42"/>
        <v>00/01/yyyy661</v>
      </c>
      <c r="B1387" s="169">
        <f t="shared" si="43"/>
        <v>661</v>
      </c>
    </row>
    <row r="1388" spans="1:2" ht="30" customHeight="1" x14ac:dyDescent="0.2">
      <c r="A1388" s="176" t="str">
        <f t="shared" si="42"/>
        <v>00/01/yyyy662</v>
      </c>
      <c r="B1388" s="169">
        <f t="shared" si="43"/>
        <v>662</v>
      </c>
    </row>
    <row r="1389" spans="1:2" ht="30" customHeight="1" x14ac:dyDescent="0.2">
      <c r="A1389" s="176" t="str">
        <f t="shared" si="42"/>
        <v>00/01/yyyy663</v>
      </c>
      <c r="B1389" s="169">
        <f t="shared" si="43"/>
        <v>663</v>
      </c>
    </row>
    <row r="1390" spans="1:2" ht="30" customHeight="1" x14ac:dyDescent="0.2">
      <c r="A1390" s="176" t="str">
        <f t="shared" si="42"/>
        <v>00/01/yyyy664</v>
      </c>
      <c r="B1390" s="169">
        <f t="shared" si="43"/>
        <v>664</v>
      </c>
    </row>
    <row r="1391" spans="1:2" ht="30" customHeight="1" x14ac:dyDescent="0.2">
      <c r="A1391" s="176" t="str">
        <f t="shared" si="42"/>
        <v>00/01/yyyy665</v>
      </c>
      <c r="B1391" s="169">
        <f t="shared" si="43"/>
        <v>665</v>
      </c>
    </row>
    <row r="1392" spans="1:2" ht="30" customHeight="1" x14ac:dyDescent="0.2">
      <c r="A1392" s="176" t="str">
        <f t="shared" si="42"/>
        <v>00/01/yyyy666</v>
      </c>
      <c r="B1392" s="169">
        <f t="shared" si="43"/>
        <v>666</v>
      </c>
    </row>
    <row r="1393" spans="1:2" ht="30" customHeight="1" x14ac:dyDescent="0.2">
      <c r="A1393" s="176" t="str">
        <f t="shared" si="42"/>
        <v>00/01/yyyy667</v>
      </c>
      <c r="B1393" s="169">
        <f t="shared" si="43"/>
        <v>667</v>
      </c>
    </row>
    <row r="1394" spans="1:2" ht="30" customHeight="1" x14ac:dyDescent="0.2">
      <c r="A1394" s="176" t="str">
        <f t="shared" si="42"/>
        <v>00/01/yyyy668</v>
      </c>
      <c r="B1394" s="169">
        <f t="shared" si="43"/>
        <v>668</v>
      </c>
    </row>
    <row r="1395" spans="1:2" ht="30" customHeight="1" x14ac:dyDescent="0.2">
      <c r="A1395" s="176" t="str">
        <f t="shared" si="42"/>
        <v>00/01/yyyy669</v>
      </c>
      <c r="B1395" s="169">
        <f t="shared" si="43"/>
        <v>669</v>
      </c>
    </row>
    <row r="1396" spans="1:2" ht="30" customHeight="1" x14ac:dyDescent="0.2">
      <c r="A1396" s="176" t="str">
        <f t="shared" si="42"/>
        <v>00/01/yyyy670</v>
      </c>
      <c r="B1396" s="169">
        <f t="shared" si="43"/>
        <v>670</v>
      </c>
    </row>
    <row r="1397" spans="1:2" ht="30" customHeight="1" x14ac:dyDescent="0.2">
      <c r="A1397" s="176" t="str">
        <f t="shared" si="42"/>
        <v>00/01/yyyy671</v>
      </c>
      <c r="B1397" s="169">
        <f t="shared" si="43"/>
        <v>671</v>
      </c>
    </row>
    <row r="1398" spans="1:2" ht="30" customHeight="1" x14ac:dyDescent="0.2">
      <c r="A1398" s="176" t="str">
        <f t="shared" si="42"/>
        <v>00/01/yyyy672</v>
      </c>
      <c r="B1398" s="169">
        <f t="shared" si="43"/>
        <v>672</v>
      </c>
    </row>
    <row r="1399" spans="1:2" ht="30" customHeight="1" x14ac:dyDescent="0.2">
      <c r="A1399" s="176" t="str">
        <f t="shared" si="42"/>
        <v>00/01/yyyy673</v>
      </c>
      <c r="B1399" s="169">
        <f t="shared" si="43"/>
        <v>673</v>
      </c>
    </row>
    <row r="1400" spans="1:2" ht="30" customHeight="1" x14ac:dyDescent="0.2">
      <c r="A1400" s="176" t="str">
        <f t="shared" si="42"/>
        <v>00/01/yyyy674</v>
      </c>
      <c r="B1400" s="169">
        <f t="shared" si="43"/>
        <v>674</v>
      </c>
    </row>
    <row r="1401" spans="1:2" ht="30" customHeight="1" x14ac:dyDescent="0.2">
      <c r="A1401" s="176" t="str">
        <f t="shared" si="42"/>
        <v>00/01/yyyy675</v>
      </c>
      <c r="B1401" s="169">
        <f t="shared" si="43"/>
        <v>675</v>
      </c>
    </row>
    <row r="1402" spans="1:2" ht="30" customHeight="1" x14ac:dyDescent="0.2">
      <c r="A1402" s="176" t="str">
        <f t="shared" si="42"/>
        <v>00/01/yyyy676</v>
      </c>
      <c r="B1402" s="169">
        <f t="shared" si="43"/>
        <v>676</v>
      </c>
    </row>
    <row r="1403" spans="1:2" ht="30" customHeight="1" x14ac:dyDescent="0.2">
      <c r="A1403" s="176" t="str">
        <f t="shared" si="42"/>
        <v>00/01/yyyy677</v>
      </c>
      <c r="B1403" s="169">
        <f t="shared" si="43"/>
        <v>677</v>
      </c>
    </row>
    <row r="1404" spans="1:2" ht="30" customHeight="1" x14ac:dyDescent="0.2">
      <c r="A1404" s="176" t="str">
        <f t="shared" si="42"/>
        <v>00/01/yyyy678</v>
      </c>
      <c r="B1404" s="169">
        <f t="shared" si="43"/>
        <v>678</v>
      </c>
    </row>
    <row r="1405" spans="1:2" ht="30" customHeight="1" x14ac:dyDescent="0.2">
      <c r="A1405" s="176" t="str">
        <f t="shared" si="42"/>
        <v>00/01/yyyy679</v>
      </c>
      <c r="B1405" s="169">
        <f t="shared" si="43"/>
        <v>679</v>
      </c>
    </row>
    <row r="1406" spans="1:2" ht="30" customHeight="1" x14ac:dyDescent="0.2">
      <c r="A1406" s="176" t="str">
        <f t="shared" si="42"/>
        <v>00/01/yyyy680</v>
      </c>
      <c r="B1406" s="169">
        <f t="shared" si="43"/>
        <v>680</v>
      </c>
    </row>
    <row r="1407" spans="1:2" ht="30" customHeight="1" x14ac:dyDescent="0.2">
      <c r="A1407" s="176" t="str">
        <f t="shared" si="42"/>
        <v>00/01/yyyy681</v>
      </c>
      <c r="B1407" s="169">
        <f t="shared" si="43"/>
        <v>681</v>
      </c>
    </row>
    <row r="1408" spans="1:2" ht="30" customHeight="1" x14ac:dyDescent="0.2">
      <c r="A1408" s="176" t="str">
        <f t="shared" si="42"/>
        <v>00/01/yyyy682</v>
      </c>
      <c r="B1408" s="169">
        <f t="shared" si="43"/>
        <v>682</v>
      </c>
    </row>
    <row r="1409" spans="1:2" ht="30" customHeight="1" x14ac:dyDescent="0.2">
      <c r="A1409" s="176" t="str">
        <f t="shared" si="42"/>
        <v>00/01/yyyy683</v>
      </c>
      <c r="B1409" s="169">
        <f t="shared" si="43"/>
        <v>683</v>
      </c>
    </row>
    <row r="1410" spans="1:2" ht="30" customHeight="1" x14ac:dyDescent="0.2">
      <c r="A1410" s="176" t="str">
        <f t="shared" si="42"/>
        <v>00/01/yyyy684</v>
      </c>
      <c r="B1410" s="169">
        <f t="shared" si="43"/>
        <v>684</v>
      </c>
    </row>
    <row r="1411" spans="1:2" ht="30" customHeight="1" x14ac:dyDescent="0.2">
      <c r="A1411" s="176" t="str">
        <f t="shared" ref="A1411:A1474" si="44">CONCATENATE(TEXT($G1411,"dd/mm/yyyy"),$B1411)</f>
        <v>00/01/yyyy685</v>
      </c>
      <c r="B1411" s="169">
        <f t="shared" si="43"/>
        <v>685</v>
      </c>
    </row>
    <row r="1412" spans="1:2" ht="30" customHeight="1" x14ac:dyDescent="0.2">
      <c r="A1412" s="176" t="str">
        <f t="shared" si="44"/>
        <v>00/01/yyyy686</v>
      </c>
      <c r="B1412" s="169">
        <f t="shared" ref="B1412:B1475" si="45">IF($G1412=$G1411,$B1411+1,1)</f>
        <v>686</v>
      </c>
    </row>
    <row r="1413" spans="1:2" ht="30" customHeight="1" x14ac:dyDescent="0.2">
      <c r="A1413" s="176" t="str">
        <f t="shared" si="44"/>
        <v>00/01/yyyy687</v>
      </c>
      <c r="B1413" s="169">
        <f t="shared" si="45"/>
        <v>687</v>
      </c>
    </row>
    <row r="1414" spans="1:2" ht="30" customHeight="1" x14ac:dyDescent="0.2">
      <c r="A1414" s="176" t="str">
        <f t="shared" si="44"/>
        <v>00/01/yyyy688</v>
      </c>
      <c r="B1414" s="169">
        <f t="shared" si="45"/>
        <v>688</v>
      </c>
    </row>
    <row r="1415" spans="1:2" ht="30" customHeight="1" x14ac:dyDescent="0.2">
      <c r="A1415" s="176" t="str">
        <f t="shared" si="44"/>
        <v>00/01/yyyy689</v>
      </c>
      <c r="B1415" s="169">
        <f t="shared" si="45"/>
        <v>689</v>
      </c>
    </row>
    <row r="1416" spans="1:2" ht="30" customHeight="1" x14ac:dyDescent="0.2">
      <c r="A1416" s="176" t="str">
        <f t="shared" si="44"/>
        <v>00/01/yyyy690</v>
      </c>
      <c r="B1416" s="169">
        <f t="shared" si="45"/>
        <v>690</v>
      </c>
    </row>
    <row r="1417" spans="1:2" ht="30" customHeight="1" x14ac:dyDescent="0.2">
      <c r="A1417" s="176" t="str">
        <f t="shared" si="44"/>
        <v>00/01/yyyy691</v>
      </c>
      <c r="B1417" s="169">
        <f t="shared" si="45"/>
        <v>691</v>
      </c>
    </row>
    <row r="1418" spans="1:2" ht="30" customHeight="1" x14ac:dyDescent="0.2">
      <c r="A1418" s="176" t="str">
        <f t="shared" si="44"/>
        <v>00/01/yyyy692</v>
      </c>
      <c r="B1418" s="169">
        <f t="shared" si="45"/>
        <v>692</v>
      </c>
    </row>
    <row r="1419" spans="1:2" ht="30" customHeight="1" x14ac:dyDescent="0.2">
      <c r="A1419" s="176" t="str">
        <f t="shared" si="44"/>
        <v>00/01/yyyy693</v>
      </c>
      <c r="B1419" s="169">
        <f t="shared" si="45"/>
        <v>693</v>
      </c>
    </row>
    <row r="1420" spans="1:2" ht="30" customHeight="1" x14ac:dyDescent="0.2">
      <c r="A1420" s="176" t="str">
        <f t="shared" si="44"/>
        <v>00/01/yyyy694</v>
      </c>
      <c r="B1420" s="169">
        <f t="shared" si="45"/>
        <v>694</v>
      </c>
    </row>
    <row r="1421" spans="1:2" ht="30" customHeight="1" x14ac:dyDescent="0.2">
      <c r="A1421" s="176" t="str">
        <f t="shared" si="44"/>
        <v>00/01/yyyy695</v>
      </c>
      <c r="B1421" s="169">
        <f t="shared" si="45"/>
        <v>695</v>
      </c>
    </row>
    <row r="1422" spans="1:2" ht="30" customHeight="1" x14ac:dyDescent="0.2">
      <c r="A1422" s="176" t="str">
        <f t="shared" si="44"/>
        <v>00/01/yyyy696</v>
      </c>
      <c r="B1422" s="169">
        <f t="shared" si="45"/>
        <v>696</v>
      </c>
    </row>
    <row r="1423" spans="1:2" ht="30" customHeight="1" x14ac:dyDescent="0.2">
      <c r="A1423" s="176" t="str">
        <f t="shared" si="44"/>
        <v>00/01/yyyy697</v>
      </c>
      <c r="B1423" s="169">
        <f t="shared" si="45"/>
        <v>697</v>
      </c>
    </row>
    <row r="1424" spans="1:2" ht="30" customHeight="1" x14ac:dyDescent="0.2">
      <c r="A1424" s="176" t="str">
        <f t="shared" si="44"/>
        <v>00/01/yyyy698</v>
      </c>
      <c r="B1424" s="169">
        <f t="shared" si="45"/>
        <v>698</v>
      </c>
    </row>
    <row r="1425" spans="1:2" ht="30" customHeight="1" x14ac:dyDescent="0.2">
      <c r="A1425" s="176" t="str">
        <f t="shared" si="44"/>
        <v>00/01/yyyy699</v>
      </c>
      <c r="B1425" s="169">
        <f t="shared" si="45"/>
        <v>699</v>
      </c>
    </row>
    <row r="1426" spans="1:2" ht="30" customHeight="1" x14ac:dyDescent="0.2">
      <c r="A1426" s="176" t="str">
        <f t="shared" si="44"/>
        <v>00/01/yyyy700</v>
      </c>
      <c r="B1426" s="169">
        <f t="shared" si="45"/>
        <v>700</v>
      </c>
    </row>
    <row r="1427" spans="1:2" ht="30" customHeight="1" x14ac:dyDescent="0.2">
      <c r="A1427" s="176" t="str">
        <f t="shared" si="44"/>
        <v>00/01/yyyy701</v>
      </c>
      <c r="B1427" s="169">
        <f t="shared" si="45"/>
        <v>701</v>
      </c>
    </row>
    <row r="1428" spans="1:2" ht="30" customHeight="1" x14ac:dyDescent="0.2">
      <c r="A1428" s="176" t="str">
        <f t="shared" si="44"/>
        <v>00/01/yyyy702</v>
      </c>
      <c r="B1428" s="169">
        <f t="shared" si="45"/>
        <v>702</v>
      </c>
    </row>
    <row r="1429" spans="1:2" ht="30" customHeight="1" x14ac:dyDescent="0.2">
      <c r="A1429" s="176" t="str">
        <f t="shared" si="44"/>
        <v>00/01/yyyy703</v>
      </c>
      <c r="B1429" s="169">
        <f t="shared" si="45"/>
        <v>703</v>
      </c>
    </row>
    <row r="1430" spans="1:2" ht="30" customHeight="1" x14ac:dyDescent="0.2">
      <c r="A1430" s="176" t="str">
        <f t="shared" si="44"/>
        <v>00/01/yyyy704</v>
      </c>
      <c r="B1430" s="169">
        <f t="shared" si="45"/>
        <v>704</v>
      </c>
    </row>
    <row r="1431" spans="1:2" ht="30" customHeight="1" x14ac:dyDescent="0.2">
      <c r="A1431" s="176" t="str">
        <f t="shared" si="44"/>
        <v>00/01/yyyy705</v>
      </c>
      <c r="B1431" s="169">
        <f t="shared" si="45"/>
        <v>705</v>
      </c>
    </row>
    <row r="1432" spans="1:2" ht="30" customHeight="1" x14ac:dyDescent="0.2">
      <c r="A1432" s="176" t="str">
        <f t="shared" si="44"/>
        <v>00/01/yyyy706</v>
      </c>
      <c r="B1432" s="169">
        <f t="shared" si="45"/>
        <v>706</v>
      </c>
    </row>
    <row r="1433" spans="1:2" ht="30" customHeight="1" x14ac:dyDescent="0.2">
      <c r="A1433" s="176" t="str">
        <f t="shared" si="44"/>
        <v>00/01/yyyy707</v>
      </c>
      <c r="B1433" s="169">
        <f t="shared" si="45"/>
        <v>707</v>
      </c>
    </row>
    <row r="1434" spans="1:2" ht="30" customHeight="1" x14ac:dyDescent="0.2">
      <c r="A1434" s="176" t="str">
        <f t="shared" si="44"/>
        <v>00/01/yyyy708</v>
      </c>
      <c r="B1434" s="169">
        <f t="shared" si="45"/>
        <v>708</v>
      </c>
    </row>
    <row r="1435" spans="1:2" ht="30" customHeight="1" x14ac:dyDescent="0.2">
      <c r="A1435" s="176" t="str">
        <f t="shared" si="44"/>
        <v>00/01/yyyy709</v>
      </c>
      <c r="B1435" s="169">
        <f t="shared" si="45"/>
        <v>709</v>
      </c>
    </row>
    <row r="1436" spans="1:2" ht="30" customHeight="1" x14ac:dyDescent="0.2">
      <c r="A1436" s="176" t="str">
        <f t="shared" si="44"/>
        <v>00/01/yyyy710</v>
      </c>
      <c r="B1436" s="169">
        <f t="shared" si="45"/>
        <v>710</v>
      </c>
    </row>
    <row r="1437" spans="1:2" ht="30" customHeight="1" x14ac:dyDescent="0.2">
      <c r="A1437" s="176" t="str">
        <f t="shared" si="44"/>
        <v>00/01/yyyy711</v>
      </c>
      <c r="B1437" s="169">
        <f t="shared" si="45"/>
        <v>711</v>
      </c>
    </row>
    <row r="1438" spans="1:2" ht="30" customHeight="1" x14ac:dyDescent="0.2">
      <c r="A1438" s="176" t="str">
        <f t="shared" si="44"/>
        <v>00/01/yyyy712</v>
      </c>
      <c r="B1438" s="169">
        <f t="shared" si="45"/>
        <v>712</v>
      </c>
    </row>
    <row r="1439" spans="1:2" ht="30" customHeight="1" x14ac:dyDescent="0.2">
      <c r="A1439" s="176" t="str">
        <f t="shared" si="44"/>
        <v>00/01/yyyy713</v>
      </c>
      <c r="B1439" s="169">
        <f t="shared" si="45"/>
        <v>713</v>
      </c>
    </row>
    <row r="1440" spans="1:2" ht="30" customHeight="1" x14ac:dyDescent="0.2">
      <c r="A1440" s="176" t="str">
        <f t="shared" si="44"/>
        <v>00/01/yyyy714</v>
      </c>
      <c r="B1440" s="169">
        <f t="shared" si="45"/>
        <v>714</v>
      </c>
    </row>
    <row r="1441" spans="1:2" ht="30" customHeight="1" x14ac:dyDescent="0.2">
      <c r="A1441" s="176" t="str">
        <f t="shared" si="44"/>
        <v>00/01/yyyy715</v>
      </c>
      <c r="B1441" s="169">
        <f t="shared" si="45"/>
        <v>715</v>
      </c>
    </row>
    <row r="1442" spans="1:2" ht="30" customHeight="1" x14ac:dyDescent="0.2">
      <c r="A1442" s="176" t="str">
        <f t="shared" si="44"/>
        <v>00/01/yyyy716</v>
      </c>
      <c r="B1442" s="169">
        <f t="shared" si="45"/>
        <v>716</v>
      </c>
    </row>
    <row r="1443" spans="1:2" ht="30" customHeight="1" x14ac:dyDescent="0.2">
      <c r="A1443" s="176" t="str">
        <f t="shared" si="44"/>
        <v>00/01/yyyy717</v>
      </c>
      <c r="B1443" s="169">
        <f t="shared" si="45"/>
        <v>717</v>
      </c>
    </row>
    <row r="1444" spans="1:2" ht="30" customHeight="1" x14ac:dyDescent="0.2">
      <c r="A1444" s="176" t="str">
        <f t="shared" si="44"/>
        <v>00/01/yyyy718</v>
      </c>
      <c r="B1444" s="169">
        <f t="shared" si="45"/>
        <v>718</v>
      </c>
    </row>
    <row r="1445" spans="1:2" ht="30" customHeight="1" x14ac:dyDescent="0.2">
      <c r="A1445" s="176" t="str">
        <f t="shared" si="44"/>
        <v>00/01/yyyy719</v>
      </c>
      <c r="B1445" s="169">
        <f t="shared" si="45"/>
        <v>719</v>
      </c>
    </row>
    <row r="1446" spans="1:2" ht="30" customHeight="1" x14ac:dyDescent="0.2">
      <c r="A1446" s="176" t="str">
        <f t="shared" si="44"/>
        <v>00/01/yyyy720</v>
      </c>
      <c r="B1446" s="169">
        <f t="shared" si="45"/>
        <v>720</v>
      </c>
    </row>
    <row r="1447" spans="1:2" ht="30" customHeight="1" x14ac:dyDescent="0.2">
      <c r="A1447" s="176" t="str">
        <f t="shared" si="44"/>
        <v>00/01/yyyy721</v>
      </c>
      <c r="B1447" s="169">
        <f t="shared" si="45"/>
        <v>721</v>
      </c>
    </row>
    <row r="1448" spans="1:2" ht="30" customHeight="1" x14ac:dyDescent="0.2">
      <c r="A1448" s="176" t="str">
        <f t="shared" si="44"/>
        <v>00/01/yyyy722</v>
      </c>
      <c r="B1448" s="169">
        <f t="shared" si="45"/>
        <v>722</v>
      </c>
    </row>
    <row r="1449" spans="1:2" ht="30" customHeight="1" x14ac:dyDescent="0.2">
      <c r="A1449" s="176" t="str">
        <f t="shared" si="44"/>
        <v>00/01/yyyy723</v>
      </c>
      <c r="B1449" s="169">
        <f t="shared" si="45"/>
        <v>723</v>
      </c>
    </row>
    <row r="1450" spans="1:2" ht="30" customHeight="1" x14ac:dyDescent="0.2">
      <c r="A1450" s="176" t="str">
        <f t="shared" si="44"/>
        <v>00/01/yyyy724</v>
      </c>
      <c r="B1450" s="169">
        <f t="shared" si="45"/>
        <v>724</v>
      </c>
    </row>
    <row r="1451" spans="1:2" ht="30" customHeight="1" x14ac:dyDescent="0.2">
      <c r="A1451" s="176" t="str">
        <f t="shared" si="44"/>
        <v>00/01/yyyy725</v>
      </c>
      <c r="B1451" s="169">
        <f t="shared" si="45"/>
        <v>725</v>
      </c>
    </row>
    <row r="1452" spans="1:2" ht="30" customHeight="1" x14ac:dyDescent="0.2">
      <c r="A1452" s="176" t="str">
        <f t="shared" si="44"/>
        <v>00/01/yyyy726</v>
      </c>
      <c r="B1452" s="169">
        <f t="shared" si="45"/>
        <v>726</v>
      </c>
    </row>
    <row r="1453" spans="1:2" ht="30" customHeight="1" x14ac:dyDescent="0.2">
      <c r="A1453" s="176" t="str">
        <f t="shared" si="44"/>
        <v>00/01/yyyy727</v>
      </c>
      <c r="B1453" s="169">
        <f t="shared" si="45"/>
        <v>727</v>
      </c>
    </row>
    <row r="1454" spans="1:2" ht="30" customHeight="1" x14ac:dyDescent="0.2">
      <c r="A1454" s="176" t="str">
        <f t="shared" si="44"/>
        <v>00/01/yyyy728</v>
      </c>
      <c r="B1454" s="169">
        <f t="shared" si="45"/>
        <v>728</v>
      </c>
    </row>
    <row r="1455" spans="1:2" ht="30" customHeight="1" x14ac:dyDescent="0.2">
      <c r="A1455" s="176" t="str">
        <f t="shared" si="44"/>
        <v>00/01/yyyy729</v>
      </c>
      <c r="B1455" s="169">
        <f t="shared" si="45"/>
        <v>729</v>
      </c>
    </row>
    <row r="1456" spans="1:2" ht="30" customHeight="1" x14ac:dyDescent="0.2">
      <c r="A1456" s="176" t="str">
        <f t="shared" si="44"/>
        <v>00/01/yyyy730</v>
      </c>
      <c r="B1456" s="169">
        <f t="shared" si="45"/>
        <v>730</v>
      </c>
    </row>
    <row r="1457" spans="1:2" ht="30" customHeight="1" x14ac:dyDescent="0.2">
      <c r="A1457" s="176" t="str">
        <f t="shared" si="44"/>
        <v>00/01/yyyy731</v>
      </c>
      <c r="B1457" s="169">
        <f t="shared" si="45"/>
        <v>731</v>
      </c>
    </row>
    <row r="1458" spans="1:2" ht="30" customHeight="1" x14ac:dyDescent="0.2">
      <c r="A1458" s="176" t="str">
        <f t="shared" si="44"/>
        <v>00/01/yyyy732</v>
      </c>
      <c r="B1458" s="169">
        <f t="shared" si="45"/>
        <v>732</v>
      </c>
    </row>
    <row r="1459" spans="1:2" ht="30" customHeight="1" x14ac:dyDescent="0.2">
      <c r="A1459" s="176" t="str">
        <f t="shared" si="44"/>
        <v>00/01/yyyy733</v>
      </c>
      <c r="B1459" s="169">
        <f t="shared" si="45"/>
        <v>733</v>
      </c>
    </row>
    <row r="1460" spans="1:2" ht="30" customHeight="1" x14ac:dyDescent="0.2">
      <c r="A1460" s="176" t="str">
        <f t="shared" si="44"/>
        <v>00/01/yyyy734</v>
      </c>
      <c r="B1460" s="169">
        <f t="shared" si="45"/>
        <v>734</v>
      </c>
    </row>
    <row r="1461" spans="1:2" ht="30" customHeight="1" x14ac:dyDescent="0.2">
      <c r="A1461" s="176" t="str">
        <f t="shared" si="44"/>
        <v>00/01/yyyy735</v>
      </c>
      <c r="B1461" s="169">
        <f t="shared" si="45"/>
        <v>735</v>
      </c>
    </row>
    <row r="1462" spans="1:2" ht="30" customHeight="1" x14ac:dyDescent="0.2">
      <c r="A1462" s="176" t="str">
        <f t="shared" si="44"/>
        <v>00/01/yyyy736</v>
      </c>
      <c r="B1462" s="169">
        <f t="shared" si="45"/>
        <v>736</v>
      </c>
    </row>
    <row r="1463" spans="1:2" ht="30" customHeight="1" x14ac:dyDescent="0.2">
      <c r="A1463" s="176" t="str">
        <f t="shared" si="44"/>
        <v>00/01/yyyy737</v>
      </c>
      <c r="B1463" s="169">
        <f t="shared" si="45"/>
        <v>737</v>
      </c>
    </row>
    <row r="1464" spans="1:2" ht="30" customHeight="1" x14ac:dyDescent="0.2">
      <c r="A1464" s="176" t="str">
        <f t="shared" si="44"/>
        <v>00/01/yyyy738</v>
      </c>
      <c r="B1464" s="169">
        <f t="shared" si="45"/>
        <v>738</v>
      </c>
    </row>
    <row r="1465" spans="1:2" ht="30" customHeight="1" x14ac:dyDescent="0.2">
      <c r="A1465" s="176" t="str">
        <f t="shared" si="44"/>
        <v>00/01/yyyy739</v>
      </c>
      <c r="B1465" s="169">
        <f t="shared" si="45"/>
        <v>739</v>
      </c>
    </row>
    <row r="1466" spans="1:2" ht="30" customHeight="1" x14ac:dyDescent="0.2">
      <c r="A1466" s="176" t="str">
        <f t="shared" si="44"/>
        <v>00/01/yyyy740</v>
      </c>
      <c r="B1466" s="169">
        <f t="shared" si="45"/>
        <v>740</v>
      </c>
    </row>
    <row r="1467" spans="1:2" ht="30" customHeight="1" x14ac:dyDescent="0.2">
      <c r="A1467" s="176" t="str">
        <f t="shared" si="44"/>
        <v>00/01/yyyy741</v>
      </c>
      <c r="B1467" s="169">
        <f t="shared" si="45"/>
        <v>741</v>
      </c>
    </row>
    <row r="1468" spans="1:2" ht="30" customHeight="1" x14ac:dyDescent="0.2">
      <c r="A1468" s="176" t="str">
        <f t="shared" si="44"/>
        <v>00/01/yyyy742</v>
      </c>
      <c r="B1468" s="169">
        <f t="shared" si="45"/>
        <v>742</v>
      </c>
    </row>
    <row r="1469" spans="1:2" ht="30" customHeight="1" x14ac:dyDescent="0.2">
      <c r="A1469" s="176" t="str">
        <f t="shared" si="44"/>
        <v>00/01/yyyy743</v>
      </c>
      <c r="B1469" s="169">
        <f t="shared" si="45"/>
        <v>743</v>
      </c>
    </row>
    <row r="1470" spans="1:2" ht="30" customHeight="1" x14ac:dyDescent="0.2">
      <c r="A1470" s="176" t="str">
        <f t="shared" si="44"/>
        <v>00/01/yyyy744</v>
      </c>
      <c r="B1470" s="169">
        <f t="shared" si="45"/>
        <v>744</v>
      </c>
    </row>
    <row r="1471" spans="1:2" ht="30" customHeight="1" x14ac:dyDescent="0.2">
      <c r="A1471" s="176" t="str">
        <f t="shared" si="44"/>
        <v>00/01/yyyy745</v>
      </c>
      <c r="B1471" s="169">
        <f t="shared" si="45"/>
        <v>745</v>
      </c>
    </row>
    <row r="1472" spans="1:2" ht="30" customHeight="1" x14ac:dyDescent="0.2">
      <c r="A1472" s="176" t="str">
        <f t="shared" si="44"/>
        <v>00/01/yyyy746</v>
      </c>
      <c r="B1472" s="169">
        <f t="shared" si="45"/>
        <v>746</v>
      </c>
    </row>
    <row r="1473" spans="1:2" ht="30" customHeight="1" x14ac:dyDescent="0.2">
      <c r="A1473" s="176" t="str">
        <f t="shared" si="44"/>
        <v>00/01/yyyy747</v>
      </c>
      <c r="B1473" s="169">
        <f t="shared" si="45"/>
        <v>747</v>
      </c>
    </row>
    <row r="1474" spans="1:2" ht="30" customHeight="1" x14ac:dyDescent="0.2">
      <c r="A1474" s="176" t="str">
        <f t="shared" si="44"/>
        <v>00/01/yyyy748</v>
      </c>
      <c r="B1474" s="169">
        <f t="shared" si="45"/>
        <v>748</v>
      </c>
    </row>
    <row r="1475" spans="1:2" ht="30" customHeight="1" x14ac:dyDescent="0.2">
      <c r="A1475" s="176" t="str">
        <f t="shared" ref="A1475:A1500" si="46">CONCATENATE(TEXT($G1475,"dd/mm/yyyy"),$B1475)</f>
        <v>00/01/yyyy749</v>
      </c>
      <c r="B1475" s="169">
        <f t="shared" si="45"/>
        <v>749</v>
      </c>
    </row>
    <row r="1476" spans="1:2" ht="30" customHeight="1" x14ac:dyDescent="0.2">
      <c r="A1476" s="176" t="str">
        <f t="shared" si="46"/>
        <v>00/01/yyyy750</v>
      </c>
      <c r="B1476" s="169">
        <f t="shared" ref="B1476:B1500" si="47">IF($G1476=$G1475,$B1475+1,1)</f>
        <v>750</v>
      </c>
    </row>
    <row r="1477" spans="1:2" ht="30" customHeight="1" x14ac:dyDescent="0.2">
      <c r="A1477" s="176" t="str">
        <f t="shared" si="46"/>
        <v>00/01/yyyy751</v>
      </c>
      <c r="B1477" s="169">
        <f t="shared" si="47"/>
        <v>751</v>
      </c>
    </row>
    <row r="1478" spans="1:2" ht="30" customHeight="1" x14ac:dyDescent="0.2">
      <c r="A1478" s="176" t="str">
        <f t="shared" si="46"/>
        <v>00/01/yyyy752</v>
      </c>
      <c r="B1478" s="169">
        <f t="shared" si="47"/>
        <v>752</v>
      </c>
    </row>
    <row r="1479" spans="1:2" ht="30" customHeight="1" x14ac:dyDescent="0.2">
      <c r="A1479" s="176" t="str">
        <f t="shared" si="46"/>
        <v>00/01/yyyy753</v>
      </c>
      <c r="B1479" s="169">
        <f t="shared" si="47"/>
        <v>753</v>
      </c>
    </row>
    <row r="1480" spans="1:2" ht="30" customHeight="1" x14ac:dyDescent="0.2">
      <c r="A1480" s="176" t="str">
        <f t="shared" si="46"/>
        <v>00/01/yyyy754</v>
      </c>
      <c r="B1480" s="169">
        <f t="shared" si="47"/>
        <v>754</v>
      </c>
    </row>
    <row r="1481" spans="1:2" ht="30" customHeight="1" x14ac:dyDescent="0.2">
      <c r="A1481" s="176" t="str">
        <f t="shared" si="46"/>
        <v>00/01/yyyy755</v>
      </c>
      <c r="B1481" s="169">
        <f t="shared" si="47"/>
        <v>755</v>
      </c>
    </row>
    <row r="1482" spans="1:2" ht="30" customHeight="1" x14ac:dyDescent="0.2">
      <c r="A1482" s="176" t="str">
        <f t="shared" si="46"/>
        <v>00/01/yyyy756</v>
      </c>
      <c r="B1482" s="169">
        <f t="shared" si="47"/>
        <v>756</v>
      </c>
    </row>
    <row r="1483" spans="1:2" ht="30" customHeight="1" x14ac:dyDescent="0.2">
      <c r="A1483" s="176" t="str">
        <f t="shared" si="46"/>
        <v>00/01/yyyy757</v>
      </c>
      <c r="B1483" s="169">
        <f t="shared" si="47"/>
        <v>757</v>
      </c>
    </row>
    <row r="1484" spans="1:2" ht="30" customHeight="1" x14ac:dyDescent="0.2">
      <c r="A1484" s="176" t="str">
        <f t="shared" si="46"/>
        <v>00/01/yyyy758</v>
      </c>
      <c r="B1484" s="169">
        <f t="shared" si="47"/>
        <v>758</v>
      </c>
    </row>
    <row r="1485" spans="1:2" ht="30" customHeight="1" x14ac:dyDescent="0.2">
      <c r="A1485" s="176" t="str">
        <f t="shared" si="46"/>
        <v>00/01/yyyy759</v>
      </c>
      <c r="B1485" s="169">
        <f t="shared" si="47"/>
        <v>759</v>
      </c>
    </row>
    <row r="1486" spans="1:2" ht="30" customHeight="1" x14ac:dyDescent="0.2">
      <c r="A1486" s="176" t="str">
        <f t="shared" si="46"/>
        <v>00/01/yyyy760</v>
      </c>
      <c r="B1486" s="169">
        <f t="shared" si="47"/>
        <v>760</v>
      </c>
    </row>
    <row r="1487" spans="1:2" ht="30" customHeight="1" x14ac:dyDescent="0.2">
      <c r="A1487" s="176" t="str">
        <f t="shared" si="46"/>
        <v>00/01/yyyy761</v>
      </c>
      <c r="B1487" s="169">
        <f t="shared" si="47"/>
        <v>761</v>
      </c>
    </row>
    <row r="1488" spans="1:2" ht="30" customHeight="1" x14ac:dyDescent="0.2">
      <c r="A1488" s="176" t="str">
        <f t="shared" si="46"/>
        <v>00/01/yyyy762</v>
      </c>
      <c r="B1488" s="169">
        <f t="shared" si="47"/>
        <v>762</v>
      </c>
    </row>
    <row r="1489" spans="1:2" ht="30" customHeight="1" x14ac:dyDescent="0.2">
      <c r="A1489" s="176" t="str">
        <f t="shared" si="46"/>
        <v>00/01/yyyy763</v>
      </c>
      <c r="B1489" s="169">
        <f t="shared" si="47"/>
        <v>763</v>
      </c>
    </row>
    <row r="1490" spans="1:2" ht="30" customHeight="1" x14ac:dyDescent="0.2">
      <c r="A1490" s="176" t="str">
        <f t="shared" si="46"/>
        <v>00/01/yyyy764</v>
      </c>
      <c r="B1490" s="169">
        <f t="shared" si="47"/>
        <v>764</v>
      </c>
    </row>
    <row r="1491" spans="1:2" ht="30" customHeight="1" x14ac:dyDescent="0.2">
      <c r="A1491" s="176" t="str">
        <f t="shared" si="46"/>
        <v>00/01/yyyy765</v>
      </c>
      <c r="B1491" s="169">
        <f t="shared" si="47"/>
        <v>765</v>
      </c>
    </row>
    <row r="1492" spans="1:2" ht="30" customHeight="1" x14ac:dyDescent="0.2">
      <c r="A1492" s="176" t="str">
        <f t="shared" si="46"/>
        <v>00/01/yyyy766</v>
      </c>
      <c r="B1492" s="169">
        <f t="shared" si="47"/>
        <v>766</v>
      </c>
    </row>
    <row r="1493" spans="1:2" ht="30" customHeight="1" x14ac:dyDescent="0.2">
      <c r="A1493" s="176" t="str">
        <f t="shared" si="46"/>
        <v>00/01/yyyy767</v>
      </c>
      <c r="B1493" s="169">
        <f t="shared" si="47"/>
        <v>767</v>
      </c>
    </row>
    <row r="1494" spans="1:2" ht="30" customHeight="1" x14ac:dyDescent="0.2">
      <c r="A1494" s="176" t="str">
        <f t="shared" si="46"/>
        <v>00/01/yyyy768</v>
      </c>
      <c r="B1494" s="169">
        <f t="shared" si="47"/>
        <v>768</v>
      </c>
    </row>
    <row r="1495" spans="1:2" ht="30" customHeight="1" x14ac:dyDescent="0.2">
      <c r="A1495" s="176" t="str">
        <f t="shared" si="46"/>
        <v>00/01/yyyy769</v>
      </c>
      <c r="B1495" s="169">
        <f t="shared" si="47"/>
        <v>769</v>
      </c>
    </row>
    <row r="1496" spans="1:2" ht="30" customHeight="1" x14ac:dyDescent="0.2">
      <c r="A1496" s="176" t="str">
        <f t="shared" si="46"/>
        <v>00/01/yyyy770</v>
      </c>
      <c r="B1496" s="169">
        <f t="shared" si="47"/>
        <v>770</v>
      </c>
    </row>
    <row r="1497" spans="1:2" ht="30" customHeight="1" x14ac:dyDescent="0.2">
      <c r="A1497" s="176" t="str">
        <f t="shared" si="46"/>
        <v>00/01/yyyy771</v>
      </c>
      <c r="B1497" s="169">
        <f t="shared" si="47"/>
        <v>771</v>
      </c>
    </row>
    <row r="1498" spans="1:2" ht="30" customHeight="1" x14ac:dyDescent="0.2">
      <c r="A1498" s="176" t="str">
        <f t="shared" si="46"/>
        <v>00/01/yyyy772</v>
      </c>
      <c r="B1498" s="169">
        <f t="shared" si="47"/>
        <v>772</v>
      </c>
    </row>
    <row r="1499" spans="1:2" ht="30" customHeight="1" x14ac:dyDescent="0.2">
      <c r="A1499" s="176" t="str">
        <f t="shared" si="46"/>
        <v>00/01/yyyy773</v>
      </c>
      <c r="B1499" s="169">
        <f t="shared" si="47"/>
        <v>773</v>
      </c>
    </row>
    <row r="1500" spans="1:2" ht="30" customHeight="1" x14ac:dyDescent="0.2">
      <c r="A1500" s="176" t="str">
        <f t="shared" si="46"/>
        <v>00/01/yyyy774</v>
      </c>
      <c r="B1500" s="169">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vt:i4>
      </vt:variant>
    </vt:vector>
  </HeadingPairs>
  <TitlesOfParts>
    <vt:vector size="28" baseType="lpstr">
      <vt:lpstr>EXPEDIENTES</vt:lpstr>
      <vt:lpstr>AGENDA</vt:lpstr>
      <vt:lpstr>Licencias</vt:lpstr>
      <vt:lpstr>Informe de Gestión mensual</vt:lpstr>
      <vt:lpstr>Informe semana</vt:lpstr>
      <vt:lpstr>Informe Disponibilidad</vt:lpstr>
      <vt:lpstr>Exp por Jueces</vt:lpstr>
      <vt:lpstr>Graficos Estadisticos</vt:lpstr>
      <vt:lpstr>Feriados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2023-10-27T18:30:31Z</cp:lastPrinted>
  <dcterms:created xsi:type="dcterms:W3CDTF">2023-02-23T14:47:20Z</dcterms:created>
  <dcterms:modified xsi:type="dcterms:W3CDTF">2023-10-29T20:30:52Z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